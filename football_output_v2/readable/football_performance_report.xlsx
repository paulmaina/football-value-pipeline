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2026-10-17T21:25:38.892367+00:00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14:11:53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17</v>
      </c>
      <c r="E6" s="19">
        <f>COUNTIFS(Selections!$K$6:$K$29,"WON")</f>
        <v>13</v>
      </c>
      <c r="F6" s="19">
        <f>COUNTIFS(Selections!$K$6:$K$29,"LOST")</f>
        <v>4</v>
      </c>
      <c r="G6" s="19">
        <f>COUNTA(Selections!$A$6:$A$29)-(COUNTIFS(Selections!$K$6:$K$29,"WON")+COUNTIFS(Selections!$K$6:$K$29,"LOST"))</f>
        <v>7</v>
      </c>
      <c r="H6" s="20">
        <f>IF((COUNTIFS(Selections!$K$6:$K$29,"WON")+COUNTIFS(Selections!$K$6:$K$29,"LOST"))=0,"n.a.",COUNTIFS(Selections!$K$6:$K$29,"WON")/(COUNTIFS(Selections!$K$6:$K$29,"WON")+COUNTIFS(Selections!$K$6:$K$29,"LOST")))</f>
        <v>0.7647058823529411</v>
      </c>
      <c r="I6" s="22">
        <f>SUM(Selections!$M$6:$M$29)</f>
        <v>17</v>
      </c>
      <c r="J6" s="22">
        <f>SUM(Selections!$N$6:$N$29)</f>
        <v>0.76</v>
      </c>
      <c r="K6" s="20">
        <f>IF(SUM(Selections!$M$6:$M$29)=0,"n.a.",SUM(Selections!$N$6:$N$29)/SUM(Selections!$M$6:$M$29))</f>
        <v>0.04470588235294118</v>
      </c>
      <c r="L6" s="21">
        <f>IF(SUM(Selections!$T$6:$T$29)=0,"n.a.",SUM(Selections!$O$6:$O$29)/SUM(Selections!$T$6:$T$29))</f>
        <v>0.17879796164462633</v>
      </c>
      <c r="M6" s="20">
        <f>IF(SUM(Selections!$T$6:$T$29)=0,"n.a.",SUM(Selections!$S$6:$S$29)/SUM(Selections!$T$6:$T$29))</f>
        <v>0.7939657201971452</v>
      </c>
      <c r="N6" s="20">
        <f>IF(SUM(Selections!$T$6:$T$29)=0,"n.a.",(SUMIFS(Selections!$L$6:$L$29,Selections!$T$6:$T$29,1))/SUM(Selections!$T$6:$T$29))</f>
        <v>0.7647058823529411</v>
      </c>
      <c r="O6" s="20">
        <f>IF(SUM(Selections!$T$6:$T$29)=0,"n.a.",(SUM(Selections!$S$6:$S$29)-(SUMIFS(Selections!$L$6:$L$29,Selections!$T$6:$T$29,1)))/SUM(Selections!$T$6:$T$29))</f>
        <v>0.02925983784420405</v>
      </c>
      <c r="P6" s="19">
        <f>SUM(Selections!$T$6:$T$29)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10</v>
      </c>
      <c r="E7" s="19">
        <f>COUNTIFS(Selections!$F$6:$F$29,"STRICT",Selections!$K$6:$K$29,"WON")</f>
        <v>9</v>
      </c>
      <c r="F7" s="19">
        <f>COUNTIFS(Selections!$F$6:$F$29,"STRICT",Selections!$K$6:$K$29,"LOST")</f>
        <v>1</v>
      </c>
      <c r="G7" s="19">
        <f>COUNTIFS(Selections!$F$6:$F$29,"STRICT")-(COUNTIFS(Selections!$F$6:$F$29,"STRICT",Selections!$K$6:$K$29,"WON")+COUNTIFS(Selections!$F$6:$F$29,"STRICT",Selections!$K$6:$K$29,"LOST"))</f>
        <v>4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0.9</v>
      </c>
      <c r="I7" s="22">
        <f>SUMIFS(Selections!$M$6:$M$29,Selections!$F$6:$F$29,"STRICT")</f>
        <v>10</v>
      </c>
      <c r="J7" s="22">
        <f>SUMIFS(Selections!$N$6:$N$29,Selections!$F$6:$F$29,"STRICT")</f>
        <v>2.71</v>
      </c>
      <c r="K7" s="20">
        <f>IF(SUMIFS(Selections!$M$6:$M$29,Selections!$F$6:$F$29,"STRICT")=0,"n.a.",SUMIFS(Selections!$N$6:$N$29,Selections!$F$6:$F$29,"STRICT")/SUMIFS(Selections!$M$6:$M$29,Selections!$F$6:$F$29,"STRICT"))</f>
        <v>0.271</v>
      </c>
      <c r="L7" s="21">
        <f>IF(SUMIFS(Selections!$T$6:$T$29,Selections!$F$6:$F$29,"STRICT")=0,"n.a.",SUMIFS(Selections!$O$6:$O$29,Selections!$F$6:$F$29,"STRICT")/SUMIFS(Selections!$T$6:$T$29,Selections!$F$6:$F$29,"STRICT"))</f>
        <v>0.09768215427902749</v>
      </c>
      <c r="M7" s="20">
        <f>IF(SUMIFS(Selections!$T$6:$T$29,Selections!$F$6:$F$29,"STRICT")=0,"n.a.",SUMIFS(Selections!$S$6:$S$29,Selections!$F$6:$F$29,"STRICT")/SUMIFS(Selections!$T$6:$T$29,Selections!$F$6:$F$29,"STRICT"))</f>
        <v>0.7657506059148657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0.9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-0.13424939408513437</v>
      </c>
      <c r="P7" s="19">
        <f>SUMIFS(Selections!$T$6:$T$29,Selections!$F$6:$F$29,"STRICT")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7</v>
      </c>
      <c r="E8" s="19">
        <f>COUNTIFS(Selections!$F$6:$F$29,"PROVISIONAL",Selections!$K$6:$K$29,"WON")</f>
        <v>4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3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0.5714285714285714</v>
      </c>
      <c r="I8" s="22">
        <f>SUMIFS(Selections!$M$6:$M$29,Selections!$F$6:$F$29,"PROVISIONAL")</f>
        <v>7</v>
      </c>
      <c r="J8" s="22">
        <f>SUMIFS(Selections!$N$6:$N$29,Selections!$F$6:$F$29,"PROVISIONAL")</f>
        <v>-1.95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-0.2785714285714286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0.29467768645262465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0.8342730263146871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0.5714285714285714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0.26284445488611574</v>
      </c>
      <c r="P8" s="19">
        <f>SUMIFS(Selections!$T$6:$T$29,Selections!$F$6:$F$29,"PROVISIONAL")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1</v>
      </c>
      <c r="E9" s="19">
        <f>COUNTIFS(Selections!$C$6:$C$29,"Bundesliga",Selections!$K$6:$K$29,"WON")</f>
        <v>1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1</v>
      </c>
      <c r="H9" s="20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1.0</v>
      </c>
      <c r="I9" s="22">
        <f>SUMIFS(Selections!$M$6:$M$29,Selections!$C$6:$C$29,"Bundesliga")</f>
        <v>1</v>
      </c>
      <c r="J9" s="22">
        <f>SUMIFS(Selections!$N$6:$N$29,Selections!$C$6:$C$29,"Bundesliga")</f>
        <v>0.27</v>
      </c>
      <c r="K9" s="20">
        <f>IF(SUMIFS(Selections!$M$6:$M$29,Selections!$C$6:$C$29,"Bundesliga")=0,"n.a.",SUMIFS(Selections!$N$6:$N$29,Selections!$C$6:$C$29,"Bundesliga")/SUMIFS(Selections!$M$6:$M$29,Selections!$C$6:$C$29,"Bundesliga"))</f>
        <v>0.27</v>
      </c>
      <c r="L9" s="21">
        <f>IF(SUMIFS(Selections!$T$6:$T$29,Selections!$C$6:$C$29,"Bundesliga")=0,"n.a.",SUMIFS(Selections!$O$6:$O$29,Selections!$C$6:$C$29,"Bundesliga")/SUMIFS(Selections!$T$6:$T$29,Selections!$C$6:$C$29,"Bundesliga"))</f>
        <v>0.03933741464046248</v>
      </c>
      <c r="M9" s="20">
        <f>IF(SUMIFS(Selections!$T$6:$T$29,Selections!$C$6:$C$29,"Bundesliga")=0,"n.a.",SUMIFS(Selections!$S$6:$S$29,Selections!$C$6:$C$29,"Bundesliga")/SUMIFS(Selections!$T$6:$T$29,Selections!$C$6:$C$29,"Bundesliga"))</f>
        <v>0.8016633804854422</v>
      </c>
      <c r="N9" s="20">
        <f>IF(SUMIFS(Selections!$T$6:$T$29,Selections!$C$6:$C$29,"Bundesliga")=0,"n.a.",(SUMIFS(Selections!$L$6:$L$29,Selections!$C$6:$C$29,"Bundesliga",Selections!$T$6:$T$29,1))/SUMIFS(Selections!$T$6:$T$29,Selections!$C$6:$C$29,"Bundesliga"))</f>
        <v>1.0</v>
      </c>
      <c r="O9" s="20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-0.19833661951455783</v>
      </c>
      <c r="P9" s="19">
        <f>SUMIFS(Selections!$T$6:$T$29,Selections!$C$6:$C$29,"Bundesliga")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5</v>
      </c>
      <c r="E11" s="19">
        <f>COUNTIFS(Selections!$C$6:$C$29,"Premier League",Selections!$K$6:$K$29,"WON")</f>
        <v>2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1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0.4</v>
      </c>
      <c r="I11" s="22">
        <f>SUMIFS(Selections!$M$6:$M$29,Selections!$C$6:$C$29,"Premier League")</f>
        <v>5</v>
      </c>
      <c r="J11" s="22">
        <f>SUMIFS(Selections!$N$6:$N$29,Selections!$C$6:$C$29,"Premier League")</f>
        <v>-2.4699999999999998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-0.49399999999999994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0.4022420694603978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0.8287876612163535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0.4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0.4287876612163535</v>
      </c>
      <c r="P11" s="19">
        <f>SUMIFS(Selections!$T$6:$T$29,Selections!$C$6:$C$29,"Premier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4</v>
      </c>
      <c r="E12" s="19">
        <f>COUNTIFS(Selections!$C$6:$C$29,"Serie A",Selections!$K$6:$K$29,"WON")</f>
        <v>3</v>
      </c>
      <c r="F12" s="19">
        <f>COUNTIFS(Selections!$C$6:$C$29,"Serie A",Selections!$K$6:$K$29,"LOST")</f>
        <v>1</v>
      </c>
      <c r="G12" s="19">
        <f>COUNTIFS(Selections!$C$6:$C$29,"Serie A")-(COUNTIFS(Selections!$C$6:$C$29,"Serie A",Selections!$K$6:$K$29,"WON")+COUNTIFS(Selections!$C$6:$C$29,"Serie A",Selections!$K$6:$K$29,"LOST"))</f>
        <v>0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0.75</v>
      </c>
      <c r="I12" s="22">
        <f>SUMIFS(Selections!$M$6:$M$29,Selections!$C$6:$C$29,"Serie A")</f>
        <v>4</v>
      </c>
      <c r="J12" s="22">
        <f>SUMIFS(Selections!$N$6:$N$29,Selections!$C$6:$C$29,"Serie A")</f>
        <v>0.49</v>
      </c>
      <c r="K12" s="20">
        <f>IF(SUMIFS(Selections!$M$6:$M$29,Selections!$C$6:$C$29,"Serie A")=0,"n.a.",SUMIFS(Selections!$N$6:$N$29,Selections!$C$6:$C$29,"Serie A")/SUMIFS(Selections!$M$6:$M$29,Selections!$C$6:$C$29,"Serie A"))</f>
        <v>0.1225</v>
      </c>
      <c r="L12" s="21">
        <f>IF(SUMIFS(Selections!$T$6:$T$29,Selections!$C$6:$C$29,"Serie A")=0,"n.a.",SUMIFS(Selections!$O$6:$O$29,Selections!$C$6:$C$29,"Serie A")/SUMIFS(Selections!$T$6:$T$29,Selections!$C$6:$C$29,"Serie A"))</f>
        <v>0.17461553462283086</v>
      </c>
      <c r="M12" s="20">
        <f>IF(SUMIFS(Selections!$T$6:$T$29,Selections!$C$6:$C$29,"Serie A")=0,"n.a.",SUMIFS(Selections!$S$6:$S$29,Selections!$C$6:$C$29,"Serie A")/SUMIFS(Selections!$T$6:$T$29,Selections!$C$6:$C$29,"Serie A"))</f>
        <v>0.6981379824821343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0.75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-0.05186201751786568</v>
      </c>
      <c r="P12" s="19">
        <f>SUMIFS(Selections!$T$6:$T$29,Selections!$C$6:$C$29,"Serie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1</v>
      </c>
      <c r="E14" s="19">
        <f>COUNTIFS(Selections!$E$6:$E$29,"Away win",Selections!$K$6:$K$29,"WON")</f>
        <v>0</v>
      </c>
      <c r="F14" s="19">
        <f>COUNTIFS(Selections!$E$6:$E$29,"Away win",Selections!$K$6:$K$29,"LOST")</f>
        <v>1</v>
      </c>
      <c r="G14" s="19">
        <f>COUNTIFS(Selections!$E$6:$E$29,"Away win")-(COUNTIFS(Selections!$E$6:$E$29,"Away win",Selections!$K$6:$K$29,"WON")+COUNTIFS(Selections!$E$6:$E$29,"Away win",Selections!$K$6:$K$29,"LOST"))</f>
        <v>0</v>
      </c>
      <c r="H14" s="20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0.0</v>
      </c>
      <c r="I14" s="22">
        <f>SUMIFS(Selections!$M$6:$M$29,Selections!$E$6:$E$29,"Away win")</f>
        <v>1</v>
      </c>
      <c r="J14" s="22">
        <f>SUMIFS(Selections!$N$6:$N$29,Selections!$E$6:$E$29,"Away win")</f>
        <v>-1.0</v>
      </c>
      <c r="K14" s="20">
        <f>IF(SUMIFS(Selections!$M$6:$M$29,Selections!$E$6:$E$29,"Away win")=0,"n.a.",SUMIFS(Selections!$N$6:$N$29,Selections!$E$6:$E$29,"Away win")/SUMIFS(Selections!$M$6:$M$29,Selections!$E$6:$E$29,"Away win"))</f>
        <v>-1.0</v>
      </c>
      <c r="L14" s="21">
        <f>IF(SUMIFS(Selections!$T$6:$T$29,Selections!$E$6:$E$29,"Away win")=0,"n.a.",SUMIFS(Selections!$O$6:$O$29,Selections!$E$6:$E$29,"Away win")/SUMIFS(Selections!$T$6:$T$29,Selections!$E$6:$E$29,"Away win"))</f>
        <v>0.43602718522290096</v>
      </c>
      <c r="M14" s="20">
        <f>IF(SUMIFS(Selections!$T$6:$T$29,Selections!$E$6:$E$29,"Away win")=0,"n.a.",SUMIFS(Selections!$S$6:$S$29,Selections!$E$6:$E$29,"Away win")/SUMIFS(Selections!$T$6:$T$29,Selections!$E$6:$E$29,"Away win"))</f>
        <v>0.6603235458643747</v>
      </c>
      <c r="N14" s="20">
        <f>IF(SUMIFS(Selections!$T$6:$T$29,Selections!$E$6:$E$29,"Away win")=0,"n.a.",(SUMIFS(Selections!$L$6:$L$29,Selections!$E$6:$E$29,"Away win",Selections!$T$6:$T$29,1))/SUMIFS(Selections!$T$6:$T$29,Selections!$E$6:$E$29,"Away win"))</f>
        <v>0.0</v>
      </c>
      <c r="O14" s="20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0.6603235458643747</v>
      </c>
      <c r="P14" s="19">
        <f>SUMIFS(Selections!$T$6:$T$29,Selections!$E$6:$E$29,"Away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1</v>
      </c>
      <c r="E16" s="19">
        <f>COUNTIFS(Selections!$E$6:$E$29,"Double Chance 1X",Selections!$K$6:$K$29,"WON")</f>
        <v>1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1</v>
      </c>
      <c r="H16" s="20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1.0</v>
      </c>
      <c r="I16" s="22">
        <f>SUMIFS(Selections!$M$6:$M$29,Selections!$E$6:$E$29,"Double Chance 1X")</f>
        <v>1</v>
      </c>
      <c r="J16" s="22">
        <f>SUMIFS(Selections!$N$6:$N$29,Selections!$E$6:$E$29,"Double Chance 1X")</f>
        <v>0.27</v>
      </c>
      <c r="K16" s="20">
        <f>IF(SUMIFS(Selections!$M$6:$M$29,Selections!$E$6:$E$29,"Double Chance 1X")=0,"n.a.",SUMIFS(Selections!$N$6:$N$29,Selections!$E$6:$E$29,"Double Chance 1X")/SUMIFS(Selections!$M$6:$M$29,Selections!$E$6:$E$29,"Double Chance 1X"))</f>
        <v>0.27</v>
      </c>
      <c r="L16" s="21">
        <f>IF(SUMIFS(Selections!$T$6:$T$29,Selections!$E$6:$E$29,"Double Chance 1X")=0,"n.a.",SUMIFS(Selections!$O$6:$O$29,Selections!$E$6:$E$29,"Double Chance 1X")/SUMIFS(Selections!$T$6:$T$29,Selections!$E$6:$E$29,"Double Chance 1X"))</f>
        <v>0.03933741464046248</v>
      </c>
      <c r="M16" s="20">
        <f>IF(SUMIFS(Selections!$T$6:$T$29,Selections!$E$6:$E$29,"Double Chance 1X")=0,"n.a.",SUMIFS(Selections!$S$6:$S$29,Selections!$E$6:$E$29,"Double Chance 1X")/SUMIFS(Selections!$T$6:$T$29,Selections!$E$6:$E$29,"Double Chance 1X"))</f>
        <v>0.8016633804854422</v>
      </c>
      <c r="N16" s="20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1.0</v>
      </c>
      <c r="O16" s="20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-0.19833661951455783</v>
      </c>
      <c r="P16" s="19">
        <f>SUMIFS(Selections!$T$6:$T$29,Selections!$E$6:$E$29,"Double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3</v>
      </c>
      <c r="E17" s="19">
        <f>COUNTIFS(Selections!$E$6:$E$29,"Home win",Selections!$K$6:$K$29,"WON")</f>
        <v>3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2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3</v>
      </c>
      <c r="J17" s="22">
        <f>SUMIFS(Selections!$N$6:$N$29,Selections!$E$6:$E$29,"Home win")</f>
        <v>1.95</v>
      </c>
      <c r="K17" s="20">
        <f>IF(SUMIFS(Selections!$M$6:$M$29,Selections!$E$6:$E$29,"Home win")=0,"n.a.",SUMIFS(Selections!$N$6:$N$29,Selections!$E$6:$E$29,"Home win")/SUMIFS(Selections!$M$6:$M$29,Selections!$E$6:$E$29,"Home win"))</f>
        <v>0.65</v>
      </c>
      <c r="L17" s="21">
        <f>IF(SUMIFS(Selections!$T$6:$T$29,Selections!$E$6:$E$29,"Home win")=0,"n.a.",SUMIFS(Selections!$O$6:$O$29,Selections!$E$6:$E$29,"Home win")/SUMIFS(Selections!$T$6:$T$29,Selections!$E$6:$E$29,"Home win"))</f>
        <v>0.11139910506729317</v>
      </c>
      <c r="M17" s="20">
        <f>IF(SUMIFS(Selections!$T$6:$T$29,Selections!$E$6:$E$29,"Home win")=0,"n.a.",SUMIFS(Selections!$S$6:$S$29,Selections!$E$6:$E$29,"Home win")/SUMIFS(Selections!$T$6:$T$29,Selections!$E$6:$E$29,"Home win"))</f>
        <v>0.6664479192577112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-0.3335520807422888</v>
      </c>
      <c r="P17" s="19">
        <f>SUMIFS(Selections!$T$6:$T$29,Selections!$E$6:$E$29,"Home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6</v>
      </c>
      <c r="E18" s="19">
        <f>COUNTIFS(Selections!$E$6:$E$29,"Over 1.5",Selections!$K$6:$K$29,"WON")</f>
        <v>6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3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6</v>
      </c>
      <c r="J18" s="22">
        <f>SUMIFS(Selections!$N$6:$N$29,Selections!$E$6:$E$29,"Over 1.5")</f>
        <v>1.35</v>
      </c>
      <c r="K18" s="20">
        <f>IF(SUMIFS(Selections!$M$6:$M$29,Selections!$E$6:$E$29,"Over 1.5")=0,"n.a.",SUMIFS(Selections!$N$6:$N$29,Selections!$E$6:$E$29,"Over 1.5")/SUMIFS(Selections!$M$6:$M$29,Selections!$E$6:$E$29,"Over 1.5"))</f>
        <v>0.225</v>
      </c>
      <c r="L18" s="21">
        <f>IF(SUMIFS(Selections!$T$6:$T$29,Selections!$E$6:$E$29,"Over 1.5")=0,"n.a.",SUMIFS(Selections!$O$6:$O$29,Selections!$E$6:$E$29,"Over 1.5")/SUMIFS(Selections!$T$6:$T$29,Selections!$E$6:$E$29,"Over 1.5"))</f>
        <v>0.016286174710257586</v>
      </c>
      <c r="M18" s="20">
        <f>IF(SUMIFS(Selections!$T$6:$T$29,Selections!$E$6:$E$29,"Over 1.5")=0,"n.a.",SUMIFS(Selections!$S$6:$S$29,Selections!$E$6:$E$29,"Over 1.5")/SUMIFS(Selections!$T$6:$T$29,Selections!$E$6:$E$29,"Over 1.5"))</f>
        <v>0.8844021220181314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-0.1155978779818686</v>
      </c>
      <c r="P18" s="19">
        <f>SUMIFS(Selections!$T$6:$T$29,Selections!$E$6:$E$29,"Over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5</v>
      </c>
      <c r="E19" s="19">
        <f>COUNTIFS(Selections!$E$6:$E$29,"Under 3.5",Selections!$K$6:$K$29,"WON")</f>
        <v>2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1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0.4</v>
      </c>
      <c r="I19" s="22">
        <f>SUMIFS(Selections!$M$6:$M$29,Selections!$E$6:$E$29,"Under 3.5")</f>
        <v>5</v>
      </c>
      <c r="J19" s="22">
        <f>SUMIFS(Selections!$N$6:$N$29,Selections!$E$6:$E$29,"Under 3.5")</f>
        <v>-2.3</v>
      </c>
      <c r="K19" s="20">
        <f>IF(SUMIFS(Selections!$M$6:$M$29,Selections!$E$6:$E$29,"Under 3.5")=0,"n.a.",SUMIFS(Selections!$N$6:$N$29,Selections!$E$6:$E$29,"Under 3.5")/SUMIFS(Selections!$M$6:$M$29,Selections!$E$6:$E$29,"Under 3.5"))</f>
        <v>-0.45999999999999996</v>
      </c>
      <c r="L19" s="21">
        <f>IF(SUMIFS(Selections!$T$6:$T$29,Selections!$E$6:$E$29,"Under 3.5")=0,"n.a.",SUMIFS(Selections!$O$6:$O$29,Selections!$E$6:$E$29,"Under 3.5")/SUMIFS(Selections!$T$6:$T$29,Selections!$E$6:$E$29,"Under 3.5"))</f>
        <v>0.40913158571433234</v>
      </c>
      <c r="M19" s="20">
        <f>IF(SUMIFS(Selections!$T$6:$T$29,Selections!$E$6:$E$29,"Under 3.5")=0,"n.a.",SUMIFS(Selections!$S$6:$S$29,Selections!$E$6:$E$29,"Under 3.5")/SUMIFS(Selections!$T$6:$T$29,Selections!$E$6:$E$29,"Under 3.5"))</f>
        <v>0.8048001902708615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0.4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0.40480019027086145</v>
      </c>
      <c r="P19" s="19">
        <f>SUMIFS(Selections!$T$6:$T$29,Selections!$E$6:$E$29,"Under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2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1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0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0.5</v>
      </c>
      <c r="I20" s="22">
        <f>SUMIFS(Selections!$M$6:$M$29,Selections!$G$6:$G$29,"72h-all-markets-net-ev15-execution-v7")</f>
        <v>2</v>
      </c>
      <c r="J20" s="22">
        <f>SUMIFS(Selections!$N$6:$N$29,Selections!$G$6:$G$29,"72h-all-markets-net-ev15-execution-v7")</f>
        <v>-0.73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-0.365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0.22940386115877875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0.7546956595191849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0.5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0.25469565951918494</v>
      </c>
      <c r="P20" s="19">
        <f>SUMIFS(Selections!$T$6:$T$29,Selections!$G$6:$G$29,"72h-all-markets-net-ev15-execution-v7")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1</v>
      </c>
      <c r="E21" s="19">
        <f>COUNTIFS(Selections!$G$6:$G$29,"72h-seven-markets-fresh-references-net-ev15-v11",Selections!$K$6:$K$29,"WON")</f>
        <v>1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1</v>
      </c>
      <c r="H21" s="20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1.0</v>
      </c>
      <c r="I21" s="22">
        <f>SUMIFS(Selections!$M$6:$M$29,Selections!$G$6:$G$29,"72h-seven-markets-fresh-references-net-ev15-v11")</f>
        <v>1</v>
      </c>
      <c r="J21" s="22">
        <f>SUMIFS(Selections!$N$6:$N$29,Selections!$G$6:$G$29,"72h-seven-markets-fresh-references-net-ev15-v11")</f>
        <v>0.5800000000000001</v>
      </c>
      <c r="K21" s="20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0.5800000000000001</v>
      </c>
      <c r="L21" s="21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0.12004824380104485</v>
      </c>
      <c r="M21" s="20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0.6535202115547794</v>
      </c>
      <c r="N21" s="20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1.0</v>
      </c>
      <c r="O21" s="20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-0.34647978844522065</v>
      </c>
      <c r="P21" s="19">
        <f>SUMIFS(Selections!$T$6:$T$29,Selections!$G$6:$G$29,"72h-seven-markets-fresh-references-net-ev15-v11")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1</v>
      </c>
      <c r="E22" s="19">
        <f>COUNTIFS(Selections!$G$6:$G$29,"72h-six-markets-dc12-probability-odds-net-ev15-v9",Selections!$K$6:$K$29,"WON")</f>
        <v>1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0</v>
      </c>
      <c r="H22" s="20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1.0</v>
      </c>
      <c r="I22" s="22">
        <f>SUMIFS(Selections!$M$6:$M$29,Selections!$G$6:$G$29,"72h-six-markets-dc12-probability-odds-net-ev15-v9")</f>
        <v>1</v>
      </c>
      <c r="J22" s="22">
        <f>SUMIFS(Selections!$N$6:$N$29,Selections!$G$6:$G$29,"72h-six-markets-dc12-probability-odds-net-ev15-v9")</f>
        <v>0.27</v>
      </c>
      <c r="K22" s="20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0.27</v>
      </c>
      <c r="L22" s="21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0.03933741464046248</v>
      </c>
      <c r="M22" s="20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0.8016633804854422</v>
      </c>
      <c r="N22" s="20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1.0</v>
      </c>
      <c r="O22" s="20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-0.19833661951455783</v>
      </c>
      <c r="P22" s="19">
        <f>SUMIFS(Selections!$T$6:$T$29,Selections!$G$6:$G$29,"72h-six-markets-dc12-probability-odds-net-ev15-v9")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7</v>
      </c>
      <c r="E24" s="19">
        <f>COUNTIFS(Selections!$G$6:$G$29,"legacy/unspecified",Selections!$K$6:$K$29,"WON")</f>
        <v>5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4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0.7142857142857143</v>
      </c>
      <c r="I24" s="22">
        <f>SUMIFS(Selections!$M$6:$M$29,Selections!$G$6:$G$29,"legacy/unspecified")</f>
        <v>7</v>
      </c>
      <c r="J24" s="22">
        <f>SUMIFS(Selections!$N$6:$N$29,Selections!$G$6:$G$29,"legacy/unspecified")</f>
        <v>-0.32000000000000006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-0.04571428571428572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0.22763981067487737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0.8238675387479917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0.7142857142857143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0.10958182446227738</v>
      </c>
      <c r="P24" s="19">
        <f>SUMIFS(Selections!$T$6:$T$29,Selections!$G$6:$G$29,"legacy/unspecified")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13</v>
      </c>
      <c r="E26" s="19">
        <f>COUNTIFS(Selections!$P$6:$P$29,"2026-W42",Selections!$K$6:$K$29,"WON")</f>
        <v>11</v>
      </c>
      <c r="F26" s="19">
        <f>COUNTIFS(Selections!$P$6:$P$29,"2026-W42",Selections!$K$6:$K$29,"LOST")</f>
        <v>2</v>
      </c>
      <c r="G26" s="19">
        <f>COUNTIFS(Selections!$P$6:$P$29,"2026-W42")-(COUNTIFS(Selections!$P$6:$P$29,"2026-W42",Selections!$K$6:$K$29,"WON")+COUNTIFS(Selections!$P$6:$P$29,"2026-W42",Selections!$K$6:$K$29,"LOST"))</f>
        <v>5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0.8461538461538461</v>
      </c>
      <c r="I26" s="22">
        <f>SUMIFS(Selections!$M$6:$M$29,Selections!$P$6:$P$29,"2026-W42")</f>
        <v>13</v>
      </c>
      <c r="J26" s="22">
        <f>SUMIFS(Selections!$N$6:$N$29,Selections!$P$6:$P$29,"2026-W42")</f>
        <v>2.24</v>
      </c>
      <c r="K26" s="20">
        <f>IF(SUMIFS(Selections!$M$6:$M$29,Selections!$P$6:$P$29,"2026-W42")=0,"n.a.",SUMIFS(Selections!$N$6:$N$29,Selections!$P$6:$P$29,"2026-W42")/SUMIFS(Selections!$M$6:$M$29,Selections!$P$6:$P$29,"2026-W42"))</f>
        <v>0.17230769230769233</v>
      </c>
      <c r="L26" s="21">
        <f>IF(SUMIFS(Selections!$T$6:$T$29,Selections!$P$6:$P$29,"2026-W42")=0,"n.a.",SUMIFS(Selections!$O$6:$O$29,Selections!$P$6:$P$29,"2026-W42")/SUMIFS(Selections!$T$6:$T$29,Selections!$P$6:$P$29,"2026-W42"))</f>
        <v>0.13254625997760738</v>
      </c>
      <c r="M26" s="20">
        <f>IF(SUMIFS(Selections!$T$6:$T$29,Selections!$P$6:$P$29,"2026-W42")=0,"n.a.",SUMIFS(Selections!$S$6:$S$29,Selections!$P$6:$P$29,"2026-W42")/SUMIFS(Selections!$T$6:$T$29,Selections!$P$6:$P$29,"2026-W42"))</f>
        <v>0.7856017666694614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0.8461538461538461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-0.06055207948438479</v>
      </c>
      <c r="P26" s="19">
        <f>SUMIFS(Selections!$T$6:$T$29,Selections!$P$6:$P$29,"2026-W42")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4</v>
      </c>
      <c r="E8" s="20">
        <f>IF(D8=0,"n.a.",SUMIFS(Selections!$S$6:$S$29,Selections!$S$6:$S$29,"&gt;="&amp;B8,Selections!$S$6:$S$29,"&lt;"&amp;C8,Selections!$T$6:$T$29,1)/D8)</f>
        <v>0.6649168259093771</v>
      </c>
      <c r="F8" s="20">
        <f>IF(D8=0,"n.a.",SUMIFS(Selections!$L$6:$L$29,Selections!$S$6:$S$29,"&gt;="&amp;B8,Selections!$S$6:$S$29,"&lt;"&amp;C8,Selections!$T$6:$T$29,1)/D8)</f>
        <v>0.75</v>
      </c>
      <c r="G8" s="20">
        <f>IF(D8=0,"n.a.",E8-F8)</f>
        <v>-0.08508317409062294</v>
      </c>
      <c r="H8" s="21">
        <f>IF(D8=0,"n.a.",SUMIFS(Selections!$O$6:$O$29,Selections!$S$6:$S$29,"&gt;="&amp;B8,Selections!$S$6:$S$29,"&lt;"&amp;C8,Selections!$T$6:$T$29,1)/D8)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6</v>
      </c>
      <c r="E10" s="20">
        <f>IF(D10=0,"n.a.",SUMIFS(Selections!$S$6:$S$29,Selections!$S$6:$S$29,"&gt;="&amp;B10,Selections!$S$6:$S$29,"&lt;"&amp;C10,Selections!$T$6:$T$29,1)/D10)</f>
        <v>0.8371222720964511</v>
      </c>
      <c r="F10" s="20">
        <f>IF(D10=0,"n.a.",SUMIFS(Selections!$L$6:$L$29,Selections!$S$6:$S$29,"&gt;="&amp;B10,Selections!$S$6:$S$29,"&lt;"&amp;C10,Selections!$T$6:$T$29,1)/D10)</f>
        <v>0.6666666666666666</v>
      </c>
      <c r="G10" s="20">
        <f>IF(D10=0,"n.a.",E10-F10)</f>
        <v>0.17045560542978444</v>
      </c>
      <c r="H10" s="21">
        <f>IF(D10=0,"n.a.",SUMIFS(Selections!$O$6:$O$29,Selections!$S$6:$S$29,"&gt;="&amp;B10,Selections!$S$6:$S$29,"&lt;"&amp;C10,Selections!$T$6:$T$29,1)/D10)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3</v>
      </c>
      <c r="E11" s="20">
        <f>IF(D11=0,"n.a.",SUMIFS(Selections!$S$6:$S$29,Selections!$S$6:$S$29,"&gt;="&amp;B11,Selections!$S$6:$S$29,"&lt;"&amp;C11,Selections!$T$6:$T$29,1)/D11)</f>
        <v>0.9252676220125422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-0.0747323779874578</v>
      </c>
      <c r="H11" s="21">
        <f>IF(D11=0,"n.a.",SUMIFS(Selections!$O$6:$O$29,Selections!$S$6:$S$29,"&gt;="&amp;B11,Selections!$S$6:$S$29,"&lt;"&amp;C11,Selections!$T$6:$T$29,1)/D11)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COUNTIFS(Selections!$P$6:$P$29,A7,Selections!$M$6:$M$29,"&gt;0")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2026-10-17T21:25:38.892367+00:00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12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33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33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6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NOT_INSTALLED</t>
        </is>
      </c>
    </row>
    <row r="89" ht="44" customHeight="1">
      <c r="A89" s="18" t="inlineStr">
        <is>
          <t>PyYAML</t>
        </is>
      </c>
      <c r="B89" s="18" t="inlineStr">
        <is>
          <t>NOT_INSTALLED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</sheetData>
  <autoFilter ref="A5:H38"/>
  <mergeCells count="2">
    <mergeCell ref="A2:H2"/>
    <mergeCell ref="A4:H4"/>
  </mergeCells>
</worksheet>
</file>