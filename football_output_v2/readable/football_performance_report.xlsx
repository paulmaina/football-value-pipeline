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70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IF(COUNT(Predictions!H6:H270)=0,"n.a.",AVERAGE(Predictions!H6:H270))</f>
        <v>0.5714285714285714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IF(COUNT(Predictions!I6:I270)=0,"n.a.",AVERAGE(Predictions!I6:I270))</f>
        <v>0.5704121573142857</v>
      </c>
      <c r="C17" s="18"/>
      <c r="D17" s="18" t="inlineStr">
        <is>
          <t>Over 1.5</t>
        </is>
      </c>
      <c r="E17" s="18">
        <f>COUNT(Predictions!J6:J270)</f>
        <v>175</v>
      </c>
      <c r="F17" s="20">
        <f>IF(E17=0,"n.a.",AVERAGE(Predictions!J6:J270))</f>
        <v>0.8057142857142857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COUNT(Predictions!K6:K270)</f>
        <v>175</v>
      </c>
      <c r="F18" s="20">
        <f>IF(E18=0,"n.a.",AVERAGE(Predictions!K6:K270))</f>
        <v>0.6171428571428571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COUNT(Predictions!L6:L270)</f>
        <v>175</v>
      </c>
      <c r="F19" s="20">
        <f>IF(E19=0,"n.a.",AVERAGE(Predictions!L6:L270))</f>
        <v>0.5657142857142857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COUNT(Predictions!M6:M270)</f>
        <v>175</v>
      </c>
      <c r="F20" s="20">
        <f>IF(E20=0,"n.a.",AVERAGE(Predictions!M6:M270))</f>
        <v>0.5657142857142857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2026-10-29T21:16:43.868474+00:00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2026-10-29 12:08:32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2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1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0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c75d4ab52706e716a3a14117d34c979609102533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Ligue 1|strasbourg|auxerre|2026-11-01</t>
        </is>
      </c>
      <c r="B262" s="23">
        <v>46327.583333333336</v>
      </c>
      <c r="C262" s="18" t="inlineStr">
        <is>
          <t>Ligue 1</t>
        </is>
      </c>
      <c r="D262" s="18" t="inlineStr">
        <is>
          <t>Strasbourg vs Auxerre</t>
        </is>
      </c>
      <c r="E262" s="18" t="inlineStr">
        <is>
          <t>48h-zero-tolerance-ev1-common-no-loss75-v22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0117b0e0fe09a0266deb28e532f2ad9e4f4da47a</t>
        </is>
      </c>
      <c r="P262" s="18"/>
      <c r="Q262" s="18"/>
      <c r="R262" s="18"/>
    </row>
    <row r="263" ht="36" customHeight="1">
      <c r="A263" s="18" t="inlineStr">
        <is>
          <t>Bundesliga|union berlin|1 koln|2026-11-01</t>
        </is>
      </c>
      <c r="B263" s="23">
        <v>46327.604166666664</v>
      </c>
      <c r="C263" s="18" t="inlineStr">
        <is>
          <t>Bundesliga</t>
        </is>
      </c>
      <c r="D263" s="18" t="inlineStr">
        <is>
          <t>Union Berlin vs 1. FC Köln</t>
        </is>
      </c>
      <c r="E263" s="18" t="inlineStr">
        <is>
          <t>48h-zero-tolerance-ev1-common-no-loss75-v22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0117b0e0fe09a0266deb28e532f2ad9e4f4da47a</t>
        </is>
      </c>
      <c r="P263" s="18"/>
      <c r="Q263" s="18"/>
      <c r="R263" s="18"/>
    </row>
    <row r="264" ht="36" customHeight="1">
      <c r="A264" s="18" t="inlineStr">
        <is>
          <t>La Liga|real racing santander|real madrid|2026-11-01</t>
        </is>
      </c>
      <c r="B264" s="23">
        <v>46327.635416666664</v>
      </c>
      <c r="C264" s="18" t="inlineStr">
        <is>
          <t>La Liga</t>
        </is>
      </c>
      <c r="D264" s="18" t="inlineStr">
        <is>
          <t>Real Racing Club de Santander vs Real Madrid</t>
        </is>
      </c>
      <c r="E264" s="18" t="inlineStr">
        <is>
          <t>48h-zero-tolerance-ev1-common-no-loss75-v22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10a7df008090a45923c14f3c84ec260b147ea047</t>
        </is>
      </c>
      <c r="P264" s="18"/>
      <c r="Q264" s="18"/>
      <c r="R264" s="18"/>
    </row>
    <row r="265" ht="36" customHeight="1">
      <c r="A265" s="18" t="inlineStr">
        <is>
          <t>Ligue 1|paris|as monaco|2026-11-01</t>
        </is>
      </c>
      <c r="B265" s="23">
        <v>46327.677083333336</v>
      </c>
      <c r="C265" s="18" t="inlineStr">
        <is>
          <t>Ligue 1</t>
        </is>
      </c>
      <c r="D265" s="18" t="inlineStr">
        <is>
          <t>Paris FC vs AS Monaco</t>
        </is>
      </c>
      <c r="E265" s="18" t="inlineStr">
        <is>
          <t>48h-zero-tolerance-ev1-common-no-loss75-v22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10a7df008090a45923c14f3c84ec260b147ea047</t>
        </is>
      </c>
      <c r="P265" s="18"/>
      <c r="Q265" s="18"/>
      <c r="R265" s="18"/>
    </row>
    <row r="266" ht="36" customHeight="1">
      <c r="A266" s="18" t="inlineStr">
        <is>
          <t>Bundesliga|eintracht frankfurt|hamburger|2026-11-01</t>
        </is>
      </c>
      <c r="B266" s="23">
        <v>46327.6875</v>
      </c>
      <c r="C266" s="18" t="inlineStr">
        <is>
          <t>Bundesliga</t>
        </is>
      </c>
      <c r="D266" s="18" t="inlineStr">
        <is>
          <t>Eintracht Frankfurt vs Hamburger SV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10a7df008090a45923c14f3c84ec260b147ea047</t>
        </is>
      </c>
      <c r="P266" s="18"/>
      <c r="Q266" s="18"/>
      <c r="R266" s="18"/>
    </row>
    <row r="267" ht="36" customHeight="1">
      <c r="A267" s="18" t="inlineStr">
        <is>
          <t>Premier League|liverpool|arsenal|2026-11-01</t>
        </is>
      </c>
      <c r="B267" s="23">
        <v>46327.6875</v>
      </c>
      <c r="C267" s="18" t="inlineStr">
        <is>
          <t>Premier League</t>
        </is>
      </c>
      <c r="D267" s="18" t="inlineStr">
        <is>
          <t>Liverpool vs Arsenal</t>
        </is>
      </c>
      <c r="E267" s="18" t="inlineStr">
        <is>
          <t>48h-zero-tolerance-ev1-common-no-loss75-v22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10a7df008090a45923c14f3c84ec260b147ea047</t>
        </is>
      </c>
      <c r="P267" s="18"/>
      <c r="Q267" s="18"/>
      <c r="R267" s="18"/>
    </row>
    <row r="268" ht="36" customHeight="1">
      <c r="A268" s="18" t="inlineStr">
        <is>
          <t>La Liga|elche|valencia|2026-11-01</t>
        </is>
      </c>
      <c r="B268" s="23">
        <v>46327.729166666664</v>
      </c>
      <c r="C268" s="18" t="inlineStr">
        <is>
          <t>La Liga</t>
        </is>
      </c>
      <c r="D268" s="18" t="inlineStr">
        <is>
          <t>Elche CF vs Valencia</t>
        </is>
      </c>
      <c r="E268" s="18" t="inlineStr">
        <is>
          <t>48h-zero-tolerance-ev1-common-no-loss75-v22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10a7df008090a45923c14f3c84ec260b147ea047</t>
        </is>
      </c>
      <c r="P268" s="18"/>
      <c r="Q268" s="18"/>
      <c r="R268" s="18"/>
    </row>
    <row r="269" ht="36" customHeight="1">
      <c r="A269" s="18" t="inlineStr">
        <is>
          <t>Ligue 1|marseille|toulouse|2026-11-01</t>
        </is>
      </c>
      <c r="B269" s="23">
        <v>46327.822916666664</v>
      </c>
      <c r="C269" s="18" t="inlineStr">
        <is>
          <t>Ligue 1</t>
        </is>
      </c>
      <c r="D269" s="18" t="inlineStr">
        <is>
          <t>Marseille vs Toulouse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10a7df008090a45923c14f3c84ec260b147ea047</t>
        </is>
      </c>
      <c r="P269" s="18"/>
      <c r="Q269" s="18"/>
      <c r="R269" s="18"/>
    </row>
    <row r="270" ht="36" customHeight="1">
      <c r="A270" s="18" t="inlineStr">
        <is>
          <t>La Liga|ath bilbao|real sociedad|2026-11-01</t>
        </is>
      </c>
      <c r="B270" s="23">
        <v>46327.833333333336</v>
      </c>
      <c r="C270" s="18" t="inlineStr">
        <is>
          <t>La Liga</t>
        </is>
      </c>
      <c r="D270" s="18" t="inlineStr">
        <is>
          <t>Athletic Bilbao vs Real Sociedad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91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0.978494623655914</v>
      </c>
      <c r="H10" s="18" t="inlineStr">
        <is>
          <t>Approval review</t>
        </is>
      </c>
      <c r="I10" s="18" t="inlineStr">
        <is>
          <t>209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0.12903225806451613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91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0.978494623655914</v>
      </c>
      <c r="H12" s="18" t="inlineStr">
        <is>
          <t>Approval review</t>
        </is>
      </c>
      <c r="I12" s="18" t="inlineStr">
        <is>
          <t>209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0.8924731182795699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0</v>
      </c>
      <c r="E58" s="19">
        <v>0</v>
      </c>
      <c r="F58" s="20"/>
      <c r="G58" s="20"/>
      <c r="H58" s="18"/>
      <c r="I58" s="19">
        <v>1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0</v>
      </c>
      <c r="E59" s="19">
        <v>0</v>
      </c>
      <c r="F59" s="20"/>
      <c r="G59" s="20"/>
      <c r="H59" s="18"/>
      <c r="I59" s="19">
        <v>1</v>
      </c>
    </row>
    <row r="62">
      <c r="A6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2026-10-29T21:16:43.868474+00:00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3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2026-10-28</t>
        </is>
      </c>
      <c r="C15" s="19">
        <v>1988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3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8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7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55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166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89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118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144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0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0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0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1</v>
      </c>
    </row>
    <row r="54" ht="44" customHeight="1">
      <c r="A54" s="18" t="inlineStr">
        <is>
          <t>Upcoming kickoff count</t>
        </is>
      </c>
      <c r="B54" s="19">
        <v>0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44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44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40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16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37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37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58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58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16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16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9">
      <c r="A119" s="26" t="inlineStr">
        <is>
          <t>Dependency versions</t>
        </is>
      </c>
    </row>
    <row r="120" ht="34" customHeight="1">
      <c r="A120" s="24" t="inlineStr">
        <is>
          <t>Dependency</t>
        </is>
      </c>
      <c r="B120" s="24" t="inlineStr">
        <is>
          <t>Version</t>
        </is>
      </c>
    </row>
    <row r="121" ht="44" customHeight="1">
      <c r="A121" s="18" t="inlineStr">
        <is>
          <t>python</t>
        </is>
      </c>
      <c r="B121" s="18" t="inlineStr">
        <is>
          <t>3.12.15</t>
        </is>
      </c>
    </row>
    <row r="122" ht="44" customHeight="1">
      <c r="A122" s="18" t="inlineStr">
        <is>
          <t>numpy</t>
        </is>
      </c>
      <c r="B122" s="18" t="inlineStr">
        <is>
          <t>2.5.4</t>
        </is>
      </c>
    </row>
    <row r="123" ht="44" customHeight="1">
      <c r="A123" s="18" t="inlineStr">
        <is>
          <t>pandas</t>
        </is>
      </c>
      <c r="B123" s="18" t="inlineStr">
        <is>
          <t>3.1.0</t>
        </is>
      </c>
    </row>
    <row r="124" ht="44" customHeight="1">
      <c r="A124" s="18" t="inlineStr">
        <is>
          <t>scipy</t>
        </is>
      </c>
      <c r="B124" s="18" t="inlineStr">
        <is>
          <t>1.18.1</t>
        </is>
      </c>
    </row>
    <row r="125" ht="44" customHeight="1">
      <c r="A125" s="18" t="inlineStr">
        <is>
          <t>requests</t>
        </is>
      </c>
      <c r="B125" s="18" t="inlineStr">
        <is>
          <t>2.34.2</t>
        </is>
      </c>
    </row>
    <row r="126" ht="44" customHeight="1">
      <c r="A126" s="18" t="inlineStr">
        <is>
          <t>rapidfuzz</t>
        </is>
      </c>
      <c r="B126" s="18" t="inlineStr">
        <is>
          <t>3.14.6</t>
        </is>
      </c>
    </row>
    <row r="127" ht="44" customHeight="1">
      <c r="A127" s="18" t="inlineStr">
        <is>
          <t>python-dotenv</t>
        </is>
      </c>
      <c r="B127" s="18" t="inlineStr">
        <is>
          <t>1.2.4</t>
        </is>
      </c>
    </row>
    <row r="128" ht="44" customHeight="1">
      <c r="A128" s="18" t="inlineStr">
        <is>
          <t>coverage</t>
        </is>
      </c>
      <c r="B128" s="18" t="inlineStr">
        <is>
          <t>NOT_INSTALLED</t>
        </is>
      </c>
    </row>
    <row r="129" ht="44" customHeight="1">
      <c r="A129" s="18" t="inlineStr">
        <is>
          <t>PyYAML</t>
        </is>
      </c>
      <c r="B129" s="18" t="inlineStr">
        <is>
          <t>NOT_INSTALLED</t>
        </is>
      </c>
    </row>
    <row r="132">
      <c r="A13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9:F11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</sheetData>
  <autoFilter ref="A5:H63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2026-10-29T21:16:43.868474+00:00; 1506 candidates on 143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1506</v>
      </c>
      <c r="D9" s="19">
        <v>143</v>
      </c>
      <c r="E9" s="20">
        <v>-0.032649532376540294</v>
      </c>
      <c r="F9" s="20">
        <v>0.27556440903054447</v>
      </c>
      <c r="G9" s="22">
        <v>-12.526087069855949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914</v>
      </c>
      <c r="D11" s="19">
        <v>137</v>
      </c>
      <c r="E11" s="20">
        <v>0.007584237299883735</v>
      </c>
      <c r="F11" s="20">
        <v>0.5229759299781181</v>
      </c>
      <c r="G11" s="22">
        <v>3.009731269435402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143</v>
      </c>
      <c r="D15" s="18"/>
      <c r="E15" s="21">
        <v>-0.08502958040569185</v>
      </c>
      <c r="F15" s="20">
        <v>0.6153846153846154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267</v>
      </c>
      <c r="D21" s="19">
        <v>109</v>
      </c>
      <c r="E21" s="20">
        <v>-0.02277099092017703</v>
      </c>
      <c r="F21" s="20">
        <v>0.41198501872659177</v>
      </c>
      <c r="G21" s="22">
        <v>-6.1627598332125775</v>
      </c>
      <c r="H21" s="20">
        <v>0.0298787606246678</v>
      </c>
      <c r="I21" s="19">
        <v>202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245</v>
      </c>
      <c r="D22" s="19">
        <v>100</v>
      </c>
      <c r="E22" s="20">
        <v>-0.04016797327754138</v>
      </c>
      <c r="F22" s="20">
        <v>0.2816326530612245</v>
      </c>
      <c r="G22" s="22">
        <v>-9.454310088405336</v>
      </c>
      <c r="H22" s="20">
        <v>-0.00047788397123306567</v>
      </c>
      <c r="I22" s="19">
        <v>245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235</v>
      </c>
      <c r="D23" s="19">
        <v>89</v>
      </c>
      <c r="E23" s="20">
        <v>-0.030913563997908202</v>
      </c>
      <c r="F23" s="20">
        <v>0.13191489361702127</v>
      </c>
      <c r="G23" s="22">
        <v>-14.743414366814736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-0.05530482524929434</v>
      </c>
      <c r="F25" s="20">
        <v>0.2619047619047619</v>
      </c>
      <c r="G25" s="22">
        <v>-6.99508879490106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739</v>
      </c>
      <c r="D48" s="19">
        <v>110</v>
      </c>
      <c r="E48" s="20">
        <v>-0.036750098489665886</v>
      </c>
      <c r="F48" s="20">
        <v>0.2368064952638701</v>
      </c>
      <c r="G48" s="22">
        <v>-16.442974852441782</v>
      </c>
      <c r="H48" s="20">
        <v>0.005888486724754625</v>
      </c>
      <c r="I48" s="19">
        <v>470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379</v>
      </c>
      <c r="D49" s="19">
        <v>42</v>
      </c>
      <c r="E49" s="20">
        <v>-0.03415394471973508</v>
      </c>
      <c r="F49" s="20">
        <v>0.23218997361477572</v>
      </c>
      <c r="G49" s="22">
        <v>-9.819057049681131</v>
      </c>
      <c r="H49" s="20">
        <v>0.006105814837844428</v>
      </c>
      <c r="I49" s="19">
        <v>255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324</v>
      </c>
      <c r="D50" s="19">
        <v>91</v>
      </c>
      <c r="E50" s="20">
        <v>-0.020700794642425368</v>
      </c>
      <c r="F50" s="20">
        <v>0.4166666666666667</v>
      </c>
      <c r="G50" s="22">
        <v>-2.683780253215398</v>
      </c>
      <c r="H50" s="20">
        <v>0.021046173583056643</v>
      </c>
      <c r="I50" s="19">
        <v>169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1441</v>
      </c>
      <c r="D56" s="19">
        <v>143</v>
      </c>
      <c r="E56" s="20">
        <v>-0.03286237904497691</v>
      </c>
      <c r="F56" s="20">
        <v>0.2775850104094379</v>
      </c>
      <c r="G56" s="22">
        <v>-12.028432886622454</v>
      </c>
      <c r="H56" s="20">
        <v>0.007780933221406556</v>
      </c>
      <c r="I56" s="19">
        <v>862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