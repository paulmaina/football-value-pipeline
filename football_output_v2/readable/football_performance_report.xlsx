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7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IF(COUNT(Predictions!H6:H270)=0,"n.a.",AVERAGE(Predictions!H6:H270))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IF(COUNT(Predictions!I6:I270)=0,"n.a.",AVERAGE(Predictions!I6:I270))</f>
        <v>0.5718823490909091</v>
      </c>
      <c r="C17" s="18"/>
      <c r="D17" s="18" t="inlineStr">
        <is>
          <t>Over 1.5</t>
        </is>
      </c>
      <c r="E17" s="18">
        <f>COUNT(Predictions!J6:J270)</f>
        <v>176</v>
      </c>
      <c r="F17" s="20">
        <f>IF(E17=0,"n.a.",AVERAGE(Predictions!J6:J270))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COUNT(Predictions!K6:K270)</f>
        <v>176</v>
      </c>
      <c r="F18" s="20">
        <f>IF(E18=0,"n.a.",AVERAGE(Predictions!K6:K270))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COUNT(Predictions!L6:L270)</f>
        <v>176</v>
      </c>
      <c r="F19" s="20">
        <f>IF(E19=0,"n.a.",AVERAGE(Predictions!L6:L270))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COUNT(Predictions!M6:M270)</f>
        <v>176</v>
      </c>
      <c r="F20" s="20">
        <f>IF(E20=0,"n.a.",AVERAGE(Predictions!M6:M270))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2026-10-30T06:07:50.141635+00:00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2026-10-29 12:08:32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62</v>
      </c>
      <c r="E6" s="19">
        <f>(COUNTIFS(Selections!$K$6:$K$79,"WON")+COUNTIFS(Selections!$K$6:$K$79,"HALF_WON"))</f>
        <v>47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12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0.7580645161290323</v>
      </c>
      <c r="I6" s="22">
        <f>SUM(Selections!$M$6:$M$79)</f>
        <v>62</v>
      </c>
      <c r="J6" s="22">
        <f>SUM(Selections!$N$6:$N$79)</f>
        <v>4.219999999999999</v>
      </c>
      <c r="K6" s="20">
        <f>IF(SUM(Selections!$M$6:$M$79)=0,"n.a.",SUM(Selections!$N$6:$N$79)/SUM(Selections!$M$6:$M$79))</f>
        <v>0.06806451612903223</v>
      </c>
      <c r="L6" s="21">
        <f>IF(SUM(Selections!$T$6:$T$79)=0,"n.a.",SUM(Selections!$O$6:$O$79)/SUM(Selections!$T$6:$T$79))</f>
        <v>0.1494967606167506</v>
      </c>
      <c r="M6" s="20">
        <f>IF(SUM(Selections!$T$6:$T$79)=0,"n.a.",SUM(Selections!$S$6:$S$79)/SUM(Selections!$T$6:$T$79))</f>
        <v>0.7484512517574156</v>
      </c>
      <c r="N6" s="20">
        <f>IF(SUM(Selections!$T$6:$T$79)=0,"n.a.",(SUMIFS(Selections!$L$6:$L$79,Selections!$T$6:$T$79,1))/SUM(Selections!$T$6:$T$79))</f>
        <v>0.7741935483870968</v>
      </c>
      <c r="O6" s="20">
        <f>IF(SUM(Selections!$T$6:$T$79)=0,"n.a.",(SUM(Selections!$S$6:$S$79)-(SUMIFS(Selections!$L$6:$L$79,Selections!$T$6:$T$79,1)))/SUM(Selections!$T$6:$T$79))</f>
        <v>-0.025742296629681194</v>
      </c>
      <c r="P6" s="19">
        <f>SUM(Selections!$T$6:$T$79)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35</v>
      </c>
      <c r="E7" s="19">
        <f>(COUNTIFS(Selections!$F$6:$F$79,"STRICT",Selections!$K$6:$K$79,"WON")+COUNTIFS(Selections!$F$6:$F$79,"STRICT",Selections!$K$6:$K$79,"HALF_WON"))</f>
        <v>29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10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0.8285714285714286</v>
      </c>
      <c r="I7" s="22">
        <f>SUMIFS(Selections!$M$6:$M$79,Selections!$F$6:$F$79,"STRICT")</f>
        <v>35</v>
      </c>
      <c r="J7" s="22">
        <f>SUMIFS(Selections!$N$6:$N$79,Selections!$F$6:$F$79,"STRICT")</f>
        <v>7.109999999999999</v>
      </c>
      <c r="K7" s="20">
        <f>IF(SUMIFS(Selections!$M$6:$M$79,Selections!$F$6:$F$79,"STRICT")=0,"n.a.",SUMIFS(Selections!$N$6:$N$79,Selections!$F$6:$F$79,"STRICT")/SUMIFS(Selections!$M$6:$M$79,Selections!$F$6:$F$79,"STRICT"))</f>
        <v>0.20314285714285713</v>
      </c>
      <c r="L7" s="21">
        <f>IF(SUMIFS(Selections!$T$6:$T$79,Selections!$F$6:$F$79,"STRICT")=0,"n.a.",SUMIFS(Selections!$O$6:$O$79,Selections!$F$6:$F$79,"STRICT")/SUMIFS(Selections!$T$6:$T$79,Selections!$F$6:$F$79,"STRICT"))</f>
        <v>0.10296695023120374</v>
      </c>
      <c r="M7" s="20">
        <f>IF(SUMIFS(Selections!$T$6:$T$79,Selections!$F$6:$F$79,"STRICT")=0,"n.a.",SUMIFS(Selections!$S$6:$S$79,Selections!$F$6:$F$79,"STRICT")/SUMIFS(Selections!$T$6:$T$79,Selections!$F$6:$F$79,"STRICT"))</f>
        <v>0.7396599107294491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0.8571428571428571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-0.11748294641340795</v>
      </c>
      <c r="P7" s="19">
        <f>SUMIFS(Selections!$T$6:$T$79,Selections!$F$6:$F$79,"STRICT")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14</v>
      </c>
      <c r="E15" s="19">
        <f>(COUNTIFS(Selections!$C$6:$C$79,"Serie A",Selections!$K$6:$K$79,"WON")+COUNTIFS(Selections!$C$6:$C$79,"Serie A",Selections!$K$6:$K$79,"HALF_WON"))</f>
        <v>9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0.6428571428571429</v>
      </c>
      <c r="I15" s="22">
        <f>SUMIFS(Selections!$M$6:$M$79,Selections!$C$6:$C$79,"Serie A")</f>
        <v>14</v>
      </c>
      <c r="J15" s="22">
        <f>SUMIFS(Selections!$N$6:$N$79,Selections!$C$6:$C$79,"Serie A")</f>
        <v>-0.6099999999999999</v>
      </c>
      <c r="K15" s="20">
        <f>IF(SUMIFS(Selections!$M$6:$M$79,Selections!$C$6:$C$79,"Serie A")=0,"n.a.",SUMIFS(Selections!$N$6:$N$79,Selections!$C$6:$C$79,"Serie A")/SUMIFS(Selections!$M$6:$M$79,Selections!$C$6:$C$79,"Serie A"))</f>
        <v>-0.04357142857142856</v>
      </c>
      <c r="L15" s="21">
        <f>IF(SUMIFS(Selections!$T$6:$T$79,Selections!$C$6:$C$79,"Serie A")=0,"n.a.",SUMIFS(Selections!$O$6:$O$79,Selections!$C$6:$C$79,"Serie A")/SUMIFS(Selections!$T$6:$T$79,Selections!$C$6:$C$79,"Serie A"))</f>
        <v>0.15132247257808737</v>
      </c>
      <c r="M15" s="20">
        <f>IF(SUMIFS(Selections!$T$6:$T$79,Selections!$C$6:$C$79,"Serie A")=0,"n.a.",SUMIFS(Selections!$S$6:$S$79,Selections!$C$6:$C$79,"Serie A")/SUMIFS(Selections!$T$6:$T$79,Selections!$C$6:$C$79,"Serie A"))</f>
        <v>0.7263093460073441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0.7142857142857143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0.01202363172162979</v>
      </c>
      <c r="P15" s="19">
        <f>SUMIFS(Selections!$T$6:$T$79,Selections!$C$6:$C$79,"Serie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2</v>
      </c>
      <c r="E17" s="19">
        <f>(COUNTIFS(Selections!$E$6:$E$79,"Asian Handicap Away +1.00",Selections!$K$6:$K$79,"WON")+COUNTIFS(Selections!$E$6:$E$79,"Asian Handicap Away +1.00",Selections!$K$6:$K$79,"HALF_WON"))</f>
        <v>2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0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2</v>
      </c>
      <c r="J17" s="22">
        <f>SUMIFS(Selections!$N$6:$N$79,Selections!$E$6:$E$79,"Asian Handicap Away +1.00")</f>
        <v>0.9199999999999999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0.45999999999999996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0.04591604481564195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0.7890372906026677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-0.2109627093973323</v>
      </c>
      <c r="P17" s="19">
        <f>SUMIFS(Selections!$T$6:$T$79,Selections!$E$6:$E$79,"Asian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1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0.5</v>
      </c>
      <c r="I38" s="22">
        <f>SUMIFS(Selections!$M$6:$M$79,Selections!$G$6:$G$79,"48h-zero-tolerance-ev05-no-loss75-corners-v26")</f>
        <v>2</v>
      </c>
      <c r="J38" s="22">
        <f>SUMIFS(Selections!$N$6:$N$79,Selections!$G$6:$G$79,"48h-zero-tolerance-ev05-no-loss75-corners-v26")</f>
        <v>0.34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0.17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0.0396891221527579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0.8022696959191592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-0.1977303040808408</v>
      </c>
      <c r="P38" s="19">
        <f>SUMIFS(Selections!$T$6:$T$79,Selections!$G$6:$G$79,"48h-zero-tolerance-ev05-no-loss75-corners-v26")</f>
        <v>2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(n=2).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2</v>
      </c>
      <c r="E49" s="19">
        <f>(COUNTIFS(Selections!$P$6:$P$79,"2026-W44",Selections!$K$6:$K$79,"WON")+COUNTIFS(Selections!$P$6:$P$79,"2026-W44",Selections!$K$6:$K$79,"HALF_WON"))</f>
        <v>1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2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0.5</v>
      </c>
      <c r="I49" s="22">
        <f>SUMIFS(Selections!$M$6:$M$79,Selections!$P$6:$P$79,"2026-W44")</f>
        <v>2</v>
      </c>
      <c r="J49" s="22">
        <f>SUMIFS(Selections!$N$6:$N$79,Selections!$P$6:$P$79,"2026-W44")</f>
        <v>0.34</v>
      </c>
      <c r="K49" s="20">
        <f>IF(SUMIFS(Selections!$M$6:$M$79,Selections!$P$6:$P$79,"2026-W44")=0,"n.a.",SUMIFS(Selections!$N$6:$N$79,Selections!$P$6:$P$79,"2026-W44")/SUMIFS(Selections!$M$6:$M$79,Selections!$P$6:$P$79,"2026-W44"))</f>
        <v>0.17</v>
      </c>
      <c r="L49" s="21">
        <f>IF(SUMIFS(Selections!$T$6:$T$79,Selections!$P$6:$P$79,"2026-W44")=0,"n.a.",SUMIFS(Selections!$O$6:$O$79,Selections!$P$6:$P$79,"2026-W44")/SUMIFS(Selections!$T$6:$T$79,Selections!$P$6:$P$79,"2026-W44"))</f>
        <v>0.0396891221527579</v>
      </c>
      <c r="M49" s="20">
        <f>IF(SUMIFS(Selections!$T$6:$T$79,Selections!$P$6:$P$79,"2026-W44")=0,"n.a.",SUMIFS(Selections!$S$6:$S$79,Selections!$P$6:$P$79,"2026-W44")/SUMIFS(Selections!$T$6:$T$79,Selections!$P$6:$P$79,"2026-W44"))</f>
        <v>0.8022696959191592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-0.1977303040808408</v>
      </c>
      <c r="P49" s="19">
        <f>SUMIFS(Selections!$T$6:$T$79,Selections!$P$6:$P$79,"2026-W44")</f>
        <v>2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(n=2).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20</v>
      </c>
      <c r="E10" s="20">
        <f>IF(D10=0,"n.a.",SUMIFS(Selections!$S$6:$S$79,Selections!$S$6:$S$79,"&gt;="&amp;B10,Selections!$S$6:$S$79,"&lt;"&amp;C10,Selections!$T$6:$T$79,1)/D10)</f>
        <v>0.8388862903946199</v>
      </c>
      <c r="F10" s="20">
        <f>IF(D10=0,"n.a.",SUMIFS(Selections!$L$6:$L$79,Selections!$S$6:$S$79,"&gt;="&amp;B10,Selections!$S$6:$S$79,"&lt;"&amp;C10,Selections!$T$6:$T$79,1)/D10)</f>
        <v>0.9</v>
      </c>
      <c r="G10" s="20">
        <f>IF(D10=0,"n.a.",E10-F10)</f>
        <v>-0.061113709605380095</v>
      </c>
      <c r="H10" s="21">
        <f>IF(D10=0,"n.a.",SUMIFS(Selections!$O$6:$O$79,Selections!$S$6:$S$79,"&gt;="&amp;B10,Selections!$S$6:$S$79,"&lt;"&amp;C10,Selections!$T$6:$T$79,1)/D10)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Ligue 1|strasbourg|auxerre|2026-11-01</t>
        </is>
      </c>
      <c r="B262" s="23">
        <v>46327.583333333336</v>
      </c>
      <c r="C262" s="18" t="inlineStr">
        <is>
          <t>Ligue 1</t>
        </is>
      </c>
      <c r="D262" s="18" t="inlineStr">
        <is>
          <t>Strasbourg vs Auxerre</t>
        </is>
      </c>
      <c r="E262" s="18" t="inlineStr">
        <is>
          <t>48h-zero-tolerance-ev1-common-no-loss75-v22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0117b0e0fe09a0266deb28e532f2ad9e4f4da47a</t>
        </is>
      </c>
      <c r="P262" s="18"/>
      <c r="Q262" s="18"/>
      <c r="R262" s="18"/>
    </row>
    <row r="263" ht="36" customHeight="1">
      <c r="A263" s="18" t="inlineStr">
        <is>
          <t>Bundesliga|union berlin|1 koln|2026-11-01</t>
        </is>
      </c>
      <c r="B263" s="23">
        <v>46327.604166666664</v>
      </c>
      <c r="C263" s="18" t="inlineStr">
        <is>
          <t>Bundesliga</t>
        </is>
      </c>
      <c r="D263" s="18" t="inlineStr">
        <is>
          <t>Union Berlin vs 1. FC Köln</t>
        </is>
      </c>
      <c r="E263" s="18" t="inlineStr">
        <is>
          <t>48h-zero-tolerance-ev1-common-no-loss75-v22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0117b0e0fe09a0266deb28e532f2ad9e4f4da47a</t>
        </is>
      </c>
      <c r="P263" s="18"/>
      <c r="Q263" s="18"/>
      <c r="R263" s="18"/>
    </row>
    <row r="264" ht="36" customHeight="1">
      <c r="A264" s="18" t="inlineStr">
        <is>
          <t>La Liga|real racing santander|real madrid|2026-11-01</t>
        </is>
      </c>
      <c r="B264" s="23">
        <v>46327.635416666664</v>
      </c>
      <c r="C264" s="18" t="inlineStr">
        <is>
          <t>La Liga</t>
        </is>
      </c>
      <c r="D264" s="18" t="inlineStr">
        <is>
          <t>Real Racing Club de Santander vs Real Madrid</t>
        </is>
      </c>
      <c r="E264" s="18" t="inlineStr">
        <is>
          <t>48h-zero-tolerance-ev1-common-no-loss75-v22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10a7df008090a45923c14f3c84ec260b147ea047</t>
        </is>
      </c>
      <c r="P264" s="18"/>
      <c r="Q264" s="18"/>
      <c r="R264" s="18"/>
    </row>
    <row r="265" ht="36" customHeight="1">
      <c r="A265" s="18" t="inlineStr">
        <is>
          <t>Ligue 1|paris|as monaco|2026-11-01</t>
        </is>
      </c>
      <c r="B265" s="23">
        <v>46327.677083333336</v>
      </c>
      <c r="C265" s="18" t="inlineStr">
        <is>
          <t>Ligue 1</t>
        </is>
      </c>
      <c r="D265" s="18" t="inlineStr">
        <is>
          <t>Paris FC vs AS Monaco</t>
        </is>
      </c>
      <c r="E265" s="18" t="inlineStr">
        <is>
          <t>48h-zero-tolerance-ev1-common-no-loss75-v22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10a7df008090a45923c14f3c84ec260b147ea047</t>
        </is>
      </c>
      <c r="P265" s="18"/>
      <c r="Q265" s="18"/>
      <c r="R265" s="18"/>
    </row>
    <row r="266" ht="36" customHeight="1">
      <c r="A266" s="18" t="inlineStr">
        <is>
          <t>Bundesliga|eintracht frankfurt|hamburger|2026-11-01</t>
        </is>
      </c>
      <c r="B266" s="23">
        <v>46327.6875</v>
      </c>
      <c r="C266" s="18" t="inlineStr">
        <is>
          <t>Bundesliga</t>
        </is>
      </c>
      <c r="D266" s="18" t="inlineStr">
        <is>
          <t>Eintracht Frankfurt vs Hamburger SV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10a7df008090a45923c14f3c84ec260b147ea047</t>
        </is>
      </c>
      <c r="P266" s="18"/>
      <c r="Q266" s="18"/>
      <c r="R266" s="18"/>
    </row>
    <row r="267" ht="36" customHeight="1">
      <c r="A267" s="18" t="inlineStr">
        <is>
          <t>Premier League|liverpool|arsenal|2026-11-01</t>
        </is>
      </c>
      <c r="B267" s="23">
        <v>46327.6875</v>
      </c>
      <c r="C267" s="18" t="inlineStr">
        <is>
          <t>Premier League</t>
        </is>
      </c>
      <c r="D267" s="18" t="inlineStr">
        <is>
          <t>Liverpool vs Arsenal</t>
        </is>
      </c>
      <c r="E267" s="18" t="inlineStr">
        <is>
          <t>48h-zero-tolerance-ev1-common-no-loss75-v22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10a7df008090a45923c14f3c84ec260b147ea047</t>
        </is>
      </c>
      <c r="P267" s="18"/>
      <c r="Q267" s="18"/>
      <c r="R267" s="18"/>
    </row>
    <row r="268" ht="36" customHeight="1">
      <c r="A268" s="18" t="inlineStr">
        <is>
          <t>La Liga|elche|valencia|2026-11-01</t>
        </is>
      </c>
      <c r="B268" s="23">
        <v>46327.729166666664</v>
      </c>
      <c r="C268" s="18" t="inlineStr">
        <is>
          <t>La Liga</t>
        </is>
      </c>
      <c r="D268" s="18" t="inlineStr">
        <is>
          <t>Elche CF vs Valencia</t>
        </is>
      </c>
      <c r="E268" s="18" t="inlineStr">
        <is>
          <t>48h-zero-tolerance-ev1-common-no-loss75-v22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10a7df008090a45923c14f3c84ec260b147ea047</t>
        </is>
      </c>
      <c r="P268" s="18"/>
      <c r="Q268" s="18"/>
      <c r="R268" s="18"/>
    </row>
    <row r="269" ht="36" customHeight="1">
      <c r="A269" s="18" t="inlineStr">
        <is>
          <t>Ligue 1|marseille|toulouse|2026-11-01</t>
        </is>
      </c>
      <c r="B269" s="23">
        <v>46327.822916666664</v>
      </c>
      <c r="C269" s="18" t="inlineStr">
        <is>
          <t>Ligue 1</t>
        </is>
      </c>
      <c r="D269" s="18" t="inlineStr">
        <is>
          <t>Marseille vs Toulouse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10a7df008090a45923c14f3c84ec260b147ea047</t>
        </is>
      </c>
      <c r="P269" s="18"/>
      <c r="Q269" s="18"/>
      <c r="R269" s="18"/>
    </row>
    <row r="270" ht="36" customHeight="1">
      <c r="A270" s="18" t="inlineStr">
        <is>
          <t>La Liga|ath bilbao|real sociedad|2026-11-01</t>
        </is>
      </c>
      <c r="B270" s="23">
        <v>46327.833333333336</v>
      </c>
      <c r="C270" s="18" t="inlineStr">
        <is>
          <t>La Liga</t>
        </is>
      </c>
      <c r="D270" s="18" t="inlineStr">
        <is>
          <t>Athletic Bilbao vs Real Sociedad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2.0</v>
      </c>
      <c r="C9" s="19">
        <f>COUNTIFS(Selections!$P$6:$P$79,A9,Selections!$M$6:$M$79,"&gt;0")</f>
        <v>2.0</v>
      </c>
      <c r="D9" s="22">
        <f>IF(C9=0,"n.a.",Breakdowns!J49)</f>
        <v>0.34</v>
      </c>
      <c r="E9" s="22">
        <f>IF(SUM($C$6:C9)=0,"n.a.",SUM($D$6:D9))</f>
        <v>4.219999999999999</v>
      </c>
      <c r="F9" s="20">
        <f>Breakdowns!H49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62</v>
      </c>
      <c r="C8" s="19">
        <v>47</v>
      </c>
      <c r="D8" s="19">
        <v>14</v>
      </c>
      <c r="E8" s="19">
        <v>12</v>
      </c>
      <c r="F8" s="20">
        <v>0.758065</v>
      </c>
      <c r="G8" s="20">
        <v>0.068065</v>
      </c>
      <c r="H8" s="19">
        <v>4.22</v>
      </c>
      <c r="I8" s="19">
        <v>48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2">
      <c r="A6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2026-10-30T06:07:50.141635+00:00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2026-10-28</t>
        </is>
      </c>
      <c r="C15" s="19">
        <v>1988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0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0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0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1</v>
      </c>
    </row>
    <row r="54" ht="44" customHeight="1">
      <c r="A54" s="18" t="inlineStr">
        <is>
          <t>Upcoming kickoff count</t>
        </is>
      </c>
      <c r="B54" s="19">
        <v>0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44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44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40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16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37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37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58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58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16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16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NOT_INSTALLED</t>
        </is>
      </c>
    </row>
    <row r="130" ht="44" customHeight="1">
      <c r="A130" s="18" t="inlineStr">
        <is>
          <t>PyYAML</t>
        </is>
      </c>
      <c r="B130" s="18" t="inlineStr">
        <is>
          <t>NOT_INSTALLED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</sheetData>
  <autoFilter ref="A5:H63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2026-10-30T06:07:50.141635+00:00;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-12.526087069855949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-0.05530482524929434</v>
      </c>
      <c r="F25" s="20">
        <v>0.2619047619047619</v>
      </c>
      <c r="G25" s="22">
        <v>-6.99508879490106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-16.442974852441782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-9.819057049681131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-12.028432886622454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