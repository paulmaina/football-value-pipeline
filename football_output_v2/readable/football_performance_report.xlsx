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2.809999999999999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0.7333333333333333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Plan'!$A$10:$A$50</c:f>
              <c:strCache>
                <c:ptCount val="4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2026-10-19T19:00:00+00:00</c:v>
                </c:pt>
                <c:pt idx="31">
                  <c:v>2026-10-19T19:00:00+00:00</c:v>
                </c:pt>
                <c:pt idx="32">
                  <c:v>2026-10-20T16:45:00+00:00</c:v>
                </c:pt>
                <c:pt idx="33">
                  <c:v>2026-10-20T16:45:00+00:00</c:v>
                </c:pt>
                <c:pt idx="34">
                  <c:v>2026-10-20T19:00:00+00:00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</c:strCache>
            </c:strRef>
          </c:cat>
          <c:val>
            <c:numRef>
              <c:f>'ROI Plan'!$F$10:$F$50</c:f>
              <c:numCache>
                <c:formatCode>General</c:formatCode>
                <c:ptCount val="4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2.8099999999999996</c:v>
                </c:pt>
                <c:pt idx="30">
                  <c:v>2.8099999999999996</c:v>
                </c:pt>
                <c:pt idx="31">
                  <c:v>2.8099999999999996</c:v>
                </c:pt>
                <c:pt idx="32">
                  <c:v>2.8099999999999996</c:v>
                </c:pt>
                <c:pt idx="33">
                  <c:v>2.8099999999999996</c:v>
                </c:pt>
                <c:pt idx="34">
                  <c:v>2.8099999999999996</c:v>
                </c:pt>
                <c:pt idx="35">
                  <c:v>2.8099999999999996</c:v>
                </c:pt>
                <c:pt idx="36">
                  <c:v>2.8099999999999996</c:v>
                </c:pt>
                <c:pt idx="37">
                  <c:v>2.8099999999999996</c:v>
                </c:pt>
                <c:pt idx="38">
                  <c:v>2.8099999999999996</c:v>
                </c:pt>
                <c:pt idx="39">
                  <c:v>2.8099999999999996</c:v>
                </c:pt>
                <c:pt idx="40">
                  <c:v>2.8099999999999996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0.652956145664078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0.8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6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41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26</v>
      </c>
      <c r="C8" s="18"/>
      <c r="D8" s="18" t="str">
        <v>PROVISIONAL</v>
      </c>
      <c r="E8" s="18">
        <f>Breakdowns!D8</f>
        <v>15</v>
      </c>
      <c r="F8" s="20">
        <f>Breakdowns!H8</f>
        <v>0.7333333333333333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21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5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0.8076923076923077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0.10807692307692306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2.8099999999999996</v>
      </c>
      <c r="C14" s="18"/>
      <c r="D14" s="18" t="inlineStr">
        <is>
          <t>26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0.16100322598566943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0.625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0.5347836531944444</v>
      </c>
      <c r="C17" s="18"/>
      <c r="D17" s="18" t="inlineStr">
        <is>
          <t>Over 1.5</t>
        </is>
      </c>
      <c r="E17" s="18">
        <f>COUNT(Predictions!J6:J176)</f>
        <v>72</v>
      </c>
      <c r="F17" s="20">
        <f>IF(E17=0,"n.a.",AVERAGE(Predictions!J6:J176))</f>
        <v>0.8194444444444444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0.6212336384535001</v>
      </c>
      <c r="C18" s="18"/>
      <c r="D18" s="18" t="inlineStr">
        <is>
          <t>Under 3.5</t>
        </is>
      </c>
      <c r="E18" s="18">
        <f>COUNT(Predictions!K6:K176)</f>
        <v>72</v>
      </c>
      <c r="F18" s="20">
        <f>IF(E18=0,"n.a.",AVERAGE(Predictions!K6:K176))</f>
        <v>0.5972222222222222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0.9149306422821174</v>
      </c>
      <c r="C19" s="18"/>
      <c r="D19" s="18" t="inlineStr">
        <is>
          <t>BTTS Yes</t>
        </is>
      </c>
      <c r="E19" s="18">
        <f>COUNT(Predictions!L6:L176)</f>
        <v>72</v>
      </c>
      <c r="F19" s="20">
        <f>IF(E19=0,"n.a.",AVERAGE(Predictions!L6:L176))</f>
        <v>0.5416666666666666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72</v>
      </c>
      <c r="F20" s="20">
        <f>IF(E20=0,"n.a.",AVERAGE(Predictions!M6:M176))</f>
        <v>0.5416666666666666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21 wins from 26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2026-10-19T15:46:16.388566+00:00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36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13:00:42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PENDING_KICKOFF_OR_FINAL_SCORE</t>
        </is>
      </c>
      <c r="D39" s="22" t="str">
        <f>IF(ISNUMBER(Selections!M35),Selections!M35,"")</f>
        <v/>
      </c>
      <c r="E39" s="22" t="str">
        <f>IF(ISNUMBER(Selections!N35),Selections!N35,"")</f>
        <v/>
      </c>
      <c r="F39" s="22">
        <f>SUM($E$10:E39)</f>
        <v>2.8099999999999996</v>
      </c>
      <c r="G39" s="22">
        <f>$B$4+F39</f>
        <v>102.81</v>
      </c>
      <c r="H39" s="22">
        <f>MAX($B$4,$G$10:G39)</f>
        <v>102.81</v>
      </c>
      <c r="I39" s="22">
        <f>H39-G39</f>
        <v>0.0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2026-10-19T19:00:00+00:00</t>
        </is>
      </c>
      <c r="B40" s="18" t="inlineStr">
        <is>
          <t>Getafe vs Rayo Vallecano</t>
        </is>
      </c>
      <c r="C40" s="18" t="inlineStr">
        <is>
          <t>PENDING_KICKOFF_OR_FINAL_SCORE</t>
        </is>
      </c>
      <c r="D40" s="22" t="str">
        <f>IF(ISNUMBER(Selections!M36),Selections!M36,"")</f>
        <v/>
      </c>
      <c r="E40" s="22" t="str">
        <f>IF(ISNUMBER(Selections!N36),Selections!N36,"")</f>
        <v/>
      </c>
      <c r="F40" s="22">
        <f>SUM($E$10:E40)</f>
        <v>2.8099999999999996</v>
      </c>
      <c r="G40" s="22">
        <f>$B$4+F40</f>
        <v>102.81</v>
      </c>
      <c r="H40" s="22">
        <f>MAX($B$4,$G$10:G40)</f>
        <v>102.81</v>
      </c>
      <c r="I40" s="22">
        <f>H40-G40</f>
        <v>0.0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Tottenham Hotspur vs Coventry City</t>
        </is>
      </c>
      <c r="C41" s="18" t="inlineStr">
        <is>
          <t>PENDING_KICKOFF_OR_FINAL_SCORE</t>
        </is>
      </c>
      <c r="D41" s="22" t="str">
        <f>IF(ISNUMBER(Selections!M37),Selections!M37,"")</f>
        <v/>
      </c>
      <c r="E41" s="22" t="str">
        <f>IF(ISNUMBER(Selections!N37),Selections!N37,"")</f>
        <v/>
      </c>
      <c r="F41" s="22">
        <f>SUM($E$10:E41)</f>
        <v>2.8099999999999996</v>
      </c>
      <c r="G41" s="22">
        <f>$B$4+F41</f>
        <v>102.81</v>
      </c>
      <c r="H41" s="22">
        <f>MAX($B$4,$G$10:G41)</f>
        <v>102.81</v>
      </c>
      <c r="I41" s="22">
        <f>H41-G41</f>
        <v>0.0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2026-10-20T16:45:00+00:00</t>
        </is>
      </c>
      <c r="B42" s="18" t="inlineStr">
        <is>
          <t>Fenerbahce vs Slavia Praha</t>
        </is>
      </c>
      <c r="C42" s="18" t="inlineStr">
        <is>
          <t>PENDING_KICKOFF_OR_FINAL_SCORE</t>
        </is>
      </c>
      <c r="D42" s="22" t="str">
        <f>IF(ISNUMBER(Selections!M38),Selections!M38,"")</f>
        <v/>
      </c>
      <c r="E42" s="22" t="str">
        <f>IF(ISNUMBER(Selections!N38),Selections!N38,"")</f>
        <v/>
      </c>
      <c r="F42" s="22">
        <f>SUM($E$10:E42)</f>
        <v>2.8099999999999996</v>
      </c>
      <c r="G42" s="22">
        <f>$B$4+F42</f>
        <v>102.81</v>
      </c>
      <c r="H42" s="22">
        <f>MAX($B$4,$G$10:G42)</f>
        <v>102.81</v>
      </c>
      <c r="I42" s="22">
        <f>H42-G42</f>
        <v>0.0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Sabah FK vs Borussia Dortmund</t>
        </is>
      </c>
      <c r="C43" s="18" t="inlineStr">
        <is>
          <t>PENDING_KICKOFF_OR_FINAL_SCORE</t>
        </is>
      </c>
      <c r="D43" s="22" t="str">
        <f>IF(ISNUMBER(Selections!M39),Selections!M39,"")</f>
        <v/>
      </c>
      <c r="E43" s="22" t="str">
        <f>IF(ISNUMBER(Selections!N39),Selections!N39,"")</f>
        <v/>
      </c>
      <c r="F43" s="22">
        <f>SUM($E$10:E43)</f>
        <v>2.8099999999999996</v>
      </c>
      <c r="G43" s="22">
        <f>$B$4+F43</f>
        <v>102.81</v>
      </c>
      <c r="H43" s="22">
        <f>MAX($B$4,$G$10:G43)</f>
        <v>102.81</v>
      </c>
      <c r="I43" s="22">
        <f>H43-G43</f>
        <v>0.0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2026-10-20T19:00:00+00:00</t>
        </is>
      </c>
      <c r="B44" s="18" t="inlineStr">
        <is>
          <t>AS Roma vs ŠK Slovan Bratislava</t>
        </is>
      </c>
      <c r="C44" s="18" t="inlineStr">
        <is>
          <t>PENDING_KICKOFF_OR_FINAL_SCORE</t>
        </is>
      </c>
      <c r="D44" s="22" t="str">
        <f>IF(ISNUMBER(Selections!M40),Selections!M40,"")</f>
        <v/>
      </c>
      <c r="E44" s="22" t="str">
        <f>IF(ISNUMBER(Selections!N40),Selections!N40,"")</f>
        <v/>
      </c>
      <c r="F44" s="22">
        <f>SUM($E$10:E44)</f>
        <v>2.8099999999999996</v>
      </c>
      <c r="G44" s="22">
        <f>$B$4+F44</f>
        <v>102.81</v>
      </c>
      <c r="H44" s="22">
        <f>MAX($B$4,$G$10:G44)</f>
        <v>102.81</v>
      </c>
      <c r="I44" s="22">
        <f>H44-G44</f>
        <v>0.0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Liverpool vs Villarreal</t>
        </is>
      </c>
      <c r="C45" s="18" t="inlineStr">
        <is>
          <t>PENDING_KICKOFF_OR_FINAL_SCORE</t>
        </is>
      </c>
      <c r="D45" s="22" t="str">
        <f>IF(ISNUMBER(Selections!M41),Selections!M41,"")</f>
        <v/>
      </c>
      <c r="E45" s="22" t="str">
        <f>IF(ISNUMBER(Selections!N41),Selections!N41,"")</f>
        <v/>
      </c>
      <c r="F45" s="22">
        <f>SUM($E$10:E45)</f>
        <v>2.8099999999999996</v>
      </c>
      <c r="G45" s="22">
        <f>$B$4+F45</f>
        <v>102.81</v>
      </c>
      <c r="H45" s="22">
        <f>MAX($B$4,$G$10:G45)</f>
        <v>102.81</v>
      </c>
      <c r="I45" s="22">
        <f>H45-G45</f>
        <v>0.0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Manchester City vs AEK Athens</t>
        </is>
      </c>
      <c r="C46" s="18" t="inlineStr">
        <is>
          <t>PENDING_KICKOFF_OR_FINAL_SCORE</t>
        </is>
      </c>
      <c r="D46" s="22" t="str">
        <f>IF(ISNUMBER(Selections!M42),Selections!M42,"")</f>
        <v/>
      </c>
      <c r="E46" s="22" t="str">
        <f>IF(ISNUMBER(Selections!N42),Selections!N42,"")</f>
        <v/>
      </c>
      <c r="F46" s="22">
        <f>SUM($E$10:E46)</f>
        <v>2.8099999999999996</v>
      </c>
      <c r="G46" s="22">
        <f>$B$4+F46</f>
        <v>102.81</v>
      </c>
      <c r="H46" s="22">
        <f>MAX($B$4,$G$10:G46)</f>
        <v>102.81</v>
      </c>
      <c r="I46" s="22">
        <f>H46-G46</f>
        <v>0.0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Napoli vs Bodø/Glimt</t>
        </is>
      </c>
      <c r="C47" s="18" t="inlineStr">
        <is>
          <t>PENDING_KICKOFF_OR_FINAL_SCORE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2.8099999999999996</v>
      </c>
      <c r="G47" s="22">
        <f>$B$4+F47</f>
        <v>102.81</v>
      </c>
      <c r="H47" s="22">
        <f>MAX($B$4,$G$10:G47)</f>
        <v>102.81</v>
      </c>
      <c r="I47" s="22">
        <f>H47-G47</f>
        <v>0.0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Paris Saint Germain vs Barcelona</t>
        </is>
      </c>
      <c r="C48" s="18" t="inlineStr">
        <is>
          <t>PENDING_KICKOFF_OR_FINAL_SCORE</t>
        </is>
      </c>
      <c r="D48" s="22" t="str">
        <f>IF(ISNUMBER(Selections!M44),Selections!M44,"")</f>
        <v/>
      </c>
      <c r="E48" s="22" t="str">
        <f>IF(ISNUMBER(Selections!N44),Selections!N44,"")</f>
        <v/>
      </c>
      <c r="F48" s="22">
        <f>SUM($E$10:E48)</f>
        <v>2.8099999999999996</v>
      </c>
      <c r="G48" s="22">
        <f>$B$4+F48</f>
        <v>102.81</v>
      </c>
      <c r="H48" s="22">
        <f>MAX($B$4,$G$10:G48)</f>
        <v>102.81</v>
      </c>
      <c r="I48" s="22">
        <f>H48-G48</f>
        <v>0.0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Porto vs PSV Eindhoven</t>
        </is>
      </c>
      <c r="C49" s="18" t="inlineStr">
        <is>
          <t>PENDING_KICKOFF_OR_FINAL_SCORE</t>
        </is>
      </c>
      <c r="D49" s="22" t="str">
        <f>IF(ISNUMBER(Selections!M45),Selections!M45,"")</f>
        <v/>
      </c>
      <c r="E49" s="22" t="str">
        <f>IF(ISNUMBER(Selections!N45),Selections!N45,"")</f>
        <v/>
      </c>
      <c r="F49" s="22">
        <f>SUM($E$10:E49)</f>
        <v>2.8099999999999996</v>
      </c>
      <c r="G49" s="22">
        <f>$B$4+F49</f>
        <v>102.81</v>
      </c>
      <c r="H49" s="22">
        <f>MAX($B$4,$G$10:G49)</f>
        <v>102.81</v>
      </c>
      <c r="I49" s="22">
        <f>H49-G49</f>
        <v>0.0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VfB Stuttgart vs Atlético Madrid</t>
        </is>
      </c>
      <c r="C50" s="18" t="inlineStr">
        <is>
          <t>PENDING_KICKOFF_OR_FINAL_SCORE</t>
        </is>
      </c>
      <c r="D50" s="22" t="str">
        <f>IF(ISNUMBER(Selections!M46),Selections!M46,"")</f>
        <v/>
      </c>
      <c r="E50" s="22" t="str">
        <f>IF(ISNUMBER(Selections!N46),Selections!N46,"")</f>
        <v/>
      </c>
      <c r="F50" s="22">
        <f>SUM($E$10:E50)</f>
        <v>2.8099999999999996</v>
      </c>
      <c r="G50" s="22">
        <f>$B$4+F50</f>
        <v>102.81</v>
      </c>
      <c r="H50" s="22">
        <f>MAX($B$4,$G$10:G50)</f>
        <v>102.81</v>
      </c>
      <c r="I50" s="22">
        <f>H50-G50</f>
        <v>0.0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</sheetData>
  <mergeCells count="1">
    <mergeCell ref="A2:J2"/>
  </mergeCells>
  <conditionalFormatting sqref="E10:E5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COUNTA(Selections!$A$6:$A$46)</f>
        <v>41</v>
      </c>
      <c r="D6" s="19">
        <f>(COUNTIFS(Selections!$K$6:$K$46,"WON")+COUNTIFS(Selections!$K$6:$K$46,"LOST"))</f>
        <v>26</v>
      </c>
      <c r="E6" s="19">
        <f>COUNTIFS(Selections!$K$6:$K$46,"WON")</f>
        <v>21</v>
      </c>
      <c r="F6" s="19">
        <f>COUNTIFS(Selections!$K$6:$K$46,"LOST")</f>
        <v>5</v>
      </c>
      <c r="G6" s="19">
        <f>COUNTA(Selections!$A$6:$A$46)-(COUNTIFS(Selections!$K$6:$K$46,"WON")+COUNTIFS(Selections!$K$6:$K$46,"LOST"))</f>
        <v>15</v>
      </c>
      <c r="H6" s="20">
        <f>IF((COUNTIFS(Selections!$K$6:$K$46,"WON")+COUNTIFS(Selections!$K$6:$K$46,"LOST"))=0,"n.a.",COUNTIFS(Selections!$K$6:$K$46,"WON")/(COUNTIFS(Selections!$K$6:$K$46,"WON")+COUNTIFS(Selections!$K$6:$K$46,"LOST")))</f>
        <v>0.8076923076923077</v>
      </c>
      <c r="I6" s="22">
        <f>SUM(Selections!$M$6:$M$46)</f>
        <v>26</v>
      </c>
      <c r="J6" s="22">
        <f>SUM(Selections!$N$6:$N$46)</f>
        <v>2.8099999999999996</v>
      </c>
      <c r="K6" s="20">
        <f>IF(SUM(Selections!$M$6:$M$46)=0,"n.a.",SUM(Selections!$N$6:$N$46)/SUM(Selections!$M$6:$M$46))</f>
        <v>0.10807692307692306</v>
      </c>
      <c r="L6" s="21">
        <f>IF(SUM(Selections!$T$6:$T$46)=0,"n.a.",SUM(Selections!$O$6:$O$46)/SUM(Selections!$T$6:$T$46))</f>
        <v>0.16100322598566943</v>
      </c>
      <c r="M6" s="20">
        <f>IF(SUM(Selections!$T$6:$T$46)=0,"n.a.",SUM(Selections!$S$6:$S$46)/SUM(Selections!$T$6:$T$46))</f>
        <v>0.7772039532532659</v>
      </c>
      <c r="N6" s="20">
        <f>IF(SUM(Selections!$T$6:$T$46)=0,"n.a.",(SUMIFS(Selections!$L$6:$L$46,Selections!$T$6:$T$46,1))/SUM(Selections!$T$6:$T$46))</f>
        <v>0.8076923076923077</v>
      </c>
      <c r="O6" s="20">
        <f>IF(SUM(Selections!$T$6:$T$46)=0,"n.a.",(SUM(Selections!$S$6:$S$46)-(SUMIFS(Selections!$L$6:$L$46,Selections!$T$6:$T$46,1)))/SUM(Selections!$T$6:$T$46))</f>
        <v>-0.030488354439041854</v>
      </c>
      <c r="P6" s="19">
        <f>SUM(Selections!$T$6:$T$46)</f>
        <v>26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(n=26).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COUNTIFS(Selections!$F$6:$F$46,"STRICT")</f>
        <v>13</v>
      </c>
      <c r="D7" s="19">
        <f>(COUNTIFS(Selections!$F$6:$F$46,"STRICT",Selections!$K$6:$K$46,"WON")+COUNTIFS(Selections!$F$6:$F$46,"STRICT",Selections!$K$6:$K$46,"LOST"))</f>
        <v>11</v>
      </c>
      <c r="E7" s="19">
        <f>COUNTIFS(Selections!$F$6:$F$46,"STRICT",Selections!$K$6:$K$46,"WON")</f>
        <v>10</v>
      </c>
      <c r="F7" s="19">
        <f>COUNTIFS(Selections!$F$6:$F$46,"STRICT",Selections!$K$6:$K$46,"LOST")</f>
        <v>1</v>
      </c>
      <c r="G7" s="19">
        <f>COUNTIFS(Selections!$F$6:$F$46,"STRICT")-(COUNTIFS(Selections!$F$6:$F$46,"STRICT",Selections!$K$6:$K$46,"WON")+COUNTIFS(Selections!$F$6:$F$46,"STRICT",Selections!$K$6:$K$46,"LOST"))</f>
        <v>2</v>
      </c>
      <c r="H7" s="20">
        <f>IF((COUNTIFS(Selections!$F$6:$F$46,"STRICT",Selections!$K$6:$K$46,"WON")+COUNTIFS(Selections!$F$6:$F$46,"STRICT",Selections!$K$6:$K$46,"LOST"))=0,"n.a.",COUNTIFS(Selections!$F$6:$F$46,"STRICT",Selections!$K$6:$K$46,"WON")/(COUNTIFS(Selections!$F$6:$F$46,"STRICT",Selections!$K$6:$K$46,"WON")+COUNTIFS(Selections!$F$6:$F$46,"STRICT",Selections!$K$6:$K$46,"LOST")))</f>
        <v>0.9090909090909091</v>
      </c>
      <c r="I7" s="22">
        <f>SUMIFS(Selections!$M$6:$M$46,Selections!$F$6:$F$46,"STRICT")</f>
        <v>11</v>
      </c>
      <c r="J7" s="22">
        <f>SUMIFS(Selections!$N$6:$N$46,Selections!$F$6:$F$46,"STRICT")</f>
        <v>3.32</v>
      </c>
      <c r="K7" s="20">
        <f>IF(SUMIFS(Selections!$M$6:$M$46,Selections!$F$6:$F$46,"STRICT")=0,"n.a.",SUMIFS(Selections!$N$6:$N$46,Selections!$F$6:$F$46,"STRICT")/SUMIFS(Selections!$M$6:$M$46,Selections!$F$6:$F$46,"STRICT"))</f>
        <v>0.3018181818181818</v>
      </c>
      <c r="L7" s="21">
        <f>IF(SUMIFS(Selections!$T$6:$T$46,Selections!$F$6:$F$46,"STRICT")=0,"n.a.",SUMIFS(Selections!$O$6:$O$46,Selections!$F$6:$F$46,"STRICT")/SUMIFS(Selections!$T$6:$T$46,Selections!$F$6:$F$46,"STRICT"))</f>
        <v>0.09620140437807416</v>
      </c>
      <c r="M7" s="20">
        <f>IF(SUMIFS(Selections!$T$6:$T$46,Selections!$F$6:$F$46,"STRICT")=0,"n.a.",SUMIFS(Selections!$S$6:$S$46,Selections!$F$6:$F$46,"STRICT")/SUMIFS(Selections!$T$6:$T$46,Selections!$F$6:$F$46,"STRICT"))</f>
        <v>0.7551745752675235</v>
      </c>
      <c r="N7" s="20">
        <f>IF(SUMIFS(Selections!$T$6:$T$46,Selections!$F$6:$F$46,"STRICT")=0,"n.a.",(SUMIFS(Selections!$L$6:$L$46,Selections!$F$6:$F$46,"STRICT",Selections!$T$6:$T$46,1))/SUMIFS(Selections!$T$6:$T$46,Selections!$F$6:$F$46,"STRICT"))</f>
        <v>0.9090909090909091</v>
      </c>
      <c r="O7" s="20">
        <f>IF(SUMIFS(Selections!$T$6:$T$46,Selections!$F$6:$F$46,"STRICT")=0,"n.a.",(SUMIFS(Selections!$S$6:$S$46,Selections!$F$6:$F$46,"STRICT")-(SUMIFS(Selections!$L$6:$L$46,Selections!$F$6:$F$46,"STRICT",Selections!$T$6:$T$46,1)))/SUMIFS(Selections!$T$6:$T$46,Selections!$F$6:$F$46,"STRICT"))</f>
        <v>-0.15391633382338554</v>
      </c>
      <c r="P7" s="19">
        <f>SUMIFS(Selections!$T$6:$T$46,Selections!$F$6:$F$46,"STRICT")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COUNTIFS(Selections!$F$6:$F$46,"PROVISIONAL")</f>
        <v>28</v>
      </c>
      <c r="D8" s="19">
        <f>(COUNTIFS(Selections!$F$6:$F$46,"PROVISIONAL",Selections!$K$6:$K$46,"WON")+COUNTIFS(Selections!$F$6:$F$46,"PROVISIONAL",Selections!$K$6:$K$46,"LOST"))</f>
        <v>15</v>
      </c>
      <c r="E8" s="19">
        <f>COUNTIFS(Selections!$F$6:$F$46,"PROVISIONAL",Selections!$K$6:$K$46,"WON")</f>
        <v>11</v>
      </c>
      <c r="F8" s="19">
        <f>COUNTIFS(Selections!$F$6:$F$46,"PROVISIONAL",Selections!$K$6:$K$46,"LOST")</f>
        <v>4</v>
      </c>
      <c r="G8" s="19">
        <f>COUNTIFS(Selections!$F$6:$F$46,"PROVISIONAL")-(COUNTIFS(Selections!$F$6:$F$46,"PROVISIONAL",Selections!$K$6:$K$46,"WON")+COUNTIFS(Selections!$F$6:$F$46,"PROVISIONAL",Selections!$K$6:$K$46,"LOST"))</f>
        <v>13</v>
      </c>
      <c r="H8" s="20">
        <f>IF((COUNTIFS(Selections!$F$6:$F$46,"PROVISIONAL",Selections!$K$6:$K$46,"WON")+COUNTIFS(Selections!$F$6:$F$46,"PROVISIONAL",Selections!$K$6:$K$46,"LOST"))=0,"n.a.",COUNTIFS(Selections!$F$6:$F$46,"PROVISIONAL",Selections!$K$6:$K$46,"WON")/(COUNTIFS(Selections!$F$6:$F$46,"PROVISIONAL",Selections!$K$6:$K$46,"WON")+COUNTIFS(Selections!$F$6:$F$46,"PROVISIONAL",Selections!$K$6:$K$46,"LOST")))</f>
        <v>0.7333333333333333</v>
      </c>
      <c r="I8" s="22">
        <f>SUMIFS(Selections!$M$6:$M$46,Selections!$F$6:$F$46,"PROVISIONAL")</f>
        <v>15</v>
      </c>
      <c r="J8" s="22">
        <f>SUMIFS(Selections!$N$6:$N$46,Selections!$F$6:$F$46,"PROVISIONAL")</f>
        <v>-0.5100000000000002</v>
      </c>
      <c r="K8" s="20">
        <f>IF(SUMIFS(Selections!$M$6:$M$46,Selections!$F$6:$F$46,"PROVISIONAL")=0,"n.a.",SUMIFS(Selections!$N$6:$N$46,Selections!$F$6:$F$46,"PROVISIONAL")/SUMIFS(Selections!$M$6:$M$46,Selections!$F$6:$F$46,"PROVISIONAL"))</f>
        <v>-0.034000000000000016</v>
      </c>
      <c r="L8" s="21">
        <f>IF(SUMIFS(Selections!$T$6:$T$46,Selections!$F$6:$F$46,"PROVISIONAL")=0,"n.a.",SUMIFS(Selections!$O$6:$O$46,Selections!$F$6:$F$46,"PROVISIONAL")/SUMIFS(Selections!$T$6:$T$46,Selections!$F$6:$F$46,"PROVISIONAL"))</f>
        <v>0.2085245618312393</v>
      </c>
      <c r="M8" s="20">
        <f>IF(SUMIFS(Selections!$T$6:$T$46,Selections!$F$6:$F$46,"PROVISIONAL")=0,"n.a.",SUMIFS(Selections!$S$6:$S$46,Selections!$F$6:$F$46,"PROVISIONAL")/SUMIFS(Selections!$T$6:$T$46,Selections!$F$6:$F$46,"PROVISIONAL"))</f>
        <v>0.7933588304428102</v>
      </c>
      <c r="N8" s="20">
        <f>IF(SUMIFS(Selections!$T$6:$T$46,Selections!$F$6:$F$46,"PROVISIONAL")=0,"n.a.",(SUMIFS(Selections!$L$6:$L$46,Selections!$F$6:$F$46,"PROVISIONAL",Selections!$T$6:$T$46,1))/SUMIFS(Selections!$T$6:$T$46,Selections!$F$6:$F$46,"PROVISIONAL"))</f>
        <v>0.7333333333333333</v>
      </c>
      <c r="O8" s="20">
        <f>IF(SUMIFS(Selections!$T$6:$T$46,Selections!$F$6:$F$46,"PROVISIONAL")=0,"n.a.",(SUMIFS(Selections!$S$6:$S$46,Selections!$F$6:$F$46,"PROVISIONAL")-(SUMIFS(Selections!$L$6:$L$46,Selections!$F$6:$F$46,"PROVISIONAL",Selections!$T$6:$T$46,1)))/SUMIFS(Selections!$T$6:$T$46,Selections!$F$6:$F$46,"PROVISIONAL"))</f>
        <v>0.06002549710947691</v>
      </c>
      <c r="P8" s="19">
        <f>SUMIFS(Selections!$T$6:$T$46,Selections!$F$6:$F$46,"PROVISIONAL")</f>
        <v>15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COUNTIFS(Selections!$C$6:$C$46,"Bundesliga")</f>
        <v>3</v>
      </c>
      <c r="D9" s="19">
        <f>(COUNTIFS(Selections!$C$6:$C$46,"Bundesliga",Selections!$K$6:$K$46,"WON")+COUNTIFS(Selections!$C$6:$C$46,"Bundesliga",Selections!$K$6:$K$46,"LOST"))</f>
        <v>3</v>
      </c>
      <c r="E9" s="19">
        <f>COUNTIFS(Selections!$C$6:$C$46,"Bundesliga",Selections!$K$6:$K$46,"WON")</f>
        <v>3</v>
      </c>
      <c r="F9" s="19">
        <f>COUNTIFS(Selections!$C$6:$C$46,"Bundesliga",Selections!$K$6:$K$46,"LOST")</f>
        <v>0</v>
      </c>
      <c r="G9" s="19">
        <f>COUNTIFS(Selections!$C$6:$C$46,"Bundesliga")-(COUNTIFS(Selections!$C$6:$C$46,"Bundesliga",Selections!$K$6:$K$46,"WON")+COUNTIFS(Selections!$C$6:$C$46,"Bundesliga",Selections!$K$6:$K$46,"LOST"))</f>
        <v>0</v>
      </c>
      <c r="H9" s="20">
        <f>IF((COUNTIFS(Selections!$C$6:$C$46,"Bundesliga",Selections!$K$6:$K$46,"WON")+COUNTIFS(Selections!$C$6:$C$46,"Bundesliga",Selections!$K$6:$K$46,"LOST"))=0,"n.a.",COUNTIFS(Selections!$C$6:$C$46,"Bundesliga",Selections!$K$6:$K$46,"WON")/(COUNTIFS(Selections!$C$6:$C$46,"Bundesliga",Selections!$K$6:$K$46,"WON")+COUNTIFS(Selections!$C$6:$C$46,"Bundesliga",Selections!$K$6:$K$46,"LOST")))</f>
        <v>1.0</v>
      </c>
      <c r="I9" s="22">
        <f>SUMIFS(Selections!$M$6:$M$46,Selections!$C$6:$C$46,"Bundesliga")</f>
        <v>3</v>
      </c>
      <c r="J9" s="22">
        <f>SUMIFS(Selections!$N$6:$N$46,Selections!$C$6:$C$46,"Bundesliga")</f>
        <v>0.74</v>
      </c>
      <c r="K9" s="20">
        <f>IF(SUMIFS(Selections!$M$6:$M$46,Selections!$C$6:$C$46,"Bundesliga")=0,"n.a.",SUMIFS(Selections!$N$6:$N$46,Selections!$C$6:$C$46,"Bundesliga")/SUMIFS(Selections!$M$6:$M$46,Selections!$C$6:$C$46,"Bundesliga"))</f>
        <v>0.24666666666666667</v>
      </c>
      <c r="L9" s="21">
        <f>IF(SUMIFS(Selections!$T$6:$T$46,Selections!$C$6:$C$46,"Bundesliga")=0,"n.a.",SUMIFS(Selections!$O$6:$O$46,Selections!$C$6:$C$46,"Bundesliga")/SUMIFS(Selections!$T$6:$T$46,Selections!$C$6:$C$46,"Bundesliga"))</f>
        <v>0.03973352985046064</v>
      </c>
      <c r="M9" s="20">
        <f>IF(SUMIFS(Selections!$T$6:$T$46,Selections!$C$6:$C$46,"Bundesliga")=0,"n.a.",SUMIFS(Selections!$S$6:$S$46,Selections!$C$6:$C$46,"Bundesliga")/SUMIFS(Selections!$T$6:$T$46,Selections!$C$6:$C$46,"Bundesliga"))</f>
        <v>0.8037750849699149</v>
      </c>
      <c r="N9" s="20">
        <f>IF(SUMIFS(Selections!$T$6:$T$46,Selections!$C$6:$C$46,"Bundesliga")=0,"n.a.",(SUMIFS(Selections!$L$6:$L$46,Selections!$C$6:$C$46,"Bundesliga",Selections!$T$6:$T$46,1))/SUMIFS(Selections!$T$6:$T$46,Selections!$C$6:$C$46,"Bundesliga"))</f>
        <v>1.0</v>
      </c>
      <c r="O9" s="20">
        <f>IF(SUMIFS(Selections!$T$6:$T$46,Selections!$C$6:$C$46,"Bundesliga")=0,"n.a.",(SUMIFS(Selections!$S$6:$S$46,Selections!$C$6:$C$46,"Bundesliga")-(SUMIFS(Selections!$L$6:$L$46,Selections!$C$6:$C$46,"Bundesliga",Selections!$T$6:$T$46,1)))/SUMIFS(Selections!$T$6:$T$46,Selections!$C$6:$C$46,"Bundesliga"))</f>
        <v>-0.1962249150300851</v>
      </c>
      <c r="P9" s="19">
        <f>SUMIFS(Selections!$T$6:$T$46,Selections!$C$6:$C$46,"Bundesliga")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COUNTIFS(Selections!$C$6:$C$46,"La Liga")</f>
        <v>8</v>
      </c>
      <c r="D10" s="19">
        <f>(COUNTIFS(Selections!$C$6:$C$46,"La Liga",Selections!$K$6:$K$46,"WON")+COUNTIFS(Selections!$C$6:$C$46,"La Liga",Selections!$K$6:$K$46,"LOST"))</f>
        <v>6</v>
      </c>
      <c r="E10" s="19">
        <f>COUNTIFS(Selections!$C$6:$C$46,"La Liga",Selections!$K$6:$K$46,"WON")</f>
        <v>6</v>
      </c>
      <c r="F10" s="19">
        <f>COUNTIFS(Selections!$C$6:$C$46,"La Liga",Selections!$K$6:$K$46,"LOST")</f>
        <v>0</v>
      </c>
      <c r="G10" s="19">
        <f>COUNTIFS(Selections!$C$6:$C$46,"La Liga")-(COUNTIFS(Selections!$C$6:$C$46,"La Liga",Selections!$K$6:$K$46,"WON")+COUNTIFS(Selections!$C$6:$C$46,"La Liga",Selections!$K$6:$K$46,"LOST"))</f>
        <v>2</v>
      </c>
      <c r="H10" s="20">
        <f>IF((COUNTIFS(Selections!$C$6:$C$46,"La Liga",Selections!$K$6:$K$46,"WON")+COUNTIFS(Selections!$C$6:$C$46,"La Liga",Selections!$K$6:$K$46,"LOST"))=0,"n.a.",COUNTIFS(Selections!$C$6:$C$46,"La Liga",Selections!$K$6:$K$46,"WON")/(COUNTIFS(Selections!$C$6:$C$46,"La Liga",Selections!$K$6:$K$46,"WON")+COUNTIFS(Selections!$C$6:$C$46,"La Liga",Selections!$K$6:$K$46,"LOST")))</f>
        <v>1.0</v>
      </c>
      <c r="I10" s="22">
        <f>SUMIFS(Selections!$M$6:$M$46,Selections!$C$6:$C$46,"La Liga")</f>
        <v>6</v>
      </c>
      <c r="J10" s="22">
        <f>SUMIFS(Selections!$N$6:$N$46,Selections!$C$6:$C$46,"La Liga")</f>
        <v>1.8199999999999998</v>
      </c>
      <c r="K10" s="20">
        <f>IF(SUMIFS(Selections!$M$6:$M$46,Selections!$C$6:$C$46,"La Liga")=0,"n.a.",SUMIFS(Selections!$N$6:$N$46,Selections!$C$6:$C$46,"La Liga")/SUMIFS(Selections!$M$6:$M$46,Selections!$C$6:$C$46,"La Liga"))</f>
        <v>0.3033333333333333</v>
      </c>
      <c r="L10" s="21">
        <f>IF(SUMIFS(Selections!$T$6:$T$46,Selections!$C$6:$C$46,"La Liga")=0,"n.a.",SUMIFS(Selections!$O$6:$O$46,Selections!$C$6:$C$46,"La Liga")/SUMIFS(Selections!$T$6:$T$46,Selections!$C$6:$C$46,"La Liga"))</f>
        <v>0.035061219735885975</v>
      </c>
      <c r="M10" s="20">
        <f>IF(SUMIFS(Selections!$T$6:$T$46,Selections!$C$6:$C$46,"La Liga")=0,"n.a.",SUMIFS(Selections!$S$6:$S$46,Selections!$C$6:$C$46,"La Liga")/SUMIFS(Selections!$T$6:$T$46,Selections!$C$6:$C$46,"La Liga"))</f>
        <v>0.8259716952617202</v>
      </c>
      <c r="N10" s="20">
        <f>IF(SUMIFS(Selections!$T$6:$T$46,Selections!$C$6:$C$46,"La Liga")=0,"n.a.",(SUMIFS(Selections!$L$6:$L$46,Selections!$C$6:$C$46,"La Liga",Selections!$T$6:$T$46,1))/SUMIFS(Selections!$T$6:$T$46,Selections!$C$6:$C$46,"La Liga"))</f>
        <v>1.0</v>
      </c>
      <c r="O10" s="20">
        <f>IF(SUMIFS(Selections!$T$6:$T$46,Selections!$C$6:$C$46,"La Liga")=0,"n.a.",(SUMIFS(Selections!$S$6:$S$46,Selections!$C$6:$C$46,"La Liga")-(SUMIFS(Selections!$L$6:$L$46,Selections!$C$6:$C$46,"La Liga",Selections!$T$6:$T$46,1)))/SUMIFS(Selections!$T$6:$T$46,Selections!$C$6:$C$46,"La Liga"))</f>
        <v>-0.1740283047382798</v>
      </c>
      <c r="P10" s="19">
        <f>SUMIFS(Selections!$T$6:$T$46,Selections!$C$6:$C$46,"La Liga")</f>
        <v>6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(n=6).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COUNTIFS(Selections!$C$6:$C$46,"Ligue 1")</f>
        <v>3</v>
      </c>
      <c r="D11" s="19">
        <f>(COUNTIFS(Selections!$C$6:$C$46,"Ligue 1",Selections!$K$6:$K$46,"WON")+COUNTIFS(Selections!$C$6:$C$46,"Ligue 1",Selections!$K$6:$K$46,"LOST"))</f>
        <v>2</v>
      </c>
      <c r="E11" s="19">
        <f>COUNTIFS(Selections!$C$6:$C$46,"Ligue 1",Selections!$K$6:$K$46,"WON")</f>
        <v>1</v>
      </c>
      <c r="F11" s="19">
        <f>COUNTIFS(Selections!$C$6:$C$46,"Ligue 1",Selections!$K$6:$K$46,"LOST")</f>
        <v>1</v>
      </c>
      <c r="G11" s="19">
        <f>COUNTIFS(Selections!$C$6:$C$46,"Ligue 1")-(COUNTIFS(Selections!$C$6:$C$46,"Ligue 1",Selections!$K$6:$K$46,"WON")+COUNTIFS(Selections!$C$6:$C$46,"Ligue 1",Selections!$K$6:$K$46,"LOST"))</f>
        <v>1</v>
      </c>
      <c r="H11" s="20">
        <f>IF((COUNTIFS(Selections!$C$6:$C$46,"Ligue 1",Selections!$K$6:$K$46,"WON")+COUNTIFS(Selections!$C$6:$C$46,"Ligue 1",Selections!$K$6:$K$46,"LOST"))=0,"n.a.",COUNTIFS(Selections!$C$6:$C$46,"Ligue 1",Selections!$K$6:$K$46,"WON")/(COUNTIFS(Selections!$C$6:$C$46,"Ligue 1",Selections!$K$6:$K$46,"WON")+COUNTIFS(Selections!$C$6:$C$46,"Ligue 1",Selections!$K$6:$K$46,"LOST")))</f>
        <v>0.5</v>
      </c>
      <c r="I11" s="22">
        <f>SUMIFS(Selections!$M$6:$M$46,Selections!$C$6:$C$46,"Ligue 1")</f>
        <v>2</v>
      </c>
      <c r="J11" s="22">
        <f>SUMIFS(Selections!$N$6:$N$46,Selections!$C$6:$C$46,"Ligue 1")</f>
        <v>-0.33000000000000007</v>
      </c>
      <c r="K11" s="20">
        <f>IF(SUMIFS(Selections!$M$6:$M$46,Selections!$C$6:$C$46,"Ligue 1")=0,"n.a.",SUMIFS(Selections!$N$6:$N$46,Selections!$C$6:$C$46,"Ligue 1")/SUMIFS(Selections!$M$6:$M$46,Selections!$C$6:$C$46,"Ligue 1"))</f>
        <v>-0.16500000000000004</v>
      </c>
      <c r="L11" s="21">
        <f>IF(SUMIFS(Selections!$T$6:$T$46,Selections!$C$6:$C$46,"Ligue 1")=0,"n.a.",SUMIFS(Selections!$O$6:$O$46,Selections!$C$6:$C$46,"Ligue 1")/SUMIFS(Selections!$T$6:$T$46,Selections!$C$6:$C$46,"Ligue 1"))</f>
        <v>0.37925018842161284</v>
      </c>
      <c r="M11" s="20">
        <f>IF(SUMIFS(Selections!$T$6:$T$46,Selections!$C$6:$C$46,"Ligue 1")=0,"n.a.",SUMIFS(Selections!$S$6:$S$46,Selections!$C$6:$C$46,"Ligue 1")/SUMIFS(Selections!$T$6:$T$46,Selections!$C$6:$C$46,"Ligue 1"))</f>
        <v>0.6960953243674277</v>
      </c>
      <c r="N11" s="20">
        <f>IF(SUMIFS(Selections!$T$6:$T$46,Selections!$C$6:$C$46,"Ligue 1")=0,"n.a.",(SUMIFS(Selections!$L$6:$L$46,Selections!$C$6:$C$46,"Ligue 1",Selections!$T$6:$T$46,1))/SUMIFS(Selections!$T$6:$T$46,Selections!$C$6:$C$46,"Ligue 1"))</f>
        <v>0.5</v>
      </c>
      <c r="O11" s="20">
        <f>IF(SUMIFS(Selections!$T$6:$T$46,Selections!$C$6:$C$46,"Ligue 1")=0,"n.a.",(SUMIFS(Selections!$S$6:$S$46,Selections!$C$6:$C$46,"Ligue 1")-(SUMIFS(Selections!$L$6:$L$46,Selections!$C$6:$C$46,"Ligue 1",Selections!$T$6:$T$46,1)))/SUMIFS(Selections!$T$6:$T$46,Selections!$C$6:$C$46,"Ligue 1"))</f>
        <v>0.19609532436742771</v>
      </c>
      <c r="P11" s="19">
        <f>SUMIFS(Selections!$T$6:$T$46,Selections!$C$6:$C$46,"Ligue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COUNTIFS(Selections!$C$6:$C$46,"Premier League")</f>
        <v>7</v>
      </c>
      <c r="D12" s="19">
        <f>(COUNTIFS(Selections!$C$6:$C$46,"Premier League",Selections!$K$6:$K$46,"WON")+COUNTIFS(Selections!$C$6:$C$46,"Premier League",Selections!$K$6:$K$46,"LOST"))</f>
        <v>6</v>
      </c>
      <c r="E12" s="19">
        <f>COUNTIFS(Selections!$C$6:$C$46,"Premier League",Selections!$K$6:$K$46,"WON")</f>
        <v>3</v>
      </c>
      <c r="F12" s="19">
        <f>COUNTIFS(Selections!$C$6:$C$46,"Premier League",Selections!$K$6:$K$46,"LOST")</f>
        <v>3</v>
      </c>
      <c r="G12" s="19">
        <f>COUNTIFS(Selections!$C$6:$C$46,"Premier League")-(COUNTIFS(Selections!$C$6:$C$46,"Premier League",Selections!$K$6:$K$46,"WON")+COUNTIFS(Selections!$C$6:$C$46,"Premier League",Selections!$K$6:$K$46,"LOST"))</f>
        <v>1</v>
      </c>
      <c r="H12" s="20">
        <f>IF((COUNTIFS(Selections!$C$6:$C$46,"Premier League",Selections!$K$6:$K$46,"WON")+COUNTIFS(Selections!$C$6:$C$46,"Premier League",Selections!$K$6:$K$46,"LOST"))=0,"n.a.",COUNTIFS(Selections!$C$6:$C$46,"Premier League",Selections!$K$6:$K$46,"WON")/(COUNTIFS(Selections!$C$6:$C$46,"Premier League",Selections!$K$6:$K$46,"WON")+COUNTIFS(Selections!$C$6:$C$46,"Premier League",Selections!$K$6:$K$46,"LOST")))</f>
        <v>0.5</v>
      </c>
      <c r="I12" s="22">
        <f>SUMIFS(Selections!$M$6:$M$46,Selections!$C$6:$C$46,"Premier League")</f>
        <v>6</v>
      </c>
      <c r="J12" s="22">
        <f>SUMIFS(Selections!$N$6:$N$46,Selections!$C$6:$C$46,"Premier League")</f>
        <v>-2.14</v>
      </c>
      <c r="K12" s="20">
        <f>IF(SUMIFS(Selections!$M$6:$M$46,Selections!$C$6:$C$46,"Premier League")=0,"n.a.",SUMIFS(Selections!$N$6:$N$46,Selections!$C$6:$C$46,"Premier League")/SUMIFS(Selections!$M$6:$M$46,Selections!$C$6:$C$46,"Premier League"))</f>
        <v>-0.3566666666666667</v>
      </c>
      <c r="L12" s="21">
        <f>IF(SUMIFS(Selections!$T$6:$T$46,Selections!$C$6:$C$46,"Premier League")=0,"n.a.",SUMIFS(Selections!$O$6:$O$46,Selections!$C$6:$C$46,"Premier League")/SUMIFS(Selections!$T$6:$T$46,Selections!$C$6:$C$46,"Premier League"))</f>
        <v>0.34451819985468496</v>
      </c>
      <c r="M12" s="20">
        <f>IF(SUMIFS(Selections!$T$6:$T$46,Selections!$C$6:$C$46,"Premier League")=0,"n.a.",SUMIFS(Selections!$S$6:$S$46,Selections!$C$6:$C$46,"Premier League")/SUMIFS(Selections!$T$6:$T$46,Selections!$C$6:$C$46,"Premier League"))</f>
        <v>0.8130289690439606</v>
      </c>
      <c r="N12" s="20">
        <f>IF(SUMIFS(Selections!$T$6:$T$46,Selections!$C$6:$C$46,"Premier League")=0,"n.a.",(SUMIFS(Selections!$L$6:$L$46,Selections!$C$6:$C$46,"Premier League",Selections!$T$6:$T$46,1))/SUMIFS(Selections!$T$6:$T$46,Selections!$C$6:$C$46,"Premier League"))</f>
        <v>0.5</v>
      </c>
      <c r="O12" s="20">
        <f>IF(SUMIFS(Selections!$T$6:$T$46,Selections!$C$6:$C$46,"Premier League")=0,"n.a.",(SUMIFS(Selections!$S$6:$S$46,Selections!$C$6:$C$46,"Premier League")-(SUMIFS(Selections!$L$6:$L$46,Selections!$C$6:$C$46,"Premier League",Selections!$T$6:$T$46,1)))/SUMIFS(Selections!$T$6:$T$46,Selections!$C$6:$C$46,"Premier League"))</f>
        <v>0.3130289690439606</v>
      </c>
      <c r="P12" s="19">
        <f>SUMIFS(Selections!$T$6:$T$46,Selections!$C$6:$C$46,"Premier League")</f>
        <v>6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(n=6).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COUNTIFS(Selections!$C$6:$C$46,"Serie A")</f>
        <v>6</v>
      </c>
      <c r="D13" s="19">
        <f>(COUNTIFS(Selections!$C$6:$C$46,"Serie A",Selections!$K$6:$K$46,"WON")+COUNTIFS(Selections!$C$6:$C$46,"Serie A",Selections!$K$6:$K$46,"LOST"))</f>
        <v>5</v>
      </c>
      <c r="E13" s="19">
        <f>COUNTIFS(Selections!$C$6:$C$46,"Serie A",Selections!$K$6:$K$46,"WON")</f>
        <v>4</v>
      </c>
      <c r="F13" s="19">
        <f>COUNTIFS(Selections!$C$6:$C$46,"Serie A",Selections!$K$6:$K$46,"LOST")</f>
        <v>1</v>
      </c>
      <c r="G13" s="19">
        <f>COUNTIFS(Selections!$C$6:$C$46,"Serie A")-(COUNTIFS(Selections!$C$6:$C$46,"Serie A",Selections!$K$6:$K$46,"WON")+COUNTIFS(Selections!$C$6:$C$46,"Serie A",Selections!$K$6:$K$46,"LOST"))</f>
        <v>1</v>
      </c>
      <c r="H13" s="20">
        <f>IF((COUNTIFS(Selections!$C$6:$C$46,"Serie A",Selections!$K$6:$K$46,"WON")+COUNTIFS(Selections!$C$6:$C$46,"Serie A",Selections!$K$6:$K$46,"LOST"))=0,"n.a.",COUNTIFS(Selections!$C$6:$C$46,"Serie A",Selections!$K$6:$K$46,"WON")/(COUNTIFS(Selections!$C$6:$C$46,"Serie A",Selections!$K$6:$K$46,"WON")+COUNTIFS(Selections!$C$6:$C$46,"Serie A",Selections!$K$6:$K$46,"LOST")))</f>
        <v>0.8</v>
      </c>
      <c r="I13" s="22">
        <f>SUMIFS(Selections!$M$6:$M$46,Selections!$C$6:$C$46,"Serie A")</f>
        <v>5</v>
      </c>
      <c r="J13" s="22">
        <f>SUMIFS(Selections!$N$6:$N$46,Selections!$C$6:$C$46,"Serie A")</f>
        <v>0.8</v>
      </c>
      <c r="K13" s="20">
        <f>IF(SUMIFS(Selections!$M$6:$M$46,Selections!$C$6:$C$46,"Serie A")=0,"n.a.",SUMIFS(Selections!$N$6:$N$46,Selections!$C$6:$C$46,"Serie A")/SUMIFS(Selections!$M$6:$M$46,Selections!$C$6:$C$46,"Serie A"))</f>
        <v>0.16</v>
      </c>
      <c r="L13" s="21">
        <f>IF(SUMIFS(Selections!$T$6:$T$46,Selections!$C$6:$C$46,"Serie A")=0,"n.a.",SUMIFS(Selections!$O$6:$O$46,Selections!$C$6:$C$46,"Serie A")/SUMIFS(Selections!$T$6:$T$46,Selections!$C$6:$C$46,"Serie A"))</f>
        <v>0.1502962767075388</v>
      </c>
      <c r="M13" s="20">
        <f>IF(SUMIFS(Selections!$T$6:$T$46,Selections!$C$6:$C$46,"Serie A")=0,"n.a.",SUMIFS(Selections!$S$6:$S$46,Selections!$C$6:$C$46,"Serie A")/SUMIFS(Selections!$T$6:$T$46,Selections!$C$6:$C$46,"Serie A"))</f>
        <v>0.7063993976931371</v>
      </c>
      <c r="N13" s="20">
        <f>IF(SUMIFS(Selections!$T$6:$T$46,Selections!$C$6:$C$46,"Serie A")=0,"n.a.",(SUMIFS(Selections!$L$6:$L$46,Selections!$C$6:$C$46,"Serie A",Selections!$T$6:$T$46,1))/SUMIFS(Selections!$T$6:$T$46,Selections!$C$6:$C$46,"Serie A"))</f>
        <v>0.8</v>
      </c>
      <c r="O13" s="20">
        <f>IF(SUMIFS(Selections!$T$6:$T$46,Selections!$C$6:$C$46,"Serie A")=0,"n.a.",(SUMIFS(Selections!$S$6:$S$46,Selections!$C$6:$C$46,"Serie A")-(SUMIFS(Selections!$L$6:$L$46,Selections!$C$6:$C$46,"Serie A",Selections!$T$6:$T$46,1)))/SUMIFS(Selections!$T$6:$T$46,Selections!$C$6:$C$46,"Serie A"))</f>
        <v>-0.09360060230686296</v>
      </c>
      <c r="P13" s="19">
        <f>SUMIFS(Selections!$T$6:$T$46,Selections!$C$6:$C$46,"Serie A")</f>
        <v>5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(n=5).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COUNTIFS(Selections!$C$6:$C$46,"UEFA Champions League")</f>
        <v>14</v>
      </c>
      <c r="D14" s="19">
        <f>(COUNTIFS(Selections!$C$6:$C$46,"UEFA Champions League",Selections!$K$6:$K$46,"WON")+COUNTIFS(Selections!$C$6:$C$46,"UEFA Champions League",Selections!$K$6:$K$46,"LOST"))</f>
        <v>4</v>
      </c>
      <c r="E14" s="19">
        <f>COUNTIFS(Selections!$C$6:$C$46,"UEFA Champions League",Selections!$K$6:$K$46,"WON")</f>
        <v>4</v>
      </c>
      <c r="F14" s="19">
        <f>COUNTIFS(Selections!$C$6:$C$46,"UEFA Champions League",Selections!$K$6:$K$46,"LOST")</f>
        <v>0</v>
      </c>
      <c r="G14" s="19">
        <f>COUNTIFS(Selections!$C$6:$C$46,"UEFA Champions League")-(COUNTIFS(Selections!$C$6:$C$46,"UEFA Champions League",Selections!$K$6:$K$46,"WON")+COUNTIFS(Selections!$C$6:$C$46,"UEFA Champions League",Selections!$K$6:$K$46,"LOST"))</f>
        <v>10</v>
      </c>
      <c r="H14" s="20">
        <f>IF((COUNTIFS(Selections!$C$6:$C$46,"UEFA Champions League",Selections!$K$6:$K$46,"WON")+COUNTIFS(Selections!$C$6:$C$46,"UEFA Champions League",Selections!$K$6:$K$46,"LOST"))=0,"n.a.",COUNTIFS(Selections!$C$6:$C$46,"UEFA Champions League",Selections!$K$6:$K$46,"WON")/(COUNTIFS(Selections!$C$6:$C$46,"UEFA Champions League",Selections!$K$6:$K$46,"WON")+COUNTIFS(Selections!$C$6:$C$46,"UEFA Champions League",Selections!$K$6:$K$46,"LOST")))</f>
        <v>1.0</v>
      </c>
      <c r="I14" s="22">
        <f>SUMIFS(Selections!$M$6:$M$46,Selections!$C$6:$C$46,"UEFA Champions League")</f>
        <v>4</v>
      </c>
      <c r="J14" s="22">
        <f>SUMIFS(Selections!$N$6:$N$46,Selections!$C$6:$C$46,"UEFA Champions League")</f>
        <v>1.92</v>
      </c>
      <c r="K14" s="20">
        <f>IF(SUMIFS(Selections!$M$6:$M$46,Selections!$C$6:$C$46,"UEFA Champions League")=0,"n.a.",SUMIFS(Selections!$N$6:$N$46,Selections!$C$6:$C$46,"UEFA Champions League")/SUMIFS(Selections!$M$6:$M$46,Selections!$C$6:$C$46,"UEFA Champions League"))</f>
        <v>0.48</v>
      </c>
      <c r="L14" s="21">
        <f>IF(SUMIFS(Selections!$T$6:$T$46,Selections!$C$6:$C$46,"UEFA Champions League")=0,"n.a.",SUMIFS(Selections!$O$6:$O$46,Selections!$C$6:$C$46,"UEFA Champions League")/SUMIFS(Selections!$T$6:$T$46,Selections!$C$6:$C$46,"UEFA Champions League"))</f>
        <v>0.0698562520379194</v>
      </c>
      <c r="M14" s="20">
        <f>IF(SUMIFS(Selections!$T$6:$T$46,Selections!$C$6:$C$46,"UEFA Champions League")=0,"n.a.",SUMIFS(Selections!$S$6:$S$46,Selections!$C$6:$C$46,"UEFA Champions League")/SUMIFS(Selections!$T$6:$T$46,Selections!$C$6:$C$46,"UEFA Champions League"))</f>
        <v>0.7594464766601356</v>
      </c>
      <c r="N14" s="20">
        <f>IF(SUMIFS(Selections!$T$6:$T$46,Selections!$C$6:$C$46,"UEFA Champions League")=0,"n.a.",(SUMIFS(Selections!$L$6:$L$46,Selections!$C$6:$C$46,"UEFA Champions League",Selections!$T$6:$T$46,1))/SUMIFS(Selections!$T$6:$T$46,Selections!$C$6:$C$46,"UEFA Champions League"))</f>
        <v>1.0</v>
      </c>
      <c r="O14" s="20">
        <f>IF(SUMIFS(Selections!$T$6:$T$46,Selections!$C$6:$C$46,"UEFA Champions League")=0,"n.a.",(SUMIFS(Selections!$S$6:$S$46,Selections!$C$6:$C$46,"UEFA Champions League")-(SUMIFS(Selections!$L$6:$L$46,Selections!$C$6:$C$46,"UEFA Champions League",Selections!$T$6:$T$46,1)))/SUMIFS(Selections!$T$6:$T$46,Selections!$C$6:$C$46,"UEFA Champions League"))</f>
        <v>-0.24055352333986435</v>
      </c>
      <c r="P14" s="19">
        <f>SUMIFS(Selections!$T$6:$T$46,Selections!$C$6:$C$46,"UEFA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COUNTIFS(Selections!$E$6:$E$46,"Away win")</f>
        <v>1</v>
      </c>
      <c r="D15" s="19">
        <f>(COUNTIFS(Selections!$E$6:$E$46,"Away win",Selections!$K$6:$K$46,"WON")+COUNTIFS(Selections!$E$6:$E$46,"Away win",Selections!$K$6:$K$46,"LOST"))</f>
        <v>1</v>
      </c>
      <c r="E15" s="19">
        <f>COUNTIFS(Selections!$E$6:$E$46,"Away win",Selections!$K$6:$K$46,"WON")</f>
        <v>0</v>
      </c>
      <c r="F15" s="19">
        <f>COUNTIFS(Selections!$E$6:$E$46,"Away win",Selections!$K$6:$K$46,"LOST")</f>
        <v>1</v>
      </c>
      <c r="G15" s="19">
        <f>COUNTIFS(Selections!$E$6:$E$46,"Away win")-(COUNTIFS(Selections!$E$6:$E$46,"Away win",Selections!$K$6:$K$46,"WON")+COUNTIFS(Selections!$E$6:$E$46,"Away win",Selections!$K$6:$K$46,"LOST"))</f>
        <v>0</v>
      </c>
      <c r="H15" s="20">
        <f>IF((COUNTIFS(Selections!$E$6:$E$46,"Away win",Selections!$K$6:$K$46,"WON")+COUNTIFS(Selections!$E$6:$E$46,"Away win",Selections!$K$6:$K$46,"LOST"))=0,"n.a.",COUNTIFS(Selections!$E$6:$E$46,"Away win",Selections!$K$6:$K$46,"WON")/(COUNTIFS(Selections!$E$6:$E$46,"Away win",Selections!$K$6:$K$46,"WON")+COUNTIFS(Selections!$E$6:$E$46,"Away win",Selections!$K$6:$K$46,"LOST")))</f>
        <v>0.0</v>
      </c>
      <c r="I15" s="22">
        <f>SUMIFS(Selections!$M$6:$M$46,Selections!$E$6:$E$46,"Away win")</f>
        <v>1</v>
      </c>
      <c r="J15" s="22">
        <f>SUMIFS(Selections!$N$6:$N$46,Selections!$E$6:$E$46,"Away win")</f>
        <v>-1.0</v>
      </c>
      <c r="K15" s="20">
        <f>IF(SUMIFS(Selections!$M$6:$M$46,Selections!$E$6:$E$46,"Away win")=0,"n.a.",SUMIFS(Selections!$N$6:$N$46,Selections!$E$6:$E$46,"Away win")/SUMIFS(Selections!$M$6:$M$46,Selections!$E$6:$E$46,"Away win"))</f>
        <v>-1.0</v>
      </c>
      <c r="L15" s="21">
        <f>IF(SUMIFS(Selections!$T$6:$T$46,Selections!$E$6:$E$46,"Away win")=0,"n.a.",SUMIFS(Selections!$O$6:$O$46,Selections!$E$6:$E$46,"Away win")/SUMIFS(Selections!$T$6:$T$46,Selections!$E$6:$E$46,"Away win"))</f>
        <v>0.4253283778022773</v>
      </c>
      <c r="M15" s="20">
        <f>IF(SUMIFS(Selections!$T$6:$T$46,Selections!$E$6:$E$46,"Away win")=0,"n.a.",SUMIFS(Selections!$S$6:$S$46,Selections!$E$6:$E$46,"Away win")/SUMIFS(Selections!$T$6:$T$46,Selections!$E$6:$E$46,"Away win"))</f>
        <v>0.6521720461674797</v>
      </c>
      <c r="N15" s="20">
        <f>IF(SUMIFS(Selections!$T$6:$T$46,Selections!$E$6:$E$46,"Away win")=0,"n.a.",(SUMIFS(Selections!$L$6:$L$46,Selections!$E$6:$E$46,"Away win",Selections!$T$6:$T$46,1))/SUMIFS(Selections!$T$6:$T$46,Selections!$E$6:$E$46,"Away win"))</f>
        <v>0.0</v>
      </c>
      <c r="O15" s="20">
        <f>IF(SUMIFS(Selections!$T$6:$T$46,Selections!$E$6:$E$46,"Away win")=0,"n.a.",(SUMIFS(Selections!$S$6:$S$46,Selections!$E$6:$E$46,"Away win")-(SUMIFS(Selections!$L$6:$L$46,Selections!$E$6:$E$46,"Away win",Selections!$T$6:$T$46,1)))/SUMIFS(Selections!$T$6:$T$46,Selections!$E$6:$E$46,"Away win"))</f>
        <v>0.6521720461674797</v>
      </c>
      <c r="P15" s="19">
        <f>SUMIFS(Selections!$T$6:$T$46,Selections!$E$6:$E$46,"Away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COUNTIFS(Selections!$E$6:$E$46,"Both Teams to Score - Yes")</f>
        <v>3</v>
      </c>
      <c r="D16" s="19">
        <f>(COUNTIFS(Selections!$E$6:$E$46,"Both Teams to Score - Yes",Selections!$K$6:$K$46,"WON")+COUNTIFS(Selections!$E$6:$E$46,"Both Teams to Score - Yes",Selections!$K$6:$K$46,"LOST"))</f>
        <v>2</v>
      </c>
      <c r="E16" s="19">
        <f>COUNTIFS(Selections!$E$6:$E$46,"Both Teams to Score - Yes",Selections!$K$6:$K$46,"WON")</f>
        <v>2</v>
      </c>
      <c r="F16" s="19">
        <f>COUNTIFS(Selections!$E$6:$E$46,"Both Teams to Score - Yes",Selections!$K$6:$K$46,"LOST")</f>
        <v>0</v>
      </c>
      <c r="G16" s="19">
        <f>COUNTIFS(Selections!$E$6:$E$46,"Both Teams to Score - Yes")-(COUNTIFS(Selections!$E$6:$E$46,"Both Teams to Score - Yes",Selections!$K$6:$K$46,"WON")+COUNTIFS(Selections!$E$6:$E$46,"Both Teams to Score - Yes",Selections!$K$6:$K$46,"LOST"))</f>
        <v>1</v>
      </c>
      <c r="H16" s="20">
        <f>IF((COUNTIFS(Selections!$E$6:$E$46,"Both Teams to Score - Yes",Selections!$K$6:$K$46,"WON")+COUNTIFS(Selections!$E$6:$E$46,"Both Teams to Score - Yes",Selections!$K$6:$K$46,"LOST"))=0,"n.a.",COUNTIFS(Selections!$E$6:$E$46,"Both Teams to Score - Yes",Selections!$K$6:$K$46,"WON")/(COUNTIFS(Selections!$E$6:$E$46,"Both Teams to Score - Yes",Selections!$K$6:$K$46,"WON")+COUNTIFS(Selections!$E$6:$E$46,"Both Teams to Score - Yes",Selections!$K$6:$K$46,"LOST")))</f>
        <v>1.0</v>
      </c>
      <c r="I16" s="22">
        <f>SUMIFS(Selections!$M$6:$M$46,Selections!$E$6:$E$46,"Both Teams to Score - Yes")</f>
        <v>2</v>
      </c>
      <c r="J16" s="22">
        <f>SUMIFS(Selections!$N$6:$N$46,Selections!$E$6:$E$46,"Both Teams to Score - Yes")</f>
        <v>1.02</v>
      </c>
      <c r="K16" s="20">
        <f>IF(SUMIFS(Selections!$M$6:$M$46,Selections!$E$6:$E$46,"Both Teams to Score - Yes")=0,"n.a.",SUMIFS(Selections!$N$6:$N$46,Selections!$E$6:$E$46,"Both Teams to Score - Yes")/SUMIFS(Selections!$M$6:$M$46,Selections!$E$6:$E$46,"Both Teams to Score - Yes"))</f>
        <v>0.51</v>
      </c>
      <c r="L16" s="21">
        <f>IF(SUMIFS(Selections!$T$6:$T$46,Selections!$E$6:$E$46,"Both Teams to Score - Yes")=0,"n.a.",SUMIFS(Selections!$O$6:$O$46,Selections!$E$6:$E$46,"Both Teams to Score - Yes")/SUMIFS(Selections!$T$6:$T$46,Selections!$E$6:$E$46,"Both Teams to Score - Yes"))</f>
        <v>0.0816693584120611</v>
      </c>
      <c r="M16" s="20">
        <f>IF(SUMIFS(Selections!$T$6:$T$46,Selections!$E$6:$E$46,"Both Teams to Score - Yes")=0,"n.a.",SUMIFS(Selections!$S$6:$S$46,Selections!$E$6:$E$46,"Both Teams to Score - Yes")/SUMIFS(Selections!$T$6:$T$46,Selections!$E$6:$E$46,"Both Teams to Score - Yes"))</f>
        <v>0.7143269086376708</v>
      </c>
      <c r="N16" s="20">
        <f>IF(SUMIFS(Selections!$T$6:$T$46,Selections!$E$6:$E$46,"Both Teams to Score - Yes")=0,"n.a.",(SUMIFS(Selections!$L$6:$L$46,Selections!$E$6:$E$46,"Both Teams to Score - Yes",Selections!$T$6:$T$46,1))/SUMIFS(Selections!$T$6:$T$46,Selections!$E$6:$E$46,"Both Teams to Score - Yes"))</f>
        <v>1.0</v>
      </c>
      <c r="O16" s="20">
        <f>IF(SUMIFS(Selections!$T$6:$T$46,Selections!$E$6:$E$46,"Both Teams to Score - Yes")=0,"n.a.",(SUMIFS(Selections!$S$6:$S$46,Selections!$E$6:$E$46,"Both Teams to Score - Yes")-(SUMIFS(Selections!$L$6:$L$46,Selections!$E$6:$E$46,"Both Teams to Score - Yes",Selections!$T$6:$T$46,1)))/SUMIFS(Selections!$T$6:$T$46,Selections!$E$6:$E$46,"Both Teams to Score - Yes"))</f>
        <v>-0.2856730913623292</v>
      </c>
      <c r="P16" s="19">
        <f>SUMIFS(Selections!$T$6:$T$46,Selections!$E$6:$E$46,"Both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COUNTIFS(Selections!$E$6:$E$46,"Double Chance 12")</f>
        <v>8</v>
      </c>
      <c r="D17" s="19">
        <f>(COUNTIFS(Selections!$E$6:$E$46,"Double Chance 12",Selections!$K$6:$K$46,"WON")+COUNTIFS(Selections!$E$6:$E$46,"Double Chance 12",Selections!$K$6:$K$46,"LOST"))</f>
        <v>2</v>
      </c>
      <c r="E17" s="19">
        <f>COUNTIFS(Selections!$E$6:$E$46,"Double Chance 12",Selections!$K$6:$K$46,"WON")</f>
        <v>2</v>
      </c>
      <c r="F17" s="19">
        <f>COUNTIFS(Selections!$E$6:$E$46,"Double Chance 12",Selections!$K$6:$K$46,"LOST")</f>
        <v>0</v>
      </c>
      <c r="G17" s="19">
        <f>COUNTIFS(Selections!$E$6:$E$46,"Double Chance 12")-(COUNTIFS(Selections!$E$6:$E$46,"Double Chance 12",Selections!$K$6:$K$46,"WON")+COUNTIFS(Selections!$E$6:$E$46,"Double Chance 12",Selections!$K$6:$K$46,"LOST"))</f>
        <v>6</v>
      </c>
      <c r="H17" s="20">
        <f>IF((COUNTIFS(Selections!$E$6:$E$46,"Double Chance 12",Selections!$K$6:$K$46,"WON")+COUNTIFS(Selections!$E$6:$E$46,"Double Chance 12",Selections!$K$6:$K$46,"LOST"))=0,"n.a.",COUNTIFS(Selections!$E$6:$E$46,"Double Chance 12",Selections!$K$6:$K$46,"WON")/(COUNTIFS(Selections!$E$6:$E$46,"Double Chance 12",Selections!$K$6:$K$46,"WON")+COUNTIFS(Selections!$E$6:$E$46,"Double Chance 12",Selections!$K$6:$K$46,"LOST")))</f>
        <v>1.0</v>
      </c>
      <c r="I17" s="22">
        <f>SUMIFS(Selections!$M$6:$M$46,Selections!$E$6:$E$46,"Double Chance 12")</f>
        <v>2</v>
      </c>
      <c r="J17" s="22">
        <f>SUMIFS(Selections!$N$6:$N$46,Selections!$E$6:$E$46,"Double Chance 12")</f>
        <v>0.55</v>
      </c>
      <c r="K17" s="20">
        <f>IF(SUMIFS(Selections!$M$6:$M$46,Selections!$E$6:$E$46,"Double Chance 12")=0,"n.a.",SUMIFS(Selections!$N$6:$N$46,Selections!$E$6:$E$46,"Double Chance 12")/SUMIFS(Selections!$M$6:$M$46,Selections!$E$6:$E$46,"Double Chance 12"))</f>
        <v>0.275</v>
      </c>
      <c r="L17" s="21">
        <f>IF(SUMIFS(Selections!$T$6:$T$46,Selections!$E$6:$E$46,"Double Chance 12")=0,"n.a.",SUMIFS(Selections!$O$6:$O$46,Selections!$E$6:$E$46,"Double Chance 12")/SUMIFS(Selections!$T$6:$T$46,Selections!$E$6:$E$46,"Double Chance 12"))</f>
        <v>0.06039485652956292</v>
      </c>
      <c r="M17" s="20">
        <f>IF(SUMIFS(Selections!$T$6:$T$46,Selections!$E$6:$E$46,"Double Chance 12")=0,"n.a.",SUMIFS(Selections!$S$6:$S$46,Selections!$E$6:$E$46,"Double Chance 12")/SUMIFS(Selections!$T$6:$T$46,Selections!$E$6:$E$46,"Double Chance 12"))</f>
        <v>0.7543630828815686</v>
      </c>
      <c r="N17" s="20">
        <f>IF(SUMIFS(Selections!$T$6:$T$46,Selections!$E$6:$E$46,"Double Chance 12")=0,"n.a.",(SUMIFS(Selections!$L$6:$L$46,Selections!$E$6:$E$46,"Double Chance 12",Selections!$T$6:$T$46,1))/SUMIFS(Selections!$T$6:$T$46,Selections!$E$6:$E$46,"Double Chance 12"))</f>
        <v>1.0</v>
      </c>
      <c r="O17" s="20">
        <f>IF(SUMIFS(Selections!$T$6:$T$46,Selections!$E$6:$E$46,"Double Chance 12")=0,"n.a.",(SUMIFS(Selections!$S$6:$S$46,Selections!$E$6:$E$46,"Double Chance 12")-(SUMIFS(Selections!$L$6:$L$46,Selections!$E$6:$E$46,"Double Chance 12",Selections!$T$6:$T$46,1)))/SUMIFS(Selections!$T$6:$T$46,Selections!$E$6:$E$46,"Double Chance 12"))</f>
        <v>-0.24563691711843139</v>
      </c>
      <c r="P17" s="19">
        <f>SUMIFS(Selections!$T$6:$T$46,Selections!$E$6:$E$46,"Double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COUNTIFS(Selections!$E$6:$E$46,"Double Chance 1X")</f>
        <v>5</v>
      </c>
      <c r="D18" s="19">
        <f>(COUNTIFS(Selections!$E$6:$E$46,"Double Chance 1X",Selections!$K$6:$K$46,"WON")+COUNTIFS(Selections!$E$6:$E$46,"Double Chance 1X",Selections!$K$6:$K$46,"LOST"))</f>
        <v>2</v>
      </c>
      <c r="E18" s="19">
        <f>COUNTIFS(Selections!$E$6:$E$46,"Double Chance 1X",Selections!$K$6:$K$46,"WON")</f>
        <v>2</v>
      </c>
      <c r="F18" s="19">
        <f>COUNTIFS(Selections!$E$6:$E$46,"Double Chance 1X",Selections!$K$6:$K$46,"LOST")</f>
        <v>0</v>
      </c>
      <c r="G18" s="19">
        <f>COUNTIFS(Selections!$E$6:$E$46,"Double Chance 1X")-(COUNTIFS(Selections!$E$6:$E$46,"Double Chance 1X",Selections!$K$6:$K$46,"WON")+COUNTIFS(Selections!$E$6:$E$46,"Double Chance 1X",Selections!$K$6:$K$46,"LOST"))</f>
        <v>3</v>
      </c>
      <c r="H18" s="20">
        <f>IF((COUNTIFS(Selections!$E$6:$E$46,"Double Chance 1X",Selections!$K$6:$K$46,"WON")+COUNTIFS(Selections!$E$6:$E$46,"Double Chance 1X",Selections!$K$6:$K$46,"LOST"))=0,"n.a.",COUNTIFS(Selections!$E$6:$E$46,"Double Chance 1X",Selections!$K$6:$K$46,"WON")/(COUNTIFS(Selections!$E$6:$E$46,"Double Chance 1X",Selections!$K$6:$K$46,"WON")+COUNTIFS(Selections!$E$6:$E$46,"Double Chance 1X",Selections!$K$6:$K$46,"LOST")))</f>
        <v>1.0</v>
      </c>
      <c r="I18" s="22">
        <f>SUMIFS(Selections!$M$6:$M$46,Selections!$E$6:$E$46,"Double Chance 1X")</f>
        <v>2</v>
      </c>
      <c r="J18" s="22">
        <f>SUMIFS(Selections!$N$6:$N$46,Selections!$E$6:$E$46,"Double Chance 1X")</f>
        <v>0.47</v>
      </c>
      <c r="K18" s="20">
        <f>IF(SUMIFS(Selections!$M$6:$M$46,Selections!$E$6:$E$46,"Double Chance 1X")=0,"n.a.",SUMIFS(Selections!$N$6:$N$46,Selections!$E$6:$E$46,"Double Chance 1X")/SUMIFS(Selections!$M$6:$M$46,Selections!$E$6:$E$46,"Double Chance 1X"))</f>
        <v>0.235</v>
      </c>
      <c r="L18" s="21">
        <f>IF(SUMIFS(Selections!$T$6:$T$46,Selections!$E$6:$E$46,"Double Chance 1X")=0,"n.a.",SUMIFS(Selections!$O$6:$O$46,Selections!$E$6:$E$46,"Double Chance 1X")/SUMIFS(Selections!$T$6:$T$46,Selections!$E$6:$E$46,"Double Chance 1X"))</f>
        <v>0.03126325569114972</v>
      </c>
      <c r="M18" s="20">
        <f>IF(SUMIFS(Selections!$T$6:$T$46,Selections!$E$6:$E$46,"Double Chance 1X")=0,"n.a.",SUMIFS(Selections!$S$6:$S$46,Selections!$E$6:$E$46,"Double Chance 1X")/SUMIFS(Selections!$T$6:$T$46,Selections!$E$6:$E$46,"Double Chance 1X"))</f>
        <v>0.8246942179771811</v>
      </c>
      <c r="N18" s="20">
        <f>IF(SUMIFS(Selections!$T$6:$T$46,Selections!$E$6:$E$46,"Double Chance 1X")=0,"n.a.",(SUMIFS(Selections!$L$6:$L$46,Selections!$E$6:$E$46,"Double Chance 1X",Selections!$T$6:$T$46,1))/SUMIFS(Selections!$T$6:$T$46,Selections!$E$6:$E$46,"Double Chance 1X"))</f>
        <v>1.0</v>
      </c>
      <c r="O18" s="20">
        <f>IF(SUMIFS(Selections!$T$6:$T$46,Selections!$E$6:$E$46,"Double Chance 1X")=0,"n.a.",(SUMIFS(Selections!$S$6:$S$46,Selections!$E$6:$E$46,"Double Chance 1X")-(SUMIFS(Selections!$L$6:$L$46,Selections!$E$6:$E$46,"Double Chance 1X",Selections!$T$6:$T$46,1)))/SUMIFS(Selections!$T$6:$T$46,Selections!$E$6:$E$46,"Double Chance 1X"))</f>
        <v>-0.17530578202281888</v>
      </c>
      <c r="P18" s="19">
        <f>SUMIFS(Selections!$T$6:$T$46,Selections!$E$6:$E$46,"Double Chance 1X")</f>
        <v>2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(n=2).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COUNTIFS(Selections!$E$6:$E$46,"Double Chance X2")</f>
        <v>5</v>
      </c>
      <c r="D19" s="19">
        <f>(COUNTIFS(Selections!$E$6:$E$46,"Double Chance X2",Selections!$K$6:$K$46,"WON")+COUNTIFS(Selections!$E$6:$E$46,"Double Chance X2",Selections!$K$6:$K$46,"LOST"))</f>
        <v>3</v>
      </c>
      <c r="E19" s="19">
        <f>COUNTIFS(Selections!$E$6:$E$46,"Double Chance X2",Selections!$K$6:$K$46,"WON")</f>
        <v>3</v>
      </c>
      <c r="F19" s="19">
        <f>COUNTIFS(Selections!$E$6:$E$46,"Double Chance X2",Selections!$K$6:$K$46,"LOST")</f>
        <v>0</v>
      </c>
      <c r="G19" s="19">
        <f>COUNTIFS(Selections!$E$6:$E$46,"Double Chance X2")-(COUNTIFS(Selections!$E$6:$E$46,"Double Chance X2",Selections!$K$6:$K$46,"WON")+COUNTIFS(Selections!$E$6:$E$46,"Double Chance X2",Selections!$K$6:$K$46,"LOST"))</f>
        <v>2</v>
      </c>
      <c r="H19" s="20">
        <f>IF((COUNTIFS(Selections!$E$6:$E$46,"Double Chance X2",Selections!$K$6:$K$46,"WON")+COUNTIFS(Selections!$E$6:$E$46,"Double Chance X2",Selections!$K$6:$K$46,"LOST"))=0,"n.a.",COUNTIFS(Selections!$E$6:$E$46,"Double Chance X2",Selections!$K$6:$K$46,"WON")/(COUNTIFS(Selections!$E$6:$E$46,"Double Chance X2",Selections!$K$6:$K$46,"WON")+COUNTIFS(Selections!$E$6:$E$46,"Double Chance X2",Selections!$K$6:$K$46,"LOST")))</f>
        <v>1.0</v>
      </c>
      <c r="I19" s="22">
        <f>SUMIFS(Selections!$M$6:$M$46,Selections!$E$6:$E$46,"Double Chance X2")</f>
        <v>3</v>
      </c>
      <c r="J19" s="22">
        <f>SUMIFS(Selections!$N$6:$N$46,Selections!$E$6:$E$46,"Double Chance X2")</f>
        <v>1.2099999999999997</v>
      </c>
      <c r="K19" s="20">
        <f>IF(SUMIFS(Selections!$M$6:$M$46,Selections!$E$6:$E$46,"Double Chance X2")=0,"n.a.",SUMIFS(Selections!$N$6:$N$46,Selections!$E$6:$E$46,"Double Chance X2")/SUMIFS(Selections!$M$6:$M$46,Selections!$E$6:$E$46,"Double Chance X2"))</f>
        <v>0.40333333333333327</v>
      </c>
      <c r="L19" s="21">
        <f>IF(SUMIFS(Selections!$T$6:$T$46,Selections!$E$6:$E$46,"Double Chance X2")=0,"n.a.",SUMIFS(Selections!$O$6:$O$46,Selections!$E$6:$E$46,"Double Chance X2")/SUMIFS(Selections!$T$6:$T$46,Selections!$E$6:$E$46,"Double Chance X2"))</f>
        <v>0.08317421502946969</v>
      </c>
      <c r="M19" s="20">
        <f>IF(SUMIFS(Selections!$T$6:$T$46,Selections!$E$6:$E$46,"Double Chance X2")=0,"n.a.",SUMIFS(Selections!$S$6:$S$46,Selections!$E$6:$E$46,"Double Chance X2")/SUMIFS(Selections!$T$6:$T$46,Selections!$E$6:$E$46,"Double Chance X2"))</f>
        <v>0.726895137144221</v>
      </c>
      <c r="N19" s="20">
        <f>IF(SUMIFS(Selections!$T$6:$T$46,Selections!$E$6:$E$46,"Double Chance X2")=0,"n.a.",(SUMIFS(Selections!$L$6:$L$46,Selections!$E$6:$E$46,"Double Chance X2",Selections!$T$6:$T$46,1))/SUMIFS(Selections!$T$6:$T$46,Selections!$E$6:$E$46,"Double Chance X2"))</f>
        <v>1.0</v>
      </c>
      <c r="O19" s="20">
        <f>IF(SUMIFS(Selections!$T$6:$T$46,Selections!$E$6:$E$46,"Double Chance X2")=0,"n.a.",(SUMIFS(Selections!$S$6:$S$46,Selections!$E$6:$E$46,"Double Chance X2")-(SUMIFS(Selections!$L$6:$L$46,Selections!$E$6:$E$46,"Double Chance X2",Selections!$T$6:$T$46,1)))/SUMIFS(Selections!$T$6:$T$46,Selections!$E$6:$E$46,"Double Chance X2"))</f>
        <v>-0.27310486285577895</v>
      </c>
      <c r="P19" s="19">
        <f>SUMIFS(Selections!$T$6:$T$46,Selections!$E$6:$E$46,"Double Chance X2")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COUNTIFS(Selections!$E$6:$E$46,"Home win")</f>
        <v>6</v>
      </c>
      <c r="D20" s="19">
        <f>(COUNTIFS(Selections!$E$6:$E$46,"Home win",Selections!$K$6:$K$46,"WON")+COUNTIFS(Selections!$E$6:$E$46,"Home win",Selections!$K$6:$K$46,"LOST"))</f>
        <v>5</v>
      </c>
      <c r="E20" s="19">
        <f>COUNTIFS(Selections!$E$6:$E$46,"Home win",Selections!$K$6:$K$46,"WON")</f>
        <v>5</v>
      </c>
      <c r="F20" s="19">
        <f>COUNTIFS(Selections!$E$6:$E$46,"Home win",Selections!$K$6:$K$46,"LOST")</f>
        <v>0</v>
      </c>
      <c r="G20" s="19">
        <f>COUNTIFS(Selections!$E$6:$E$46,"Home win")-(COUNTIFS(Selections!$E$6:$E$46,"Home win",Selections!$K$6:$K$46,"WON")+COUNTIFS(Selections!$E$6:$E$46,"Home win",Selections!$K$6:$K$46,"LOST"))</f>
        <v>1</v>
      </c>
      <c r="H20" s="20">
        <f>IF((COUNTIFS(Selections!$E$6:$E$46,"Home win",Selections!$K$6:$K$46,"WON")+COUNTIFS(Selections!$E$6:$E$46,"Home win",Selections!$K$6:$K$46,"LOST"))=0,"n.a.",COUNTIFS(Selections!$E$6:$E$46,"Home win",Selections!$K$6:$K$46,"WON")/(COUNTIFS(Selections!$E$6:$E$46,"Home win",Selections!$K$6:$K$46,"WON")+COUNTIFS(Selections!$E$6:$E$46,"Home win",Selections!$K$6:$K$46,"LOST")))</f>
        <v>1.0</v>
      </c>
      <c r="I20" s="22">
        <f>SUMIFS(Selections!$M$6:$M$46,Selections!$E$6:$E$46,"Home win")</f>
        <v>5</v>
      </c>
      <c r="J20" s="22">
        <f>SUMIFS(Selections!$N$6:$N$46,Selections!$E$6:$E$46,"Home win")</f>
        <v>2.5300000000000002</v>
      </c>
      <c r="K20" s="20">
        <f>IF(SUMIFS(Selections!$M$6:$M$46,Selections!$E$6:$E$46,"Home win")=0,"n.a.",SUMIFS(Selections!$N$6:$N$46,Selections!$E$6:$E$46,"Home win")/SUMIFS(Selections!$M$6:$M$46,Selections!$E$6:$E$46,"Home win"))</f>
        <v>0.506</v>
      </c>
      <c r="L20" s="21">
        <f>IF(SUMIFS(Selections!$T$6:$T$46,Selections!$E$6:$E$46,"Home win")=0,"n.a.",SUMIFS(Selections!$O$6:$O$46,Selections!$E$6:$E$46,"Home win")/SUMIFS(Selections!$T$6:$T$46,Selections!$E$6:$E$46,"Home win"))</f>
        <v>0.08395111444229483</v>
      </c>
      <c r="M20" s="20">
        <f>IF(SUMIFS(Selections!$T$6:$T$46,Selections!$E$6:$E$46,"Home win")=0,"n.a.",SUMIFS(Selections!$S$6:$S$46,Selections!$E$6:$E$46,"Home win")/SUMIFS(Selections!$T$6:$T$46,Selections!$E$6:$E$46,"Home win"))</f>
        <v>0.717377401189973</v>
      </c>
      <c r="N20" s="20">
        <f>IF(SUMIFS(Selections!$T$6:$T$46,Selections!$E$6:$E$46,"Home win")=0,"n.a.",(SUMIFS(Selections!$L$6:$L$46,Selections!$E$6:$E$46,"Home win",Selections!$T$6:$T$46,1))/SUMIFS(Selections!$T$6:$T$46,Selections!$E$6:$E$46,"Home win"))</f>
        <v>1.0</v>
      </c>
      <c r="O20" s="20">
        <f>IF(SUMIFS(Selections!$T$6:$T$46,Selections!$E$6:$E$46,"Home win")=0,"n.a.",(SUMIFS(Selections!$S$6:$S$46,Selections!$E$6:$E$46,"Home win")-(SUMIFS(Selections!$L$6:$L$46,Selections!$E$6:$E$46,"Home win",Selections!$T$6:$T$46,1)))/SUMIFS(Selections!$T$6:$T$46,Selections!$E$6:$E$46,"Home win"))</f>
        <v>-0.28262259881002705</v>
      </c>
      <c r="P20" s="19">
        <f>SUMIFS(Selections!$T$6:$T$46,Selections!$E$6:$E$46,"Home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COUNTIFS(Selections!$E$6:$E$46,"Over 1.5")</f>
        <v>8</v>
      </c>
      <c r="D21" s="19">
        <f>(COUNTIFS(Selections!$E$6:$E$46,"Over 1.5",Selections!$K$6:$K$46,"WON")+COUNTIFS(Selections!$E$6:$E$46,"Over 1.5",Selections!$K$6:$K$46,"LOST"))</f>
        <v>6</v>
      </c>
      <c r="E21" s="19">
        <f>COUNTIFS(Selections!$E$6:$E$46,"Over 1.5",Selections!$K$6:$K$46,"WON")</f>
        <v>5</v>
      </c>
      <c r="F21" s="19">
        <f>COUNTIFS(Selections!$E$6:$E$46,"Over 1.5",Selections!$K$6:$K$46,"LOST")</f>
        <v>1</v>
      </c>
      <c r="G21" s="19">
        <f>COUNTIFS(Selections!$E$6:$E$46,"Over 1.5")-(COUNTIFS(Selections!$E$6:$E$46,"Over 1.5",Selections!$K$6:$K$46,"WON")+COUNTIFS(Selections!$E$6:$E$46,"Over 1.5",Selections!$K$6:$K$46,"LOST"))</f>
        <v>2</v>
      </c>
      <c r="H21" s="20">
        <f>IF((COUNTIFS(Selections!$E$6:$E$46,"Over 1.5",Selections!$K$6:$K$46,"WON")+COUNTIFS(Selections!$E$6:$E$46,"Over 1.5",Selections!$K$6:$K$46,"LOST"))=0,"n.a.",COUNTIFS(Selections!$E$6:$E$46,"Over 1.5",Selections!$K$6:$K$46,"WON")/(COUNTIFS(Selections!$E$6:$E$46,"Over 1.5",Selections!$K$6:$K$46,"WON")+COUNTIFS(Selections!$E$6:$E$46,"Over 1.5",Selections!$K$6:$K$46,"LOST")))</f>
        <v>0.8333333333333334</v>
      </c>
      <c r="I21" s="22">
        <f>SUMIFS(Selections!$M$6:$M$46,Selections!$E$6:$E$46,"Over 1.5")</f>
        <v>6</v>
      </c>
      <c r="J21" s="22">
        <f>SUMIFS(Selections!$N$6:$N$46,Selections!$E$6:$E$46,"Over 1.5")</f>
        <v>0.32999999999999985</v>
      </c>
      <c r="K21" s="20">
        <f>IF(SUMIFS(Selections!$M$6:$M$46,Selections!$E$6:$E$46,"Over 1.5")=0,"n.a.",SUMIFS(Selections!$N$6:$N$46,Selections!$E$6:$E$46,"Over 1.5")/SUMIFS(Selections!$M$6:$M$46,Selections!$E$6:$E$46,"Over 1.5"))</f>
        <v>0.05499999999999997</v>
      </c>
      <c r="L21" s="21">
        <f>IF(SUMIFS(Selections!$T$6:$T$46,Selections!$E$6:$E$46,"Over 1.5")=0,"n.a.",SUMIFS(Selections!$O$6:$O$46,Selections!$E$6:$E$46,"Over 1.5")/SUMIFS(Selections!$T$6:$T$46,Selections!$E$6:$E$46,"Over 1.5"))</f>
        <v>0.11632878708164611</v>
      </c>
      <c r="M21" s="20">
        <f>IF(SUMIFS(Selections!$T$6:$T$46,Selections!$E$6:$E$46,"Over 1.5")=0,"n.a.",SUMIFS(Selections!$S$6:$S$46,Selections!$E$6:$E$46,"Over 1.5")/SUMIFS(Selections!$T$6:$T$46,Selections!$E$6:$E$46,"Over 1.5"))</f>
        <v>0.8626789824199815</v>
      </c>
      <c r="N21" s="20">
        <f>IF(SUMIFS(Selections!$T$6:$T$46,Selections!$E$6:$E$46,"Over 1.5")=0,"n.a.",(SUMIFS(Selections!$L$6:$L$46,Selections!$E$6:$E$46,"Over 1.5",Selections!$T$6:$T$46,1))/SUMIFS(Selections!$T$6:$T$46,Selections!$E$6:$E$46,"Over 1.5"))</f>
        <v>0.8333333333333334</v>
      </c>
      <c r="O21" s="20">
        <f>IF(SUMIFS(Selections!$T$6:$T$46,Selections!$E$6:$E$46,"Over 1.5")=0,"n.a.",(SUMIFS(Selections!$S$6:$S$46,Selections!$E$6:$E$46,"Over 1.5")-(SUMIFS(Selections!$L$6:$L$46,Selections!$E$6:$E$46,"Over 1.5",Selections!$T$6:$T$46,1)))/SUMIFS(Selections!$T$6:$T$46,Selections!$E$6:$E$46,"Over 1.5"))</f>
        <v>0.029345649086648162</v>
      </c>
      <c r="P21" s="19">
        <f>SUMIFS(Selections!$T$6:$T$46,Selections!$E$6:$E$46,"Over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COUNTIFS(Selections!$E$6:$E$46,"Under 3.5")</f>
        <v>5</v>
      </c>
      <c r="D22" s="19">
        <f>(COUNTIFS(Selections!$E$6:$E$46,"Under 3.5",Selections!$K$6:$K$46,"WON")+COUNTIFS(Selections!$E$6:$E$46,"Under 3.5",Selections!$K$6:$K$46,"LOST"))</f>
        <v>5</v>
      </c>
      <c r="E22" s="19">
        <f>COUNTIFS(Selections!$E$6:$E$46,"Under 3.5",Selections!$K$6:$K$46,"WON")</f>
        <v>2</v>
      </c>
      <c r="F22" s="19">
        <f>COUNTIFS(Selections!$E$6:$E$46,"Under 3.5",Selections!$K$6:$K$46,"LOST")</f>
        <v>3</v>
      </c>
      <c r="G22" s="19">
        <f>COUNTIFS(Selections!$E$6:$E$46,"Under 3.5")-(COUNTIFS(Selections!$E$6:$E$46,"Under 3.5",Selections!$K$6:$K$46,"WON")+COUNTIFS(Selections!$E$6:$E$46,"Under 3.5",Selections!$K$6:$K$46,"LOST"))</f>
        <v>0</v>
      </c>
      <c r="H22" s="20">
        <f>IF((COUNTIFS(Selections!$E$6:$E$46,"Under 3.5",Selections!$K$6:$K$46,"WON")+COUNTIFS(Selections!$E$6:$E$46,"Under 3.5",Selections!$K$6:$K$46,"LOST"))=0,"n.a.",COUNTIFS(Selections!$E$6:$E$46,"Under 3.5",Selections!$K$6:$K$46,"WON")/(COUNTIFS(Selections!$E$6:$E$46,"Under 3.5",Selections!$K$6:$K$46,"WON")+COUNTIFS(Selections!$E$6:$E$46,"Under 3.5",Selections!$K$6:$K$46,"LOST")))</f>
        <v>0.4</v>
      </c>
      <c r="I22" s="22">
        <f>SUMIFS(Selections!$M$6:$M$46,Selections!$E$6:$E$46,"Under 3.5")</f>
        <v>5</v>
      </c>
      <c r="J22" s="22">
        <f>SUMIFS(Selections!$N$6:$N$46,Selections!$E$6:$E$46,"Under 3.5")</f>
        <v>-2.3</v>
      </c>
      <c r="K22" s="20">
        <f>IF(SUMIFS(Selections!$M$6:$M$46,Selections!$E$6:$E$46,"Under 3.5")=0,"n.a.",SUMIFS(Selections!$N$6:$N$46,Selections!$E$6:$E$46,"Under 3.5")/SUMIFS(Selections!$M$6:$M$46,Selections!$E$6:$E$46,"Under 3.5"))</f>
        <v>-0.45999999999999996</v>
      </c>
      <c r="L22" s="21">
        <f>IF(SUMIFS(Selections!$T$6:$T$46,Selections!$E$6:$E$46,"Under 3.5")=0,"n.a.",SUMIFS(Selections!$O$6:$O$46,Selections!$E$6:$E$46,"Under 3.5")/SUMIFS(Selections!$T$6:$T$46,Selections!$E$6:$E$46,"Under 3.5"))</f>
        <v>0.4093699233539641</v>
      </c>
      <c r="M22" s="20">
        <f>IF(SUMIFS(Selections!$T$6:$T$46,Selections!$E$6:$E$46,"Under 3.5")=0,"n.a.",SUMIFS(Selections!$S$6:$S$46,Selections!$E$6:$E$46,"Under 3.5")/SUMIFS(Selections!$T$6:$T$46,Selections!$E$6:$E$46,"Under 3.5"))</f>
        <v>0.8049432015044351</v>
      </c>
      <c r="N22" s="20">
        <f>IF(SUMIFS(Selections!$T$6:$T$46,Selections!$E$6:$E$46,"Under 3.5")=0,"n.a.",(SUMIFS(Selections!$L$6:$L$46,Selections!$E$6:$E$46,"Under 3.5",Selections!$T$6:$T$46,1))/SUMIFS(Selections!$T$6:$T$46,Selections!$E$6:$E$46,"Under 3.5"))</f>
        <v>0.4</v>
      </c>
      <c r="O22" s="20">
        <f>IF(SUMIFS(Selections!$T$6:$T$46,Selections!$E$6:$E$46,"Under 3.5")=0,"n.a.",(SUMIFS(Selections!$S$6:$S$46,Selections!$E$6:$E$46,"Under 3.5")-(SUMIFS(Selections!$L$6:$L$46,Selections!$E$6:$E$46,"Under 3.5",Selections!$T$6:$T$46,1)))/SUMIFS(Selections!$T$6:$T$46,Selections!$E$6:$E$46,"Under 3.5"))</f>
        <v>0.4049432015044351</v>
      </c>
      <c r="P22" s="19">
        <f>SUMIFS(Selections!$T$6:$T$46,Selections!$E$6:$E$46,"Under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COUNTIFS(Selections!$G$6:$G$46,"48h-top-ten-probability-ev-no-under35-v14")</f>
        <v>19</v>
      </c>
      <c r="D23" s="19">
        <f>(COUNTIFS(Selections!$G$6:$G$46,"48h-top-ten-probability-ev-no-under35-v14",Selections!$K$6:$K$46,"WON")+COUNTIFS(Selections!$G$6:$G$46,"48h-top-ten-probability-ev-no-under35-v14",Selections!$K$6:$K$46,"LOST"))</f>
        <v>7</v>
      </c>
      <c r="E23" s="19">
        <f>COUNTIFS(Selections!$G$6:$G$46,"48h-top-ten-probability-ev-no-under35-v14",Selections!$K$6:$K$46,"WON")</f>
        <v>6</v>
      </c>
      <c r="F23" s="19">
        <f>COUNTIFS(Selections!$G$6:$G$46,"48h-top-ten-probability-ev-no-under35-v14",Selections!$K$6:$K$46,"LOST")</f>
        <v>1</v>
      </c>
      <c r="G23" s="19">
        <f>COUNTIFS(Selections!$G$6:$G$46,"48h-top-ten-probability-ev-no-under35-v14")-(COUNTIFS(Selections!$G$6:$G$46,"48h-top-ten-probability-ev-no-under35-v14",Selections!$K$6:$K$46,"WON")+COUNTIFS(Selections!$G$6:$G$46,"48h-top-ten-probability-ev-no-under35-v14",Selections!$K$6:$K$46,"LOST"))</f>
        <v>12</v>
      </c>
      <c r="H23" s="20">
        <f>IF((COUNTIFS(Selections!$G$6:$G$46,"48h-top-ten-probability-ev-no-under35-v14",Selections!$K$6:$K$46,"WON")+COUNTIFS(Selections!$G$6:$G$46,"48h-top-ten-probability-ev-no-under35-v14",Selections!$K$6:$K$46,"LOST"))=0,"n.a.",COUNTIFS(Selections!$G$6:$G$46,"48h-top-ten-probability-ev-no-under35-v14",Selections!$K$6:$K$46,"WON")/(COUNTIFS(Selections!$G$6:$G$46,"48h-top-ten-probability-ev-no-under35-v14",Selections!$K$6:$K$46,"WON")+COUNTIFS(Selections!$G$6:$G$46,"48h-top-ten-probability-ev-no-under35-v14",Selections!$K$6:$K$46,"LOST")))</f>
        <v>0.8571428571428571</v>
      </c>
      <c r="I23" s="22">
        <f>SUMIFS(Selections!$M$6:$M$46,Selections!$G$6:$G$46,"48h-top-ten-probability-ev-no-under35-v14")</f>
        <v>7</v>
      </c>
      <c r="J23" s="22">
        <f>SUMIFS(Selections!$N$6:$N$46,Selections!$G$6:$G$46,"48h-top-ten-probability-ev-no-under35-v14")</f>
        <v>1.0499999999999998</v>
      </c>
      <c r="K23" s="20">
        <f>IF(SUMIFS(Selections!$M$6:$M$46,Selections!$G$6:$G$46,"48h-top-ten-probability-ev-no-under35-v14")=0,"n.a.",SUMIFS(Selections!$N$6:$N$46,Selections!$G$6:$G$46,"48h-top-ten-probability-ev-no-under35-v14")/SUMIFS(Selections!$M$6:$M$46,Selections!$G$6:$G$46,"48h-top-ten-probability-ev-no-under35-v14"))</f>
        <v>0.14999999999999997</v>
      </c>
      <c r="L23" s="21">
        <f>IF(SUMIFS(Selections!$T$6:$T$46,Selections!$G$6:$G$46,"48h-top-ten-probability-ev-no-under35-v14")=0,"n.a.",SUMIFS(Selections!$O$6:$O$46,Selections!$G$6:$G$46,"48h-top-ten-probability-ev-no-under35-v14")/SUMIFS(Selections!$T$6:$T$46,Selections!$G$6:$G$46,"48h-top-ten-probability-ev-no-under35-v14"))</f>
        <v>0.14695610816590257</v>
      </c>
      <c r="M23" s="20">
        <f>IF(SUMIFS(Selections!$T$6:$T$46,Selections!$G$6:$G$46,"48h-top-ten-probability-ev-no-under35-v14")=0,"n.a.",SUMIFS(Selections!$S$6:$S$46,Selections!$G$6:$G$46,"48h-top-ten-probability-ev-no-under35-v14")/SUMIFS(Selections!$T$6:$T$46,Selections!$G$6:$G$46,"48h-top-ten-probability-ev-no-under35-v14"))</f>
        <v>0.7493258100280961</v>
      </c>
      <c r="N23" s="20">
        <f>IF(SUMIFS(Selections!$T$6:$T$46,Selections!$G$6:$G$46,"48h-top-ten-probability-ev-no-under35-v14")=0,"n.a.",(SUMIFS(Selections!$L$6:$L$46,Selections!$G$6:$G$46,"48h-top-ten-probability-ev-no-under35-v14",Selections!$T$6:$T$46,1))/SUMIFS(Selections!$T$6:$T$46,Selections!$G$6:$G$46,"48h-top-ten-probability-ev-no-under35-v14"))</f>
        <v>0.8571428571428571</v>
      </c>
      <c r="O23" s="20">
        <f>IF(SUMIFS(Selections!$T$6:$T$46,Selections!$G$6:$G$46,"48h-top-ten-probability-ev-no-under35-v14")=0,"n.a.",(SUMIFS(Selections!$S$6:$S$46,Selections!$G$6:$G$46,"48h-top-ten-probability-ev-no-under35-v14")-(SUMIFS(Selections!$L$6:$L$46,Selections!$G$6:$G$46,"48h-top-ten-probability-ev-no-under35-v14",Selections!$T$6:$T$46,1)))/SUMIFS(Selections!$T$6:$T$46,Selections!$G$6:$G$46,"48h-top-ten-probability-ev-no-under35-v14"))</f>
        <v>-0.10781704711476103</v>
      </c>
      <c r="P23" s="19">
        <f>SUMIFS(Selections!$T$6:$T$46,Selections!$G$6:$G$46,"48h-top-ten-probability-ev-no-under35-v14")</f>
        <v>7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(n=7).</v>
      </c>
      <c r="R23" s="18"/>
    </row>
    <row r="24" ht="36" customHeight="1">
      <c r="A24" s="18" t="inlineStr">
        <is>
          <t>Policy</t>
        </is>
      </c>
      <c r="B24" s="18" t="inlineStr">
        <is>
          <t>72h-all-markets-ev15-one-book-v6</t>
        </is>
      </c>
      <c r="C24" s="19">
        <f>COUNTIFS(Selections!$G$6:$G$46,"72h-all-markets-ev15-one-book-v6")</f>
        <v>1</v>
      </c>
      <c r="D24" s="19">
        <f>(COUNTIFS(Selections!$G$6:$G$46,"72h-all-markets-ev15-one-book-v6",Selections!$K$6:$K$46,"WON")+COUNTIFS(Selections!$G$6:$G$46,"72h-all-markets-ev15-one-book-v6",Selections!$K$6:$K$46,"LOST"))</f>
        <v>1</v>
      </c>
      <c r="E24" s="19">
        <f>COUNTIFS(Selections!$G$6:$G$46,"72h-all-markets-ev15-one-book-v6",Selections!$K$6:$K$46,"WON")</f>
        <v>1</v>
      </c>
      <c r="F24" s="19">
        <f>COUNTIFS(Selections!$G$6:$G$46,"72h-all-markets-ev15-one-book-v6",Selections!$K$6:$K$46,"LOST")</f>
        <v>0</v>
      </c>
      <c r="G24" s="19">
        <f>COUNTIFS(Selections!$G$6:$G$46,"72h-all-markets-ev15-one-book-v6")-(COUNTIFS(Selections!$G$6:$G$46,"72h-all-markets-ev15-one-book-v6",Selections!$K$6:$K$46,"WON")+COUNTIFS(Selections!$G$6:$G$46,"72h-all-markets-ev15-one-book-v6",Selections!$K$6:$K$46,"LOST"))</f>
        <v>0</v>
      </c>
      <c r="H24" s="20">
        <f>IF((COUNTIFS(Selections!$G$6:$G$46,"72h-all-markets-ev15-one-book-v6",Selections!$K$6:$K$46,"WON")+COUNTIFS(Selections!$G$6:$G$46,"72h-all-markets-ev15-one-book-v6",Selections!$K$6:$K$46,"LOST"))=0,"n.a.",COUNTIFS(Selections!$G$6:$G$46,"72h-all-markets-ev15-one-book-v6",Selections!$K$6:$K$46,"WON")/(COUNTIFS(Selections!$G$6:$G$46,"72h-all-markets-ev15-one-book-v6",Selections!$K$6:$K$46,"WON")+COUNTIFS(Selections!$G$6:$G$46,"72h-all-markets-ev15-one-book-v6",Selections!$K$6:$K$46,"LOST")))</f>
        <v>1.0</v>
      </c>
      <c r="I24" s="22">
        <f>SUMIFS(Selections!$M$6:$M$46,Selections!$G$6:$G$46,"72h-all-markets-ev15-one-book-v6")</f>
        <v>1</v>
      </c>
      <c r="J24" s="22">
        <f>SUMIFS(Selections!$N$6:$N$46,Selections!$G$6:$G$46,"72h-all-markets-ev15-one-book-v6")</f>
        <v>0.44999999999999996</v>
      </c>
      <c r="K24" s="20">
        <f>IF(SUMIFS(Selections!$M$6:$M$46,Selections!$G$6:$G$46,"72h-all-markets-ev15-one-book-v6")=0,"n.a.",SUMIFS(Selections!$N$6:$N$46,Selections!$G$6:$G$46,"72h-all-markets-ev15-one-book-v6")/SUMIFS(Selections!$M$6:$M$46,Selections!$G$6:$G$46,"72h-all-markets-ev15-one-book-v6"))</f>
        <v>0.44999999999999996</v>
      </c>
      <c r="L24" s="21">
        <f>IF(SUMIFS(Selections!$T$6:$T$46,Selections!$G$6:$G$46,"72h-all-markets-ev15-one-book-v6")=0,"n.a.",SUMIFS(Selections!$O$6:$O$46,Selections!$G$6:$G$46,"72h-all-markets-ev15-one-book-v6")/SUMIFS(Selections!$T$6:$T$46,Selections!$G$6:$G$46,"72h-all-markets-ev15-one-book-v6"))</f>
        <v>0.08610395019172555</v>
      </c>
      <c r="M24" s="20">
        <f>IF(SUMIFS(Selections!$T$6:$T$46,Selections!$G$6:$G$46,"72h-all-markets-ev15-one-book-v6")=0,"n.a.",SUMIFS(Selections!$S$6:$S$46,Selections!$G$6:$G$46,"72h-all-markets-ev15-one-book-v6")/SUMIFS(Selections!$T$6:$T$46,Selections!$G$6:$G$46,"72h-all-markets-ev15-one-book-v6"))</f>
        <v>0.706565253946085</v>
      </c>
      <c r="N24" s="20">
        <f>IF(SUMIFS(Selections!$T$6:$T$46,Selections!$G$6:$G$46,"72h-all-markets-ev15-one-book-v6")=0,"n.a.",(SUMIFS(Selections!$L$6:$L$46,Selections!$G$6:$G$46,"72h-all-markets-ev15-one-book-v6",Selections!$T$6:$T$46,1))/SUMIFS(Selections!$T$6:$T$46,Selections!$G$6:$G$46,"72h-all-markets-ev15-one-book-v6"))</f>
        <v>1.0</v>
      </c>
      <c r="O24" s="20">
        <f>IF(SUMIFS(Selections!$T$6:$T$46,Selections!$G$6:$G$46,"72h-all-markets-ev15-one-book-v6")=0,"n.a.",(SUMIFS(Selections!$S$6:$S$46,Selections!$G$6:$G$46,"72h-all-markets-ev15-one-book-v6")-(SUMIFS(Selections!$L$6:$L$46,Selections!$G$6:$G$46,"72h-all-markets-ev15-one-book-v6",Selections!$T$6:$T$46,1)))/SUMIFS(Selections!$T$6:$T$46,Selections!$G$6:$G$46,"72h-all-markets-ev15-one-book-v6"))</f>
        <v>-0.29343474605391495</v>
      </c>
      <c r="P24" s="19">
        <f>SUMIFS(Selections!$T$6:$T$46,Selections!$G$6:$G$46,"72h-all-markets-ev15-one-book-v6")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72h-all-markets-net-ev15-execution-v7</t>
        </is>
      </c>
      <c r="C25" s="19">
        <f>COUNTIFS(Selections!$G$6:$G$46,"72h-all-markets-net-ev15-execution-v7")</f>
        <v>5</v>
      </c>
      <c r="D25" s="19">
        <f>(COUNTIFS(Selections!$G$6:$G$46,"72h-all-markets-net-ev15-execution-v7",Selections!$K$6:$K$46,"WON")+COUNTIFS(Selections!$G$6:$G$46,"72h-all-markets-net-ev15-execution-v7",Selections!$K$6:$K$46,"LOST"))</f>
        <v>4</v>
      </c>
      <c r="E25" s="19">
        <f>COUNTIFS(Selections!$G$6:$G$46,"72h-all-markets-net-ev15-execution-v7",Selections!$K$6:$K$46,"WON")</f>
        <v>4</v>
      </c>
      <c r="F25" s="19">
        <f>COUNTIFS(Selections!$G$6:$G$46,"72h-all-markets-net-ev15-execution-v7",Selections!$K$6:$K$46,"LOST")</f>
        <v>0</v>
      </c>
      <c r="G25" s="19">
        <f>COUNTIFS(Selections!$G$6:$G$46,"72h-all-markets-net-ev15-execution-v7")-(COUNTIFS(Selections!$G$6:$G$46,"72h-all-markets-net-ev15-execution-v7",Selections!$K$6:$K$46,"WON")+COUNTIFS(Selections!$G$6:$G$46,"72h-all-markets-net-ev15-execution-v7",Selections!$K$6:$K$46,"LOST"))</f>
        <v>1</v>
      </c>
      <c r="H25" s="20">
        <f>IF((COUNTIFS(Selections!$G$6:$G$46,"72h-all-markets-net-ev15-execution-v7",Selections!$K$6:$K$46,"WON")+COUNTIFS(Selections!$G$6:$G$46,"72h-all-markets-net-ev15-execution-v7",Selections!$K$6:$K$46,"LOST"))=0,"n.a.",COUNTIFS(Selections!$G$6:$G$46,"72h-all-markets-net-ev15-execution-v7",Selections!$K$6:$K$46,"WON")/(COUNTIFS(Selections!$G$6:$G$46,"72h-all-markets-net-ev15-execution-v7",Selections!$K$6:$K$46,"WON")+COUNTIFS(Selections!$G$6:$G$46,"72h-all-markets-net-ev15-execution-v7",Selections!$K$6:$K$46,"LOST")))</f>
        <v>1.0</v>
      </c>
      <c r="I25" s="22">
        <f>SUMIFS(Selections!$M$6:$M$46,Selections!$G$6:$G$46,"72h-all-markets-net-ev15-execution-v7")</f>
        <v>4</v>
      </c>
      <c r="J25" s="22">
        <f>SUMIFS(Selections!$N$6:$N$46,Selections!$G$6:$G$46,"72h-all-markets-net-ev15-execution-v7")</f>
        <v>1.74</v>
      </c>
      <c r="K25" s="20">
        <f>IF(SUMIFS(Selections!$M$6:$M$46,Selections!$G$6:$G$46,"72h-all-markets-net-ev15-execution-v7")=0,"n.a.",SUMIFS(Selections!$N$6:$N$46,Selections!$G$6:$G$46,"72h-all-markets-net-ev15-execution-v7")/SUMIFS(Selections!$M$6:$M$46,Selections!$G$6:$G$46,"72h-all-markets-net-ev15-execution-v7"))</f>
        <v>0.435</v>
      </c>
      <c r="L25" s="21">
        <f>IF(SUMIFS(Selections!$T$6:$T$46,Selections!$G$6:$G$46,"72h-all-markets-net-ev15-execution-v7")=0,"n.a.",SUMIFS(Selections!$O$6:$O$46,Selections!$G$6:$G$46,"72h-all-markets-net-ev15-execution-v7")/SUMIFS(Selections!$T$6:$T$46,Selections!$G$6:$G$46,"72h-all-markets-net-ev15-execution-v7"))</f>
        <v>0.05403053120768371</v>
      </c>
      <c r="M25" s="20">
        <f>IF(SUMIFS(Selections!$T$6:$T$46,Selections!$G$6:$G$46,"72h-all-markets-net-ev15-execution-v7")=0,"n.a.",SUMIFS(Selections!$S$6:$S$46,Selections!$G$6:$G$46,"72h-all-markets-net-ev15-execution-v7")/SUMIFS(Selections!$T$6:$T$46,Selections!$G$6:$G$46,"72h-all-markets-net-ev15-execution-v7"))</f>
        <v>0.7950551078170468</v>
      </c>
      <c r="N25" s="20">
        <f>IF(SUMIFS(Selections!$T$6:$T$46,Selections!$G$6:$G$46,"72h-all-markets-net-ev15-execution-v7")=0,"n.a.",(SUMIFS(Selections!$L$6:$L$46,Selections!$G$6:$G$46,"72h-all-markets-net-ev15-execution-v7",Selections!$T$6:$T$46,1))/SUMIFS(Selections!$T$6:$T$46,Selections!$G$6:$G$46,"72h-all-markets-net-ev15-execution-v7"))</f>
        <v>1.0</v>
      </c>
      <c r="O25" s="20">
        <f>IF(SUMIFS(Selections!$T$6:$T$46,Selections!$G$6:$G$46,"72h-all-markets-net-ev15-execution-v7")=0,"n.a.",(SUMIFS(Selections!$S$6:$S$46,Selections!$G$6:$G$46,"72h-all-markets-net-ev15-execution-v7")-(SUMIFS(Selections!$L$6:$L$46,Selections!$G$6:$G$46,"72h-all-markets-net-ev15-execution-v7",Selections!$T$6:$T$46,1)))/SUMIFS(Selections!$T$6:$T$46,Selections!$G$6:$G$46,"72h-all-markets-net-ev15-execution-v7"))</f>
        <v>-0.2049448921829532</v>
      </c>
      <c r="P25" s="19">
        <f>SUMIFS(Selections!$T$6:$T$46,Selections!$G$6:$G$46,"72h-all-markets-net-ev15-execution-v7")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Policy</t>
        </is>
      </c>
      <c r="B26" s="18" t="inlineStr">
        <is>
          <t>72h-seven-markets-fresh-references-net-ev15-v11</t>
        </is>
      </c>
      <c r="C26" s="19">
        <f>COUNTIFS(Selections!$G$6:$G$46,"72h-seven-markets-fresh-references-net-ev15-v11")</f>
        <v>5</v>
      </c>
      <c r="D26" s="19">
        <f>(COUNTIFS(Selections!$G$6:$G$46,"72h-seven-markets-fresh-references-net-ev15-v11",Selections!$K$6:$K$46,"WON")+COUNTIFS(Selections!$G$6:$G$46,"72h-seven-markets-fresh-references-net-ev15-v11",Selections!$K$6:$K$46,"LOST"))</f>
        <v>5</v>
      </c>
      <c r="E26" s="19">
        <f>COUNTIFS(Selections!$G$6:$G$46,"72h-seven-markets-fresh-references-net-ev15-v11",Selections!$K$6:$K$46,"WON")</f>
        <v>4</v>
      </c>
      <c r="F26" s="19">
        <f>COUNTIFS(Selections!$G$6:$G$46,"72h-seven-markets-fresh-references-net-ev15-v11",Selections!$K$6:$K$46,"LOST")</f>
        <v>1</v>
      </c>
      <c r="G26" s="19">
        <f>COUNTIFS(Selections!$G$6:$G$46,"72h-seven-markets-fresh-references-net-ev15-v11")-(COUNTIFS(Selections!$G$6:$G$46,"72h-seven-markets-fresh-references-net-ev15-v11",Selections!$K$6:$K$46,"WON")+COUNTIFS(Selections!$G$6:$G$46,"72h-seven-markets-fresh-references-net-ev15-v11",Selections!$K$6:$K$46,"LOST"))</f>
        <v>0</v>
      </c>
      <c r="H26" s="20">
        <f>IF((COUNTIFS(Selections!$G$6:$G$46,"72h-seven-markets-fresh-references-net-ev15-v11",Selections!$K$6:$K$46,"WON")+COUNTIFS(Selections!$G$6:$G$46,"72h-seven-markets-fresh-references-net-ev15-v11",Selections!$K$6:$K$46,"LOST"))=0,"n.a.",COUNTIFS(Selections!$G$6:$G$46,"72h-seven-markets-fresh-references-net-ev15-v11",Selections!$K$6:$K$46,"WON")/(COUNTIFS(Selections!$G$6:$G$46,"72h-seven-markets-fresh-references-net-ev15-v11",Selections!$K$6:$K$46,"WON")+COUNTIFS(Selections!$G$6:$G$46,"72h-seven-markets-fresh-references-net-ev15-v11",Selections!$K$6:$K$46,"LOST")))</f>
        <v>0.8</v>
      </c>
      <c r="I26" s="22">
        <f>SUMIFS(Selections!$M$6:$M$46,Selections!$G$6:$G$46,"72h-seven-markets-fresh-references-net-ev15-v11")</f>
        <v>5</v>
      </c>
      <c r="J26" s="22">
        <f>SUMIFS(Selections!$N$6:$N$46,Selections!$G$6:$G$46,"72h-seven-markets-fresh-references-net-ev15-v11")</f>
        <v>0.3600000000000001</v>
      </c>
      <c r="K26" s="20">
        <f>IF(SUMIFS(Selections!$M$6:$M$46,Selections!$G$6:$G$46,"72h-seven-markets-fresh-references-net-ev15-v11")=0,"n.a.",SUMIFS(Selections!$N$6:$N$46,Selections!$G$6:$G$46,"72h-seven-markets-fresh-references-net-ev15-v11")/SUMIFS(Selections!$M$6:$M$46,Selections!$G$6:$G$46,"72h-seven-markets-fresh-references-net-ev15-v11"))</f>
        <v>0.07200000000000002</v>
      </c>
      <c r="L26" s="21">
        <f>IF(SUMIFS(Selections!$T$6:$T$46,Selections!$G$6:$G$46,"72h-seven-markets-fresh-references-net-ev15-v11")=0,"n.a.",SUMIFS(Selections!$O$6:$O$46,Selections!$G$6:$G$46,"72h-seven-markets-fresh-references-net-ev15-v11")/SUMIFS(Selections!$T$6:$T$46,Selections!$G$6:$G$46,"72h-seven-markets-fresh-references-net-ev15-v11"))</f>
        <v>0.12900891729637554</v>
      </c>
      <c r="M26" s="20">
        <f>IF(SUMIFS(Selections!$T$6:$T$46,Selections!$G$6:$G$46,"72h-seven-markets-fresh-references-net-ev15-v11")=0,"n.a.",SUMIFS(Selections!$S$6:$S$46,Selections!$G$6:$G$46,"72h-seven-markets-fresh-references-net-ev15-v11")/SUMIFS(Selections!$T$6:$T$46,Selections!$G$6:$G$46,"72h-seven-markets-fresh-references-net-ev15-v11"))</f>
        <v>0.7527708085856005</v>
      </c>
      <c r="N26" s="20">
        <f>IF(SUMIFS(Selections!$T$6:$T$46,Selections!$G$6:$G$46,"72h-seven-markets-fresh-references-net-ev15-v11")=0,"n.a.",(SUMIFS(Selections!$L$6:$L$46,Selections!$G$6:$G$46,"72h-seven-markets-fresh-references-net-ev15-v11",Selections!$T$6:$T$46,1))/SUMIFS(Selections!$T$6:$T$46,Selections!$G$6:$G$46,"72h-seven-markets-fresh-references-net-ev15-v11"))</f>
        <v>0.8</v>
      </c>
      <c r="O26" s="20">
        <f>IF(SUMIFS(Selections!$T$6:$T$46,Selections!$G$6:$G$46,"72h-seven-markets-fresh-references-net-ev15-v11")=0,"n.a.",(SUMIFS(Selections!$S$6:$S$46,Selections!$G$6:$G$46,"72h-seven-markets-fresh-references-net-ev15-v11")-(SUMIFS(Selections!$L$6:$L$46,Selections!$G$6:$G$46,"72h-seven-markets-fresh-references-net-ev15-v11",Selections!$T$6:$T$46,1)))/SUMIFS(Selections!$T$6:$T$46,Selections!$G$6:$G$46,"72h-seven-markets-fresh-references-net-ev15-v11"))</f>
        <v>-0.04722919141439952</v>
      </c>
      <c r="P26" s="19">
        <f>SUMIFS(Selections!$T$6:$T$46,Selections!$G$6:$G$46,"72h-seven-markets-fresh-references-net-ev15-v11")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Policy</t>
        </is>
      </c>
      <c r="B27" s="18" t="inlineStr">
        <is>
          <t>72h-ucl-v2</t>
        </is>
      </c>
      <c r="C27" s="19">
        <f>COUNTIFS(Selections!$G$6:$G$46,"72h-ucl-v2")</f>
        <v>1</v>
      </c>
      <c r="D27" s="19">
        <f>(COUNTIFS(Selections!$G$6:$G$46,"72h-ucl-v2",Selections!$K$6:$K$46,"WON")+COUNTIFS(Selections!$G$6:$G$46,"72h-ucl-v2",Selections!$K$6:$K$46,"LOST"))</f>
        <v>1</v>
      </c>
      <c r="E27" s="19">
        <f>COUNTIFS(Selections!$G$6:$G$46,"72h-ucl-v2",Selections!$K$6:$K$46,"WON")</f>
        <v>1</v>
      </c>
      <c r="F27" s="19">
        <f>COUNTIFS(Selections!$G$6:$G$46,"72h-ucl-v2",Selections!$K$6:$K$46,"LOST")</f>
        <v>0</v>
      </c>
      <c r="G27" s="19">
        <f>COUNTIFS(Selections!$G$6:$G$46,"72h-ucl-v2")-(COUNTIFS(Selections!$G$6:$G$46,"72h-ucl-v2",Selections!$K$6:$K$46,"WON")+COUNTIFS(Selections!$G$6:$G$46,"72h-ucl-v2",Selections!$K$6:$K$46,"LOST"))</f>
        <v>0</v>
      </c>
      <c r="H27" s="20">
        <f>IF((COUNTIFS(Selections!$G$6:$G$46,"72h-ucl-v2",Selections!$K$6:$K$46,"WON")+COUNTIFS(Selections!$G$6:$G$46,"72h-ucl-v2",Selections!$K$6:$K$46,"LOST"))=0,"n.a.",COUNTIFS(Selections!$G$6:$G$46,"72h-ucl-v2",Selections!$K$6:$K$46,"WON")/(COUNTIFS(Selections!$G$6:$G$46,"72h-ucl-v2",Selections!$K$6:$K$46,"WON")+COUNTIFS(Selections!$G$6:$G$46,"72h-ucl-v2",Selections!$K$6:$K$46,"LOST")))</f>
        <v>1.0</v>
      </c>
      <c r="I27" s="22">
        <f>SUMIFS(Selections!$M$6:$M$46,Selections!$G$6:$G$46,"72h-ucl-v2")</f>
        <v>1</v>
      </c>
      <c r="J27" s="22">
        <f>SUMIFS(Selections!$N$6:$N$46,Selections!$G$6:$G$46,"72h-ucl-v2")</f>
        <v>0.28</v>
      </c>
      <c r="K27" s="20">
        <f>IF(SUMIFS(Selections!$M$6:$M$46,Selections!$G$6:$G$46,"72h-ucl-v2")=0,"n.a.",SUMIFS(Selections!$N$6:$N$46,Selections!$G$6:$G$46,"72h-ucl-v2")/SUMIFS(Selections!$M$6:$M$46,Selections!$G$6:$G$46,"72h-ucl-v2"))</f>
        <v>0.28</v>
      </c>
      <c r="L27" s="21">
        <f>IF(SUMIFS(Selections!$T$6:$T$46,Selections!$G$6:$G$46,"72h-ucl-v2")=0,"n.a.",SUMIFS(Selections!$O$6:$O$46,Selections!$G$6:$G$46,"72h-ucl-v2")/SUMIFS(Selections!$T$6:$T$46,Selections!$G$6:$G$46,"72h-ucl-v2"))</f>
        <v>0.041442876272802645</v>
      </c>
      <c r="M27" s="20">
        <f>IF(SUMIFS(Selections!$T$6:$T$46,Selections!$G$6:$G$46,"72h-ucl-v2")=0,"n.a.",SUMIFS(Selections!$S$6:$S$46,Selections!$G$6:$G$46,"72h-ucl-v2")/SUMIFS(Selections!$T$6:$T$46,Selections!$G$6:$G$46,"72h-ucl-v2"))</f>
        <v>0.7964247650798294</v>
      </c>
      <c r="N27" s="20">
        <f>IF(SUMIFS(Selections!$T$6:$T$46,Selections!$G$6:$G$46,"72h-ucl-v2")=0,"n.a.",(SUMIFS(Selections!$L$6:$L$46,Selections!$G$6:$G$46,"72h-ucl-v2",Selections!$T$6:$T$46,1))/SUMIFS(Selections!$T$6:$T$46,Selections!$G$6:$G$46,"72h-ucl-v2"))</f>
        <v>1.0</v>
      </c>
      <c r="O27" s="20">
        <f>IF(SUMIFS(Selections!$T$6:$T$46,Selections!$G$6:$G$46,"72h-ucl-v2")=0,"n.a.",(SUMIFS(Selections!$S$6:$S$46,Selections!$G$6:$G$46,"72h-ucl-v2")-(SUMIFS(Selections!$L$6:$L$46,Selections!$G$6:$G$46,"72h-ucl-v2",Selections!$T$6:$T$46,1)))/SUMIFS(Selections!$T$6:$T$46,Selections!$G$6:$G$46,"72h-ucl-v2"))</f>
        <v>-0.2035752349201706</v>
      </c>
      <c r="P27" s="19">
        <f>SUMIFS(Selections!$T$6:$T$46,Selections!$G$6:$G$46,"72h-ucl-v2")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72h-ucl-v3</t>
        </is>
      </c>
      <c r="C28" s="19">
        <f>COUNTIFS(Selections!$G$6:$G$46,"72h-ucl-v3")</f>
        <v>7</v>
      </c>
      <c r="D28" s="19">
        <f>(COUNTIFS(Selections!$G$6:$G$46,"72h-ucl-v3",Selections!$K$6:$K$46,"WON")+COUNTIFS(Selections!$G$6:$G$46,"72h-ucl-v3",Selections!$K$6:$K$46,"LOST"))</f>
        <v>6</v>
      </c>
      <c r="E28" s="19">
        <f>COUNTIFS(Selections!$G$6:$G$46,"72h-ucl-v3",Selections!$K$6:$K$46,"WON")</f>
        <v>3</v>
      </c>
      <c r="F28" s="19">
        <f>COUNTIFS(Selections!$G$6:$G$46,"72h-ucl-v3",Selections!$K$6:$K$46,"LOST")</f>
        <v>3</v>
      </c>
      <c r="G28" s="19">
        <f>COUNTIFS(Selections!$G$6:$G$46,"72h-ucl-v3")-(COUNTIFS(Selections!$G$6:$G$46,"72h-ucl-v3",Selections!$K$6:$K$46,"WON")+COUNTIFS(Selections!$G$6:$G$46,"72h-ucl-v3",Selections!$K$6:$K$46,"LOST"))</f>
        <v>1</v>
      </c>
      <c r="H28" s="20">
        <f>IF((COUNTIFS(Selections!$G$6:$G$46,"72h-ucl-v3",Selections!$K$6:$K$46,"WON")+COUNTIFS(Selections!$G$6:$G$46,"72h-ucl-v3",Selections!$K$6:$K$46,"LOST"))=0,"n.a.",COUNTIFS(Selections!$G$6:$G$46,"72h-ucl-v3",Selections!$K$6:$K$46,"WON")/(COUNTIFS(Selections!$G$6:$G$46,"72h-ucl-v3",Selections!$K$6:$K$46,"WON")+COUNTIFS(Selections!$G$6:$G$46,"72h-ucl-v3",Selections!$K$6:$K$46,"LOST")))</f>
        <v>0.5</v>
      </c>
      <c r="I28" s="22">
        <f>SUMIFS(Selections!$M$6:$M$46,Selections!$G$6:$G$46,"72h-ucl-v3")</f>
        <v>6</v>
      </c>
      <c r="J28" s="22">
        <f>SUMIFS(Selections!$N$6:$N$46,Selections!$G$6:$G$46,"72h-ucl-v3")</f>
        <v>-1.7100000000000002</v>
      </c>
      <c r="K28" s="20">
        <f>IF(SUMIFS(Selections!$M$6:$M$46,Selections!$G$6:$G$46,"72h-ucl-v3")=0,"n.a.",SUMIFS(Selections!$N$6:$N$46,Selections!$G$6:$G$46,"72h-ucl-v3")/SUMIFS(Selections!$M$6:$M$46,Selections!$G$6:$G$46,"72h-ucl-v3"))</f>
        <v>-0.28500000000000003</v>
      </c>
      <c r="L28" s="21">
        <f>IF(SUMIFS(Selections!$T$6:$T$46,Selections!$G$6:$G$46,"72h-ucl-v3")=0,"n.a.",SUMIFS(Selections!$O$6:$O$46,Selections!$G$6:$G$46,"72h-ucl-v3")/SUMIFS(Selections!$T$6:$T$46,Selections!$G$6:$G$46,"72h-ucl-v3"))</f>
        <v>0.3538657630451178</v>
      </c>
      <c r="M28" s="20">
        <f>IF(SUMIFS(Selections!$T$6:$T$46,Selections!$G$6:$G$46,"72h-ucl-v3")=0,"n.a.",SUMIFS(Selections!$S$6:$S$46,Selections!$G$6:$G$46,"72h-ucl-v3")/SUMIFS(Selections!$T$6:$T$46,Selections!$G$6:$G$46,"72h-ucl-v3"))</f>
        <v>0.7987491501653422</v>
      </c>
      <c r="N28" s="20">
        <f>IF(SUMIFS(Selections!$T$6:$T$46,Selections!$G$6:$G$46,"72h-ucl-v3")=0,"n.a.",(SUMIFS(Selections!$L$6:$L$46,Selections!$G$6:$G$46,"72h-ucl-v3",Selections!$T$6:$T$46,1))/SUMIFS(Selections!$T$6:$T$46,Selections!$G$6:$G$46,"72h-ucl-v3"))</f>
        <v>0.5</v>
      </c>
      <c r="O28" s="20">
        <f>IF(SUMIFS(Selections!$T$6:$T$46,Selections!$G$6:$G$46,"72h-ucl-v3")=0,"n.a.",(SUMIFS(Selections!$S$6:$S$46,Selections!$G$6:$G$46,"72h-ucl-v3")-(SUMIFS(Selections!$L$6:$L$46,Selections!$G$6:$G$46,"72h-ucl-v3",Selections!$T$6:$T$46,1)))/SUMIFS(Selections!$T$6:$T$46,Selections!$G$6:$G$46,"72h-ucl-v3"))</f>
        <v>0.2987491501653422</v>
      </c>
      <c r="P28" s="19">
        <f>SUMIFS(Selections!$T$6:$T$46,Selections!$G$6:$G$46,"72h-ucl-v3")</f>
        <v>6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(n=6).</v>
      </c>
      <c r="R28" s="18"/>
    </row>
    <row r="29" ht="36" customHeight="1">
      <c r="A29" s="18" t="inlineStr">
        <is>
          <t>Policy</t>
        </is>
      </c>
      <c r="B29" s="18" t="inlineStr">
        <is>
          <t>legacy/unspecified</t>
        </is>
      </c>
      <c r="C29" s="19">
        <f>COUNTIFS(Selections!$G$6:$G$46,"legacy/unspecified")</f>
        <v>3</v>
      </c>
      <c r="D29" s="19">
        <f>(COUNTIFS(Selections!$G$6:$G$46,"legacy/unspecified",Selections!$K$6:$K$46,"WON")+COUNTIFS(Selections!$G$6:$G$46,"legacy/unspecified",Selections!$K$6:$K$46,"LOST"))</f>
        <v>2</v>
      </c>
      <c r="E29" s="19">
        <f>COUNTIFS(Selections!$G$6:$G$46,"legacy/unspecified",Selections!$K$6:$K$46,"WON")</f>
        <v>2</v>
      </c>
      <c r="F29" s="19">
        <f>COUNTIFS(Selections!$G$6:$G$46,"legacy/unspecified",Selections!$K$6:$K$46,"LOST")</f>
        <v>0</v>
      </c>
      <c r="G29" s="19">
        <f>COUNTIFS(Selections!$G$6:$G$46,"legacy/unspecified")-(COUNTIFS(Selections!$G$6:$G$46,"legacy/unspecified",Selections!$K$6:$K$46,"WON")+COUNTIFS(Selections!$G$6:$G$46,"legacy/unspecified",Selections!$K$6:$K$46,"LOST"))</f>
        <v>1</v>
      </c>
      <c r="H29" s="20">
        <f>IF((COUNTIFS(Selections!$G$6:$G$46,"legacy/unspecified",Selections!$K$6:$K$46,"WON")+COUNTIFS(Selections!$G$6:$G$46,"legacy/unspecified",Selections!$K$6:$K$46,"LOST"))=0,"n.a.",COUNTIFS(Selections!$G$6:$G$46,"legacy/unspecified",Selections!$K$6:$K$46,"WON")/(COUNTIFS(Selections!$G$6:$G$46,"legacy/unspecified",Selections!$K$6:$K$46,"WON")+COUNTIFS(Selections!$G$6:$G$46,"legacy/unspecified",Selections!$K$6:$K$46,"LOST")))</f>
        <v>1.0</v>
      </c>
      <c r="I29" s="22">
        <f>SUMIFS(Selections!$M$6:$M$46,Selections!$G$6:$G$46,"legacy/unspecified")</f>
        <v>2</v>
      </c>
      <c r="J29" s="22">
        <f>SUMIFS(Selections!$N$6:$N$46,Selections!$G$6:$G$46,"legacy/unspecified")</f>
        <v>0.6399999999999999</v>
      </c>
      <c r="K29" s="20">
        <f>IF(SUMIFS(Selections!$M$6:$M$46,Selections!$G$6:$G$46,"legacy/unspecified")=0,"n.a.",SUMIFS(Selections!$N$6:$N$46,Selections!$G$6:$G$46,"legacy/unspecified")/SUMIFS(Selections!$M$6:$M$46,Selections!$G$6:$G$46,"legacy/unspecified"))</f>
        <v>0.31999999999999995</v>
      </c>
      <c r="L29" s="21">
        <f>IF(SUMIFS(Selections!$T$6:$T$46,Selections!$G$6:$G$46,"legacy/unspecified")=0,"n.a.",SUMIFS(Selections!$O$6:$O$46,Selections!$G$6:$G$46,"legacy/unspecified")/SUMIFS(Selections!$T$6:$T$46,Selections!$G$6:$G$46,"legacy/unspecified"))</f>
        <v>0.022741501209119913</v>
      </c>
      <c r="M29" s="20">
        <f>IF(SUMIFS(Selections!$T$6:$T$46,Selections!$G$6:$G$46,"legacy/unspecified")=0,"n.a.",SUMIFS(Selections!$S$6:$S$46,Selections!$G$6:$G$46,"legacy/unspecified")/SUMIFS(Selections!$T$6:$T$46,Selections!$G$6:$G$46,"legacy/unspecified"))</f>
        <v>0.8612313600870412</v>
      </c>
      <c r="N29" s="20">
        <f>IF(SUMIFS(Selections!$T$6:$T$46,Selections!$G$6:$G$46,"legacy/unspecified")=0,"n.a.",(SUMIFS(Selections!$L$6:$L$46,Selections!$G$6:$G$46,"legacy/unspecified",Selections!$T$6:$T$46,1))/SUMIFS(Selections!$T$6:$T$46,Selections!$G$6:$G$46,"legacy/unspecified"))</f>
        <v>1.0</v>
      </c>
      <c r="O29" s="20">
        <f>IF(SUMIFS(Selections!$T$6:$T$46,Selections!$G$6:$G$46,"legacy/unspecified")=0,"n.a.",(SUMIFS(Selections!$S$6:$S$46,Selections!$G$6:$G$46,"legacy/unspecified")-(SUMIFS(Selections!$L$6:$L$46,Selections!$G$6:$G$46,"legacy/unspecified",Selections!$T$6:$T$46,1)))/SUMIFS(Selections!$T$6:$T$46,Selections!$G$6:$G$46,"legacy/unspecified"))</f>
        <v>-0.13876863991295885</v>
      </c>
      <c r="P29" s="19">
        <f>SUMIFS(Selections!$T$6:$T$46,Selections!$G$6:$G$46,"legacy/unspecified")</f>
        <v>2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(n=2).</v>
      </c>
      <c r="R29" s="18"/>
    </row>
    <row r="30" ht="36" customHeight="1">
      <c r="A30" s="18" t="inlineStr">
        <is>
          <t>Week</t>
        </is>
      </c>
      <c r="B30" s="18" t="inlineStr">
        <is>
          <t>2026-W41</t>
        </is>
      </c>
      <c r="C30" s="19">
        <f>COUNTIFS(Selections!$P$6:$P$46,"2026-W41")</f>
        <v>5</v>
      </c>
      <c r="D30" s="19">
        <f>(COUNTIFS(Selections!$P$6:$P$46,"2026-W41",Selections!$K$6:$K$46,"WON")+COUNTIFS(Selections!$P$6:$P$46,"2026-W41",Selections!$K$6:$K$46,"LOST"))</f>
        <v>4</v>
      </c>
      <c r="E30" s="19">
        <f>COUNTIFS(Selections!$P$6:$P$46,"2026-W41",Selections!$K$6:$K$46,"WON")</f>
        <v>2</v>
      </c>
      <c r="F30" s="19">
        <f>COUNTIFS(Selections!$P$6:$P$46,"2026-W41",Selections!$K$6:$K$46,"LOST")</f>
        <v>2</v>
      </c>
      <c r="G30" s="19">
        <f>COUNTIFS(Selections!$P$6:$P$46,"2026-W41")-(COUNTIFS(Selections!$P$6:$P$46,"2026-W41",Selections!$K$6:$K$46,"WON")+COUNTIFS(Selections!$P$6:$P$46,"2026-W41",Selections!$K$6:$K$46,"LOST"))</f>
        <v>1</v>
      </c>
      <c r="H30" s="20">
        <f>IF((COUNTIFS(Selections!$P$6:$P$46,"2026-W41",Selections!$K$6:$K$46,"WON")+COUNTIFS(Selections!$P$6:$P$46,"2026-W41",Selections!$K$6:$K$46,"LOST"))=0,"n.a.",COUNTIFS(Selections!$P$6:$P$46,"2026-W41",Selections!$K$6:$K$46,"WON")/(COUNTIFS(Selections!$P$6:$P$46,"2026-W41",Selections!$K$6:$K$46,"WON")+COUNTIFS(Selections!$P$6:$P$46,"2026-W41",Selections!$K$6:$K$46,"LOST")))</f>
        <v>0.5</v>
      </c>
      <c r="I30" s="22">
        <f>SUMIFS(Selections!$M$6:$M$46,Selections!$P$6:$P$46,"2026-W41")</f>
        <v>4</v>
      </c>
      <c r="J30" s="22">
        <f>SUMIFS(Selections!$N$6:$N$46,Selections!$P$6:$P$46,"2026-W41")</f>
        <v>-1.48</v>
      </c>
      <c r="K30" s="20">
        <f>IF(SUMIFS(Selections!$M$6:$M$46,Selections!$P$6:$P$46,"2026-W41")=0,"n.a.",SUMIFS(Selections!$N$6:$N$46,Selections!$P$6:$P$46,"2026-W41")/SUMIFS(Selections!$M$6:$M$46,Selections!$P$6:$P$46,"2026-W41"))</f>
        <v>-0.37</v>
      </c>
      <c r="L30" s="21">
        <f>IF(SUMIFS(Selections!$T$6:$T$46,Selections!$P$6:$P$46,"2026-W41")=0,"n.a.",SUMIFS(Selections!$O$6:$O$46,Selections!$P$6:$P$46,"2026-W41")/SUMIFS(Selections!$T$6:$T$46,Selections!$P$6:$P$46,"2026-W41"))</f>
        <v>0.32924630276534106</v>
      </c>
      <c r="M30" s="20">
        <f>IF(SUMIFS(Selections!$T$6:$T$46,Selections!$P$6:$P$46,"2026-W41")=0,"n.a.",SUMIFS(Selections!$S$6:$S$46,Selections!$P$6:$P$46,"2026-W41")/SUMIFS(Selections!$T$6:$T$46,Selections!$P$6:$P$46,"2026-W41"))</f>
        <v>0.8212200676021444</v>
      </c>
      <c r="N30" s="20">
        <f>IF(SUMIFS(Selections!$T$6:$T$46,Selections!$P$6:$P$46,"2026-W41")=0,"n.a.",(SUMIFS(Selections!$L$6:$L$46,Selections!$P$6:$P$46,"2026-W41",Selections!$T$6:$T$46,1))/SUMIFS(Selections!$T$6:$T$46,Selections!$P$6:$P$46,"2026-W41"))</f>
        <v>0.5</v>
      </c>
      <c r="O30" s="20">
        <f>IF(SUMIFS(Selections!$T$6:$T$46,Selections!$P$6:$P$46,"2026-W41")=0,"n.a.",(SUMIFS(Selections!$S$6:$S$46,Selections!$P$6:$P$46,"2026-W41")-(SUMIFS(Selections!$L$6:$L$46,Selections!$P$6:$P$46,"2026-W41",Selections!$T$6:$T$46,1)))/SUMIFS(Selections!$T$6:$T$46,Selections!$P$6:$P$46,"2026-W41"))</f>
        <v>0.3212200676021444</v>
      </c>
      <c r="P30" s="19">
        <f>SUMIFS(Selections!$T$6:$T$46,Selections!$P$6:$P$46,"2026-W41")</f>
        <v>4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(n=4).</v>
      </c>
      <c r="R30" s="18"/>
    </row>
    <row r="31" ht="36" customHeight="1">
      <c r="A31" s="18" t="inlineStr">
        <is>
          <t>Week</t>
        </is>
      </c>
      <c r="B31" s="18" t="inlineStr">
        <is>
          <t>2026-W42</t>
        </is>
      </c>
      <c r="C31" s="19">
        <f>COUNTIFS(Selections!$P$6:$P$46,"2026-W42")</f>
        <v>24</v>
      </c>
      <c r="D31" s="19">
        <f>(COUNTIFS(Selections!$P$6:$P$46,"2026-W42",Selections!$K$6:$K$46,"WON")+COUNTIFS(Selections!$P$6:$P$46,"2026-W42",Selections!$K$6:$K$46,"LOST"))</f>
        <v>22</v>
      </c>
      <c r="E31" s="19">
        <f>COUNTIFS(Selections!$P$6:$P$46,"2026-W42",Selections!$K$6:$K$46,"WON")</f>
        <v>19</v>
      </c>
      <c r="F31" s="19">
        <f>COUNTIFS(Selections!$P$6:$P$46,"2026-W42",Selections!$K$6:$K$46,"LOST")</f>
        <v>3</v>
      </c>
      <c r="G31" s="19">
        <f>COUNTIFS(Selections!$P$6:$P$46,"2026-W42")-(COUNTIFS(Selections!$P$6:$P$46,"2026-W42",Selections!$K$6:$K$46,"WON")+COUNTIFS(Selections!$P$6:$P$46,"2026-W42",Selections!$K$6:$K$46,"LOST"))</f>
        <v>2</v>
      </c>
      <c r="H31" s="20">
        <f>IF((COUNTIFS(Selections!$P$6:$P$46,"2026-W42",Selections!$K$6:$K$46,"WON")+COUNTIFS(Selections!$P$6:$P$46,"2026-W42",Selections!$K$6:$K$46,"LOST"))=0,"n.a.",COUNTIFS(Selections!$P$6:$P$46,"2026-W42",Selections!$K$6:$K$46,"WON")/(COUNTIFS(Selections!$P$6:$P$46,"2026-W42",Selections!$K$6:$K$46,"WON")+COUNTIFS(Selections!$P$6:$P$46,"2026-W42",Selections!$K$6:$K$46,"LOST")))</f>
        <v>0.8636363636363636</v>
      </c>
      <c r="I31" s="22">
        <f>SUMIFS(Selections!$M$6:$M$46,Selections!$P$6:$P$46,"2026-W42")</f>
        <v>22</v>
      </c>
      <c r="J31" s="22">
        <f>SUMIFS(Selections!$N$6:$N$46,Selections!$P$6:$P$46,"2026-W42")</f>
        <v>4.289999999999999</v>
      </c>
      <c r="K31" s="20">
        <f>IF(SUMIFS(Selections!$M$6:$M$46,Selections!$P$6:$P$46,"2026-W42")=0,"n.a.",SUMIFS(Selections!$N$6:$N$46,Selections!$P$6:$P$46,"2026-W42")/SUMIFS(Selections!$M$6:$M$46,Selections!$P$6:$P$46,"2026-W42"))</f>
        <v>0.19499999999999995</v>
      </c>
      <c r="L31" s="21">
        <f>IF(SUMIFS(Selections!$T$6:$T$46,Selections!$P$6:$P$46,"2026-W42")=0,"n.a.",SUMIFS(Selections!$O$6:$O$46,Selections!$P$6:$P$46,"2026-W42")/SUMIFS(Selections!$T$6:$T$46,Selections!$P$6:$P$46,"2026-W42"))</f>
        <v>0.13041357566209277</v>
      </c>
      <c r="M31" s="20">
        <f>IF(SUMIFS(Selections!$T$6:$T$46,Selections!$P$6:$P$46,"2026-W42")=0,"n.a.",SUMIFS(Selections!$S$6:$S$46,Selections!$P$6:$P$46,"2026-W42")/SUMIFS(Selections!$T$6:$T$46,Selections!$P$6:$P$46,"2026-W42"))</f>
        <v>0.7692010233716516</v>
      </c>
      <c r="N31" s="20">
        <f>IF(SUMIFS(Selections!$T$6:$T$46,Selections!$P$6:$P$46,"2026-W42")=0,"n.a.",(SUMIFS(Selections!$L$6:$L$46,Selections!$P$6:$P$46,"2026-W42",Selections!$T$6:$T$46,1))/SUMIFS(Selections!$T$6:$T$46,Selections!$P$6:$P$46,"2026-W42"))</f>
        <v>0.8636363636363636</v>
      </c>
      <c r="O31" s="20">
        <f>IF(SUMIFS(Selections!$T$6:$T$46,Selections!$P$6:$P$46,"2026-W42")=0,"n.a.",(SUMIFS(Selections!$S$6:$S$46,Selections!$P$6:$P$46,"2026-W42")-(SUMIFS(Selections!$L$6:$L$46,Selections!$P$6:$P$46,"2026-W42",Selections!$T$6:$T$46,1)))/SUMIFS(Selections!$T$6:$T$46,Selections!$P$6:$P$46,"2026-W42"))</f>
        <v>-0.09443534026471201</v>
      </c>
      <c r="P31" s="19">
        <f>SUMIFS(Selections!$T$6:$T$46,Selections!$P$6:$P$46,"2026-W42")</f>
        <v>22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(n=22).</v>
      </c>
      <c r="R31" s="18"/>
    </row>
    <row r="32" ht="36" customHeight="1">
      <c r="A32" s="18" t="inlineStr">
        <is>
          <t>Week</t>
        </is>
      </c>
      <c r="B32" s="18" t="inlineStr">
        <is>
          <t>2026-W43</t>
        </is>
      </c>
      <c r="C32" s="19">
        <f>COUNTIFS(Selections!$P$6:$P$46,"2026-W43")</f>
        <v>12</v>
      </c>
      <c r="D32" s="19">
        <f>(COUNTIFS(Selections!$P$6:$P$46,"2026-W43",Selections!$K$6:$K$46,"WON")+COUNTIFS(Selections!$P$6:$P$46,"2026-W43",Selections!$K$6:$K$46,"LOST"))</f>
        <v>0</v>
      </c>
      <c r="E32" s="19">
        <f>COUNTIFS(Selections!$P$6:$P$46,"2026-W43",Selections!$K$6:$K$46,"WON")</f>
        <v>0</v>
      </c>
      <c r="F32" s="19">
        <f>COUNTIFS(Selections!$P$6:$P$46,"2026-W43",Selections!$K$6:$K$46,"LOST")</f>
        <v>0</v>
      </c>
      <c r="G32" s="19">
        <f>COUNTIFS(Selections!$P$6:$P$46,"2026-W43")-(COUNTIFS(Selections!$P$6:$P$46,"2026-W43",Selections!$K$6:$K$46,"WON")+COUNTIFS(Selections!$P$6:$P$46,"2026-W43",Selections!$K$6:$K$46,"LOST"))</f>
        <v>12</v>
      </c>
      <c r="H32" s="20" t="str">
        <f>IF((COUNTIFS(Selections!$P$6:$P$46,"2026-W43",Selections!$K$6:$K$46,"WON")+COUNTIFS(Selections!$P$6:$P$46,"2026-W43",Selections!$K$6:$K$46,"LOST"))=0,"n.a.",COUNTIFS(Selections!$P$6:$P$46,"2026-W43",Selections!$K$6:$K$46,"WON")/(COUNTIFS(Selections!$P$6:$P$46,"2026-W43",Selections!$K$6:$K$46,"WON")+COUNTIFS(Selections!$P$6:$P$46,"2026-W43",Selections!$K$6:$K$46,"LOST")))</f>
        <v>n.a.</v>
      </c>
      <c r="I32" s="22">
        <f>SUMIFS(Selections!$M$6:$M$46,Selections!$P$6:$P$46,"2026-W43")</f>
        <v>0</v>
      </c>
      <c r="J32" s="22">
        <f>SUMIFS(Selections!$N$6:$N$46,Selections!$P$6:$P$46,"2026-W43")</f>
        <v>0</v>
      </c>
      <c r="K32" s="20" t="str">
        <f>IF(SUMIFS(Selections!$M$6:$M$46,Selections!$P$6:$P$46,"2026-W43")=0,"n.a.",SUMIFS(Selections!$N$6:$N$46,Selections!$P$6:$P$46,"2026-W43")/SUMIFS(Selections!$M$6:$M$46,Selections!$P$6:$P$46,"2026-W43"))</f>
        <v>n.a.</v>
      </c>
      <c r="L32" s="21" t="str">
        <f>IF(SUMIFS(Selections!$T$6:$T$46,Selections!$P$6:$P$46,"2026-W43")=0,"n.a.",SUMIFS(Selections!$O$6:$O$46,Selections!$P$6:$P$46,"2026-W43")/SUMIFS(Selections!$T$6:$T$46,Selections!$P$6:$P$46,"2026-W43"))</f>
        <v>n.a.</v>
      </c>
      <c r="M32" s="20" t="str">
        <f>IF(SUMIFS(Selections!$T$6:$T$46,Selections!$P$6:$P$46,"2026-W43")=0,"n.a.",SUMIFS(Selections!$S$6:$S$46,Selections!$P$6:$P$46,"2026-W43")/SUMIFS(Selections!$T$6:$T$46,Selections!$P$6:$P$46,"2026-W43"))</f>
        <v>n.a.</v>
      </c>
      <c r="N32" s="20" t="str">
        <f>IF(SUMIFS(Selections!$T$6:$T$46,Selections!$P$6:$P$46,"2026-W43")=0,"n.a.",(SUMIFS(Selections!$L$6:$L$46,Selections!$P$6:$P$46,"2026-W43",Selections!$T$6:$T$46,1))/SUMIFS(Selections!$T$6:$T$46,Selections!$P$6:$P$46,"2026-W43"))</f>
        <v>n.a.</v>
      </c>
      <c r="O32" s="20" t="str">
        <f>IF(SUMIFS(Selections!$T$6:$T$46,Selections!$P$6:$P$46,"2026-W43")=0,"n.a.",(SUMIFS(Selections!$S$6:$S$46,Selections!$P$6:$P$46,"2026-W43")-(SUMIFS(Selections!$L$6:$L$46,Selections!$P$6:$P$46,"2026-W43",Selections!$T$6:$T$46,1)))/SUMIFS(Selections!$T$6:$T$46,Selections!$P$6:$P$46,"2026-W43"))</f>
        <v>n.a.</v>
      </c>
      <c r="P32" s="19">
        <f>SUMIFS(Selections!$T$6:$T$46,Selections!$P$6:$P$46,"2026-W43")</f>
        <v>0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(n=0).</v>
      </c>
      <c r="R32" s="18"/>
    </row>
  </sheetData>
  <mergeCells count="2">
    <mergeCell ref="A2:Q2"/>
    <mergeCell ref="A4:Q4"/>
  </mergeCells>
  <conditionalFormatting sqref="K6:K3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COUNTIFS(Selections!$S$6:$S$46,"&gt;="&amp;B6,Selections!$S$6:$S$46,"&lt;"&amp;C6,Selections!$T$6:$T$46,1)</f>
        <v>0</v>
      </c>
      <c r="E6" s="20" t="str">
        <f>IF(D6=0,"n.a.",SUMIFS(Selections!$S$6:$S$46,Selections!$S$6:$S$46,"&gt;="&amp;B6,Selections!$S$6:$S$46,"&lt;"&amp;C6,Selections!$T$6:$T$46,1)/D6)</f>
        <v>n.a.</v>
      </c>
      <c r="F6" s="20" t="str">
        <f>IF(D6=0,"n.a.",SUMIFS(Selections!$L$6:$L$46,Selections!$S$6:$S$46,"&gt;="&amp;B6,Selections!$S$6:$S$46,"&lt;"&amp;C6,Selections!$T$6:$T$46,1)/D6)</f>
        <v>n.a.</v>
      </c>
      <c r="G6" s="20" t="str">
        <f>IF(D6=0,"n.a.",E6-F6)</f>
        <v>n.a.</v>
      </c>
      <c r="H6" s="21" t="str">
        <f>IF(D6=0,"n.a.",SUMIFS(Selections!$O$6:$O$46,Selections!$S$6:$S$46,"&gt;="&amp;B6,Selections!$S$6:$S$46,"&lt;"&amp;C6,Selections!$T$6:$T$46,1)/D6)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COUNTIFS(Selections!$S$6:$S$46,"&gt;="&amp;B7,Selections!$S$6:$S$46,"&lt;"&amp;C7,Selections!$T$6:$T$46,1)</f>
        <v>0</v>
      </c>
      <c r="E7" s="20" t="str">
        <f>IF(D7=0,"n.a.",SUMIFS(Selections!$S$6:$S$46,Selections!$S$6:$S$46,"&gt;="&amp;B7,Selections!$S$6:$S$46,"&lt;"&amp;C7,Selections!$T$6:$T$46,1)/D7)</f>
        <v>n.a.</v>
      </c>
      <c r="F7" s="20" t="str">
        <f>IF(D7=0,"n.a.",SUMIFS(Selections!$L$6:$L$46,Selections!$S$6:$S$46,"&gt;="&amp;B7,Selections!$S$6:$S$46,"&lt;"&amp;C7,Selections!$T$6:$T$46,1)/D7)</f>
        <v>n.a.</v>
      </c>
      <c r="G7" s="20" t="str">
        <f>IF(D7=0,"n.a.",E7-F7)</f>
        <v>n.a.</v>
      </c>
      <c r="H7" s="21" t="str">
        <f>IF(D7=0,"n.a.",SUMIFS(Selections!$O$6:$O$46,Selections!$S$6:$S$46,"&gt;="&amp;B7,Selections!$S$6:$S$46,"&lt;"&amp;C7,Selections!$T$6:$T$46,1)/D7)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COUNTIFS(Selections!$S$6:$S$46,"&gt;="&amp;B8,Selections!$S$6:$S$46,"&lt;"&amp;C8,Selections!$T$6:$T$46,1)</f>
        <v>5</v>
      </c>
      <c r="E8" s="20">
        <f>IF(D8=0,"n.a.",SUMIFS(Selections!$S$6:$S$46,Selections!$S$6:$S$46,"&gt;="&amp;B8,Selections!$S$6:$S$46,"&lt;"&amp;C8,Selections!$T$6:$T$46,1)/D8)</f>
        <v>0.652956145664078</v>
      </c>
      <c r="F8" s="20">
        <f>IF(D8=0,"n.a.",SUMIFS(Selections!$L$6:$L$46,Selections!$S$6:$S$46,"&gt;="&amp;B8,Selections!$S$6:$S$46,"&lt;"&amp;C8,Selections!$T$6:$T$46,1)/D8)</f>
        <v>0.8</v>
      </c>
      <c r="G8" s="20">
        <f>IF(D8=0,"n.a.",E8-F8)</f>
        <v>-0.14704385433592204</v>
      </c>
      <c r="H8" s="21">
        <f>IF(D8=0,"n.a.",SUMIFS(Selections!$O$6:$O$46,Selections!$S$6:$S$46,"&gt;="&amp;B8,Selections!$S$6:$S$46,"&lt;"&amp;C8,Selections!$T$6:$T$46,1)/D8)</f>
        <v>0.18186630444189972</v>
      </c>
      <c r="I8" s="18" t="inlineStr">
        <is>
          <t>Collect more scored forecasts (n=5).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COUNTIFS(Selections!$S$6:$S$46,"&gt;="&amp;B9,Selections!$S$6:$S$46,"&lt;"&amp;C9,Selections!$T$6:$T$46,1)</f>
        <v>10</v>
      </c>
      <c r="E9" s="20">
        <f>IF(D9=0,"n.a.",SUMIFS(Selections!$S$6:$S$46,Selections!$S$6:$S$46,"&gt;="&amp;B9,Selections!$S$6:$S$46,"&lt;"&amp;C9,Selections!$T$6:$T$46,1)/D9)</f>
        <v>0.7555864760496519</v>
      </c>
      <c r="F9" s="20">
        <f>IF(D9=0,"n.a.",SUMIFS(Selections!$L$6:$L$46,Selections!$S$6:$S$46,"&gt;="&amp;B9,Selections!$S$6:$S$46,"&lt;"&amp;C9,Selections!$T$6:$T$46,1)/D9)</f>
        <v>0.8</v>
      </c>
      <c r="G9" s="20">
        <f>IF(D9=0,"n.a.",E9-F9)</f>
        <v>-0.044413523950348144</v>
      </c>
      <c r="H9" s="21">
        <f>IF(D9=0,"n.a.",SUMIFS(Selections!$O$6:$O$46,Selections!$S$6:$S$46,"&gt;="&amp;B9,Selections!$S$6:$S$46,"&lt;"&amp;C9,Selections!$T$6:$T$46,1)/D9)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COUNTIFS(Selections!$S$6:$S$46,"&gt;="&amp;B10,Selections!$S$6:$S$46,"&lt;"&amp;C10,Selections!$T$6:$T$46,1)</f>
        <v>9</v>
      </c>
      <c r="E10" s="20">
        <f>IF(D10=0,"n.a.",SUMIFS(Selections!$S$6:$S$46,Selections!$S$6:$S$46,"&gt;="&amp;B10,Selections!$S$6:$S$46,"&lt;"&amp;C10,Selections!$T$6:$T$46,1)/D10)</f>
        <v>0.835660279924899</v>
      </c>
      <c r="F10" s="20">
        <f>IF(D10=0,"n.a.",SUMIFS(Selections!$L$6:$L$46,Selections!$S$6:$S$46,"&gt;="&amp;B10,Selections!$S$6:$S$46,"&lt;"&amp;C10,Selections!$T$6:$T$46,1)/D10)</f>
        <v>0.7777777777777778</v>
      </c>
      <c r="G10" s="20">
        <f>IF(D10=0,"n.a.",E10-F10)</f>
        <v>0.057882502147121206</v>
      </c>
      <c r="H10" s="21">
        <f>IF(D10=0,"n.a.",SUMIFS(Selections!$O$6:$O$46,Selections!$S$6:$S$46,"&gt;="&amp;B10,Selections!$S$6:$S$46,"&lt;"&amp;C10,Selections!$T$6:$T$46,1)/D10)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COUNTIFS(Selections!$S$6:$S$46,"&gt;="&amp;B11,Selections!$S$6:$S$46,"&lt;"&amp;C11,Selections!$T$6:$T$46,1)</f>
        <v>2</v>
      </c>
      <c r="E11" s="20">
        <f>IF(D11=0,"n.a.",SUMIFS(Selections!$S$6:$S$46,Selections!$S$6:$S$46,"&gt;="&amp;B11,Selections!$S$6:$S$46,"&lt;"&amp;C11,Selections!$T$6:$T$46,1)/D11)</f>
        <v>0.9328573882219562</v>
      </c>
      <c r="F11" s="20">
        <f>IF(D11=0,"n.a.",SUMIFS(Selections!$L$6:$L$46,Selections!$S$6:$S$46,"&gt;="&amp;B11,Selections!$S$6:$S$46,"&lt;"&amp;C11,Selections!$T$6:$T$46,1)/D11)</f>
        <v>1.0</v>
      </c>
      <c r="G11" s="20">
        <f>IF(D11=0,"n.a.",E11-F11)</f>
        <v>-0.06714261177804381</v>
      </c>
      <c r="H11" s="21">
        <f>IF(D11=0,"n.a.",SUMIFS(Selections!$O$6:$O$46,Selections!$S$6:$S$46,"&gt;="&amp;B11,Selections!$S$6:$S$46,"&lt;"&amp;C11,Selections!$T$6:$T$46,1)/D11)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/>
      <c r="K35" s="18" t="inlineStr">
        <is>
          <t>PENDING_KICKOFF_OR_FINAL_SCORE</t>
        </is>
      </c>
      <c r="L35" s="18"/>
      <c r="M35" s="22" t="str">
        <f>IF(AND(ISNUMBER(L35),ISNUMBER(I35),I35&gt;1),'ROI Plan'!$B$5,"")</f>
        <v/>
      </c>
      <c r="N35" s="22" t="str">
        <f>IF(ISNUMBER(M35),M35*(I35*L35-1-U35),"")</f>
        <v/>
      </c>
      <c r="O35" s="21">
        <f>IF(AND(ISNUMBER(L35),ISNUMBER(H35)),(H35-L35)^2,"")</f>
      </c>
      <c r="P35" s="18" t="inlineStr">
        <is>
          <t>2026-W43</t>
        </is>
      </c>
      <c r="Q35" s="18" t="inlineStr">
        <is>
          <t>f7295b8c0c24a17c573629dd27429b0b04eadbc1</t>
        </is>
      </c>
      <c r="R35" s="18"/>
      <c r="S35" s="20">
        <f>IF(AND(ISNUMBER(L35),ISNUMBER(H35)),H35,"")</f>
      </c>
      <c r="T35" s="19">
        <f>IF(AND(ISNUMBER(L35),ISNUMBER(H35)),1,0)</f>
        <v>0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La Liga|getafe|rayo vallecano|2026-10-19</t>
        </is>
      </c>
      <c r="B36" s="23">
        <v>46314.791666666664</v>
      </c>
      <c r="C36" s="18" t="inlineStr">
        <is>
          <t>La Liga</t>
        </is>
      </c>
      <c r="D36" s="18" t="inlineStr">
        <is>
          <t>Getafe vs Rayo Vallecano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48h-top-ten-probability-ev-no-under35-v14</t>
        </is>
      </c>
      <c r="H36" s="20">
        <v>0.6784386194112084</v>
      </c>
      <c r="I36" s="22">
        <v>1.53</v>
      </c>
      <c r="J36" s="18"/>
      <c r="K36" s="18" t="inlineStr">
        <is>
          <t>PENDING_KICKOFF_OR_FINAL_SCORE</t>
        </is>
      </c>
      <c r="L36" s="18"/>
      <c r="M36" s="22" t="str">
        <f>IF(AND(ISNUMBER(L36),ISNUMBER(I36),I36&gt;1),'ROI Plan'!$B$5,"")</f>
        <v/>
      </c>
      <c r="N36" s="22" t="str">
        <f>IF(ISNUMBER(M36),M36*(I36*L36-1-U36),"")</f>
        <v/>
      </c>
      <c r="O36" s="21">
        <f>IF(AND(ISNUMBER(L36),ISNUMBER(H36)),(H36-L36)^2,"")</f>
      </c>
      <c r="P36" s="18" t="inlineStr">
        <is>
          <t>2026-W43</t>
        </is>
      </c>
      <c r="Q36" s="18" t="inlineStr">
        <is>
          <t>ca1e126489f9dedd7d4f5072a6bfa57835dec39c</t>
        </is>
      </c>
      <c r="R36" s="18"/>
      <c r="S36" s="20">
        <f>IF(AND(ISNUMBER(L36),ISNUMBER(H36)),H36,"")</f>
      </c>
      <c r="T36" s="19">
        <f>IF(AND(ISNUMBER(L36),ISNUMBER(H36)),1,0)</f>
        <v>0</v>
      </c>
      <c r="U36" s="22">
        <v>0.0</v>
      </c>
      <c r="V36" t="inlineStr" s="18">
        <is>
          <t>2026-10-19T12:08:39.172353+00:00</t>
        </is>
      </c>
      <c r="W36" t="inlineStr" s="18">
        <is>
          <t>2026-10-19T13:00:42Z</t>
        </is>
      </c>
    </row>
    <row r="37" ht="36" customHeight="1">
      <c r="A37" s="18" t="inlineStr">
        <is>
          <t>Premier League|tottenham|coventry city|2026-10-19</t>
        </is>
      </c>
      <c r="B37" s="23">
        <v>46314.791666666664</v>
      </c>
      <c r="C37" s="18" t="inlineStr">
        <is>
          <t>Premier League</t>
        </is>
      </c>
      <c r="D37" s="18" t="inlineStr">
        <is>
          <t>Tottenham Hotspur vs Coventry City</t>
        </is>
      </c>
      <c r="E37" s="18" t="inlineStr">
        <is>
          <t>Home win</t>
        </is>
      </c>
      <c r="F37" s="18" t="inlineStr">
        <is>
          <t>PROVISIONAL</t>
        </is>
      </c>
      <c r="G37" s="18" t="inlineStr">
        <is>
          <t>legacy/unspecified</t>
        </is>
      </c>
      <c r="H37" s="20">
        <v>0.6624411929150106</v>
      </c>
      <c r="I37" s="22">
        <v>1.54</v>
      </c>
      <c r="J37" s="18"/>
      <c r="K37" s="18" t="inlineStr">
        <is>
          <t>PENDING_KICKOFF_OR_FINAL_SCORE</t>
        </is>
      </c>
      <c r="L37" s="18"/>
      <c r="M37" s="22" t="str">
        <f>IF(AND(ISNUMBER(L37),ISNUMBER(I37),I37&gt;1),'ROI Plan'!$B$5,"")</f>
        <v/>
      </c>
      <c r="N37" s="22" t="str">
        <f>IF(ISNUMBER(M37),M37*(I37*L37-1-U37),"")</f>
        <v/>
      </c>
      <c r="O37" s="21">
        <f>IF(AND(ISNUMBER(L37),ISNUMBER(H37)),(H37-L37)^2,"")</f>
      </c>
      <c r="P37" s="18" t="inlineStr">
        <is>
          <t>2026-W43</t>
        </is>
      </c>
      <c r="Q37" s="18" t="inlineStr">
        <is>
          <t>b9c15c09504aaf57de5ad0957adb91c0e9b37243</t>
        </is>
      </c>
      <c r="R37" s="18"/>
      <c r="S37" s="20">
        <f>IF(AND(ISNUMBER(L37),ISNUMBER(H37)),H37,"")</f>
      </c>
      <c r="T37" s="19">
        <f>IF(AND(ISNUMBER(L37),ISNUMBER(H37)),1,0)</f>
        <v>0</v>
      </c>
      <c r="U37" s="22">
        <v>0.0</v>
      </c>
      <c r="V37" t="inlineStr" s="18">
        <is>
          <t>2026-10-11T06:38:36.451450+00:00</t>
        </is>
      </c>
      <c r="W37" t="inlineStr" s="18">
        <is>
          <t>2026-10-11T06:44:04Z</t>
        </is>
      </c>
    </row>
    <row r="38" ht="36" customHeight="1">
      <c r="A38" s="18" t="inlineStr">
        <is>
          <t>UEFA Champions League|fenerbahce|slavia prague|2026-10-20</t>
        </is>
      </c>
      <c r="B38" s="23">
        <v>46315.697916666664</v>
      </c>
      <c r="C38" s="18" t="inlineStr">
        <is>
          <t>UEFA Champions League</t>
        </is>
      </c>
      <c r="D38" s="18" t="inlineStr">
        <is>
          <t>Fenerbahce vs Slavia Praha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48h-top-ten-probability-ev-no-under35-v14</t>
        </is>
      </c>
      <c r="H38" s="20">
        <v>0.555897002263917</v>
      </c>
      <c r="I38" s="22">
        <v>2.23</v>
      </c>
      <c r="J38" s="18"/>
      <c r="K38" s="18" t="inlineStr">
        <is>
          <t>PENDING_KICKOFF_OR_FINAL_SCORE</t>
        </is>
      </c>
      <c r="L38" s="18"/>
      <c r="M38" s="22" t="str">
        <f>IF(AND(ISNUMBER(L38),ISNUMBER(I38),I38&gt;1),'ROI Plan'!$B$5,"")</f>
        <v/>
      </c>
      <c r="N38" s="22" t="str">
        <f>IF(ISNUMBER(M38),M38*(I38*L38-1-U38),"")</f>
        <v/>
      </c>
      <c r="O38" s="21">
        <f>IF(AND(ISNUMBER(L38),ISNUMBER(H38)),(H38-L38)^2,"")</f>
      </c>
      <c r="P38" s="18" t="inlineStr">
        <is>
          <t>2026-W43</t>
        </is>
      </c>
      <c r="Q38" s="18" t="inlineStr">
        <is>
          <t>ca1e126489f9dedd7d4f5072a6bfa57835dec39c</t>
        </is>
      </c>
      <c r="R38" s="18"/>
      <c r="S38" s="20">
        <f>IF(AND(ISNUMBER(L38),ISNUMBER(H38)),H38,"")</f>
      </c>
      <c r="T38" s="19">
        <f>IF(AND(ISNUMBER(L38),ISNUMBER(H38)),1,0)</f>
        <v>0</v>
      </c>
      <c r="U38" s="22">
        <v>0.0</v>
      </c>
      <c r="V38" t="inlineStr" s="18">
        <is>
          <t>2026-10-19T12:08:39.172353+00:00</t>
        </is>
      </c>
      <c r="W38" t="inlineStr" s="18">
        <is>
          <t>2026-10-19T13:00:42Z</t>
        </is>
      </c>
    </row>
    <row r="39" ht="36" customHeight="1">
      <c r="A39" s="18" t="inlineStr">
        <is>
          <t>UEFA Champions League|sabah fk|borussia dortmund|2026-10-20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Sabah FK vs Borussia Dortmund</t>
        </is>
      </c>
      <c r="E39" s="18" t="inlineStr">
        <is>
          <t>Double Chance 12</t>
        </is>
      </c>
      <c r="F39" s="18" t="inlineStr">
        <is>
          <t>PROVISIONAL</t>
        </is>
      </c>
      <c r="G39" s="18" t="inlineStr">
        <is>
          <t>48h-top-ten-probability-ev-no-under35-v14</t>
        </is>
      </c>
      <c r="H39" s="20">
        <v>0.8354175248475373</v>
      </c>
      <c r="I39" s="22">
        <v>1.15</v>
      </c>
      <c r="J39" s="18"/>
      <c r="K39" s="18" t="inlineStr">
        <is>
          <t>PENDING_KICKOFF_OR_FINAL_SCORE</t>
        </is>
      </c>
      <c r="L39" s="18"/>
      <c r="M39" s="22" t="str">
        <f>IF(AND(ISNUMBER(L39),ISNUMBER(I39),I39&gt;1),'ROI Plan'!$B$5,"")</f>
        <v/>
      </c>
      <c r="N39" s="22" t="str">
        <f>IF(ISNUMBER(M39),M39*(I39*L39-1-U39),"")</f>
        <v/>
      </c>
      <c r="O39" s="21">
        <f>IF(AND(ISNUMBER(L39),ISNUMBER(H39)),(H39-L39)^2,"")</f>
      </c>
      <c r="P39" s="18" t="inlineStr">
        <is>
          <t>2026-W43</t>
        </is>
      </c>
      <c r="Q39" s="18" t="inlineStr">
        <is>
          <t>ca1e126489f9dedd7d4f5072a6bfa57835dec39c</t>
        </is>
      </c>
      <c r="R39" s="18"/>
      <c r="S39" s="20">
        <f>IF(AND(ISNUMBER(L39),ISNUMBER(H39)),H39,"")</f>
      </c>
      <c r="T39" s="19">
        <f>IF(AND(ISNUMBER(L39),ISNUMBER(H39)),1,0)</f>
        <v>0</v>
      </c>
      <c r="U39" s="22">
        <v>0.0</v>
      </c>
      <c r="V39" t="inlineStr" s="18">
        <is>
          <t>2026-10-19T12:08:39.172353+00:00</t>
        </is>
      </c>
      <c r="W39" t="inlineStr" s="18">
        <is>
          <t>2026-10-19T13:00:42Z</t>
        </is>
      </c>
    </row>
    <row r="40" ht="36" customHeight="1">
      <c r="A40" s="18" t="inlineStr">
        <is>
          <t>UEFA Champions League|as roma|sk slovan bratislava|2026-10-20</t>
        </is>
      </c>
      <c r="B40" s="23">
        <v>46315.791666666664</v>
      </c>
      <c r="C40" s="18" t="inlineStr">
        <is>
          <t>UEFA Champions League</t>
        </is>
      </c>
      <c r="D40" s="18" t="inlineStr">
        <is>
          <t>AS Roma vs ŠK Slovan Bratislava</t>
        </is>
      </c>
      <c r="E40" s="18" t="inlineStr">
        <is>
          <t>Both Teams to Score - Yes</t>
        </is>
      </c>
      <c r="F40" s="18" t="inlineStr">
        <is>
          <t>PROVISIONAL</t>
        </is>
      </c>
      <c r="G40" s="18" t="inlineStr">
        <is>
          <t>48h-top-ten-probability-ev-no-under35-v14</t>
        </is>
      </c>
      <c r="H40" s="20">
        <v>0.7099183585128597</v>
      </c>
      <c r="I40" s="22">
        <v>1.81</v>
      </c>
      <c r="J40" s="18"/>
      <c r="K40" s="18" t="inlineStr">
        <is>
          <t>PENDING_KICKOFF_OR_FINAL_SCORE</t>
        </is>
      </c>
      <c r="L40" s="18"/>
      <c r="M40" s="22" t="str">
        <f>IF(AND(ISNUMBER(L40),ISNUMBER(I40),I40&gt;1),'ROI Plan'!$B$5,"")</f>
        <v/>
      </c>
      <c r="N40" s="22" t="str">
        <f>IF(ISNUMBER(M40),M40*(I40*L40-1-U40),"")</f>
        <v/>
      </c>
      <c r="O40" s="21">
        <f>IF(AND(ISNUMBER(L40),ISNUMBER(H40)),(H40-L40)^2,"")</f>
      </c>
      <c r="P40" s="18" t="inlineStr">
        <is>
          <t>2026-W43</t>
        </is>
      </c>
      <c r="Q40" s="18" t="inlineStr">
        <is>
          <t>ca1e126489f9dedd7d4f5072a6bfa57835dec39c</t>
        </is>
      </c>
      <c r="R40" s="18"/>
      <c r="S40" s="20">
        <f>IF(AND(ISNUMBER(L40),ISNUMBER(H40)),H40,"")</f>
      </c>
      <c r="T40" s="19">
        <f>IF(AND(ISNUMBER(L40),ISNUMBER(H40)),1,0)</f>
        <v>0</v>
      </c>
      <c r="U40" s="22">
        <v>0.0</v>
      </c>
      <c r="V40" t="inlineStr" s="18">
        <is>
          <t>2026-10-19T12:08:39.172353+00:00</t>
        </is>
      </c>
      <c r="W40" t="inlineStr" s="18">
        <is>
          <t>2026-10-19T13:00:42Z</t>
        </is>
      </c>
    </row>
    <row r="41" ht="36" customHeight="1">
      <c r="A41" s="18" t="inlineStr">
        <is>
          <t>UEFA Champions League|liverpool|villarreal|2026-10-20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Liverpool vs Villarreal</t>
        </is>
      </c>
      <c r="E41" s="18" t="inlineStr">
        <is>
          <t>Double Chance 12</t>
        </is>
      </c>
      <c r="F41" s="18" t="inlineStr">
        <is>
          <t>PROVISIONAL</t>
        </is>
      </c>
      <c r="G41" s="18" t="inlineStr">
        <is>
          <t>48h-top-ten-probability-ev-no-under35-v14</t>
        </is>
      </c>
      <c r="H41" s="20">
        <v>0.8518420716141538</v>
      </c>
      <c r="I41" s="22">
        <v>1.21</v>
      </c>
      <c r="J41" s="18"/>
      <c r="K41" s="18" t="inlineStr">
        <is>
          <t>PENDING_KICKOFF_OR_FINAL_SCORE</t>
        </is>
      </c>
      <c r="L41" s="18"/>
      <c r="M41" s="22" t="str">
        <f>IF(AND(ISNUMBER(L41),ISNUMBER(I41),I41&gt;1),'ROI Plan'!$B$5,"")</f>
        <v/>
      </c>
      <c r="N41" s="22" t="str">
        <f>IF(ISNUMBER(M41),M41*(I41*L41-1-U41),"")</f>
        <v/>
      </c>
      <c r="O41" s="21">
        <f>IF(AND(ISNUMBER(L41),ISNUMBER(H41)),(H41-L41)^2,"")</f>
      </c>
      <c r="P41" s="18" t="inlineStr">
        <is>
          <t>2026-W43</t>
        </is>
      </c>
      <c r="Q41" s="18" t="inlineStr">
        <is>
          <t>ca1e126489f9dedd7d4f5072a6bfa57835dec39c</t>
        </is>
      </c>
      <c r="R41" s="18"/>
      <c r="S41" s="20">
        <f>IF(AND(ISNUMBER(L41),ISNUMBER(H41)),H41,"")</f>
      </c>
      <c r="T41" s="19">
        <f>IF(AND(ISNUMBER(L41),ISNUMBER(H41)),1,0)</f>
        <v>0</v>
      </c>
      <c r="U41" s="22">
        <v>0.0</v>
      </c>
      <c r="V41" t="inlineStr" s="18">
        <is>
          <t>2026-10-19T12:08:39.172353+00:00</t>
        </is>
      </c>
      <c r="W41" t="inlineStr" s="18">
        <is>
          <t>2026-10-19T13:00:42Z</t>
        </is>
      </c>
    </row>
    <row r="42" ht="36" customHeight="1">
      <c r="A42" s="18" t="inlineStr">
        <is>
          <t>UEFA Champions League|man city|aek athens|2026-10-20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Manchester City vs AEK Athens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48h-top-ten-probability-ev-no-under35-v14</t>
        </is>
      </c>
      <c r="H42" s="20">
        <v>0.9102740231060544</v>
      </c>
      <c r="I42" s="22">
        <v>1.01</v>
      </c>
      <c r="J42" s="18"/>
      <c r="K42" s="18" t="inlineStr">
        <is>
          <t>PENDING_KICKOFF_OR_FINAL_SCORE</t>
        </is>
      </c>
      <c r="L42" s="18"/>
      <c r="M42" s="22" t="str">
        <f>IF(AND(ISNUMBER(L42),ISNUMBER(I42),I42&gt;1),'ROI Plan'!$B$5,"")</f>
        <v/>
      </c>
      <c r="N42" s="22" t="str">
        <f>IF(ISNUMBER(M42),M42*(I42*L42-1-U42),"")</f>
        <v/>
      </c>
      <c r="O42" s="21">
        <f>IF(AND(ISNUMBER(L42),ISNUMBER(H42)),(H42-L42)^2,"")</f>
      </c>
      <c r="P42" s="18" t="inlineStr">
        <is>
          <t>2026-W43</t>
        </is>
      </c>
      <c r="Q42" s="18" t="inlineStr">
        <is>
          <t>ca1e126489f9dedd7d4f5072a6bfa57835dec39c</t>
        </is>
      </c>
      <c r="R42" s="18"/>
      <c r="S42" s="20">
        <f>IF(AND(ISNUMBER(L42),ISNUMBER(H42)),H42,"")</f>
      </c>
      <c r="T42" s="19">
        <f>IF(AND(ISNUMBER(L42),ISNUMBER(H42)),1,0)</f>
        <v>0</v>
      </c>
      <c r="U42" s="22">
        <v>0.0</v>
      </c>
      <c r="V42" t="inlineStr" s="18">
        <is>
          <t>2026-10-19T12:08:39.172353+00:00</t>
        </is>
      </c>
      <c r="W42" t="inlineStr" s="18">
        <is>
          <t>2026-10-19T13:00:42Z</t>
        </is>
      </c>
    </row>
    <row r="43" ht="36" customHeight="1">
      <c r="A43" s="18" t="inlineStr">
        <is>
          <t>UEFA Champions League|napoli|bod glimt|2026-10-20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Napoli vs Bodø/Glimt</t>
        </is>
      </c>
      <c r="E43" s="18" t="inlineStr">
        <is>
          <t>Double Chance 12</t>
        </is>
      </c>
      <c r="F43" s="18" t="inlineStr">
        <is>
          <t>PROVISIONAL</t>
        </is>
      </c>
      <c r="G43" s="18" t="inlineStr">
        <is>
          <t>48h-top-ten-probability-ev-no-under35-v14</t>
        </is>
      </c>
      <c r="H43" s="20">
        <v>0.7872562837592109</v>
      </c>
      <c r="I43" s="22">
        <v>1.23</v>
      </c>
      <c r="J43" s="18"/>
      <c r="K43" s="18" t="inlineStr">
        <is>
          <t>PENDING_KICKOFF_OR_FINAL_SCORE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ca1e126489f9dedd7d4f5072a6bfa57835dec39c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2026-10-19T12:08:39.172353+00:00</t>
        </is>
      </c>
      <c r="W43" t="inlineStr" s="18">
        <is>
          <t>2026-10-19T13:00:42Z</t>
        </is>
      </c>
    </row>
    <row r="44" ht="36" customHeight="1">
      <c r="A44" s="18" t="inlineStr">
        <is>
          <t>UEFA Champions League|paris sg|barcelona|2026-10-20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Paris Saint Germain vs Barcelona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48h-top-ten-probability-ev-no-under35-v14</t>
        </is>
      </c>
      <c r="H44" s="20">
        <v>0.8326006112526709</v>
      </c>
      <c r="I44" s="22">
        <v>1.24</v>
      </c>
      <c r="J44" s="18"/>
      <c r="K44" s="18" t="inlineStr">
        <is>
          <t>PENDING_KICKOFF_OR_FINAL_SCORE</t>
        </is>
      </c>
      <c r="L44" s="18"/>
      <c r="M44" s="22" t="str">
        <f>IF(AND(ISNUMBER(L44),ISNUMBER(I44),I44&gt;1),'ROI Plan'!$B$5,"")</f>
        <v/>
      </c>
      <c r="N44" s="22" t="str">
        <f>IF(ISNUMBER(M44),M44*(I44*L44-1-U44),"")</f>
        <v/>
      </c>
      <c r="O44" s="21">
        <f>IF(AND(ISNUMBER(L44),ISNUMBER(H44)),(H44-L44)^2,"")</f>
      </c>
      <c r="P44" s="18" t="inlineStr">
        <is>
          <t>2026-W43</t>
        </is>
      </c>
      <c r="Q44" s="18" t="inlineStr">
        <is>
          <t>ca1e126489f9dedd7d4f5072a6bfa57835dec39c</t>
        </is>
      </c>
      <c r="R44" s="18"/>
      <c r="S44" s="20">
        <f>IF(AND(ISNUMBER(L44),ISNUMBER(H44)),H44,"")</f>
      </c>
      <c r="T44" s="19">
        <f>IF(AND(ISNUMBER(L44),ISNUMBER(H44)),1,0)</f>
        <v>0</v>
      </c>
      <c r="U44" s="22">
        <v>0.0</v>
      </c>
      <c r="V44" t="inlineStr" s="18">
        <is>
          <t>2026-10-19T12:08:39.172353+00:00</t>
        </is>
      </c>
      <c r="W44" t="inlineStr" s="18">
        <is>
          <t>2026-10-19T13:00:42Z</t>
        </is>
      </c>
    </row>
    <row r="45" ht="36" customHeight="1">
      <c r="A45" s="18" t="inlineStr">
        <is>
          <t>UEFA Champions League|porto|psv|2026-10-20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Porto vs PSV Eindhoven</t>
        </is>
      </c>
      <c r="E45" s="18" t="inlineStr">
        <is>
          <t>Double Chance 12</t>
        </is>
      </c>
      <c r="F45" s="18" t="inlineStr">
        <is>
          <t>PROVISIONAL</t>
        </is>
      </c>
      <c r="G45" s="18" t="inlineStr">
        <is>
          <t>48h-top-ten-probability-ev-no-under35-v14</t>
        </is>
      </c>
      <c r="H45" s="20">
        <v>0.802254983294598</v>
      </c>
      <c r="I45" s="22">
        <v>1.23</v>
      </c>
      <c r="J45" s="18"/>
      <c r="K45" s="18" t="inlineStr">
        <is>
          <t>PENDING_KICKOFF_OR_FINAL_SCORE</t>
        </is>
      </c>
      <c r="L45" s="18"/>
      <c r="M45" s="22" t="str">
        <f>IF(AND(ISNUMBER(L45),ISNUMBER(I45),I45&gt;1),'ROI Plan'!$B$5,"")</f>
        <v/>
      </c>
      <c r="N45" s="22" t="str">
        <f>IF(ISNUMBER(M45),M45*(I45*L45-1-U45),"")</f>
        <v/>
      </c>
      <c r="O45" s="21">
        <f>IF(AND(ISNUMBER(L45),ISNUMBER(H45)),(H45-L45)^2,"")</f>
      </c>
      <c r="P45" s="18" t="inlineStr">
        <is>
          <t>2026-W43</t>
        </is>
      </c>
      <c r="Q45" s="18" t="inlineStr">
        <is>
          <t>ca1e126489f9dedd7d4f5072a6bfa57835dec39c</t>
        </is>
      </c>
      <c r="R45" s="18"/>
      <c r="S45" s="20">
        <f>IF(AND(ISNUMBER(L45),ISNUMBER(H45)),H45,"")</f>
      </c>
      <c r="T45" s="19">
        <f>IF(AND(ISNUMBER(L45),ISNUMBER(H45)),1,0)</f>
        <v>0</v>
      </c>
      <c r="U45" s="22">
        <v>0.0</v>
      </c>
      <c r="V45" t="inlineStr" s="18">
        <is>
          <t>2026-10-19T12:08:39.172353+00:00</t>
        </is>
      </c>
      <c r="W45" t="inlineStr" s="18">
        <is>
          <t>2026-10-19T13:00:42Z</t>
        </is>
      </c>
    </row>
    <row r="46" ht="36" customHeight="1">
      <c r="A46" s="18" t="inlineStr">
        <is>
          <t>UEFA Champions League|vfb stuttgart|ath madrid|2026-10-20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VfB Stuttgart vs Atlético Madrid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48h-top-ten-probability-ev-no-under35-v14</t>
        </is>
      </c>
      <c r="H46" s="20">
        <v>0.7786219889759226</v>
      </c>
      <c r="I46" s="22">
        <v>1.29</v>
      </c>
      <c r="J46" s="18"/>
      <c r="K46" s="18" t="inlineStr">
        <is>
          <t>PENDING_KICKOFF_OR_FINAL_SCORE</t>
        </is>
      </c>
      <c r="L46" s="18"/>
      <c r="M46" s="22" t="str">
        <f>IF(AND(ISNUMBER(L46),ISNUMBER(I46),I46&gt;1),'ROI Plan'!$B$5,"")</f>
        <v/>
      </c>
      <c r="N46" s="22" t="str">
        <f>IF(ISNUMBER(M46),M46*(I46*L46-1-U46),"")</f>
        <v/>
      </c>
      <c r="O46" s="21">
        <f>IF(AND(ISNUMBER(L46),ISNUMBER(H46)),(H46-L46)^2,"")</f>
      </c>
      <c r="P46" s="18" t="inlineStr">
        <is>
          <t>2026-W43</t>
        </is>
      </c>
      <c r="Q46" s="18" t="inlineStr">
        <is>
          <t>ca1e126489f9dedd7d4f5072a6bfa57835dec39c</t>
        </is>
      </c>
      <c r="R46" s="18"/>
      <c r="S46" s="20">
        <f>IF(AND(ISNUMBER(L46),ISNUMBER(H46)),H46,"")</f>
      </c>
      <c r="T46" s="19">
        <f>IF(AND(ISNUMBER(L46),ISNUMBER(H46)),1,0)</f>
        <v>0</v>
      </c>
      <c r="U46" s="22">
        <v>0.0</v>
      </c>
      <c r="V46" t="inlineStr" s="18">
        <is>
          <t>2026-10-19T12:08:39.172353+00:00</t>
        </is>
      </c>
      <c r="W46" t="inlineStr" s="18">
        <is>
          <t>2026-10-19T13:00:42Z</t>
        </is>
      </c>
    </row>
  </sheetData>
  <mergeCells count="2">
    <mergeCell ref="B2:W2"/>
    <mergeCell ref="B4:W4"/>
  </mergeCells>
  <conditionalFormatting sqref="K6:K4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102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5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23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36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0.9473684210526315</v>
      </c>
      <c r="H10" s="18" t="inlineStr">
        <is>
          <t>Approval review</t>
        </is>
      </c>
      <c r="I10" s="18" t="inlineStr">
        <is>
          <t>264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0.18421052631578946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36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0.9473684210526315</v>
      </c>
      <c r="H12" s="18" t="inlineStr">
        <is>
          <t>Approval review</t>
        </is>
      </c>
      <c r="I12" s="18" t="inlineStr">
        <is>
          <t>264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36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0.9473684210526315</v>
      </c>
      <c r="H13" s="18" t="inlineStr">
        <is>
          <t>Approval review</t>
        </is>
      </c>
      <c r="I13" s="18" t="inlineStr">
        <is>
          <t>264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38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0.6666666666666666</v>
      </c>
      <c r="H14" s="18" t="inlineStr">
        <is>
          <t>Approval review</t>
        </is>
      </c>
      <c r="I14" s="18" t="inlineStr">
        <is>
          <t>262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8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1 / 6 ISO weeks</t>
        </is>
      </c>
      <c r="G15" s="20">
        <v>0.34782608695652173</v>
      </c>
      <c r="H15" s="18" t="inlineStr">
        <is>
          <t>Approval review</t>
        </is>
      </c>
      <c r="I15" s="18" t="inlineStr">
        <is>
          <t>292 more paired fixtures; 5 more ISO weeks; Coverage below 80%; 93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18</v>
      </c>
      <c r="D57" s="19">
        <v>7</v>
      </c>
      <c r="E57" s="20">
        <v>0.8571428571428571</v>
      </c>
      <c r="F57" s="18" t="inlineStr">
        <is>
          <t>48.7% to 97.4%</t>
        </is>
      </c>
      <c r="G57" s="20">
        <v>0.14999999999999997</v>
      </c>
      <c r="H57" s="19">
        <v>1.0499999999999998</v>
      </c>
      <c r="I57" s="19">
        <v>0.33000000000000007</v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18</v>
      </c>
      <c r="D59" s="19">
        <v>7</v>
      </c>
      <c r="E59" s="20">
        <v>0.8571428571428571</v>
      </c>
      <c r="F59" s="18" t="inlineStr">
        <is>
          <t>48.7% to 97.4%</t>
        </is>
      </c>
      <c r="G59" s="20">
        <v>0.14999999999999997</v>
      </c>
      <c r="H59" s="19">
        <v>1.0499999999999998</v>
      </c>
      <c r="I59" s="19">
        <v>0.33000000000000007</v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19</v>
      </c>
      <c r="D60" s="19">
        <v>7</v>
      </c>
      <c r="E60" s="20">
        <v>0.7142857142857143</v>
      </c>
      <c r="F60" s="18" t="inlineStr">
        <is>
          <t>35.9% to 91.8%</t>
        </is>
      </c>
      <c r="G60" s="20">
        <v>-0.12142857142857144</v>
      </c>
      <c r="H60" s="19">
        <v>-0.8500000000000001</v>
      </c>
      <c r="I60" s="19">
        <v>1.0</v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19</v>
      </c>
      <c r="D62" s="19">
        <v>7</v>
      </c>
      <c r="E62" s="20">
        <v>0.7142857142857143</v>
      </c>
      <c r="F62" s="18" t="inlineStr">
        <is>
          <t>35.9% to 91.8%</t>
        </is>
      </c>
      <c r="G62" s="20">
        <v>-0.12142857142857144</v>
      </c>
      <c r="H62" s="19">
        <v>-0.8500000000000001</v>
      </c>
      <c r="I62" s="19">
        <v>1.0</v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19</v>
      </c>
      <c r="D63" s="19">
        <v>7</v>
      </c>
      <c r="E63" s="20">
        <v>0.7142857142857143</v>
      </c>
      <c r="F63" s="18" t="inlineStr">
        <is>
          <t>35.9% to 91.8%</t>
        </is>
      </c>
      <c r="G63" s="20">
        <v>-0.12142857142857144</v>
      </c>
      <c r="H63" s="19">
        <v>-0.8500000000000001</v>
      </c>
      <c r="I63" s="19">
        <v>1.0</v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19</v>
      </c>
      <c r="D65" s="19">
        <v>7</v>
      </c>
      <c r="E65" s="20">
        <v>0.7142857142857143</v>
      </c>
      <c r="F65" s="18" t="inlineStr">
        <is>
          <t>35.9% to 91.8%</t>
        </is>
      </c>
      <c r="G65" s="20">
        <v>-0.12142857142857144</v>
      </c>
      <c r="H65" s="19">
        <v>-0.8500000000000001</v>
      </c>
      <c r="I65" s="19">
        <v>1.0</v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18</v>
      </c>
      <c r="D66" s="19">
        <v>7</v>
      </c>
      <c r="E66" s="20">
        <v>0.5714285714285714</v>
      </c>
      <c r="F66" s="18" t="inlineStr">
        <is>
          <t>25.0% to 84.2%</t>
        </is>
      </c>
      <c r="G66" s="20">
        <v>-0.025714285714285738</v>
      </c>
      <c r="H66" s="19">
        <v>-0.18000000000000016</v>
      </c>
      <c r="I66" s="19">
        <v>2.33</v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18</v>
      </c>
      <c r="D68" s="19">
        <v>7</v>
      </c>
      <c r="E68" s="20">
        <v>0.5714285714285714</v>
      </c>
      <c r="F68" s="18" t="inlineStr">
        <is>
          <t>25.0% to 84.2%</t>
        </is>
      </c>
      <c r="G68" s="20">
        <v>-0.025714285714285738</v>
      </c>
      <c r="H68" s="19">
        <v>-0.18000000000000016</v>
      </c>
      <c r="I68" s="19">
        <v>2.33</v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Breakdowns!B30</f>
        <v>2026-W41</v>
      </c>
      <c r="B6" s="19">
        <f>Breakdowns!D30</f>
        <v>4.0</v>
      </c>
      <c r="C6" s="19">
        <f>COUNTIFS(Selections!$P$6:$P$46,A6,Selections!$M$6:$M$46,"&gt;0")</f>
        <v>4.0</v>
      </c>
      <c r="D6" s="22">
        <f>IF(C6=0,"n.a.",Breakdowns!J30)</f>
        <v>-1.48</v>
      </c>
      <c r="E6" s="22">
        <f>IF(SUM($C$6:C6)=0,"n.a.",SUM($D$6:D6))</f>
        <v>-1.48</v>
      </c>
      <c r="F6" s="20">
        <f>Breakdowns!H30</f>
        <v>0.5</v>
      </c>
    </row>
    <row r="7" ht="26" customHeight="1">
      <c r="A7" s="18" t="str">
        <f>Breakdowns!B31</f>
        <v>2026-W42</v>
      </c>
      <c r="B7" s="19">
        <f>Breakdowns!D31</f>
        <v>22.0</v>
      </c>
      <c r="C7" s="19">
        <f>COUNTIFS(Selections!$P$6:$P$46,A7,Selections!$M$6:$M$46,"&gt;0")</f>
        <v>22.0</v>
      </c>
      <c r="D7" s="22">
        <f>IF(C7=0,"n.a.",Breakdowns!J31)</f>
        <v>4.289999999999999</v>
      </c>
      <c r="E7" s="22">
        <f>IF(SUM($C$6:C7)=0,"n.a.",SUM($D$6:D7))</f>
        <v>2.809999999999999</v>
      </c>
      <c r="F7" s="20">
        <f>Breakdowns!H31</f>
        <v>0.8636363636363636</v>
      </c>
    </row>
    <row r="8" ht="26" customHeight="1">
      <c r="A8" s="18" t="str">
        <f>Breakdowns!B32</f>
        <v>2026-W43</v>
      </c>
      <c r="B8" s="19">
        <f>Breakdowns!D32</f>
        <v>0.0</v>
      </c>
      <c r="C8" s="19">
        <f>COUNTIFS(Selections!$P$6:$P$46,A8,Selections!$M$6:$M$46,"&gt;0")</f>
        <v>0</v>
      </c>
      <c r="D8" s="22" t="str">
        <f>IF(C8=0,"n.a.",Breakdowns!J32)</f>
        <v>n.a.</v>
      </c>
      <c r="E8" s="22">
        <f>IF(SUM($C$6:C8)=0,"n.a.",SUM($D$6:D8))</f>
        <v>2.809999999999999</v>
      </c>
      <c r="F8" s="20" t="str">
        <f>Breakdowns!H32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41</v>
      </c>
      <c r="B8" s="19">
        <v>26</v>
      </c>
      <c r="C8" s="19">
        <v>21</v>
      </c>
      <c r="D8" s="19">
        <v>5</v>
      </c>
      <c r="E8" s="19">
        <v>15</v>
      </c>
      <c r="F8" s="20">
        <v>0.807692</v>
      </c>
      <c r="G8" s="20">
        <v>0.108077</v>
      </c>
      <c r="H8" s="19">
        <v>2.81</v>
      </c>
      <c r="I8" s="19">
        <v>34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9</v>
      </c>
      <c r="E13" s="19">
        <v>7</v>
      </c>
      <c r="F13" s="20">
        <v>0.777778</v>
      </c>
      <c r="G13" s="20">
        <v>0.022222</v>
      </c>
      <c r="H13" s="19">
        <v>0.2</v>
      </c>
      <c r="I13" s="19">
        <v>1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7</v>
      </c>
      <c r="E43" s="19">
        <v>6</v>
      </c>
      <c r="F43" s="20">
        <v>0.857143</v>
      </c>
      <c r="G43" s="20">
        <v>0.15</v>
      </c>
      <c r="H43" s="19">
        <v>1.05</v>
      </c>
      <c r="I43" s="19">
        <v>3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0</v>
      </c>
      <c r="E44" s="19">
        <v>0</v>
      </c>
      <c r="F44" s="20"/>
      <c r="G44" s="20"/>
      <c r="H44" s="18"/>
      <c r="I44" s="19">
        <v>10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0</v>
      </c>
      <c r="E45" s="19">
        <v>0</v>
      </c>
      <c r="F45" s="20"/>
      <c r="G45" s="20"/>
      <c r="H45" s="18"/>
      <c r="I45" s="19">
        <v>10</v>
      </c>
    </row>
    <row r="48">
      <c r="A48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8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2026-10-19T15:46:16.388566+00:00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2026-10-18</t>
        </is>
      </c>
      <c r="C13" s="19">
        <v>1968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5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10</v>
      </c>
      <c r="C19" s="19">
        <v>19</v>
      </c>
      <c r="D19" s="19">
        <v>12</v>
      </c>
      <c r="E19" s="20">
        <v>-0.01851904100364299</v>
      </c>
      <c r="F19" s="20">
        <v>0.026288396749904797</v>
      </c>
    </row>
    <row r="20" ht="44" customHeight="1">
      <c r="A20" s="18" t="inlineStr">
        <is>
          <t>pinnacle</t>
        </is>
      </c>
      <c r="B20" s="19">
        <v>12</v>
      </c>
      <c r="C20" s="19">
        <v>17</v>
      </c>
      <c r="D20" s="19">
        <v>12</v>
      </c>
      <c r="E20" s="20">
        <v>-0.025725894738399136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Account availability</t>
        </is>
      </c>
      <c r="B27" s="18" t="inlineStr">
        <is>
          <t>Not verified with bookmaker accounts</t>
        </is>
      </c>
    </row>
    <row r="28" ht="44" customHeight="1">
      <c r="A28" s="18" t="inlineStr">
        <is>
          <t>Bookmakers: 1xBet</t>
        </is>
      </c>
      <c r="B28" s="19">
        <v>10</v>
      </c>
    </row>
    <row r="29" ht="44" customHeight="1">
      <c r="A29" s="18" t="inlineStr">
        <is>
          <t>Costs recorded</t>
        </is>
      </c>
      <c r="B29" s="19">
        <v>10</v>
      </c>
    </row>
    <row r="30" ht="44" customHeight="1">
      <c r="A30" s="18" t="inlineStr">
        <is>
          <t>Exchange quotes</t>
        </is>
      </c>
      <c r="B30" s="19">
        <v>0</v>
      </c>
    </row>
    <row r="31" ht="44" customHeight="1">
      <c r="A31" s="18" t="inlineStr">
        <is>
          <t>Missing quote age</t>
        </is>
      </c>
      <c r="B31" s="19">
        <v>0</v>
      </c>
    </row>
    <row r="32" ht="44" customHeight="1">
      <c r="A32" s="18" t="inlineStr">
        <is>
          <t>Past kickoff count</t>
        </is>
      </c>
      <c r="B32" s="19">
        <v>0</v>
      </c>
    </row>
    <row r="33" ht="44" customHeight="1">
      <c r="A33" s="18" t="inlineStr">
        <is>
          <t>Quote age over 24h</t>
        </is>
      </c>
      <c r="B33" s="19">
        <v>0</v>
      </c>
    </row>
    <row r="34" ht="44" customHeight="1">
      <c r="A34" s="18" t="inlineStr">
        <is>
          <t>Selected quotes</t>
        </is>
      </c>
      <c r="B34" s="19">
        <v>10</v>
      </c>
    </row>
    <row r="35" ht="44" customHeight="1">
      <c r="A35" s="18" t="inlineStr">
        <is>
          <t>Unknown kickoff count</t>
        </is>
      </c>
      <c r="B35" s="19">
        <v>0</v>
      </c>
    </row>
    <row r="36" ht="44" customHeight="1">
      <c r="A36" s="18" t="inlineStr">
        <is>
          <t>Upcoming kickoff count</t>
        </is>
      </c>
      <c r="B36" s="19">
        <v>10</v>
      </c>
    </row>
    <row r="39">
      <c r="A39" s="26" t="inlineStr">
        <is>
          <t>Forecast capture coverage</t>
        </is>
      </c>
    </row>
    <row r="40" ht="34" customHeight="1">
      <c r="A40" s="24" t="inlineStr">
        <is>
          <t>Experiment</t>
        </is>
      </c>
      <c r="B40" s="24" t="inlineStr">
        <is>
          <t>Capture state</t>
        </is>
      </c>
      <c r="C40" s="24" t="inlineStr">
        <is>
          <t>Snapshot count</t>
        </is>
      </c>
    </row>
    <row r="41" ht="44" customHeight="1">
      <c r="A41" s="18" t="inlineStr">
        <is>
          <t>Goal-market blend</t>
        </is>
      </c>
      <c r="B41" s="18" t="inlineStr">
        <is>
          <t>Captured</t>
        </is>
      </c>
      <c r="C41" s="19">
        <v>24</v>
      </c>
    </row>
    <row r="42" ht="44" customHeight="1">
      <c r="A42" s="18" t="inlineStr">
        <is>
          <t>Goal-market blend</t>
        </is>
      </c>
      <c r="B42" s="18" t="inlineStr">
        <is>
          <t>Legacy not recorded</t>
        </is>
      </c>
      <c r="C42" s="19">
        <v>14</v>
      </c>
    </row>
    <row r="43" ht="44" customHeight="1">
      <c r="A43" s="18" t="inlineStr">
        <is>
          <t>Market-led forecasts</t>
        </is>
      </c>
      <c r="B43" s="18" t="inlineStr">
        <is>
          <t>Captured</t>
        </is>
      </c>
      <c r="C43" s="19">
        <v>24</v>
      </c>
    </row>
    <row r="44" ht="44" customHeight="1">
      <c r="A44" s="18" t="inlineStr">
        <is>
          <t>Market-led forecasts</t>
        </is>
      </c>
      <c r="B44" s="18" t="inlineStr">
        <is>
          <t>Legacy not recorded</t>
        </is>
      </c>
      <c r="C44" s="19">
        <v>14</v>
      </c>
    </row>
    <row r="45" ht="44" customHeight="1">
      <c r="A45" s="18" t="inlineStr">
        <is>
          <t>Recency comparison</t>
        </is>
      </c>
      <c r="B45" s="18" t="inlineStr">
        <is>
          <t>Captured</t>
        </is>
      </c>
      <c r="C45" s="19">
        <v>20</v>
      </c>
    </row>
    <row r="46" ht="44" customHeight="1">
      <c r="A46" s="18" t="inlineStr">
        <is>
          <t>Recency comparison</t>
        </is>
      </c>
      <c r="B46" s="18" t="inlineStr">
        <is>
          <t>Legacy not recorded</t>
        </is>
      </c>
      <c r="C46" s="19">
        <v>18</v>
      </c>
    </row>
    <row r="47" ht="44" customHeight="1">
      <c r="A47" s="18" t="inlineStr">
        <is>
          <t>EV filter sensitivity</t>
        </is>
      </c>
      <c r="B47" s="18" t="inlineStr">
        <is>
          <t>Captured</t>
        </is>
      </c>
      <c r="C47" s="19">
        <v>19</v>
      </c>
    </row>
    <row r="48" ht="44" customHeight="1">
      <c r="A48" s="18" t="inlineStr">
        <is>
          <t>EV filter sensitivity</t>
        </is>
      </c>
      <c r="B48" s="18" t="inlineStr">
        <is>
          <t>Legacy not recorded</t>
        </is>
      </c>
      <c r="C48" s="19">
        <v>19</v>
      </c>
    </row>
    <row r="49" ht="44" customHeight="1">
      <c r="A49" s="18" t="inlineStr">
        <is>
          <t>85% market weight</t>
        </is>
      </c>
      <c r="B49" s="18" t="inlineStr">
        <is>
          <t>Captured</t>
        </is>
      </c>
      <c r="C49" s="19">
        <v>17</v>
      </c>
    </row>
    <row r="50" ht="44" customHeight="1">
      <c r="A50" s="18" t="inlineStr">
        <is>
          <t>85% market weight</t>
        </is>
      </c>
      <c r="B50" s="18" t="inlineStr">
        <is>
          <t>Legacy not recorded</t>
        </is>
      </c>
      <c r="C50" s="19">
        <v>20</v>
      </c>
    </row>
    <row r="51" ht="44" customHeight="1">
      <c r="A51" s="18" t="inlineStr">
        <is>
          <t>85% market weight</t>
        </is>
      </c>
      <c r="B51" s="18" t="inlineStr">
        <is>
          <t>Present but rejected</t>
        </is>
      </c>
      <c r="C51" s="19">
        <v>1</v>
      </c>
    </row>
    <row r="52" ht="44" customHeight="1">
      <c r="A52" s="18" t="inlineStr">
        <is>
          <t>Pinnacle totals anchor</t>
        </is>
      </c>
      <c r="B52" s="18" t="inlineStr">
        <is>
          <t>Captured</t>
        </is>
      </c>
      <c r="C52" s="19">
        <v>17</v>
      </c>
    </row>
    <row r="53" ht="44" customHeight="1">
      <c r="A53" s="18" t="inlineStr">
        <is>
          <t>Pinnacle totals anchor</t>
        </is>
      </c>
      <c r="B53" s="18" t="inlineStr">
        <is>
          <t>Legacy not recorded</t>
        </is>
      </c>
      <c r="C53" s="19">
        <v>21</v>
      </c>
    </row>
    <row r="54" ht="44" customHeight="1">
      <c r="A54" s="18" t="inlineStr">
        <is>
          <t>Stronger regularisation (L2=3)</t>
        </is>
      </c>
      <c r="B54" s="18" t="inlineStr">
        <is>
          <t>Legacy not recorded</t>
        </is>
      </c>
      <c r="C54" s="19">
        <v>38</v>
      </c>
    </row>
    <row r="55" ht="44" customHeight="1">
      <c r="A55" s="18" t="inlineStr">
        <is>
          <t>Fixed half-life (480 days)</t>
        </is>
      </c>
      <c r="B55" s="18" t="inlineStr">
        <is>
          <t>Legacy not recorded</t>
        </is>
      </c>
      <c r="C55" s="19">
        <v>38</v>
      </c>
    </row>
    <row r="56" ht="44" customHeight="1">
      <c r="A56" s="18" t="inlineStr">
        <is>
          <t>Probability / calibration policy</t>
        </is>
      </c>
      <c r="B56" s="18" t="inlineStr">
        <is>
          <t>Captured</t>
        </is>
      </c>
      <c r="C56" s="19">
        <v>11</v>
      </c>
    </row>
    <row r="57" ht="44" customHeight="1">
      <c r="A57" s="18" t="inlineStr">
        <is>
          <t>Probability / calibration policy</t>
        </is>
      </c>
      <c r="B57" s="18" t="inlineStr">
        <is>
          <t>Legacy not recorded</t>
        </is>
      </c>
      <c r="C57" s="19">
        <v>26</v>
      </c>
    </row>
    <row r="58" ht="44" customHeight="1">
      <c r="A58" s="18" t="inlineStr">
        <is>
          <t>Probability / calibration policy</t>
        </is>
      </c>
      <c r="B58" s="18" t="inlineStr">
        <is>
          <t>Present but rejected</t>
        </is>
      </c>
      <c r="C58" s="19">
        <v>1</v>
      </c>
    </row>
    <row r="59" ht="44" customHeight="1">
      <c r="A59" s="18" t="inlineStr">
        <is>
          <t>Shortlist probability / EV weights</t>
        </is>
      </c>
      <c r="B59" s="18" t="inlineStr">
        <is>
          <t>Captured</t>
        </is>
      </c>
      <c r="C59" s="19">
        <v>3</v>
      </c>
    </row>
    <row r="60" ht="44" customHeight="1">
      <c r="A60" s="18" t="inlineStr">
        <is>
          <t>Shortlist probability / EV weights</t>
        </is>
      </c>
      <c r="B60" s="18" t="inlineStr">
        <is>
          <t>Legacy not recorded</t>
        </is>
      </c>
      <c r="C60" s="19">
        <v>35</v>
      </c>
    </row>
    <row r="63">
      <c r="A63" s="26" t="inlineStr">
        <is>
          <t>EV sensitivity results</t>
        </is>
      </c>
    </row>
    <row r="64" ht="34" customHeight="1">
      <c r="A64" s="24" t="inlineStr">
        <is>
          <t>EV floor</t>
        </is>
      </c>
      <c r="B64" s="24" t="inlineStr">
        <is>
          <t>Tier</t>
        </is>
      </c>
      <c r="C64" s="24" t="inlineStr">
        <is>
          <t>Selected</t>
        </is>
      </c>
      <c r="D64" s="24" t="inlineStr">
        <is>
          <t>Settled</t>
        </is>
      </c>
      <c r="E64" s="24" t="inlineStr">
        <is>
          <t>Simulated ROI</t>
        </is>
      </c>
      <c r="F64" s="24" t="inlineStr">
        <is>
          <t>Drawdown (units)</t>
        </is>
      </c>
    </row>
    <row r="65" ht="44" customHeight="1">
      <c r="A65" s="20">
        <v>0.015</v>
      </c>
      <c r="B65" s="18" t="inlineStr">
        <is>
          <t>ALL</t>
        </is>
      </c>
      <c r="C65" s="19">
        <v>9</v>
      </c>
      <c r="D65" s="19">
        <v>7</v>
      </c>
      <c r="E65" s="20">
        <v>0.12142857142857141</v>
      </c>
      <c r="F65" s="22">
        <v>1.0</v>
      </c>
    </row>
    <row r="66" ht="44" customHeight="1">
      <c r="A66" s="20">
        <v>0.015</v>
      </c>
      <c r="B66" s="18" t="inlineStr">
        <is>
          <t>STRICT</t>
        </is>
      </c>
      <c r="C66" s="19">
        <v>7</v>
      </c>
      <c r="D66" s="19">
        <v>6</v>
      </c>
      <c r="E66" s="20">
        <v>0.09833333333333331</v>
      </c>
      <c r="F66" s="22">
        <v>1.0</v>
      </c>
    </row>
    <row r="67" ht="44" customHeight="1">
      <c r="A67" s="20">
        <v>0.015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0.03</v>
      </c>
      <c r="B68" s="18" t="inlineStr">
        <is>
          <t>ALL</t>
        </is>
      </c>
      <c r="C68" s="19">
        <v>8</v>
      </c>
      <c r="D68" s="19">
        <v>6</v>
      </c>
      <c r="E68" s="20">
        <v>0.10166666666666664</v>
      </c>
      <c r="F68" s="22">
        <v>1.0</v>
      </c>
    </row>
    <row r="69" ht="44" customHeight="1">
      <c r="A69" s="20">
        <v>0.03</v>
      </c>
      <c r="B69" s="18" t="inlineStr">
        <is>
          <t>STRICT</t>
        </is>
      </c>
      <c r="C69" s="19">
        <v>6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0.03</v>
      </c>
      <c r="B70" s="18" t="inlineStr">
        <is>
          <t>PROVISIONAL</t>
        </is>
      </c>
      <c r="C70" s="19">
        <v>2</v>
      </c>
      <c r="D70" s="19">
        <v>1</v>
      </c>
      <c r="E70" s="20">
        <v>0.26</v>
      </c>
      <c r="F70" s="22">
        <v>0.0</v>
      </c>
    </row>
    <row r="71" ht="44" customHeight="1">
      <c r="A71" s="20">
        <v>0.05</v>
      </c>
      <c r="B71" s="18" t="inlineStr">
        <is>
          <t>ALL</t>
        </is>
      </c>
      <c r="C71" s="19">
        <v>7</v>
      </c>
      <c r="D71" s="19">
        <v>5</v>
      </c>
      <c r="E71" s="20">
        <v>0.06999999999999998</v>
      </c>
      <c r="F71" s="22">
        <v>1.0</v>
      </c>
    </row>
    <row r="72" ht="44" customHeight="1">
      <c r="A72" s="20">
        <v>0.05</v>
      </c>
      <c r="B72" s="18" t="inlineStr">
        <is>
          <t>STRICT</t>
        </is>
      </c>
      <c r="C72" s="19">
        <v>5</v>
      </c>
      <c r="D72" s="19">
        <v>5</v>
      </c>
      <c r="E72" s="20">
        <v>0.06999999999999998</v>
      </c>
      <c r="F72" s="22">
        <v>1.0</v>
      </c>
    </row>
    <row r="73" ht="44" customHeight="1">
      <c r="A73" s="20">
        <v>0.05</v>
      </c>
      <c r="B73" s="18" t="inlineStr">
        <is>
          <t>PROVISIONAL</t>
        </is>
      </c>
      <c r="C73" s="19">
        <v>2</v>
      </c>
      <c r="D73" s="19">
        <v>0</v>
      </c>
      <c r="E73" s="20"/>
      <c r="F73" s="22"/>
    </row>
    <row r="76">
      <c r="A76" s="26" t="inlineStr">
        <is>
          <t>Daily review observations</t>
        </is>
      </c>
    </row>
    <row r="77" ht="34" customHeight="1">
      <c r="A77" s="24" t="inlineStr">
        <is>
          <t>Review date</t>
        </is>
      </c>
      <c r="B77" s="24" t="inlineStr">
        <is>
          <t>Graded</t>
        </is>
      </c>
      <c r="C77" s="24" t="inlineStr">
        <is>
          <t>Win rate</t>
        </is>
      </c>
      <c r="D77" s="24" t="inlineStr">
        <is>
          <t>Simulated ROI</t>
        </is>
      </c>
      <c r="E77" s="24" t="inlineStr">
        <is>
          <t>Brier</t>
        </is>
      </c>
    </row>
    <row r="78" ht="44" customHeight="1">
      <c r="A78" s="18" t="inlineStr">
        <is>
          <t>2026-10-13</t>
        </is>
      </c>
      <c r="B78" s="19">
        <v>9</v>
      </c>
      <c r="C78" s="20">
        <v>0.666667</v>
      </c>
      <c r="D78" s="20">
        <v>-0.096667</v>
      </c>
      <c r="E78" s="21">
        <v>0.250532</v>
      </c>
    </row>
    <row r="79" ht="44" customHeight="1">
      <c r="A79" s="18" t="inlineStr">
        <is>
          <t>2026-10-14</t>
        </is>
      </c>
      <c r="B79" s="19">
        <v>11</v>
      </c>
      <c r="C79" s="20">
        <v>0.727273</v>
      </c>
      <c r="D79" s="20">
        <v>0.01</v>
      </c>
      <c r="E79" s="21">
        <v>0.215932</v>
      </c>
    </row>
    <row r="80" ht="44" customHeight="1">
      <c r="A80" s="18" t="inlineStr">
        <is>
          <t>2026-10-15</t>
        </is>
      </c>
      <c r="B80" s="19">
        <v>11</v>
      </c>
      <c r="C80" s="20">
        <v>0.727273</v>
      </c>
      <c r="D80" s="20">
        <v>0.01</v>
      </c>
      <c r="E80" s="21">
        <v>0.215932</v>
      </c>
    </row>
    <row r="81" ht="44" customHeight="1">
      <c r="A81" s="18" t="inlineStr">
        <is>
          <t>2026-10-16</t>
        </is>
      </c>
      <c r="B81" s="19">
        <v>12</v>
      </c>
      <c r="C81" s="20">
        <v>0.75</v>
      </c>
      <c r="D81" s="20">
        <v>0.031667</v>
      </c>
      <c r="E81" s="21">
        <v>0.199836</v>
      </c>
    </row>
    <row r="82" ht="44" customHeight="1">
      <c r="A82" s="18" t="inlineStr">
        <is>
          <t>2026-10-17</t>
        </is>
      </c>
      <c r="B82" s="19">
        <v>17</v>
      </c>
      <c r="C82" s="20">
        <v>0.764706</v>
      </c>
      <c r="D82" s="20">
        <v>0.044706</v>
      </c>
      <c r="E82" s="21">
        <v>0.178798</v>
      </c>
    </row>
    <row r="83" ht="44" customHeight="1">
      <c r="A83" s="18" t="inlineStr">
        <is>
          <t>2026-10-18</t>
        </is>
      </c>
      <c r="B83" s="19">
        <v>26</v>
      </c>
      <c r="C83" s="20">
        <v>0.807692</v>
      </c>
      <c r="D83" s="20">
        <v>0.108077</v>
      </c>
      <c r="E83" s="21">
        <v>0.161003</v>
      </c>
    </row>
    <row r="84" ht="44" customHeight="1">
      <c r="A84" s="18" t="inlineStr">
        <is>
          <t>2026-10-19</t>
        </is>
      </c>
      <c r="B84" s="19">
        <v>26</v>
      </c>
      <c r="C84" s="20">
        <v>0.807692</v>
      </c>
      <c r="D84" s="20">
        <v>0.108077</v>
      </c>
      <c r="E84" s="21">
        <v>0.161003</v>
      </c>
    </row>
    <row r="87">
      <c r="A87" s="26" t="inlineStr">
        <is>
          <t>Dependency versions</t>
        </is>
      </c>
    </row>
    <row r="88" ht="34" customHeight="1">
      <c r="A88" s="24" t="inlineStr">
        <is>
          <t>Dependency</t>
        </is>
      </c>
      <c r="B88" s="24" t="inlineStr">
        <is>
          <t>Version</t>
        </is>
      </c>
    </row>
    <row r="89" ht="44" customHeight="1">
      <c r="A89" s="18" t="inlineStr">
        <is>
          <t>PyYAML</t>
        </is>
      </c>
      <c r="B89" s="18" t="inlineStr">
        <is>
          <t>NOT_INSTALLED</t>
        </is>
      </c>
    </row>
    <row r="90" ht="44" customHeight="1">
      <c r="A90" s="18" t="inlineStr">
        <is>
          <t>coverage</t>
        </is>
      </c>
      <c r="B90" s="18" t="inlineStr">
        <is>
          <t>NOT_INSTALLED</t>
        </is>
      </c>
    </row>
    <row r="91" ht="44" customHeight="1">
      <c r="A91" s="18" t="inlineStr">
        <is>
          <t>numpy</t>
        </is>
      </c>
      <c r="B91" s="18" t="inlineStr">
        <is>
          <t>2.5.4</t>
        </is>
      </c>
    </row>
    <row r="92" ht="44" customHeight="1">
      <c r="A92" s="18" t="inlineStr">
        <is>
          <t>pandas</t>
        </is>
      </c>
      <c r="B92" s="18" t="inlineStr">
        <is>
          <t>3.0.6</t>
        </is>
      </c>
    </row>
    <row r="93" ht="44" customHeight="1">
      <c r="A93" s="18" t="inlineStr">
        <is>
          <t>python</t>
        </is>
      </c>
      <c r="B93" s="18" t="inlineStr">
        <is>
          <t>3.12.15</t>
        </is>
      </c>
    </row>
    <row r="94" ht="44" customHeight="1">
      <c r="A94" s="18" t="inlineStr">
        <is>
          <t>python-dotenv</t>
        </is>
      </c>
      <c r="B94" s="18" t="inlineStr">
        <is>
          <t>1.2.4</t>
        </is>
      </c>
    </row>
    <row r="95" ht="44" customHeight="1">
      <c r="A95" s="18" t="inlineStr">
        <is>
          <t>rapidfuzz</t>
        </is>
      </c>
      <c r="B95" s="18" t="inlineStr">
        <is>
          <t>3.14.6</t>
        </is>
      </c>
    </row>
    <row r="96" ht="44" customHeight="1">
      <c r="A96" s="18" t="inlineStr">
        <is>
          <t>requests</t>
        </is>
      </c>
      <c r="B96" s="18" t="inlineStr">
        <is>
          <t>2.34.2</t>
        </is>
      </c>
    </row>
    <row r="97" ht="44" customHeight="1">
      <c r="A97" s="18" t="inlineStr">
        <is>
          <t>scipy</t>
        </is>
      </c>
      <c r="B97" s="18" t="inlineStr">
        <is>
          <t>1.18.1</t>
        </is>
      </c>
    </row>
    <row r="100">
      <c r="A10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9:F39"/>
    <mergeCell ref="A63:F63"/>
    <mergeCell ref="A76:F76"/>
    <mergeCell ref="A87:F8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hyperlinks>
    <hyperlink ref="A100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</sheetData>
  <autoFilter ref="A5:H43"/>
  <mergeCells count="2">
    <mergeCell ref="A2:H2"/>
    <mergeCell ref="A4:H4"/>
  </mergeCells>
</worksheet>
</file>