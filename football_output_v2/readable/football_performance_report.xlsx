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0.8484848484848485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0.7607338760888485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0.8095238095238095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33</v>
      </c>
      <c r="F7" s="20">
        <f>Breakdowns!H7</f>
        <v>0.8484848484848485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0.7666666666666667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0.06466666666666665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0.15315701523221703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IF(COUNT(Predictions!H6:H248)=0,"n.a.",AVERAGE(Predictions!H6:H248))</f>
        <v>0.5688622754491018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IF(COUNT(Predictions!I6:I248)=0,"n.a.",AVERAGE(Predictions!I6:I248))</f>
        <v>0.5730995958682634</v>
      </c>
      <c r="C17" s="18"/>
      <c r="D17" s="18" t="inlineStr">
        <is>
          <t>Over 1.5</t>
        </is>
      </c>
      <c r="E17" s="18">
        <f>COUNT(Predictions!J6:J248)</f>
        <v>167</v>
      </c>
      <c r="F17" s="20">
        <f>IF(E17=0,"n.a.",AVERAGE(Predictions!J6:J248))</f>
        <v>0.8023952095808383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0.6456348865960799</v>
      </c>
      <c r="C18" s="18"/>
      <c r="D18" s="18" t="inlineStr">
        <is>
          <t>Under 3.5</t>
        </is>
      </c>
      <c r="E18" s="18">
        <f>COUNT(Predictions!K6:K248)</f>
        <v>167</v>
      </c>
      <c r="F18" s="20">
        <f>IF(E18=0,"n.a.",AVERAGE(Predictions!K6:K248))</f>
        <v>0.6287425149700598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0.8556056838156894</v>
      </c>
      <c r="C19" s="18"/>
      <c r="D19" s="18" t="inlineStr">
        <is>
          <t>BTTS Yes</t>
        </is>
      </c>
      <c r="E19" s="18">
        <f>COUNT(Predictions!L6:L248)</f>
        <v>167</v>
      </c>
      <c r="F19" s="20">
        <f>IF(E19=0,"n.a.",AVERAGE(Predictions!L6:L248))</f>
        <v>0.562874251497006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COUNT(Predictions!M6:M248)</f>
        <v>167</v>
      </c>
      <c r="F20" s="20">
        <f>IF(E20=0,"n.a.",AVERAGE(Predictions!M6:M248))</f>
        <v>0.562874251497006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2026-10-27T09:58:39.525824+00:00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2026-10-27 09:58:34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60</v>
      </c>
      <c r="E6" s="19">
        <f>(COUNTIFS(Selections!$K$6:$K$78,"WON")+COUNTIFS(Selections!$K$6:$K$78,"HALF_WON"))</f>
        <v>46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13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0.7666666666666667</v>
      </c>
      <c r="I6" s="22">
        <f>SUM(Selections!$M$6:$M$78)</f>
        <v>60</v>
      </c>
      <c r="J6" s="22">
        <f>SUM(Selections!$N$6:$N$78)</f>
        <v>3.879999999999999</v>
      </c>
      <c r="K6" s="20">
        <f>IF(SUM(Selections!$M$6:$M$78)=0,"n.a.",SUM(Selections!$N$6:$N$78)/SUM(Selections!$M$6:$M$78))</f>
        <v>0.06466666666666665</v>
      </c>
      <c r="L6" s="21">
        <f>IF(SUM(Selections!$T$6:$T$78)=0,"n.a.",SUM(Selections!$O$6:$O$78)/SUM(Selections!$T$6:$T$78))</f>
        <v>0.15315701523221703</v>
      </c>
      <c r="M6" s="20">
        <f>IF(SUM(Selections!$T$6:$T$78)=0,"n.a.",SUM(Selections!$S$6:$S$78)/SUM(Selections!$T$6:$T$78))</f>
        <v>0.7466573036186906</v>
      </c>
      <c r="N6" s="20">
        <f>IF(SUM(Selections!$T$6:$T$78)=0,"n.a.",(SUMIFS(Selections!$L$6:$L$78,Selections!$T$6:$T$78,1))/SUM(Selections!$T$6:$T$78))</f>
        <v>0.7666666666666667</v>
      </c>
      <c r="O6" s="20">
        <f>IF(SUM(Selections!$T$6:$T$78)=0,"n.a.",(SUM(Selections!$S$6:$S$78)-(SUMIFS(Selections!$L$6:$L$78,Selections!$T$6:$T$78,1)))/SUM(Selections!$T$6:$T$78))</f>
        <v>-0.02000936304797607</v>
      </c>
      <c r="P6" s="19">
        <f>SUM(Selections!$T$6:$T$78)</f>
        <v>60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33</v>
      </c>
      <c r="E7" s="19">
        <f>(COUNTIFS(Selections!$F$6:$F$78,"STRICT",Selections!$K$6:$K$78,"WON")+COUNTIFS(Selections!$F$6:$F$78,"STRICT",Selections!$K$6:$K$78,"HALF_WON"))</f>
        <v>28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11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0.8484848484848485</v>
      </c>
      <c r="I7" s="22">
        <f>SUMIFS(Selections!$M$6:$M$78,Selections!$F$6:$F$78,"STRICT")</f>
        <v>33</v>
      </c>
      <c r="J7" s="22">
        <f>SUMIFS(Selections!$N$6:$N$78,Selections!$F$6:$F$78,"STRICT")</f>
        <v>6.77</v>
      </c>
      <c r="K7" s="20">
        <f>IF(SUMIFS(Selections!$M$6:$M$78,Selections!$F$6:$F$78,"STRICT")=0,"n.a.",SUMIFS(Selections!$N$6:$N$78,Selections!$F$6:$F$78,"STRICT")/SUMIFS(Selections!$M$6:$M$78,Selections!$F$6:$F$78,"STRICT"))</f>
        <v>0.20515151515151514</v>
      </c>
      <c r="L7" s="21">
        <f>IF(SUMIFS(Selections!$T$6:$T$78,Selections!$F$6:$F$78,"STRICT")=0,"n.a.",SUMIFS(Selections!$O$6:$O$78,Selections!$F$6:$F$78,"STRICT")/SUMIFS(Selections!$T$6:$T$78,Selections!$F$6:$F$78,"STRICT"))</f>
        <v>0.10680197011474592</v>
      </c>
      <c r="M7" s="20">
        <f>IF(SUMIFS(Selections!$T$6:$T$78,Selections!$F$6:$F$78,"STRICT")=0,"n.a.",SUMIFS(Selections!$S$6:$S$78,Selections!$F$6:$F$78,"STRICT")/SUMIFS(Selections!$T$6:$T$78,Selections!$F$6:$F$78,"STRICT"))</f>
        <v>0.7358653782937092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0.8484848484848485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-0.11261947019113927</v>
      </c>
      <c r="P7" s="19">
        <f>SUMIFS(Selections!$T$6:$T$78,Selections!$F$6:$F$78,"STRICT")</f>
        <v>33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12</v>
      </c>
      <c r="E15" s="19">
        <f>(COUNTIFS(Selections!$C$6:$C$78,"Serie A",Selections!$K$6:$K$78,"WON")+COUNTIFS(Selections!$C$6:$C$78,"Serie A",Selections!$K$6:$K$78,"HALF_WON"))</f>
        <v>8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2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0.6666666666666666</v>
      </c>
      <c r="I15" s="22">
        <f>SUMIFS(Selections!$M$6:$M$78,Selections!$C$6:$C$78,"Serie A")</f>
        <v>12</v>
      </c>
      <c r="J15" s="22">
        <f>SUMIFS(Selections!$N$6:$N$78,Selections!$C$6:$C$78,"Serie A")</f>
        <v>-0.9499999999999998</v>
      </c>
      <c r="K15" s="20">
        <f>IF(SUMIFS(Selections!$M$6:$M$78,Selections!$C$6:$C$78,"Serie A")=0,"n.a.",SUMIFS(Selections!$N$6:$N$78,Selections!$C$6:$C$78,"Serie A")/SUMIFS(Selections!$M$6:$M$78,Selections!$C$6:$C$78,"Serie A"))</f>
        <v>-0.07916666666666665</v>
      </c>
      <c r="L15" s="21">
        <f>IF(SUMIFS(Selections!$T$6:$T$78,Selections!$C$6:$C$78,"Serie A")=0,"n.a.",SUMIFS(Selections!$O$6:$O$78,Selections!$C$6:$C$78,"Serie A")/SUMIFS(Selections!$T$6:$T$78,Selections!$C$6:$C$78,"Serie A"))</f>
        <v>0.169928030982309</v>
      </c>
      <c r="M15" s="20">
        <f>IF(SUMIFS(Selections!$T$6:$T$78,Selections!$C$6:$C$78,"Serie A")=0,"n.a.",SUMIFS(Selections!$S$6:$S$78,Selections!$C$6:$C$78,"Serie A")/SUMIFS(Selections!$T$6:$T$78,Selections!$C$6:$C$78,"Serie A"))</f>
        <v>0.7136492876887082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0.6666666666666666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0.04698262102204154</v>
      </c>
      <c r="P15" s="19">
        <f>SUMIFS(Selections!$T$6:$T$78,Selections!$C$6:$C$78,"Serie A")</f>
        <v>12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(n=12).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E26" s="19">
        <f>(COUNTIFS(Selections!$E$6:$E$78,"Corners Under 10.5",Selections!$K$6:$K$78,"WON")+COUNTIFS(Selections!$E$6:$E$78,"Corners Under 10.5",Selections!$K$6:$K$78,"HALF_WON"))</f>
        <v>1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H26" s="20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1.0</v>
      </c>
      <c r="I26" s="22">
        <f>SUMIFS(Selections!$M$6:$M$78,Selections!$E$6:$E$78,"Corners Under 10.5")</f>
        <v>1</v>
      </c>
      <c r="J26" s="22">
        <f>SUMIFS(Selections!$N$6:$N$78,Selections!$E$6:$E$78,"Corners Under 10.5")</f>
        <v>0.53</v>
      </c>
      <c r="K26" s="20">
        <f>IF(SUMIFS(Selections!$M$6:$M$78,Selections!$E$6:$E$78,"Corners Under 10.5")=0,"n.a.",SUMIFS(Selections!$N$6:$N$78,Selections!$E$6:$E$78,"Corners Under 10.5")/SUMIFS(Selections!$M$6:$M$78,Selections!$E$6:$E$78,"Corners Under 10.5"))</f>
        <v>0.53</v>
      </c>
      <c r="L26" s="21">
        <f>IF(SUMIFS(Selections!$T$6:$T$78,Selections!$E$6:$E$78,"Corners Under 10.5")=0,"n.a.",SUMIFS(Selections!$O$6:$O$78,Selections!$E$6:$E$78,"Corners Under 10.5")/SUMIFS(Selections!$T$6:$T$78,Selections!$E$6:$E$78,"Corners Under 10.5"))</f>
        <v>0.07225612473142058</v>
      </c>
      <c r="M26" s="20">
        <f>IF(SUMIFS(Selections!$T$6:$T$78,Selections!$E$6:$E$78,"Corners Under 10.5")=0,"n.a.",SUMIFS(Selections!$S$6:$S$78,Selections!$E$6:$E$78,"Corners Under 10.5")/SUMIFS(Selections!$T$6:$T$78,Selections!$E$6:$E$78,"Corners Under 10.5"))</f>
        <v>0.7311950061263359</v>
      </c>
      <c r="N26" s="20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1.0</v>
      </c>
      <c r="O26" s="20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-0.2688049938736641</v>
      </c>
      <c r="P26" s="19">
        <f>SUMIFS(Selections!$T$6:$T$78,Selections!$E$6:$E$78,"Corners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12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9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4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0.75</v>
      </c>
      <c r="I36" s="22">
        <f>SUMIFS(Selections!$M$6:$M$78,Selections!$G$6:$G$78,"48h-two-per-market-group-probability-ev-corners-cards-v25")</f>
        <v>12</v>
      </c>
      <c r="J36" s="22">
        <f>SUMIFS(Selections!$N$6:$N$78,Selections!$G$6:$G$78,"48h-two-per-market-group-probability-ev-corners-cards-v25")</f>
        <v>0.45999999999999974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0.03833333333333331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0.13045944850654306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0.7093136666437047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0.75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-0.040686333356295346</v>
      </c>
      <c r="P36" s="19">
        <f>SUMIFS(Selections!$T$6:$T$78,Selections!$G$6:$G$78,"48h-two-per-market-group-probability-ev-corners-cards-v25")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34</v>
      </c>
      <c r="E48" s="19">
        <f>(COUNTIFS(Selections!$P$6:$P$78,"2026-W43",Selections!$K$6:$K$78,"WON")+COUNTIFS(Selections!$P$6:$P$78,"2026-W43",Selections!$K$6:$K$78,"HALF_WON"))</f>
        <v>25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7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0.7352941176470589</v>
      </c>
      <c r="I48" s="22">
        <f>SUMIFS(Selections!$M$6:$M$78,Selections!$P$6:$P$78,"2026-W43")</f>
        <v>34</v>
      </c>
      <c r="J48" s="22">
        <f>SUMIFS(Selections!$N$6:$N$78,Selections!$P$6:$P$78,"2026-W43")</f>
        <v>1.0699999999999994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0.0314705882352941</v>
      </c>
      <c r="L48" s="21">
        <f>IF(SUMIFS(Selections!$T$6:$T$78,Selections!$P$6:$P$78,"2026-W43")=0,"n.a.",SUMIFS(Selections!$O$6:$O$78,Selections!$P$6:$P$78,"2026-W43")/SUMIFS(Selections!$T$6:$T$78,Selections!$P$6:$P$78,"2026-W43"))</f>
        <v>0.14715697171487105</v>
      </c>
      <c r="M48" s="20">
        <f>IF(SUMIFS(Selections!$T$6:$T$78,Selections!$P$6:$P$78,"2026-W43")=0,"n.a.",SUMIFS(Selections!$S$6:$S$78,Selections!$P$6:$P$78,"2026-W43")/SUMIFS(Selections!$T$6:$T$78,Selections!$P$6:$P$78,"2026-W43"))</f>
        <v>0.7232981009569568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0.7352941176470589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-0.011996016690102085</v>
      </c>
      <c r="P48" s="19">
        <f>SUMIFS(Selections!$T$6:$T$78,Selections!$P$6:$P$78,"2026-W43")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21</v>
      </c>
      <c r="E9" s="20">
        <f>IF(D9=0,"n.a.",SUMIFS(Selections!$S$6:$S$78,Selections!$S$6:$S$78,"&gt;="&amp;B9,Selections!$S$6:$S$78,"&lt;"&amp;C9,Selections!$T$6:$T$78,1)/D9)</f>
        <v>0.7607338760888485</v>
      </c>
      <c r="F9" s="20">
        <f>IF(D9=0,"n.a.",SUMIFS(Selections!$L$6:$L$78,Selections!$S$6:$S$78,"&gt;="&amp;B9,Selections!$S$6:$S$78,"&lt;"&amp;C9,Selections!$T$6:$T$78,1)/D9)</f>
        <v>0.8095238095238095</v>
      </c>
      <c r="G9" s="20">
        <f>IF(D9=0,"n.a.",E9-F9)</f>
        <v>-0.048789933434961075</v>
      </c>
      <c r="H9" s="21">
        <f>IF(D9=0,"n.a.",SUMIFS(Selections!$O$6:$O$78,Selections!$S$6:$S$78,"&gt;="&amp;B9,Selections!$S$6:$S$78,"&lt;"&amp;C9,Selections!$T$6:$T$78,1)/D9)</f>
        <v>0.15549725657136584</v>
      </c>
      <c r="I9" s="18" t="inlineStr">
        <is>
          <t>Collect more scored forecasts (n=21).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Bundesliga|07 elversberg|1 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SV 07 Elversberg vs 1. FSV Mainz 05</t>
        </is>
      </c>
      <c r="E210" s="18" t="inlineStr">
        <is>
          <t>48h-zero-tolerance-ev05-no-loss75-corners-v26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026e1ab4c40e3e64dd34bad82c62ace7981ad77e</t>
        </is>
      </c>
      <c r="P210" s="18"/>
      <c r="Q210" s="18"/>
      <c r="R210" s="18"/>
    </row>
    <row r="211" ht="36" customHeight="1">
      <c r="A211" s="18" t="inlineStr">
        <is>
          <t>Bundesliga|elversberg|fsv mainz|2026-10-30</t>
        </is>
      </c>
      <c r="B211" s="23">
        <v>46325.8125</v>
      </c>
      <c r="C211" s="18" t="inlineStr">
        <is>
          <t>Bundesliga</t>
        </is>
      </c>
      <c r="D211" s="18" t="inlineStr">
        <is>
          <t>Elversberg vs FSV Mainz 05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La Liga|villarreal|espanyol|2026-10-30</t>
        </is>
      </c>
      <c r="B212" s="23">
        <v>46325.833333333336</v>
      </c>
      <c r="C212" s="18" t="inlineStr">
        <is>
          <t>La Liga</t>
        </is>
      </c>
      <c r="D212" s="18" t="inlineStr">
        <is>
          <t>Villarreal vs Espanyol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La Liga|villarreal|rcd espanyol barcelona|2026-10-30</t>
        </is>
      </c>
      <c r="B213" s="23">
        <v>46325.833333333336</v>
      </c>
      <c r="C213" s="18" t="inlineStr">
        <is>
          <t>La Liga</t>
        </is>
      </c>
      <c r="D213" s="18" t="inlineStr">
        <is>
          <t>Villarreal CF vs RCD Espanyol de Barcelona</t>
        </is>
      </c>
      <c r="E213" s="18" t="inlineStr">
        <is>
          <t>48h-zero-tolerance-ev05-no-loss75-corners-v26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026e1ab4c40e3e64dd34bad82c62ace7981ad77e</t>
        </is>
      </c>
      <c r="P213" s="18"/>
      <c r="Q213" s="18"/>
      <c r="R213" s="18"/>
    </row>
    <row r="214" ht="36" customHeight="1">
      <c r="A214" s="18" t="inlineStr">
        <is>
          <t>Ligue 1|lille osc|racing lens|2026-10-30</t>
        </is>
      </c>
      <c r="B214" s="23">
        <v>46325.836805555555</v>
      </c>
      <c r="C214" s="18" t="inlineStr">
        <is>
          <t>Ligue 1</t>
        </is>
      </c>
      <c r="D214" s="18" t="inlineStr">
        <is>
          <t>Lille OSC vs Racing Club de Lens</t>
        </is>
      </c>
      <c r="E214" s="18" t="inlineStr">
        <is>
          <t>48h-zero-tolerance-ev05-no-loss75-corners-v26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026e1ab4c40e3e64dd34bad82c62ace7981ad77e</t>
        </is>
      </c>
      <c r="P214" s="18"/>
      <c r="Q214" s="18"/>
      <c r="R214" s="18"/>
    </row>
    <row r="215" ht="36" customHeight="1">
      <c r="A215" s="18" t="inlineStr">
        <is>
          <t>Ligue 1|lille|rc lens|2026-10-30</t>
        </is>
      </c>
      <c r="B215" s="23">
        <v>46325.836805555555</v>
      </c>
      <c r="C215" s="18" t="inlineStr">
        <is>
          <t>Ligue 1</t>
        </is>
      </c>
      <c r="D215" s="18" t="inlineStr">
        <is>
          <t>Lille vs RC Lens</t>
        </is>
      </c>
      <c r="E215" s="18" t="inlineStr">
        <is>
          <t>48h-top-twelve-probability-ev-no-under35-v15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4c569effb9e7261783c7d1cc1a5b93cb0f40d309</t>
        </is>
      </c>
      <c r="P215" s="18"/>
      <c r="Q215" s="18"/>
      <c r="R215" s="18"/>
    </row>
    <row r="216" ht="36" customHeight="1">
      <c r="A216" s="18" t="inlineStr">
        <is>
          <t>Primeira Liga|casa pia|sporting cp|2026-10-30</t>
        </is>
      </c>
      <c r="B216" s="23">
        <v>46325.84375</v>
      </c>
      <c r="C216" s="18" t="inlineStr">
        <is>
          <t>Primeira Liga</t>
        </is>
      </c>
      <c r="D216" s="18" t="inlineStr">
        <is>
          <t>Casa Pia AC vs Sporting Clube de Portugal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Premier League|chelsea|man united|2026-10-31</t>
        </is>
      </c>
      <c r="B217" s="23">
        <v>46326.520833333336</v>
      </c>
      <c r="C217" s="18" t="inlineStr">
        <is>
          <t>Premier League</t>
        </is>
      </c>
      <c r="D217" s="18" t="inlineStr">
        <is>
          <t>Chelsea vs Manchester United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La Liga|levante|ath madrid|2026-10-31</t>
        </is>
      </c>
      <c r="B218" s="23">
        <v>46326.541666666664</v>
      </c>
      <c r="C218" s="18" t="inlineStr">
        <is>
          <t>La Liga</t>
        </is>
      </c>
      <c r="D218" s="18" t="inlineStr">
        <is>
          <t>Levante vs Atlético Madrid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Bundesliga|augsburg|freiburg|2026-10-31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Augsburg vs SC Freiburg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Bundesliga|bayer leverkusen|vfb stuttgart|2026-10-31</t>
        </is>
      </c>
      <c r="B220" s="23">
        <v>46326.604166666664</v>
      </c>
      <c r="C220" s="18" t="inlineStr">
        <is>
          <t>Bundesliga</t>
        </is>
      </c>
      <c r="D220" s="18" t="inlineStr">
        <is>
          <t>Bayer Leverkusen vs VfB Stuttgart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Bundesliga|m gladbach|paderborn|2026-10-31</t>
        </is>
      </c>
      <c r="B221" s="23">
        <v>46326.604166666664</v>
      </c>
      <c r="C221" s="18" t="inlineStr">
        <is>
          <t>Bundesliga</t>
        </is>
      </c>
      <c r="D221" s="18" t="inlineStr">
        <is>
          <t>Borussia Monchengladbach vs SC Paderborn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Bundesliga|schalke|rb leipzig|2026-10-31</t>
        </is>
      </c>
      <c r="B222" s="23">
        <v>46326.604166666664</v>
      </c>
      <c r="C222" s="18" t="inlineStr">
        <is>
          <t>Bundesliga</t>
        </is>
      </c>
      <c r="D222" s="18" t="inlineStr">
        <is>
          <t>FC Schalke 04 vs RB Leipzig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Bundesliga|werder bremen|tsg hoffenheim|2026-10-31</t>
        </is>
      </c>
      <c r="B223" s="23">
        <v>46326.604166666664</v>
      </c>
      <c r="C223" s="18" t="inlineStr">
        <is>
          <t>Bundesliga</t>
        </is>
      </c>
      <c r="D223" s="18" t="inlineStr">
        <is>
          <t>Werder Bremen vs TSG Hoffenheim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League|bournemouth|leeds|2026-10-31</t>
        </is>
      </c>
      <c r="B224" s="23">
        <v>46326.625</v>
      </c>
      <c r="C224" s="18" t="inlineStr">
        <is>
          <t>Premier League</t>
        </is>
      </c>
      <c r="D224" s="18" t="inlineStr">
        <is>
          <t>Bournemouth vs Leeds United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Premier League|brentford|nott m forest|2026-10-31</t>
        </is>
      </c>
      <c r="B225" s="23">
        <v>46326.625</v>
      </c>
      <c r="C225" s="18" t="inlineStr">
        <is>
          <t>Premier League</t>
        </is>
      </c>
      <c r="D225" s="18" t="inlineStr">
        <is>
          <t>Brentford vs Nottingham Forest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Premier League|coventry city|sunderland|2026-10-31</t>
        </is>
      </c>
      <c r="B226" s="23">
        <v>46326.625</v>
      </c>
      <c r="C226" s="18" t="inlineStr">
        <is>
          <t>Premier League</t>
        </is>
      </c>
      <c r="D226" s="18" t="inlineStr">
        <is>
          <t>Coventry City vs Sunderland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Premier League|hull city|ipswich town|2026-10-31</t>
        </is>
      </c>
      <c r="B227" s="23">
        <v>46326.625</v>
      </c>
      <c r="C227" s="18" t="inlineStr">
        <is>
          <t>Premier League</t>
        </is>
      </c>
      <c r="D227" s="18" t="inlineStr">
        <is>
          <t>Hull City vs Ipswich Town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Premier League|man city|brighton|2026-10-31</t>
        </is>
      </c>
      <c r="B228" s="23">
        <v>46326.625</v>
      </c>
      <c r="C228" s="18" t="inlineStr">
        <is>
          <t>Premier League</t>
        </is>
      </c>
      <c r="D228" s="18" t="inlineStr">
        <is>
          <t>Manchester City vs Brighton and Hove Albion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La Liga|rayo vallecano|celta vigo|2026-10-31</t>
        </is>
      </c>
      <c r="B229" s="23">
        <v>46326.635416666664</v>
      </c>
      <c r="C229" s="18" t="inlineStr">
        <is>
          <t>La Liga</t>
        </is>
      </c>
      <c r="D229" s="18" t="inlineStr">
        <is>
          <t>Rayo Vallecano vs Celta Vigo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Ligue 1|nice|rennes|2026-10-31</t>
        </is>
      </c>
      <c r="B230" s="23">
        <v>46326.677083333336</v>
      </c>
      <c r="C230" s="18" t="inlineStr">
        <is>
          <t>Ligue 1</t>
        </is>
      </c>
      <c r="D230" s="18" t="inlineStr">
        <is>
          <t>Nice vs Rennes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Bundesliga|bayern munich|borussia dortmund|2026-10-31</t>
        </is>
      </c>
      <c r="B231" s="23">
        <v>46326.729166666664</v>
      </c>
      <c r="C231" s="18" t="inlineStr">
        <is>
          <t>Bundesliga</t>
        </is>
      </c>
      <c r="D231" s="18" t="inlineStr">
        <is>
          <t>Bayern Munich vs Borussia Dortmund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La Liga|real betis|malaga|2026-10-31</t>
        </is>
      </c>
      <c r="B232" s="23">
        <v>46326.729166666664</v>
      </c>
      <c r="C232" s="18" t="inlineStr">
        <is>
          <t>La Liga</t>
        </is>
      </c>
      <c r="D232" s="18" t="inlineStr">
        <is>
          <t>Real Betis vs Málaga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Premier League|tottenham|crystal palace|2026-10-31</t>
        </is>
      </c>
      <c r="B233" s="23">
        <v>46326.729166666664</v>
      </c>
      <c r="C233" s="18" t="inlineStr">
        <is>
          <t>Premier League</t>
        </is>
      </c>
      <c r="D233" s="18" t="inlineStr">
        <is>
          <t>Tottenham Hotspur vs Crystal Palace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Ligue 1|lorient|brest|2026-10-31</t>
        </is>
      </c>
      <c r="B234" s="23">
        <v>46326.822916666664</v>
      </c>
      <c r="C234" s="18" t="inlineStr">
        <is>
          <t>Ligue 1</t>
        </is>
      </c>
      <c r="D234" s="18" t="inlineStr">
        <is>
          <t>Lorient vs Brest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Ligue 1|lyon|angers|2026-10-31</t>
        </is>
      </c>
      <c r="B235" s="23">
        <v>46326.822916666664</v>
      </c>
      <c r="C235" s="18" t="inlineStr">
        <is>
          <t>Ligue 1</t>
        </is>
      </c>
      <c r="D235" s="18" t="inlineStr">
        <is>
          <t>Lyon vs Angers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1|troyes|le mans|2026-10-31</t>
        </is>
      </c>
      <c r="B236" s="23">
        <v>46326.822916666664</v>
      </c>
      <c r="C236" s="18" t="inlineStr">
        <is>
          <t>Ligue 1</t>
        </is>
      </c>
      <c r="D236" s="18" t="inlineStr">
        <is>
          <t>Troyes vs Le Mans FC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La Liga|barcelona|alaves|2026-10-31</t>
        </is>
      </c>
      <c r="B237" s="23">
        <v>46326.833333333336</v>
      </c>
      <c r="C237" s="18" t="inlineStr">
        <is>
          <t>La Liga</t>
        </is>
      </c>
      <c r="D237" s="18" t="inlineStr">
        <is>
          <t>Barcelona vs Alavés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Premier League|aston villa|fulham|2026-10-31</t>
        </is>
      </c>
      <c r="B238" s="23">
        <v>46326.833333333336</v>
      </c>
      <c r="C238" s="18" t="inlineStr">
        <is>
          <t>Premier League</t>
        </is>
      </c>
      <c r="D238" s="18" t="inlineStr">
        <is>
          <t>Aston Villa vs Fulham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0117b0e0fe09a0266deb28e532f2ad9e4f4da47a</t>
        </is>
      </c>
      <c r="P238" s="18"/>
      <c r="Q238" s="18"/>
      <c r="R238" s="18"/>
    </row>
    <row r="239" ht="36" customHeight="1">
      <c r="A239" s="18" t="inlineStr">
        <is>
          <t>La Liga|getafe|sevilla|2026-11-01</t>
        </is>
      </c>
      <c r="B239" s="23">
        <v>46327.541666666664</v>
      </c>
      <c r="C239" s="18" t="inlineStr">
        <is>
          <t>La Liga</t>
        </is>
      </c>
      <c r="D239" s="18" t="inlineStr">
        <is>
          <t>Getafe vs Sevilla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0117b0e0fe09a0266deb28e532f2ad9e4f4da47a</t>
        </is>
      </c>
      <c r="P239" s="18"/>
      <c r="Q239" s="18"/>
      <c r="R239" s="18"/>
    </row>
    <row r="240" ht="36" customHeight="1">
      <c r="A240" s="18" t="inlineStr">
        <is>
          <t>Ligue 1|strasbourg|auxerre|2026-11-01</t>
        </is>
      </c>
      <c r="B240" s="23">
        <v>46327.583333333336</v>
      </c>
      <c r="C240" s="18" t="inlineStr">
        <is>
          <t>Ligue 1</t>
        </is>
      </c>
      <c r="D240" s="18" t="inlineStr">
        <is>
          <t>Strasbourg vs Auxerre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Bundesliga|union berlin|1 koln|2026-11-01</t>
        </is>
      </c>
      <c r="B241" s="23">
        <v>46327.604166666664</v>
      </c>
      <c r="C241" s="18" t="inlineStr">
        <is>
          <t>Bundesliga</t>
        </is>
      </c>
      <c r="D241" s="18" t="inlineStr">
        <is>
          <t>Union Berlin vs 1. FC Köln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La Liga|real racing santander|real madrid|2026-11-01</t>
        </is>
      </c>
      <c r="B242" s="23">
        <v>46327.635416666664</v>
      </c>
      <c r="C242" s="18" t="inlineStr">
        <is>
          <t>La Liga</t>
        </is>
      </c>
      <c r="D242" s="18" t="inlineStr">
        <is>
          <t>Real Racing Club de Santander vs Real Madrid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1|paris|as monaco|2026-11-01</t>
        </is>
      </c>
      <c r="B243" s="23">
        <v>46327.677083333336</v>
      </c>
      <c r="C243" s="18" t="inlineStr">
        <is>
          <t>Ligue 1</t>
        </is>
      </c>
      <c r="D243" s="18" t="inlineStr">
        <is>
          <t>Paris FC vs AS Monaco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Bundesliga|eintracht frankfurt|hamburger|2026-11-01</t>
        </is>
      </c>
      <c r="B244" s="23">
        <v>46327.6875</v>
      </c>
      <c r="C244" s="18" t="inlineStr">
        <is>
          <t>Bundesliga</t>
        </is>
      </c>
      <c r="D244" s="18" t="inlineStr">
        <is>
          <t>Eintracht Frankfurt vs Hamburger SV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  <row r="245" ht="36" customHeight="1">
      <c r="A245" s="18" t="inlineStr">
        <is>
          <t>Premier League|liverpool|arsenal|2026-11-01</t>
        </is>
      </c>
      <c r="B245" s="23">
        <v>46327.6875</v>
      </c>
      <c r="C245" s="18" t="inlineStr">
        <is>
          <t>Premier League</t>
        </is>
      </c>
      <c r="D245" s="18" t="inlineStr">
        <is>
          <t>Liverpool vs Arsenal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10a7df008090a45923c14f3c84ec260b147ea047</t>
        </is>
      </c>
      <c r="P245" s="18"/>
      <c r="Q245" s="18"/>
      <c r="R245" s="18"/>
    </row>
    <row r="246" ht="36" customHeight="1">
      <c r="A246" s="18" t="inlineStr">
        <is>
          <t>La Liga|elche|valencia|2026-11-01</t>
        </is>
      </c>
      <c r="B246" s="23">
        <v>46327.729166666664</v>
      </c>
      <c r="C246" s="18" t="inlineStr">
        <is>
          <t>La Liga</t>
        </is>
      </c>
      <c r="D246" s="18" t="inlineStr">
        <is>
          <t>Elche CF vs Valencia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10a7df008090a45923c14f3c84ec260b147ea047</t>
        </is>
      </c>
      <c r="P246" s="18"/>
      <c r="Q246" s="18"/>
      <c r="R246" s="18"/>
    </row>
    <row r="247" ht="36" customHeight="1">
      <c r="A247" s="18" t="inlineStr">
        <is>
          <t>Ligue 1|marseille|toulouse|2026-11-01</t>
        </is>
      </c>
      <c r="B247" s="23">
        <v>46327.822916666664</v>
      </c>
      <c r="C247" s="18" t="inlineStr">
        <is>
          <t>Ligue 1</t>
        </is>
      </c>
      <c r="D247" s="18" t="inlineStr">
        <is>
          <t>Marseille vs Toulouse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10a7df008090a45923c14f3c84ec260b147ea047</t>
        </is>
      </c>
      <c r="P247" s="18"/>
      <c r="Q247" s="18"/>
      <c r="R247" s="18"/>
    </row>
    <row r="248" ht="36" customHeight="1">
      <c r="A248" s="18" t="inlineStr">
        <is>
          <t>La Liga|ath bilbao|real sociedad|2026-11-01</t>
        </is>
      </c>
      <c r="B248" s="23">
        <v>46327.833333333336</v>
      </c>
      <c r="C248" s="18" t="inlineStr">
        <is>
          <t>La Liga</t>
        </is>
      </c>
      <c r="D248" s="18" t="inlineStr">
        <is>
          <t>Athletic Bilbao vs Real Sociedad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10a7df008090a45923c14f3c84ec260b147ea047</t>
        </is>
      </c>
      <c r="P248" s="18"/>
      <c r="Q248" s="18"/>
      <c r="R24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0.9764705882352941</v>
      </c>
      <c r="H10" s="18" t="inlineStr">
        <is>
          <t>Approval review</t>
        </is>
      </c>
      <c r="I10" s="18" t="inlineStr">
        <is>
          <t>217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0.1411764705882353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0.9764705882352941</v>
      </c>
      <c r="H12" s="18" t="inlineStr">
        <is>
          <t>Approval review</t>
        </is>
      </c>
      <c r="I12" s="18" t="inlineStr">
        <is>
          <t>217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0.9764705882352941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COUNTIFS(Selections!$P$6:$P$78,A8,Selections!$M$6:$M$78,"&gt;0")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3.8799999999999986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60</v>
      </c>
      <c r="C8" s="19">
        <v>46</v>
      </c>
      <c r="D8" s="19">
        <v>14</v>
      </c>
      <c r="E8" s="19">
        <v>13</v>
      </c>
      <c r="F8" s="20">
        <v>0.766667</v>
      </c>
      <c r="G8" s="20">
        <v>0.064667</v>
      </c>
      <c r="H8" s="19">
        <v>3.88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2026-10-27T09:58:39.525824+00:00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1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1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6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5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44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141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71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93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114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29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38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72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46</v>
      </c>
      <c r="C39" s="19">
        <v>26</v>
      </c>
      <c r="D39" s="19">
        <v>1</v>
      </c>
      <c r="E39" s="20">
        <v>-0.030666655948099794</v>
      </c>
      <c r="F39" s="20">
        <v>0.014734308422460327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0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0</v>
      </c>
    </row>
    <row r="51" ht="44" customHeight="1">
      <c r="A51" s="18" t="inlineStr">
        <is>
          <t>Account availability</t>
        </is>
      </c>
      <c r="B51" s="18" t="inlineStr">
        <is>
          <t>Not verified with bookmaker accounts</t>
        </is>
      </c>
    </row>
    <row r="52" ht="44" customHeight="1">
      <c r="A52" s="18" t="inlineStr">
        <is>
          <t>Past kickoff count</t>
        </is>
      </c>
      <c r="B52" s="19">
        <v>0</v>
      </c>
    </row>
    <row r="53" ht="44" customHeight="1">
      <c r="A53" s="18" t="inlineStr">
        <is>
          <t>Upcoming kickoff count</t>
        </is>
      </c>
      <c r="B53" s="19">
        <v>0</v>
      </c>
    </row>
    <row r="54" ht="44" customHeight="1">
      <c r="A54" s="18" t="inlineStr">
        <is>
          <t>Unknown kickoff count</t>
        </is>
      </c>
      <c r="B54" s="19">
        <v>0</v>
      </c>
    </row>
    <row r="57">
      <c r="A57" s="26" t="inlineStr">
        <is>
          <t>Forecast capture coverage</t>
        </is>
      </c>
    </row>
    <row r="58" ht="34" customHeight="1">
      <c r="A58" s="24" t="inlineStr">
        <is>
          <t>Experiment</t>
        </is>
      </c>
      <c r="B58" s="24" t="inlineStr">
        <is>
          <t>Capture state</t>
        </is>
      </c>
      <c r="C58" s="24" t="inlineStr">
        <is>
          <t>Snapshot count</t>
        </is>
      </c>
    </row>
    <row r="59" ht="44" customHeight="1">
      <c r="A59" s="18" t="inlineStr">
        <is>
          <t>Goal-market blend</t>
        </is>
      </c>
      <c r="B59" s="18" t="inlineStr">
        <is>
          <t>Captured</t>
        </is>
      </c>
      <c r="C59" s="19">
        <v>40</v>
      </c>
    </row>
    <row r="60" ht="44" customHeight="1">
      <c r="A60" s="18" t="inlineStr">
        <is>
          <t>Goal-market blend</t>
        </is>
      </c>
      <c r="B60" s="18" t="inlineStr">
        <is>
          <t>Legacy not recorded</t>
        </is>
      </c>
      <c r="C60" s="19">
        <v>14</v>
      </c>
    </row>
    <row r="61" ht="44" customHeight="1">
      <c r="A61" s="18" t="inlineStr">
        <is>
          <t>Market-led forecasts</t>
        </is>
      </c>
      <c r="B61" s="18" t="inlineStr">
        <is>
          <t>Captured</t>
        </is>
      </c>
      <c r="C61" s="19">
        <v>40</v>
      </c>
    </row>
    <row r="62" ht="44" customHeight="1">
      <c r="A62" s="18" t="inlineStr">
        <is>
          <t>Market-led forecasts</t>
        </is>
      </c>
      <c r="B62" s="18" t="inlineStr">
        <is>
          <t>Legacy not recorded</t>
        </is>
      </c>
      <c r="C62" s="19">
        <v>14</v>
      </c>
    </row>
    <row r="63" ht="44" customHeight="1">
      <c r="A63" s="18" t="inlineStr">
        <is>
          <t>Recency comparison</t>
        </is>
      </c>
      <c r="B63" s="18" t="inlineStr">
        <is>
          <t>Captured</t>
        </is>
      </c>
      <c r="C63" s="19">
        <v>36</v>
      </c>
    </row>
    <row r="64" ht="44" customHeight="1">
      <c r="A64" s="18" t="inlineStr">
        <is>
          <t>Recency comparison</t>
        </is>
      </c>
      <c r="B64" s="18" t="inlineStr">
        <is>
          <t>Legacy not recorded</t>
        </is>
      </c>
      <c r="C64" s="19">
        <v>18</v>
      </c>
    </row>
    <row r="65" ht="44" customHeight="1">
      <c r="A65" s="18" t="inlineStr">
        <is>
          <t>EV filter sensitivity</t>
        </is>
      </c>
      <c r="B65" s="18" t="inlineStr">
        <is>
          <t>Captured</t>
        </is>
      </c>
      <c r="C65" s="19">
        <v>23</v>
      </c>
    </row>
    <row r="66" ht="44" customHeight="1">
      <c r="A66" s="18" t="inlineStr">
        <is>
          <t>EV filter sensitivity</t>
        </is>
      </c>
      <c r="B66" s="18" t="inlineStr">
        <is>
          <t>Legacy not recorded</t>
        </is>
      </c>
      <c r="C66" s="19">
        <v>19</v>
      </c>
    </row>
    <row r="67" ht="44" customHeight="1">
      <c r="A67" s="18" t="inlineStr">
        <is>
          <t>EV filter sensitivity</t>
        </is>
      </c>
      <c r="B67" s="18" t="inlineStr">
        <is>
          <t>Not generated</t>
        </is>
      </c>
      <c r="C67" s="19">
        <v>12</v>
      </c>
    </row>
    <row r="68" ht="44" customHeight="1">
      <c r="A68" s="18" t="inlineStr">
        <is>
          <t>85% market weight</t>
        </is>
      </c>
      <c r="B68" s="18" t="inlineStr">
        <is>
          <t>Captured</t>
        </is>
      </c>
      <c r="C68" s="19">
        <v>33</v>
      </c>
    </row>
    <row r="69" ht="44" customHeight="1">
      <c r="A69" s="18" t="inlineStr">
        <is>
          <t>85% market weight</t>
        </is>
      </c>
      <c r="B69" s="18" t="inlineStr">
        <is>
          <t>Legacy not recorded</t>
        </is>
      </c>
      <c r="C69" s="19">
        <v>20</v>
      </c>
    </row>
    <row r="70" ht="44" customHeight="1">
      <c r="A70" s="18" t="inlineStr">
        <is>
          <t>85% market weight</t>
        </is>
      </c>
      <c r="B70" s="18" t="inlineStr">
        <is>
          <t>Present but rejected</t>
        </is>
      </c>
      <c r="C70" s="19">
        <v>1</v>
      </c>
    </row>
    <row r="71" ht="44" customHeight="1">
      <c r="A71" s="18" t="inlineStr">
        <is>
          <t>Pinnacle totals anchor</t>
        </is>
      </c>
      <c r="B71" s="18" t="inlineStr">
        <is>
          <t>Captured</t>
        </is>
      </c>
      <c r="C71" s="19">
        <v>33</v>
      </c>
    </row>
    <row r="72" ht="44" customHeight="1">
      <c r="A72" s="18" t="inlineStr">
        <is>
          <t>Pinnacle totals anchor</t>
        </is>
      </c>
      <c r="B72" s="18" t="inlineStr">
        <is>
          <t>Legacy not recorded</t>
        </is>
      </c>
      <c r="C72" s="19">
        <v>21</v>
      </c>
    </row>
    <row r="73" ht="44" customHeight="1">
      <c r="A73" s="18" t="inlineStr">
        <is>
          <t>Stronger regularisation (L2=3)</t>
        </is>
      </c>
      <c r="B73" s="18" t="inlineStr">
        <is>
          <t>Legacy not recorded</t>
        </is>
      </c>
      <c r="C73" s="19">
        <v>54</v>
      </c>
    </row>
    <row r="74" ht="44" customHeight="1">
      <c r="A74" s="18" t="inlineStr">
        <is>
          <t>Fixed half-life (480 days)</t>
        </is>
      </c>
      <c r="B74" s="18" t="inlineStr">
        <is>
          <t>Legacy not recorded</t>
        </is>
      </c>
      <c r="C74" s="19">
        <v>54</v>
      </c>
    </row>
    <row r="75" ht="44" customHeight="1">
      <c r="A75" s="18" t="inlineStr">
        <is>
          <t>Probability / calibration policy</t>
        </is>
      </c>
      <c r="B75" s="18" t="inlineStr">
        <is>
          <t>Captured</t>
        </is>
      </c>
      <c r="C75" s="19">
        <v>15</v>
      </c>
    </row>
    <row r="76" ht="44" customHeight="1">
      <c r="A76" s="18" t="inlineStr">
        <is>
          <t>Probability / calibration policy</t>
        </is>
      </c>
      <c r="B76" s="18" t="inlineStr">
        <is>
          <t>Legacy not recorded</t>
        </is>
      </c>
      <c r="C76" s="19">
        <v>26</v>
      </c>
    </row>
    <row r="77" ht="44" customHeight="1">
      <c r="A77" s="18" t="inlineStr">
        <is>
          <t>Probability / calibration policy</t>
        </is>
      </c>
      <c r="B77" s="18" t="inlineStr">
        <is>
          <t>Not generated</t>
        </is>
      </c>
      <c r="C77" s="19">
        <v>12</v>
      </c>
    </row>
    <row r="78" ht="44" customHeight="1">
      <c r="A78" s="18" t="inlineStr">
        <is>
          <t>Probability / calibration policy</t>
        </is>
      </c>
      <c r="B78" s="18" t="inlineStr">
        <is>
          <t>Present but rejected</t>
        </is>
      </c>
      <c r="C78" s="19">
        <v>1</v>
      </c>
    </row>
    <row r="79" ht="44" customHeight="1">
      <c r="A79" s="18" t="inlineStr">
        <is>
          <t>Shortlist probability / EV weights</t>
        </is>
      </c>
      <c r="B79" s="18" t="inlineStr">
        <is>
          <t>Captured</t>
        </is>
      </c>
      <c r="C79" s="19">
        <v>7</v>
      </c>
    </row>
    <row r="80" ht="44" customHeight="1">
      <c r="A80" s="18" t="inlineStr">
        <is>
          <t>Shortlist probability / EV weights</t>
        </is>
      </c>
      <c r="B80" s="18" t="inlineStr">
        <is>
          <t>Legacy not recorded</t>
        </is>
      </c>
      <c r="C80" s="19">
        <v>35</v>
      </c>
    </row>
    <row r="81" ht="44" customHeight="1">
      <c r="A81" s="18" t="inlineStr">
        <is>
          <t>Shortlist probability / EV weights</t>
        </is>
      </c>
      <c r="B81" s="18" t="inlineStr">
        <is>
          <t>Not generated</t>
        </is>
      </c>
      <c r="C81" s="19">
        <v>12</v>
      </c>
    </row>
    <row r="84">
      <c r="A84" s="26" t="inlineStr">
        <is>
          <t>EV sensitivity results</t>
        </is>
      </c>
    </row>
    <row r="85" ht="34" customHeight="1">
      <c r="A85" s="24" t="inlineStr">
        <is>
          <t>EV floor</t>
        </is>
      </c>
      <c r="B85" s="24" t="inlineStr">
        <is>
          <t>Tier</t>
        </is>
      </c>
      <c r="C85" s="24" t="inlineStr">
        <is>
          <t>Selected</t>
        </is>
      </c>
      <c r="D85" s="24" t="inlineStr">
        <is>
          <t>Settled</t>
        </is>
      </c>
      <c r="E85" s="24" t="inlineStr">
        <is>
          <t>Simulated ROI</t>
        </is>
      </c>
      <c r="F85" s="24" t="inlineStr">
        <is>
          <t>Drawdown (units)</t>
        </is>
      </c>
    </row>
    <row r="86" ht="44" customHeight="1">
      <c r="A86" s="20">
        <v>0.015</v>
      </c>
      <c r="B86" s="18" t="inlineStr">
        <is>
          <t>ALL</t>
        </is>
      </c>
      <c r="C86" s="19">
        <v>9</v>
      </c>
      <c r="D86" s="19">
        <v>8</v>
      </c>
      <c r="E86" s="20">
        <v>0.1725</v>
      </c>
      <c r="F86" s="22">
        <v>1.0</v>
      </c>
    </row>
    <row r="87" ht="44" customHeight="1">
      <c r="A87" s="20">
        <v>0.015</v>
      </c>
      <c r="B87" s="18" t="inlineStr">
        <is>
          <t>STRICT</t>
        </is>
      </c>
      <c r="C87" s="19">
        <v>7</v>
      </c>
      <c r="D87" s="19">
        <v>6</v>
      </c>
      <c r="E87" s="20">
        <v>0.09833333333333331</v>
      </c>
      <c r="F87" s="22">
        <v>1.0</v>
      </c>
    </row>
    <row r="88" ht="44" customHeight="1">
      <c r="A88" s="20">
        <v>0.015</v>
      </c>
      <c r="B88" s="18" t="inlineStr">
        <is>
          <t>PROVISIONAL</t>
        </is>
      </c>
      <c r="C88" s="19">
        <v>2</v>
      </c>
      <c r="D88" s="19">
        <v>2</v>
      </c>
      <c r="E88" s="20">
        <v>0.395</v>
      </c>
      <c r="F88" s="22">
        <v>0.0</v>
      </c>
    </row>
    <row r="89" ht="44" customHeight="1">
      <c r="A89" s="20">
        <v>0.03</v>
      </c>
      <c r="B89" s="18" t="inlineStr">
        <is>
          <t>ALL</t>
        </is>
      </c>
      <c r="C89" s="19">
        <v>8</v>
      </c>
      <c r="D89" s="19">
        <v>7</v>
      </c>
      <c r="E89" s="20">
        <v>0.16285714285714284</v>
      </c>
      <c r="F89" s="22">
        <v>1.0</v>
      </c>
    </row>
    <row r="90" ht="44" customHeight="1">
      <c r="A90" s="20">
        <v>0.03</v>
      </c>
      <c r="B90" s="18" t="inlineStr">
        <is>
          <t>STRICT</t>
        </is>
      </c>
      <c r="C90" s="19">
        <v>6</v>
      </c>
      <c r="D90" s="19">
        <v>5</v>
      </c>
      <c r="E90" s="20">
        <v>0.06999999999999998</v>
      </c>
      <c r="F90" s="22">
        <v>1.0</v>
      </c>
    </row>
    <row r="91" ht="44" customHeight="1">
      <c r="A91" s="20">
        <v>0.03</v>
      </c>
      <c r="B91" s="18" t="inlineStr">
        <is>
          <t>PROVISIONAL</t>
        </is>
      </c>
      <c r="C91" s="19">
        <v>2</v>
      </c>
      <c r="D91" s="19">
        <v>2</v>
      </c>
      <c r="E91" s="20">
        <v>0.395</v>
      </c>
      <c r="F91" s="22">
        <v>0.0</v>
      </c>
    </row>
    <row r="92" ht="44" customHeight="1">
      <c r="A92" s="20">
        <v>0.05</v>
      </c>
      <c r="B92" s="18" t="inlineStr">
        <is>
          <t>ALL</t>
        </is>
      </c>
      <c r="C92" s="19">
        <v>7</v>
      </c>
      <c r="D92" s="19">
        <v>6</v>
      </c>
      <c r="E92" s="20">
        <v>0.14666666666666664</v>
      </c>
      <c r="F92" s="22">
        <v>1.0</v>
      </c>
    </row>
    <row r="93" ht="44" customHeight="1">
      <c r="A93" s="20">
        <v>0.05</v>
      </c>
      <c r="B93" s="18" t="inlineStr">
        <is>
          <t>STRICT</t>
        </is>
      </c>
      <c r="C93" s="19">
        <v>5</v>
      </c>
      <c r="D93" s="19">
        <v>5</v>
      </c>
      <c r="E93" s="20">
        <v>0.06999999999999998</v>
      </c>
      <c r="F93" s="22">
        <v>1.0</v>
      </c>
    </row>
    <row r="94" ht="44" customHeight="1">
      <c r="A94" s="20">
        <v>0.05</v>
      </c>
      <c r="B94" s="18" t="inlineStr">
        <is>
          <t>PROVISIONAL</t>
        </is>
      </c>
      <c r="C94" s="19">
        <v>2</v>
      </c>
      <c r="D94" s="19">
        <v>1</v>
      </c>
      <c r="E94" s="20">
        <v>0.53</v>
      </c>
      <c r="F94" s="22">
        <v>0.0</v>
      </c>
    </row>
    <row r="97">
      <c r="A97" s="26" t="inlineStr">
        <is>
          <t>Daily review observations</t>
        </is>
      </c>
    </row>
    <row r="98" ht="34" customHeight="1">
      <c r="A98" s="24" t="inlineStr">
        <is>
          <t>Review date</t>
        </is>
      </c>
      <c r="B98" s="24" t="inlineStr">
        <is>
          <t>Graded</t>
        </is>
      </c>
      <c r="C98" s="24" t="inlineStr">
        <is>
          <t>Win rate</t>
        </is>
      </c>
      <c r="D98" s="24" t="inlineStr">
        <is>
          <t>Simulated ROI</t>
        </is>
      </c>
      <c r="E98" s="24" t="inlineStr">
        <is>
          <t>Brier</t>
        </is>
      </c>
    </row>
    <row r="99" ht="44" customHeight="1">
      <c r="A99" s="18" t="inlineStr">
        <is>
          <t>2026-10-13</t>
        </is>
      </c>
      <c r="B99" s="19">
        <v>9</v>
      </c>
      <c r="C99" s="20">
        <v>0.666667</v>
      </c>
      <c r="D99" s="20">
        <v>-0.096667</v>
      </c>
      <c r="E99" s="21">
        <v>0.250532</v>
      </c>
    </row>
    <row r="100" ht="44" customHeight="1">
      <c r="A100" s="18" t="inlineStr">
        <is>
          <t>2026-10-14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2026-10-15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2026-10-16</t>
        </is>
      </c>
      <c r="B102" s="19">
        <v>12</v>
      </c>
      <c r="C102" s="20">
        <v>0.75</v>
      </c>
      <c r="D102" s="20">
        <v>0.031667</v>
      </c>
      <c r="E102" s="21">
        <v>0.199836</v>
      </c>
    </row>
    <row r="103" ht="44" customHeight="1">
      <c r="A103" s="18" t="inlineStr">
        <is>
          <t>2026-10-17</t>
        </is>
      </c>
      <c r="B103" s="19">
        <v>17</v>
      </c>
      <c r="C103" s="20">
        <v>0.764706</v>
      </c>
      <c r="D103" s="20">
        <v>0.044706</v>
      </c>
      <c r="E103" s="21">
        <v>0.178798</v>
      </c>
    </row>
    <row r="104" ht="44" customHeight="1">
      <c r="A104" s="18" t="inlineStr">
        <is>
          <t>2026-10-18</t>
        </is>
      </c>
      <c r="B104" s="19">
        <v>26</v>
      </c>
      <c r="C104" s="20">
        <v>0.807692</v>
      </c>
      <c r="D104" s="20">
        <v>0.108077</v>
      </c>
      <c r="E104" s="21">
        <v>0.161003</v>
      </c>
    </row>
    <row r="105" ht="44" customHeight="1">
      <c r="A105" s="18" t="inlineStr">
        <is>
          <t>2026-10-19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2026-10-20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2026-10-21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2026-10-22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2026-10-23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2026-10-24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2026-10-25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2" ht="44" customHeight="1">
      <c r="A112" s="18" t="inlineStr">
        <is>
          <t>2026-10-26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2026-10-27</t>
        </is>
      </c>
      <c r="B113" s="19">
        <v>60</v>
      </c>
      <c r="C113" s="20">
        <v>0.766667</v>
      </c>
      <c r="D113" s="20">
        <v>0.064667</v>
      </c>
      <c r="E113" s="21">
        <v>0.153157</v>
      </c>
    </row>
    <row r="116">
      <c r="A116" s="26" t="inlineStr">
        <is>
          <t>Dependency versions</t>
        </is>
      </c>
    </row>
    <row r="117" ht="34" customHeight="1">
      <c r="A117" s="24" t="inlineStr">
        <is>
          <t>Dependency</t>
        </is>
      </c>
      <c r="B117" s="24" t="inlineStr">
        <is>
          <t>Version</t>
        </is>
      </c>
    </row>
    <row r="118" ht="44" customHeight="1">
      <c r="A118" s="18" t="inlineStr">
        <is>
          <t>python</t>
        </is>
      </c>
      <c r="B118" s="18" t="inlineStr">
        <is>
          <t>3.12.15</t>
        </is>
      </c>
    </row>
    <row r="119" ht="44" customHeight="1">
      <c r="A119" s="18" t="inlineStr">
        <is>
          <t>numpy</t>
        </is>
      </c>
      <c r="B119" s="18" t="inlineStr">
        <is>
          <t>2.5.4</t>
        </is>
      </c>
    </row>
    <row r="120" ht="44" customHeight="1">
      <c r="A120" s="18" t="inlineStr">
        <is>
          <t>pandas</t>
        </is>
      </c>
      <c r="B120" s="18" t="inlineStr">
        <is>
          <t>3.1.0</t>
        </is>
      </c>
    </row>
    <row r="121" ht="44" customHeight="1">
      <c r="A121" s="18" t="inlineStr">
        <is>
          <t>scipy</t>
        </is>
      </c>
      <c r="B121" s="18" t="inlineStr">
        <is>
          <t>1.18.1</t>
        </is>
      </c>
    </row>
    <row r="122" ht="44" customHeight="1">
      <c r="A122" s="18" t="inlineStr">
        <is>
          <t>requests</t>
        </is>
      </c>
      <c r="B122" s="18" t="inlineStr">
        <is>
          <t>2.34.2</t>
        </is>
      </c>
    </row>
    <row r="123" ht="44" customHeight="1">
      <c r="A123" s="18" t="inlineStr">
        <is>
          <t>rapidfuzz</t>
        </is>
      </c>
      <c r="B123" s="18" t="inlineStr">
        <is>
          <t>3.14.6</t>
        </is>
      </c>
    </row>
    <row r="124" ht="44" customHeight="1">
      <c r="A124" s="18" t="inlineStr">
        <is>
          <t>python-dotenv</t>
        </is>
      </c>
      <c r="B124" s="18" t="inlineStr">
        <is>
          <t>1.2.4</t>
        </is>
      </c>
    </row>
    <row r="125" ht="44" customHeight="1">
      <c r="A125" s="18" t="inlineStr">
        <is>
          <t>coverage</t>
        </is>
      </c>
      <c r="B125" s="18" t="inlineStr">
        <is>
          <t>7.17.0</t>
        </is>
      </c>
    </row>
    <row r="126" ht="44" customHeight="1">
      <c r="A126" s="18" t="inlineStr">
        <is>
          <t>PyYAML</t>
        </is>
      </c>
      <c r="B126" s="18" t="inlineStr">
        <is>
          <t>6.0.3</t>
        </is>
      </c>
    </row>
    <row r="129">
      <c r="A12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7:F57"/>
    <mergeCell ref="A84:F84"/>
    <mergeCell ref="A97:F97"/>
    <mergeCell ref="A116:F11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hyperlinks>
    <hyperlink ref="A12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</sheetData>
  <autoFilter ref="A5:H59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2026-10-27T09:58:39.525824+00:00; 1376 candidates on 133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1376</v>
      </c>
      <c r="D9" s="19">
        <v>133</v>
      </c>
      <c r="E9" s="20">
        <v>-0.03274642082773921</v>
      </c>
      <c r="F9" s="20">
        <v>0.2754360465116279</v>
      </c>
      <c r="G9" s="22">
        <v>-11.713486798710084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824</v>
      </c>
      <c r="D11" s="19">
        <v>127</v>
      </c>
      <c r="E11" s="20">
        <v>0.007429215813202136</v>
      </c>
      <c r="F11" s="20">
        <v>0.529126213592233</v>
      </c>
      <c r="G11" s="22">
        <v>2.8392863246721123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133</v>
      </c>
      <c r="D15" s="18"/>
      <c r="E15" s="21">
        <v>-0.09782435117087487</v>
      </c>
      <c r="F15" s="20">
        <v>0.6015037593984962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310</v>
      </c>
      <c r="D20" s="19">
        <v>17</v>
      </c>
      <c r="E20" s="20">
        <v>-0.04052069632601771</v>
      </c>
      <c r="F20" s="20">
        <v>0.24193548387096775</v>
      </c>
      <c r="G20" s="22">
        <v>-20.70567520042048</v>
      </c>
      <c r="H20" s="20">
        <v>-0.0012033032040851546</v>
      </c>
      <c r="I20" s="19">
        <v>310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237</v>
      </c>
      <c r="D21" s="19">
        <v>99</v>
      </c>
      <c r="E21" s="20">
        <v>-0.02260227777420532</v>
      </c>
      <c r="F21" s="20">
        <v>0.4092827004219409</v>
      </c>
      <c r="G21" s="22">
        <v>-5.678347327104944</v>
      </c>
      <c r="H21" s="20">
        <v>0.03044222102562871</v>
      </c>
      <c r="I21" s="19">
        <v>178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215</v>
      </c>
      <c r="D22" s="19">
        <v>90</v>
      </c>
      <c r="E22" s="20">
        <v>-0.03899684659949059</v>
      </c>
      <c r="F22" s="20">
        <v>0.27906976744186046</v>
      </c>
      <c r="G22" s="22">
        <v>-8.370138471244983</v>
      </c>
      <c r="H22" s="20">
        <v>0.001119596501495756</v>
      </c>
      <c r="I22" s="19">
        <v>215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205</v>
      </c>
      <c r="D23" s="19">
        <v>79</v>
      </c>
      <c r="E23" s="20">
        <v>-0.030934312555478696</v>
      </c>
      <c r="F23" s="20">
        <v>0.13170731707317074</v>
      </c>
      <c r="G23" s="22">
        <v>-13.286302587052933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-7.159954322598129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-15.629925179977672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324</v>
      </c>
      <c r="D49" s="19">
        <v>39</v>
      </c>
      <c r="E49" s="20">
        <v>-0.03599651136288459</v>
      </c>
      <c r="F49" s="20">
        <v>0.23148148148148148</v>
      </c>
      <c r="G49" s="22">
        <v>-9.857767218943463</v>
      </c>
      <c r="H49" s="20">
        <v>0.004146594935900756</v>
      </c>
      <c r="I49" s="19">
        <v>213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284</v>
      </c>
      <c r="D50" s="19">
        <v>81</v>
      </c>
      <c r="E50" s="20">
        <v>-0.018509639822468844</v>
      </c>
      <c r="F50" s="20">
        <v>0.4225352112676056</v>
      </c>
      <c r="G50" s="22">
        <v>-2.153854465768168</v>
      </c>
      <c r="H50" s="20">
        <v>0.024021129767916805</v>
      </c>
      <c r="I50" s="19">
        <v>135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1312</v>
      </c>
      <c r="D56" s="19">
        <v>133</v>
      </c>
      <c r="E56" s="20">
        <v>-0.03297359748045886</v>
      </c>
      <c r="F56" s="20">
        <v>0.2774390243902439</v>
      </c>
      <c r="G56" s="22">
        <v>-11.214774646435504</v>
      </c>
      <c r="H56" s="20">
        <v>0.00762851924299777</v>
      </c>
      <c r="I56" s="19">
        <v>773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221</v>
      </c>
      <c r="D63" s="19">
        <v>17</v>
      </c>
      <c r="E63" s="20">
        <v>-0.033595887547028996</v>
      </c>
      <c r="F63" s="20">
        <v>0.248868778280543</v>
      </c>
      <c r="G63" s="22">
        <v>-8.03789509807613</v>
      </c>
      <c r="H63" s="20">
        <v>0.0034362920469933472</v>
      </c>
      <c r="I63" s="19">
        <v>137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-0.033305555712984866</v>
      </c>
      <c r="F65" s="20">
        <v>0.22167487684729065</v>
      </c>
      <c r="G65" s="22">
        <v>-4.17600968935532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