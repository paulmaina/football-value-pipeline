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drawings/drawing1.xml" ContentType="application/vnd.openxmlformats-officedocument.drawing+xml"/>
  <ns0:Override PartName="/xl/drawings/charts/chart1.xml" ContentType="application/vnd.openxmlformats-officedocument.drawingml.chart+xml"/>
  <ns0:Override PartName="/xl/drawings/charts/chart2.xml" ContentType="application/vnd.openxmlformats-officedocument.drawingml.chart+xml"/>
  <ns0:Override PartName="/xl/drawings/charts/chart3.xml" ContentType="application/vnd.openxmlformats-officedocument.drawingml.chart+xml"/>
  <ns0:Override PartName="/xl/worksheets/sheet2.xml" ContentType="application/vnd.openxmlformats-officedocument.spreadsheetml.worksheet+xml"/>
  <ns0:Override PartName="/xl/tables/table1.xml" ContentType="application/vnd.openxmlformats-officedocument.spreadsheetml.table+xml"/>
  <ns0:Override PartName="/xl/worksheets/sheet3.xml" ContentType="application/vnd.openxmlformats-officedocument.spreadsheetml.worksheet+xml"/>
  <ns0:Override PartName="/xl/tables/table2.xml" ContentType="application/vnd.openxmlformats-officedocument.spreadsheetml.table+xml"/>
  <ns0:Override PartName="/xl/worksheets/sheet4.xml" ContentType="application/vnd.openxmlformats-officedocument.spreadsheetml.worksheet+xml"/>
  <ns0:Override PartName="/xl/tables/table3.xml" ContentType="application/vnd.openxmlformats-officedocument.spreadsheetml.table+xml"/>
  <ns0:Override PartName="/xl/worksheets/sheet5.xml" ContentType="application/vnd.openxmlformats-officedocument.spreadsheetml.worksheet+xml"/>
  <ns0:Override PartName="/xl/tables/table4.xml" ContentType="application/vnd.openxmlformats-officedocument.spreadsheetml.table+xml"/>
  <ns0:Override PartName="/xl/worksheets/sheet6.xml" ContentType="application/vnd.openxmlformats-officedocument.spreadsheetml.worksheet+xml"/>
  <ns0:Override PartName="/xl/tables/table5.xml" ContentType="application/vnd.openxmlformats-officedocument.spreadsheetml.table+xml"/>
  <ns0:Override PartName="/xl/worksheets/sheet7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Pipeline Health" sheetId="7" ns1:id="rIdPipelineHealth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c12b68d6b698473b" /><ns0:Relationship Type="http://schemas.openxmlformats.org/officeDocument/2006/relationships/theme" Target="/xl/theme/theme1.xml" Id="R7ebbddc5c22d4554" /><ns0:Relationship Type="http://schemas.openxmlformats.org/officeDocument/2006/relationships/sharedStrings" Target="/xl/sharedStrings.xml" Id="Rd461963173bb48e4" /><ns0:Relationship Type="http://schemas.openxmlformats.org/officeDocument/2006/relationships/worksheet" Target="/xl/worksheets/sheet1.xml" Id="Rccc920fc3bf74ea4" /><ns0:Relationship Type="http://schemas.openxmlformats.org/officeDocument/2006/relationships/worksheet" Target="/xl/worksheets/sheet2.xml" Id="R6859d2273dee43f9" /><ns0:Relationship Type="http://schemas.openxmlformats.org/officeDocument/2006/relationships/worksheet" Target="/xl/worksheets/sheet3.xml" Id="R87976848626641f2" /><ns0:Relationship Type="http://schemas.openxmlformats.org/officeDocument/2006/relationships/worksheet" Target="/xl/worksheets/sheet4.xml" Id="R6fe18dcc89cb4419" /><ns0:Relationship Type="http://schemas.openxmlformats.org/officeDocument/2006/relationships/worksheet" Target="/xl/worksheets/sheet5.xml" Id="R320e3c7a9bc644fa" /><ns0:Relationship Type="http://schemas.openxmlformats.org/officeDocument/2006/relationships/worksheet" Target="/xl/worksheets/sheet6.xml" Id="Rcc8cb310aa834b56" /><ns0:Relationship Id="rIdPipelineHealth" Type="http://schemas.openxmlformats.org/officeDocument/2006/relationships/worksheet" Target="worksheets/sheet7.xml" /></ns0: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-1.51</c:v>
                </c:pt>
                <c:pt idx="9">
                  <c:v>-1.51</c:v>
                </c:pt>
                <c:pt idx="10">
                  <c:v>-1.51</c:v>
                </c:pt>
                <c:pt idx="11">
                  <c:v>-1.51</c:v>
                </c:pt>
                <c:pt idx="12">
                  <c:v>-1.51</c:v>
                </c:pt>
                <c:pt idx="13">
                  <c:v>-1.51</c:v>
                </c:pt>
                <c:pt idx="14">
                  <c:v>-1.51</c:v>
                </c:pt>
                <c:pt idx="15">
                  <c:v>-1.51</c:v>
                </c:pt>
                <c:pt idx="16">
                  <c:v>-1.51</c:v>
                </c:pt>
                <c:pt idx="17">
                  <c:v>-1.51</c:v>
                </c:pt>
                <c:pt idx="18">
                  <c:v>-1.51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0.7778468551107348</c:v>
                </c:pt>
                <c:pt idx="4">
                  <c:v>0.8566010078816761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0.6666666666666666</c:v>
                </c:pt>
                <c:pt idx="4">
                  <c:v>0.3333333333333333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2</v>
      </c>
      <c r="F7" s="13">
        <f>Breakdowns!H7</f>
        <v>1.0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7</v>
      </c>
      <c r="C8" s="1"/>
      <c r="D8" s="1" t="str">
        <v>PROVISIONAL</v>
      </c>
      <c r="E8" s="12">
        <f>Breakdowns!D8</f>
        <v>5</v>
      </c>
      <c r="F8" s="13">
        <f>Breakdowns!H8</f>
        <v>0.4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3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12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0.5714285714285714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-0.21571428571428572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-1.51</v>
      </c>
      <c r="C14" s="1"/>
      <c r="D14" s="1" t="inlineStr">
        <is>
          <t>7 settled; 12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0.3092991303835796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0.6111111111111112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0.5584064911111111</v>
      </c>
      <c r="C17" s="1"/>
      <c r="D17" s="1" t="inlineStr">
        <is>
          <t>Over 1.5</t>
        </is>
      </c>
      <c r="E17" s="1">
        <f>COUNT(Predictions!J6:J93)</f>
        <v>18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0.2504542304090258</v>
      </c>
      <c r="C18" s="1"/>
      <c r="D18" s="1" t="inlineStr">
        <is>
          <t>Under 3.5</t>
        </is>
      </c>
      <c r="E18" s="1">
        <f>COUNT(Predictions!K6:K93)</f>
        <v>18</v>
      </c>
      <c r="F18" s="9">
        <f>IF(E18=0,"n.a.",AVERAGE(Predictions!K6:K93))</f>
        <v>0.5555555555555556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0.8417830777373732</v>
      </c>
      <c r="C19" s="1"/>
      <c r="D19" s="1" t="inlineStr">
        <is>
          <t>BTTS Yes</t>
        </is>
      </c>
      <c r="E19" s="1">
        <f>COUNT(Predictions!L6:L93)</f>
        <v>18</v>
      </c>
      <c r="F19" s="9">
        <f>IF(E19=0,"n.a.",AVERAGE(Predictions!L6:L93))</f>
        <v>0.5555555555555556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18</v>
      </c>
      <c r="F20" s="9">
        <f>IF(E20=0,"n.a.",AVERAGE(Predictions!M6:M93))</f>
        <v>0.5555555555555556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4 wins from 7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2026-10-13T12:48:35Z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-1.0</v>
      </c>
      <c r="F11" s="10">
        <f>SUM($E$10:E11)</f>
        <v>-1.0</v>
      </c>
      <c r="G11" s="10">
        <f>$B$4+F11</f>
        <v>99.0</v>
      </c>
      <c r="H11" s="10">
        <f>MAX($B$4,$G$10:G11)</f>
        <v>100</v>
      </c>
      <c r="I11" s="10">
        <f>H11-G11</f>
        <v>1.0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-1.0</v>
      </c>
      <c r="F12" s="10">
        <f>SUM($E$10:E12)</f>
        <v>-2.0</v>
      </c>
      <c r="G12" s="10">
        <f>$B$4+F12</f>
        <v>98.0</v>
      </c>
      <c r="H12" s="10">
        <f>MAX($B$4,$G$10:G12)</f>
        <v>100</v>
      </c>
      <c r="I12" s="10">
        <f>H12-G12</f>
        <v>2.0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WON</t>
        </is>
      </c>
      <c r="D15" s="10">
        <f>IF(ISNUMBER(Selections!M11),Selections!M11,"")</f>
        <v>1</v>
      </c>
      <c r="E15" s="10">
        <f>IF(ISNUMBER(Selections!N11),Selections!N11,"")</f>
        <v>0.6299999999999999</v>
      </c>
      <c r="F15" s="10">
        <f>SUM($E$10:E15)</f>
        <v>-0.8500000000000001</v>
      </c>
      <c r="G15" s="10">
        <f>$B$4+F15</f>
        <v>99.15</v>
      </c>
      <c r="H15" s="10">
        <f>MAX($B$4,$G$10:G15)</f>
        <v>100</v>
      </c>
      <c r="I15" s="10">
        <f>H15-G15</f>
        <v>0.8499999999999943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WON</t>
        </is>
      </c>
      <c r="D16" s="10">
        <f>IF(ISNUMBER(Selections!M12),Selections!M12,"")</f>
        <v>1</v>
      </c>
      <c r="E16" s="10">
        <f>IF(ISNUMBER(Selections!N12),Selections!N12,"")</f>
        <v>0.3400000000000001</v>
      </c>
      <c r="F16" s="10">
        <f>SUM($E$10:E16)</f>
        <v>-0.51</v>
      </c>
      <c r="G16" s="10">
        <f>$B$4+F16</f>
        <v>99.49</v>
      </c>
      <c r="H16" s="10">
        <f>MAX($B$4,$G$10:G16)</f>
        <v>100</v>
      </c>
      <c r="I16" s="10">
        <f>H16-G16</f>
        <v>0.5100000000000051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LOST</t>
        </is>
      </c>
      <c r="D17" s="10">
        <f>IF(ISNUMBER(Selections!M13),Selections!M13,"")</f>
        <v>1</v>
      </c>
      <c r="E17" s="10">
        <f>IF(ISNUMBER(Selections!N13),Selections!N13,"")</f>
        <v>-1.0</v>
      </c>
      <c r="F17" s="10">
        <f>SUM($E$10:E17)</f>
        <v>-1.51</v>
      </c>
      <c r="G17" s="10">
        <f>$B$4+F17</f>
        <v>98.49</v>
      </c>
      <c r="H17" s="10">
        <f>MAX($B$4,$G$10:G17)</f>
        <v>100</v>
      </c>
      <c r="I17" s="10">
        <f>H17-G17</f>
        <v>1.5100000000000051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-1.51</v>
      </c>
      <c r="G18" s="10">
        <f>$B$4+F18</f>
        <v>98.49</v>
      </c>
      <c r="H18" s="10">
        <f>MAX($B$4,$G$10:G18)</f>
        <v>100</v>
      </c>
      <c r="I18" s="10">
        <f>H18-G18</f>
        <v>1.5100000000000051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-1.51</v>
      </c>
      <c r="G19" s="10">
        <f>$B$4+F19</f>
        <v>98.49</v>
      </c>
      <c r="H19" s="10">
        <f>MAX($B$4,$G$10:G19)</f>
        <v>100</v>
      </c>
      <c r="I19" s="10">
        <f>H19-G19</f>
        <v>1.5100000000000051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-1.51</v>
      </c>
      <c r="G20" s="10">
        <f>$B$4+F20</f>
        <v>98.49</v>
      </c>
      <c r="H20" s="10">
        <f>MAX($B$4,$G$10:G20)</f>
        <v>100</v>
      </c>
      <c r="I20" s="10">
        <f>H20-G20</f>
        <v>1.5100000000000051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-1.51</v>
      </c>
      <c r="G21" s="10">
        <f>$B$4+F21</f>
        <v>98.49</v>
      </c>
      <c r="H21" s="10">
        <f>MAX($B$4,$G$10:G21)</f>
        <v>100</v>
      </c>
      <c r="I21" s="10">
        <f>H21-G21</f>
        <v>1.5100000000000051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-1.51</v>
      </c>
      <c r="G22" s="10">
        <f>$B$4+F22</f>
        <v>98.49</v>
      </c>
      <c r="H22" s="10">
        <f>MAX($B$4,$G$10:G22)</f>
        <v>100</v>
      </c>
      <c r="I22" s="10">
        <f>H22-G22</f>
        <v>1.5100000000000051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-1.51</v>
      </c>
      <c r="G23" s="10">
        <f>$B$4+F23</f>
        <v>98.49</v>
      </c>
      <c r="H23" s="10">
        <f>MAX($B$4,$G$10:G23)</f>
        <v>100</v>
      </c>
      <c r="I23" s="10">
        <f>H23-G23</f>
        <v>1.5100000000000051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-1.51</v>
      </c>
      <c r="G24" s="10">
        <f>$B$4+F24</f>
        <v>98.49</v>
      </c>
      <c r="H24" s="10">
        <f>MAX($B$4,$G$10:G24)</f>
        <v>100</v>
      </c>
      <c r="I24" s="10">
        <f>H24-G24</f>
        <v>1.5100000000000051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-1.51</v>
      </c>
      <c r="G25" s="10">
        <f>$B$4+F25</f>
        <v>98.49</v>
      </c>
      <c r="H25" s="10">
        <f>MAX($B$4,$G$10:G25)</f>
        <v>100</v>
      </c>
      <c r="I25" s="10">
        <f>H25-G25</f>
        <v>1.5100000000000051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-1.51</v>
      </c>
      <c r="G26" s="10">
        <f>$B$4+F26</f>
        <v>98.49</v>
      </c>
      <c r="H26" s="10">
        <f>MAX($B$4,$G$10:G26)</f>
        <v>100</v>
      </c>
      <c r="I26" s="10">
        <f>H26-G26</f>
        <v>1.5100000000000051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-1.51</v>
      </c>
      <c r="G27" s="10">
        <f>$B$4+F27</f>
        <v>98.49</v>
      </c>
      <c r="H27" s="10">
        <f>MAX($B$4,$G$10:G27)</f>
        <v>100</v>
      </c>
      <c r="I27" s="10">
        <f>H27-G27</f>
        <v>1.5100000000000051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-1.51</v>
      </c>
      <c r="G28" s="10">
        <f>$B$4+F28</f>
        <v>98.49</v>
      </c>
      <c r="H28" s="10">
        <f>MAX($B$4,$G$10:G28)</f>
        <v>100</v>
      </c>
      <c r="I28" s="10">
        <f>H28-G28</f>
        <v>1.5100000000000051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7</v>
      </c>
      <c r="E6" s="12">
        <f>COUNTIFS(Selections!$K$6:$K$24,"WON")</f>
        <v>4</v>
      </c>
      <c r="F6" s="12">
        <f>COUNTIFS(Selections!$K$6:$K$24,"LOST")</f>
        <v>3</v>
      </c>
      <c r="G6" s="12">
        <f>COUNTA(Selections!$A$6:$A$24)-(COUNTIFS(Selections!$K$6:$K$24,"WON")+COUNTIFS(Selections!$K$6:$K$24,"LOST"))</f>
        <v>12</v>
      </c>
      <c r="H6" s="13">
        <f>IF((COUNTIFS(Selections!$K$6:$K$24,"WON")+COUNTIFS(Selections!$K$6:$K$24,"LOST"))=0,"n.a.",COUNTIFS(Selections!$K$6:$K$24,"WON")/(COUNTIFS(Selections!$K$6:$K$24,"WON")+COUNTIFS(Selections!$K$6:$K$24,"LOST")))</f>
        <v>0.5714285714285714</v>
      </c>
      <c r="I6" s="15">
        <f>SUM(Selections!$M$6:$M$24)</f>
        <v>7</v>
      </c>
      <c r="J6" s="15">
        <f>SUM(Selections!$N$6:$N$24)</f>
        <v>-1.51</v>
      </c>
      <c r="K6" s="13">
        <f>IF(SUM(Selections!$M$6:$M$24)=0,"n.a.",SUM(Selections!$N$6:$N$24)/SUM(Selections!$M$6:$M$24))</f>
        <v>-0.21571428571428572</v>
      </c>
      <c r="L6" s="14">
        <f>IF(SUM(Selections!$T$6:$T$24)=0,"n.a.",SUM(Selections!$O$6:$O$24)/SUM(Selections!$T$6:$T$24))</f>
        <v>0.3092991303835796</v>
      </c>
      <c r="M6" s="13">
        <f>IF(SUM(Selections!$T$6:$T$24)=0,"n.a.",SUM(Selections!$S$6:$S$24)/SUM(Selections!$T$6:$T$24))</f>
        <v>0.797946713772398</v>
      </c>
      <c r="N6" s="13">
        <f>IF(SUM(Selections!$T$6:$T$24)=0,"n.a.",(SUMIFS(Selections!$L$6:$L$24,Selections!$T$6:$T$24,1))/SUM(Selections!$T$6:$T$24))</f>
        <v>0.5714285714285714</v>
      </c>
      <c r="O6" s="13">
        <f>IF(SUM(Selections!$T$6:$T$24)=0,"n.a.",(SUM(Selections!$S$6:$S$24)-(SUMIFS(Selections!$L$6:$L$24,Selections!$T$6:$T$24,1)))/SUM(Selections!$T$6:$T$24))</f>
        <v>0.2265181423438266</v>
      </c>
      <c r="P6" s="12">
        <f>SUM(Selections!$T$6:$T$24)</f>
        <v>7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(n=7).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2</v>
      </c>
      <c r="E7" s="12">
        <f>COUNTIFS(Selections!$F$6:$F$24,"STRICT",Selections!$K$6:$K$24,"WON")</f>
        <v>2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7</v>
      </c>
      <c r="H7" s="13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1.0</v>
      </c>
      <c r="I7" s="15">
        <f>SUMIFS(Selections!$M$6:$M$24,Selections!$F$6:$F$24,"STRICT")</f>
        <v>2</v>
      </c>
      <c r="J7" s="15">
        <f>SUMIFS(Selections!$N$6:$N$24,Selections!$F$6:$F$24,"STRICT")</f>
        <v>0.97</v>
      </c>
      <c r="K7" s="13">
        <f>IF(SUMIFS(Selections!$M$6:$M$24,Selections!$F$6:$F$24,"STRICT")=0,"n.a.",SUMIFS(Selections!$N$6:$N$24,Selections!$F$6:$F$24,"STRICT")/SUMIFS(Selections!$M$6:$M$24,Selections!$F$6:$F$24,"STRICT"))</f>
        <v>0.485</v>
      </c>
      <c r="L7" s="14">
        <f>IF(SUMIFS(Selections!$T$6:$T$24,Selections!$F$6:$F$24,"STRICT")=0,"n.a.",SUMIFS(Selections!$O$6:$O$24,Selections!$F$6:$F$24,"STRICT")/SUMIFS(Selections!$T$6:$T$24,Selections!$F$6:$F$24,"STRICT"))</f>
        <v>0.0742352290068108</v>
      </c>
      <c r="M7" s="13">
        <f>IF(SUMIFS(Selections!$T$6:$T$24,Selections!$F$6:$F$24,"STRICT")=0,"n.a.",SUMIFS(Selections!$S$6:$S$24,Selections!$F$6:$F$24,"STRICT")/SUMIFS(Selections!$T$6:$T$24,Selections!$F$6:$F$24,"STRICT"))</f>
        <v>0.7321386936427534</v>
      </c>
      <c r="N7" s="13">
        <f>IF(SUMIFS(Selections!$T$6:$T$24,Selections!$F$6:$F$24,"STRICT")=0,"n.a.",(SUMIFS(Selections!$L$6:$L$24,Selections!$F$6:$F$24,"STRICT",Selections!$T$6:$T$24,1))/SUMIFS(Selections!$T$6:$T$24,Selections!$F$6:$F$24,"STRICT"))</f>
        <v>1.0</v>
      </c>
      <c r="O7" s="13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-0.2678613063572466</v>
      </c>
      <c r="P7" s="12">
        <f>SUMIFS(Selections!$T$6:$T$24,Selections!$F$6:$F$24,"STRICT")</f>
        <v>2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(n=2).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5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3</v>
      </c>
      <c r="G8" s="12">
        <f>COUNTIFS(Selections!$F$6:$F$24,"PROVISIONAL")-(COUNTIFS(Selections!$F$6:$F$24,"PROVISIONAL",Selections!$K$6:$K$24,"WON")+COUNTIFS(Selections!$F$6:$F$24,"PROVISIONAL",Selections!$K$6:$K$24,"LOST"))</f>
        <v>5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0.4</v>
      </c>
      <c r="I8" s="15">
        <f>SUMIFS(Selections!$M$6:$M$24,Selections!$F$6:$F$24,"PROVISIONAL")</f>
        <v>5</v>
      </c>
      <c r="J8" s="15">
        <f>SUMIFS(Selections!$N$6:$N$24,Selections!$F$6:$F$24,"PROVISIONAL")</f>
        <v>-2.48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-0.496</v>
      </c>
      <c r="L8" s="14">
        <f>IF(SUMIFS(Selections!$T$6:$T$24,Selections!$F$6:$F$24,"PROVISIONAL")=0,"n.a.",SUMIFS(Selections!$O$6:$O$24,Selections!$F$6:$F$24,"PROVISIONAL")/SUMIFS(Selections!$T$6:$T$24,Selections!$F$6:$F$24,"PROVISIONAL"))</f>
        <v>0.40332469093428713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0.824269921824256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0.4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0.42426992182425594</v>
      </c>
      <c r="P8" s="12">
        <f>SUMIFS(Selections!$T$6:$T$24,Selections!$F$6:$F$24,"PROVISIONAL")</f>
        <v>5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2</v>
      </c>
      <c r="E9" s="12">
        <f>COUNTIFS(Selections!$C$6:$C$24,"La Liga",Selections!$K$6:$K$24,"WON")</f>
        <v>2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4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2</v>
      </c>
      <c r="J9" s="15">
        <f>SUMIFS(Selections!$N$6:$N$24,Selections!$C$6:$C$24,"La Liga")</f>
        <v>0.5800000000000001</v>
      </c>
      <c r="K9" s="13">
        <f>IF(SUMIFS(Selections!$M$6:$M$24,Selections!$C$6:$C$24,"La Liga")=0,"n.a.",SUMIFS(Selections!$N$6:$N$24,Selections!$C$6:$C$24,"La Liga")/SUMIFS(Selections!$M$6:$M$24,Selections!$C$6:$C$24,"La Liga"))</f>
        <v>0.29000000000000004</v>
      </c>
      <c r="L9" s="14">
        <f>IF(SUMIFS(Selections!$T$6:$T$24,Selections!$C$6:$C$24,"La Liga")=0,"n.a.",SUMIFS(Selections!$O$6:$O$24,Selections!$C$6:$C$24,"La Liga")/SUMIFS(Selections!$T$6:$T$24,Selections!$C$6:$C$24,"La Liga"))</f>
        <v>0.028808603206313725</v>
      </c>
      <c r="M9" s="13">
        <f>IF(SUMIFS(Selections!$T$6:$T$24,Selections!$C$6:$C$24,"La Liga")=0,"n.a.",SUMIFS(Selections!$S$6:$S$24,Selections!$C$6:$C$24,"La Liga")/SUMIFS(Selections!$T$6:$T$24,Selections!$C$6:$C$24,"La Liga"))</f>
        <v>0.8407710464485831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-0.15922895355141686</v>
      </c>
      <c r="P9" s="12">
        <f>SUMIFS(Selections!$T$6:$T$24,Selections!$C$6:$C$24,"La Liga")</f>
        <v>2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3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3</v>
      </c>
      <c r="G10" s="12">
        <f>COUNTIFS(Selections!$C$6:$C$24,"Premier League")-(COUNTIFS(Selections!$C$6:$C$24,"Premier League",Selections!$K$6:$K$24,"WON")+COUNTIFS(Selections!$C$6:$C$24,"Premier League",Selections!$K$6:$K$24,"LOST"))</f>
        <v>3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3</v>
      </c>
      <c r="J10" s="15">
        <f>SUMIFS(Selections!$N$6:$N$24,Selections!$C$6:$C$24,"Premier League")</f>
        <v>-3.0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0.6550299989350173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0.8084589103334122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0.8084589103334122</v>
      </c>
      <c r="P10" s="12">
        <f>SUMIFS(Selections!$T$6:$T$24,Selections!$C$6:$C$24,"Premier League")</f>
        <v>3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2</v>
      </c>
      <c r="E11" s="12">
        <f>COUNTIFS(Selections!$C$6:$C$24,"Serie A",Selections!$K$6:$K$24,"WON")</f>
        <v>2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0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2</v>
      </c>
      <c r="J11" s="15">
        <f>SUMIFS(Selections!$N$6:$N$24,Selections!$C$6:$C$24,"Serie A")</f>
        <v>0.9099999999999999</v>
      </c>
      <c r="K11" s="13">
        <f>IF(SUMIFS(Selections!$M$6:$M$24,Selections!$C$6:$C$24,"Serie A")=0,"n.a.",SUMIFS(Selections!$N$6:$N$24,Selections!$C$6:$C$24,"Serie A")/SUMIFS(Selections!$M$6:$M$24,Selections!$C$6:$C$24,"Serie A"))</f>
        <v>0.45499999999999996</v>
      </c>
      <c r="L11" s="14">
        <f>IF(SUMIFS(Selections!$T$6:$T$24,Selections!$C$6:$C$24,"Serie A")=0,"n.a.",SUMIFS(Selections!$O$6:$O$24,Selections!$C$6:$C$24,"Serie A")/SUMIFS(Selections!$T$6:$T$24,Selections!$C$6:$C$24,"Serie A"))</f>
        <v>0.07119335473368883</v>
      </c>
      <c r="M11" s="13">
        <f>IF(SUMIFS(Selections!$T$6:$T$24,Selections!$C$6:$C$24,"Serie A")=0,"n.a.",SUMIFS(Selections!$S$6:$S$24,Selections!$C$6:$C$24,"Serie A")/SUMIFS(Selections!$T$6:$T$24,Selections!$C$6:$C$24,"Serie A"))</f>
        <v>0.7393540862546915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-0.26064591374530854</v>
      </c>
      <c r="P11" s="12">
        <f>SUMIFS(Selections!$T$6:$T$24,Selections!$C$6:$C$24,"Serie A")</f>
        <v>2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1</v>
      </c>
      <c r="E14" s="12">
        <f>COUNTIFS(Selections!$E$6:$E$24,"Home win",Selections!$K$6:$K$24,"WON")</f>
        <v>1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3</v>
      </c>
      <c r="H14" s="13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1.0</v>
      </c>
      <c r="I14" s="15">
        <f>SUMIFS(Selections!$M$6:$M$24,Selections!$E$6:$E$24,"Home win")</f>
        <v>1</v>
      </c>
      <c r="J14" s="15">
        <f>SUMIFS(Selections!$N$6:$N$24,Selections!$E$6:$E$24,"Home win")</f>
        <v>0.6299999999999999</v>
      </c>
      <c r="K14" s="13">
        <f>IF(SUMIFS(Selections!$M$6:$M$24,Selections!$E$6:$E$24,"Home win")=0,"n.a.",SUMIFS(Selections!$N$6:$N$24,Selections!$E$6:$E$24,"Home win")/SUMIFS(Selections!$M$6:$M$24,Selections!$E$6:$E$24,"Home win"))</f>
        <v>0.6299999999999999</v>
      </c>
      <c r="L14" s="14">
        <f>IF(SUMIFS(Selections!$T$6:$T$24,Selections!$E$6:$E$24,"Home win")=0,"n.a.",SUMIFS(Selections!$O$6:$O$24,Selections!$E$6:$E$24,"Home win")/SUMIFS(Selections!$T$6:$T$24,Selections!$E$6:$E$24,"Home win"))</f>
        <v>0.10094383319457502</v>
      </c>
      <c r="M14" s="13">
        <f>IF(SUMIFS(Selections!$T$6:$T$24,Selections!$E$6:$E$24,"Home win")=0,"n.a.",SUMIFS(Selections!$S$6:$S$24,Selections!$E$6:$E$24,"Home win")/SUMIFS(Selections!$T$6:$T$24,Selections!$E$6:$E$24,"Home win"))</f>
        <v>0.6822834074295536</v>
      </c>
      <c r="N14" s="13">
        <f>IF(SUMIFS(Selections!$T$6:$T$24,Selections!$E$6:$E$24,"Home win")=0,"n.a.",(SUMIFS(Selections!$L$6:$L$24,Selections!$E$6:$E$24,"Home win",Selections!$T$6:$T$24,1))/SUMIFS(Selections!$T$6:$T$24,Selections!$E$6:$E$24,"Home win"))</f>
        <v>1.0</v>
      </c>
      <c r="O14" s="13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-0.3177165925704464</v>
      </c>
      <c r="P14" s="12">
        <f>SUMIFS(Selections!$T$6:$T$24,Selections!$E$6:$E$24,"Home win")</f>
        <v>1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2</v>
      </c>
      <c r="E15" s="12">
        <f>COUNTIFS(Selections!$E$6:$E$24,"Over 1.5",Selections!$K$6:$K$24,"WON")</f>
        <v>2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6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2</v>
      </c>
      <c r="J15" s="15">
        <f>SUMIFS(Selections!$N$6:$N$24,Selections!$E$6:$E$24,"Over 1.5")</f>
        <v>0.5800000000000001</v>
      </c>
      <c r="K15" s="13">
        <f>IF(SUMIFS(Selections!$M$6:$M$24,Selections!$E$6:$E$24,"Over 1.5")=0,"n.a.",SUMIFS(Selections!$N$6:$N$24,Selections!$E$6:$E$24,"Over 1.5")/SUMIFS(Selections!$M$6:$M$24,Selections!$E$6:$E$24,"Over 1.5"))</f>
        <v>0.29000000000000004</v>
      </c>
      <c r="L15" s="14">
        <f>IF(SUMIFS(Selections!$T$6:$T$24,Selections!$E$6:$E$24,"Over 1.5")=0,"n.a.",SUMIFS(Selections!$O$6:$O$24,Selections!$E$6:$E$24,"Over 1.5")/SUMIFS(Selections!$T$6:$T$24,Selections!$E$6:$E$24,"Over 1.5"))</f>
        <v>0.028808603206313725</v>
      </c>
      <c r="M15" s="13">
        <f>IF(SUMIFS(Selections!$T$6:$T$24,Selections!$E$6:$E$24,"Over 1.5")=0,"n.a.",SUMIFS(Selections!$S$6:$S$24,Selections!$E$6:$E$24,"Over 1.5")/SUMIFS(Selections!$T$6:$T$24,Selections!$E$6:$E$24,"Over 1.5"))</f>
        <v>0.8407710464485831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-0.15922895355141686</v>
      </c>
      <c r="P15" s="12">
        <f>SUMIFS(Selections!$T$6:$T$24,Selections!$E$6:$E$24,"Over 1.5")</f>
        <v>2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(n=2).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4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3</v>
      </c>
      <c r="G16" s="12">
        <f>COUNTIFS(Selections!$E$6:$E$24,"Under 3.5")-(COUNTIFS(Selections!$E$6:$E$24,"Under 3.5",Selections!$K$6:$K$24,"WON")+COUNTIFS(Selections!$E$6:$E$24,"Under 3.5",Selections!$K$6:$K$24,"LOST"))</f>
        <v>2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0.25</v>
      </c>
      <c r="I16" s="15">
        <f>SUMIFS(Selections!$M$6:$M$24,Selections!$E$6:$E$24,"Under 3.5")</f>
        <v>4</v>
      </c>
      <c r="J16" s="15">
        <f>SUMIFS(Selections!$N$6:$N$24,Selections!$E$6:$E$24,"Under 3.5")</f>
        <v>-2.7199999999999998</v>
      </c>
      <c r="K16" s="13">
        <f>IF(SUMIFS(Selections!$M$6:$M$24,Selections!$E$6:$E$24,"Under 3.5")=0,"n.a.",SUMIFS(Selections!$N$6:$N$24,Selections!$E$6:$E$24,"Under 3.5")/SUMIFS(Selections!$M$6:$M$24,Selections!$E$6:$E$24,"Under 3.5"))</f>
        <v>-0.6799999999999999</v>
      </c>
      <c r="L16" s="14">
        <f>IF(SUMIFS(Selections!$T$6:$T$24,Selections!$E$6:$E$24,"Under 3.5")=0,"n.a.",SUMIFS(Selections!$O$6:$O$24,Selections!$E$6:$E$24,"Under 3.5")/SUMIFS(Selections!$T$6:$T$24,Selections!$E$6:$E$24,"Under 3.5"))</f>
        <v>0.5016332182694637</v>
      </c>
      <c r="M16" s="13">
        <f>IF(SUMIFS(Selections!$T$6:$T$24,Selections!$E$6:$E$24,"Under 3.5")=0,"n.a.",SUMIFS(Selections!$S$6:$S$24,Selections!$E$6:$E$24,"Under 3.5")/SUMIFS(Selections!$T$6:$T$24,Selections!$E$6:$E$24,"Under 3.5"))</f>
        <v>0.8054503740200165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0.25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0.5554503740200165</v>
      </c>
      <c r="P16" s="12">
        <f>SUMIFS(Selections!$T$6:$T$24,Selections!$E$6:$E$24,"Under 3.5")</f>
        <v>4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(n=4).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2</v>
      </c>
      <c r="E17" s="12">
        <f>COUNTIFS(Selections!$G$6:$G$24,"72h-ucl-v3",Selections!$K$6:$K$24,"WON")</f>
        <v>1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6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0.5</v>
      </c>
      <c r="I17" s="15">
        <f>SUMIFS(Selections!$M$6:$M$24,Selections!$G$6:$G$24,"72h-ucl-v3")</f>
        <v>2</v>
      </c>
      <c r="J17" s="15">
        <f>SUMIFS(Selections!$N$6:$N$24,Selections!$G$6:$G$24,"72h-ucl-v3")</f>
        <v>-0.6599999999999999</v>
      </c>
      <c r="K17" s="13">
        <f>IF(SUMIFS(Selections!$M$6:$M$24,Selections!$G$6:$G$24,"72h-ucl-v3")=0,"n.a.",SUMIFS(Selections!$N$6:$N$24,Selections!$G$6:$G$24,"72h-ucl-v3")/SUMIFS(Selections!$M$6:$M$24,Selections!$G$6:$G$24,"72h-ucl-v3"))</f>
        <v>-0.32999999999999996</v>
      </c>
      <c r="L17" s="14">
        <f>IF(SUMIFS(Selections!$T$6:$T$24,Selections!$G$6:$G$24,"72h-ucl-v3")=0,"n.a.",SUMIFS(Selections!$O$6:$O$24,Selections!$G$6:$G$24,"72h-ucl-v3")/SUMIFS(Selections!$T$6:$T$24,Selections!$G$6:$G$24,"72h-ucl-v3"))</f>
        <v>0.30886779422892635</v>
      </c>
      <c r="M17" s="13">
        <f>IF(SUMIFS(Selections!$T$6:$T$24,Selections!$G$6:$G$24,"72h-ucl-v3")=0,"n.a.",SUMIFS(Selections!$S$6:$S$24,Selections!$G$6:$G$24,"72h-ucl-v3")/SUMIFS(Selections!$T$6:$T$24,Selections!$G$6:$G$24,"72h-ucl-v3"))</f>
        <v>0.7685579001261875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0.5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0.2685579001261875</v>
      </c>
      <c r="P17" s="12">
        <f>SUMIFS(Selections!$T$6:$T$24,Selections!$G$6:$G$24,"72h-ucl-v3")</f>
        <v>2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5</v>
      </c>
      <c r="E18" s="12">
        <f>COUNTIFS(Selections!$G$6:$G$24,"legacy/unspecified",Selections!$K$6:$K$24,"WON")</f>
        <v>3</v>
      </c>
      <c r="F18" s="12">
        <f>COUNTIFS(Selections!$G$6:$G$24,"legacy/unspecified",Selections!$K$6:$K$24,"LOST")</f>
        <v>2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6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</v>
      </c>
      <c r="I18" s="15">
        <f>SUMIFS(Selections!$M$6:$M$24,Selections!$G$6:$G$24,"legacy/unspecified")</f>
        <v>5</v>
      </c>
      <c r="J18" s="15">
        <f>SUMIFS(Selections!$N$6:$N$24,Selections!$G$6:$G$24,"legacy/unspecified")</f>
        <v>-0.8500000000000001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-0.17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0.30947166484544086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0.8097022392308822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0.20970223923088227</v>
      </c>
      <c r="P18" s="12">
        <f>SUMIFS(Selections!$T$6:$T$24,Selections!$G$6:$G$24,"legacy/unspecified")</f>
        <v>5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3</v>
      </c>
      <c r="E20" s="12">
        <f>COUNTIFS(Selections!$P$6:$P$24,"2026-W42",Selections!$K$6:$K$24,"WON")</f>
        <v>2</v>
      </c>
      <c r="F20" s="12">
        <f>COUNTIFS(Selections!$P$6:$P$24,"2026-W42",Selections!$K$6:$K$24,"LOST")</f>
        <v>1</v>
      </c>
      <c r="G20" s="12">
        <f>COUNTIFS(Selections!$P$6:$P$24,"2026-W42")-(COUNTIFS(Selections!$P$6:$P$24,"2026-W42",Selections!$K$6:$K$24,"WON")+COUNTIFS(Selections!$P$6:$P$24,"2026-W42",Selections!$K$6:$K$24,"LOST"))</f>
        <v>10</v>
      </c>
      <c r="H20" s="13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0.6666666666666666</v>
      </c>
      <c r="I20" s="15">
        <f>SUMIFS(Selections!$M$6:$M$24,Selections!$P$6:$P$24,"2026-W42")</f>
        <v>3</v>
      </c>
      <c r="J20" s="15">
        <f>SUMIFS(Selections!$N$6:$N$24,Selections!$P$6:$P$24,"2026-W42")</f>
        <v>-0.030000000000000027</v>
      </c>
      <c r="K20" s="13">
        <f>IF(SUMIFS(Selections!$M$6:$M$24,Selections!$P$6:$P$24,"2026-W42")=0,"n.a.",SUMIFS(Selections!$N$6:$N$24,Selections!$P$6:$P$24,"2026-W42")/SUMIFS(Selections!$M$6:$M$24,Selections!$P$6:$P$24,"2026-W42"))</f>
        <v>-0.010000000000000009</v>
      </c>
      <c r="L20" s="14">
        <f>IF(SUMIFS(Selections!$T$6:$T$24,Selections!$P$6:$P$24,"2026-W42")=0,"n.a.",SUMIFS(Selections!$O$6:$O$24,Selections!$P$6:$P$24,"2026-W42")/SUMIFS(Selections!$T$6:$T$24,Selections!$P$6:$P$24,"2026-W42"))</f>
        <v>0.2828766481451019</v>
      </c>
      <c r="M20" s="13">
        <f>IF(SUMIFS(Selections!$T$6:$T$24,Selections!$P$6:$P$24,"2026-W42")=0,"n.a.",SUMIFS(Selections!$S$6:$S$24,Selections!$P$6:$P$24,"2026-W42")/SUMIFS(Selections!$T$6:$T$24,Selections!$P$6:$P$24,"2026-W42"))</f>
        <v>0.7670109065861058</v>
      </c>
      <c r="N20" s="13">
        <f>IF(SUMIFS(Selections!$T$6:$T$24,Selections!$P$6:$P$24,"2026-W42")=0,"n.a.",(SUMIFS(Selections!$L$6:$L$24,Selections!$P$6:$P$24,"2026-W42",Selections!$T$6:$T$24,1))/SUMIFS(Selections!$T$6:$T$24,Selections!$P$6:$P$24,"2026-W42"))</f>
        <v>0.6666666666666666</v>
      </c>
      <c r="O20" s="13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0.1003442399194392</v>
      </c>
      <c r="P20" s="12">
        <f>SUMIFS(Selections!$T$6:$T$24,Selections!$P$6:$P$24,"2026-W42")</f>
        <v>3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(n=3).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1</v>
      </c>
      <c r="E8" s="13">
        <f>IF(D8=0,"n.a.",SUMIFS(Selections!$S$6:$S$24,Selections!$S$6:$S$24,"&gt;="&amp;B8,Selections!$S$6:$S$24,"&lt;"&amp;C8,Selections!$T$6:$T$24,1)/D8)</f>
        <v>0.6822834074295536</v>
      </c>
      <c r="F8" s="13">
        <f>IF(D8=0,"n.a.",SUMIFS(Selections!$L$6:$L$24,Selections!$S$6:$S$24,"&gt;="&amp;B8,Selections!$S$6:$S$24,"&lt;"&amp;C8,Selections!$T$6:$T$24,1)/D8)</f>
        <v>1.0</v>
      </c>
      <c r="G8" s="13">
        <f>IF(D8=0,"n.a.",E8-F8)</f>
        <v>-0.3177165925704464</v>
      </c>
      <c r="H8" s="14">
        <f>IF(D8=0,"n.a.",SUMIFS(Selections!$O$6:$O$24,Selections!$S$6:$S$24,"&gt;="&amp;B8,Selections!$S$6:$S$24,"&lt;"&amp;C8,Selections!$T$6:$T$24,1)/D8)</f>
        <v>0.10094383319457502</v>
      </c>
      <c r="I8" s="1" t="inlineStr">
        <is>
          <t>Collect more scored forecasts (n=1).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3</v>
      </c>
      <c r="E9" s="13">
        <f>IF(D9=0,"n.a.",SUMIFS(Selections!$S$6:$S$24,Selections!$S$6:$S$24,"&gt;="&amp;B9,Selections!$S$6:$S$24,"&lt;"&amp;C9,Selections!$T$6:$T$24,1)/D9)</f>
        <v>0.7778468551107348</v>
      </c>
      <c r="F9" s="13">
        <f>IF(D9=0,"n.a.",SUMIFS(Selections!$L$6:$L$24,Selections!$S$6:$S$24,"&gt;="&amp;B9,Selections!$S$6:$S$24,"&lt;"&amp;C9,Selections!$T$6:$T$24,1)/D9)</f>
        <v>0.6666666666666666</v>
      </c>
      <c r="G9" s="13">
        <f>IF(D9=0,"n.a.",E9-F9)</f>
        <v>0.11118018844406818</v>
      </c>
      <c r="H9" s="14">
        <f>IF(D9=0,"n.a.",SUMIFS(Selections!$O$6:$O$24,Selections!$S$6:$S$24,"&gt;="&amp;B9,Selections!$S$6:$S$24,"&lt;"&amp;C9,Selections!$T$6:$T$24,1)/D9)</f>
        <v>0.21972615491021844</v>
      </c>
      <c r="I9" s="1" t="inlineStr">
        <is>
          <t>Collect more scored forecasts (n=3).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3</v>
      </c>
      <c r="E10" s="13">
        <f>IF(D10=0,"n.a.",SUMIFS(Selections!$S$6:$S$24,Selections!$S$6:$S$24,"&gt;="&amp;B10,Selections!$S$6:$S$24,"&lt;"&amp;C10,Selections!$T$6:$T$24,1)/D10)</f>
        <v>0.8566010078816761</v>
      </c>
      <c r="F10" s="13">
        <f>IF(D10=0,"n.a.",SUMIFS(Selections!$L$6:$L$24,Selections!$S$6:$S$24,"&gt;="&amp;B10,Selections!$S$6:$S$24,"&lt;"&amp;C10,Selections!$T$6:$T$24,1)/D10)</f>
        <v>0.3333333333333333</v>
      </c>
      <c r="G10" s="13">
        <f>IF(D10=0,"n.a.",E10-F10)</f>
        <v>0.5232676745483429</v>
      </c>
      <c r="H10" s="14">
        <f>IF(D10=0,"n.a.",SUMIFS(Selections!$O$6:$O$24,Selections!$S$6:$S$24,"&gt;="&amp;B10,Selections!$S$6:$S$24,"&lt;"&amp;C10,Selections!$T$6:$T$24,1)/D10)</f>
        <v>0.46832387158660893</v>
      </c>
      <c r="I10" s="1" t="inlineStr">
        <is>
          <t>Collect more scored forecasts (n=3).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  <c r="U5" t="inlineStr">
        <is>
          <t>Cost per unit stake</t>
        </is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IF(ISNUMBER(M6),M6*(I6*L6-1-U6),"")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  <c r="U6">
        <v>0.0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IF(ISNUMBER(M7),M7*(I7*L7-1-U7),"")</f>
        <v>-1.0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  <c r="U7">
        <v>0.0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IF(ISNUMBER(M8),M8*(I8*L8-1-U8),"")</f>
        <v>-1.0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  <c r="U8">
        <v>0.0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IF(ISNUMBER(M9),M9*(I9*L9-1-U9),"")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  <c r="U9">
        <v>0.0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IF(ISNUMBER(M10),M10*(I10*L10-1-U10),"")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  <c r="U10">
        <v>0.0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 t="inlineStr">
        <is>
          <t>3-1</t>
        </is>
      </c>
      <c r="K11" s="1" t="inlineStr">
        <is>
          <t>WON</t>
        </is>
      </c>
      <c r="L11" s="1">
        <v>1</v>
      </c>
      <c r="M11" s="10">
        <f>IF(AND(ISNUMBER(L11),ISNUMBER(I11),I11&gt;1),'ROI Plan'!$B$5,"")</f>
        <v>1</v>
      </c>
      <c r="N11" s="10">
        <f>IF(ISNUMBER(M11),M11*(I11*L11-1-U11),"")</f>
        <v>0.6299999999999999</v>
      </c>
      <c r="O11" s="11">
        <f>IF(AND(ISNUMBER(L11),ISNUMBER(H11)),(H11-L11)^2,"")</f>
        <v>0.10094383319457502</v>
      </c>
      <c r="P11" s="1" t="inlineStr">
        <is>
          <t>2026-W42</t>
        </is>
      </c>
      <c r="Q11" s="1" t="inlineStr">
        <is>
          <t>bdc690a8c70643c93f1595d53c067b7d91325270</t>
        </is>
      </c>
      <c r="R11" s="1" t="inlineStr">
        <is>
          <t>football-data.org/v4</t>
        </is>
      </c>
      <c r="S11" s="9">
        <f>IF(AND(ISNUMBER(L11),ISNUMBER(H11)),H11,"")</f>
        <v>0.6822834074295536</v>
      </c>
      <c r="T11" s="1">
        <f>IF(AND(ISNUMBER(L11),ISNUMBER(H11)),1,0)</f>
        <v>1</v>
      </c>
      <c r="U11">
        <v>0.0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 t="inlineStr">
        <is>
          <t>3-3</t>
        </is>
      </c>
      <c r="K12" s="1" t="inlineStr">
        <is>
          <t>WON</t>
        </is>
      </c>
      <c r="L12" s="1">
        <v>1</v>
      </c>
      <c r="M12" s="10">
        <f>IF(AND(ISNUMBER(L12),ISNUMBER(I12),I12&gt;1),'ROI Plan'!$B$5,"")</f>
        <v>1</v>
      </c>
      <c r="N12" s="10">
        <f>IF(ISNUMBER(M12),M12*(I12*L12-1-U12),"")</f>
        <v>0.3400000000000001</v>
      </c>
      <c r="O12" s="11">
        <f>IF(AND(ISNUMBER(L12),ISNUMBER(H12)),(H12-L12)^2,"")</f>
        <v>0.047526624819046584</v>
      </c>
      <c r="P12" s="1" t="inlineStr">
        <is>
          <t>2026-W42</t>
        </is>
      </c>
      <c r="Q12" s="1" t="inlineStr">
        <is>
          <t>a2cdead106b513fd623cffd1e43a491685d68cc3</t>
        </is>
      </c>
      <c r="R12" s="1" t="inlineStr">
        <is>
          <t>football-data.org/v4</t>
        </is>
      </c>
      <c r="S12" s="9">
        <f>IF(AND(ISNUMBER(L12),ISNUMBER(H12)),H12,"")</f>
        <v>0.7819939798559531</v>
      </c>
      <c r="T12" s="1">
        <f>IF(AND(ISNUMBER(L12),ISNUMBER(H12)),1,0)</f>
        <v>1</v>
      </c>
      <c r="U12">
        <v>0.0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 t="inlineStr">
        <is>
          <t>4-1</t>
        </is>
      </c>
      <c r="K13" s="1" t="inlineStr">
        <is>
          <t>LOST</t>
        </is>
      </c>
      <c r="L13" s="1">
        <v>0</v>
      </c>
      <c r="M13" s="10">
        <f>IF(AND(ISNUMBER(L13),ISNUMBER(I13),I13&gt;1),'ROI Plan'!$B$5,"")</f>
        <v>1</v>
      </c>
      <c r="N13" s="10">
        <f>IF(ISNUMBER(M13),M13*(I13*L13-1-U13),"")</f>
        <v>-1.0</v>
      </c>
      <c r="O13" s="11">
        <f>IF(AND(ISNUMBER(L13),ISNUMBER(H13)),(H13-L13)^2,"")</f>
        <v>0.700159486421684</v>
      </c>
      <c r="P13" s="1" t="inlineStr">
        <is>
          <t>2026-W42</t>
        </is>
      </c>
      <c r="Q13" s="1" t="inlineStr">
        <is>
          <t>bdc690a8c70643c93f1595d53c067b7d91325270</t>
        </is>
      </c>
      <c r="R13" s="1" t="inlineStr">
        <is>
          <t>football-data.org/v4</t>
        </is>
      </c>
      <c r="S13" s="9">
        <f>IF(AND(ISNUMBER(L13),ISNUMBER(H13)),H13,"")</f>
        <v>0.8367553324728108</v>
      </c>
      <c r="T13" s="1">
        <f>IF(AND(ISNUMBER(L13),ISNUMBER(H13)),1,0)</f>
        <v>1</v>
      </c>
      <c r="U13">
        <v>0.0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IF(ISNUMBER(M14),M14*(I14*L14-1-U14),"")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  <c r="U14">
        <v>0.0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IF(ISNUMBER(M15),M15*(I15*L15-1-U15),"")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  <c r="U15">
        <v>0.0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IF(ISNUMBER(M16),M16*(I16*L16-1-U16),"")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  <c r="U16">
        <v>0.0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IF(ISNUMBER(M17),M17*(I17*L17-1-U17),"")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  <c r="U17">
        <v>0.0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IF(ISNUMBER(M18),M18*(I18*L18-1-U18),"")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  <c r="U18">
        <v>0.0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IF(ISNUMBER(M19),M19*(I19*L19-1-U19),"")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  <c r="U19">
        <v>0.0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IF(ISNUMBER(M20),M20*(I20*L20-1-U20),"")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  <c r="U20">
        <v>0.0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IF(ISNUMBER(M21),M21*(I21*L21-1-U21),"")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  <c r="U21">
        <v>0.0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IF(ISNUMBER(M22),M22*(I22*L22-1-U22),"")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  <c r="U22">
        <v>0.0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IF(ISNUMBER(M23),M23*(I23*L23-1-U23),"")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  <c r="U23">
        <v>0.0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IF(ISNUMBER(M24),M24*(I24*L24-1-U24),"")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  <c r="U24">
        <v>0.0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GRADED</t>
        </is>
      </c>
      <c r="G23" s="1" t="inlineStr">
        <is>
          <t>3-1</t>
        </is>
      </c>
      <c r="H23" s="1">
        <v>1.0</v>
      </c>
      <c r="I23" s="11">
        <v>0.14951884</v>
      </c>
      <c r="J23" s="1">
        <v>1.0</v>
      </c>
      <c r="K23" s="1">
        <v>0.0</v>
      </c>
      <c r="L23" s="1">
        <v>0.0</v>
      </c>
      <c r="M23" s="1">
        <v>0.0</v>
      </c>
      <c r="N23" s="1" t="inlineStr">
        <is>
          <t>2026-W42</t>
        </is>
      </c>
      <c r="O23" s="1" t="inlineStr">
        <is>
          <t>2fd31d33722311d8e0155bb5eca6b3a310ac938b</t>
        </is>
      </c>
      <c r="P23" s="1" t="inlineStr">
        <is>
          <t>football-data.org/v4</t>
        </is>
      </c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GRADED</t>
        </is>
      </c>
      <c r="G24" s="1" t="inlineStr">
        <is>
          <t>2-1</t>
        </is>
      </c>
      <c r="H24" s="1">
        <v>1.0</v>
      </c>
      <c r="I24" s="11">
        <v>0.56760261</v>
      </c>
      <c r="J24" s="1">
        <v>1.0</v>
      </c>
      <c r="K24" s="1">
        <v>1.0</v>
      </c>
      <c r="L24" s="1">
        <v>1.0</v>
      </c>
      <c r="M24" s="1">
        <v>1.0</v>
      </c>
      <c r="N24" s="1" t="inlineStr">
        <is>
          <t>2026-W42</t>
        </is>
      </c>
      <c r="O24" s="1" t="inlineStr">
        <is>
          <t>2fd31d33722311d8e0155bb5eca6b3a310ac938b</t>
        </is>
      </c>
      <c r="P24" s="1" t="inlineStr">
        <is>
          <t>football-data.org/v4</t>
        </is>
      </c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GRADED</t>
        </is>
      </c>
      <c r="G25" s="1" t="inlineStr">
        <is>
          <t>3-3</t>
        </is>
      </c>
      <c r="H25" s="1">
        <v>0.0</v>
      </c>
      <c r="I25" s="11">
        <v>0.80099687</v>
      </c>
      <c r="J25" s="1">
        <v>1.0</v>
      </c>
      <c r="K25" s="1">
        <v>0.0</v>
      </c>
      <c r="L25" s="1">
        <v>1.0</v>
      </c>
      <c r="M25" s="1">
        <v>1.0</v>
      </c>
      <c r="N25" s="1" t="inlineStr">
        <is>
          <t>2026-W42</t>
        </is>
      </c>
      <c r="O25" s="1" t="inlineStr">
        <is>
          <t>2fd31d33722311d8e0155bb5eca6b3a310ac938b</t>
        </is>
      </c>
      <c r="P25" s="1" t="inlineStr">
        <is>
          <t>football-data.org/v4</t>
        </is>
      </c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GRADED</t>
        </is>
      </c>
      <c r="G26" s="1" t="inlineStr">
        <is>
          <t>4-1</t>
        </is>
      </c>
      <c r="H26" s="1">
        <v>0.0</v>
      </c>
      <c r="I26" s="11">
        <v>1.09370541</v>
      </c>
      <c r="J26" s="1">
        <v>1.0</v>
      </c>
      <c r="K26" s="1">
        <v>0.0</v>
      </c>
      <c r="L26" s="1">
        <v>0.0</v>
      </c>
      <c r="M26" s="1">
        <v>0.0</v>
      </c>
      <c r="N26" s="1" t="inlineStr">
        <is>
          <t>2026-W42</t>
        </is>
      </c>
      <c r="O26" s="1" t="inlineStr">
        <is>
          <t>2fd31d33722311d8e0155bb5eca6b3a310ac938b</t>
        </is>
      </c>
      <c r="P26" s="1" t="inlineStr">
        <is>
          <t>football-data.org/v4</t>
        </is>
      </c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cols>
    <col min="1" max="1" width="28" customWidth="1"/>
    <col min="2" max="2" width="30" customWidth="1"/>
    <col min="3" max="3" width="26" customWidth="1"/>
    <col min="4" max="4" width="26" customWidth="1"/>
    <col min="5" max="5" width="52" customWidth="1"/>
  </cols>
  <sheetData>
    <row r="1">
      <c r="A1" t="inlineStr">
        <is>
          <t>Pipeline health and forward evidence</t>
        </is>
      </c>
    </row>
    <row r="2">
      <c r="A2" t="inlineStr">
        <is>
          <t>Review UTC: 2026-10-13T12:48:35.721453+00:00</t>
        </is>
      </c>
    </row>
    <row r="3">
      <c r="A3" t="inlineStr">
        <is>
          <t>Source freshness, model results and execution checks are separate evidence.</t>
        </is>
      </c>
    </row>
    <row r="6">
      <c r="A6" t="inlineStr">
        <is>
          <t>League</t>
        </is>
      </c>
      <c r="B6" t="inlineStr">
        <is>
          <t>Training end</t>
        </is>
      </c>
      <c r="C6" t="inlineStr">
        <is>
          <t>Matches</t>
        </is>
      </c>
      <c r="D6" t="inlineStr">
        <is>
          <t>Days since result</t>
        </is>
      </c>
      <c r="E6" t="inlineStr">
        <is>
          <t>Source status</t>
        </is>
      </c>
    </row>
    <row r="7">
      <c r="A7" t="inlineStr">
        <is>
          <t>Bundesliga</t>
        </is>
      </c>
      <c r="B7" t="inlineStr">
        <is>
          <t>2026-10-11</t>
        </is>
      </c>
      <c r="C7">
        <v>963</v>
      </c>
      <c r="D7">
        <v>2</v>
      </c>
      <c r="E7" t="inlineStr">
        <is>
          <t>RESULT_DATE_ONLY_NOT_COMPLETENESS_VERIFIED</t>
        </is>
      </c>
    </row>
    <row r="8">
      <c r="A8" t="inlineStr">
        <is>
          <t>EPL</t>
        </is>
      </c>
      <c r="B8" t="inlineStr">
        <is>
          <t>2026-10-12</t>
        </is>
      </c>
      <c r="C8">
        <v>1200</v>
      </c>
      <c r="D8">
        <v>1</v>
      </c>
      <c r="E8" t="inlineStr">
        <is>
          <t>RESULT_DATE_ONLY_NOT_COMPLETENESS_VERIFIED</t>
        </is>
      </c>
    </row>
    <row r="9">
      <c r="A9" t="inlineStr">
        <is>
          <t>LaLiga</t>
        </is>
      </c>
      <c r="B9" t="inlineStr">
        <is>
          <t>2026-10-12</t>
        </is>
      </c>
      <c r="C9">
        <v>1218</v>
      </c>
      <c r="D9">
        <v>1</v>
      </c>
      <c r="E9" t="inlineStr">
        <is>
          <t>RESULT_DATE_ONLY_NOT_COMPLETENESS_VERIFIED</t>
        </is>
      </c>
    </row>
    <row r="10">
      <c r="A10" t="inlineStr">
        <is>
          <t>Ligue1</t>
        </is>
      </c>
      <c r="B10" t="inlineStr">
        <is>
          <t>2026-10-11</t>
        </is>
      </c>
      <c r="C10">
        <v>972</v>
      </c>
      <c r="D10">
        <v>2</v>
      </c>
      <c r="E10" t="inlineStr">
        <is>
          <t>RESULT_DATE_ONLY_NOT_COMPLETENESS_VERIFIED</t>
        </is>
      </c>
    </row>
    <row r="11">
      <c r="A11" t="inlineStr">
        <is>
          <t>SerieA</t>
        </is>
      </c>
      <c r="B11" t="inlineStr">
        <is>
          <t>2026-10-12</t>
        </is>
      </c>
      <c r="C11">
        <v>1200</v>
      </c>
      <c r="D11">
        <v>1</v>
      </c>
      <c r="E11" t="inlineStr">
        <is>
          <t>RESULT_DATE_ONLY_NOT_COMPLETENESS_VERIFIED</t>
        </is>
      </c>
    </row>
    <row r="12">
      <c r="A12" t="inlineStr">
        <is>
          <t>UCL</t>
        </is>
      </c>
      <c r="B12" t="inlineStr">
        <is>
          <t>2026-09-10</t>
        </is>
      </c>
      <c r="C12">
        <v>521</v>
      </c>
      <c r="D12">
        <v>33</v>
      </c>
      <c r="E12" t="inlineStr">
        <is>
          <t>CURRENT_WITHIN_PROVIDER_SCHEDULE</t>
        </is>
      </c>
    </row>
    <row r="13"/>
    <row r="14">
      <c r="A14" t="inlineStr">
        <is>
          <t>Latest stored shortlist audit</t>
        </is>
      </c>
    </row>
    <row r="15">
      <c r="A15" t="inlineStr">
        <is>
          <t>selected_quotes</t>
        </is>
      </c>
      <c r="B15">
        <v>4</v>
      </c>
    </row>
    <row r="16">
      <c r="A16" t="inlineStr">
        <is>
          <t>exchange_quotes</t>
        </is>
      </c>
      <c r="B16">
        <v>0</v>
      </c>
    </row>
    <row r="17">
      <c r="A17" t="inlineStr">
        <is>
          <t>missing_quote_age</t>
        </is>
      </c>
      <c r="B17">
        <v>0</v>
      </c>
    </row>
    <row r="18">
      <c r="A18" t="inlineStr">
        <is>
          <t>quote_age_over_24h</t>
        </is>
      </c>
      <c r="B18">
        <v>0</v>
      </c>
    </row>
    <row r="19">
      <c r="A19" t="inlineStr">
        <is>
          <t>costs_recorded</t>
        </is>
      </c>
      <c r="B19">
        <v>4</v>
      </c>
    </row>
    <row r="20">
      <c r="A20" t="inlineStr">
        <is>
          <t>bookmakers</t>
        </is>
      </c>
      <c r="B20" t="inlineStr">
        <is>
          <t>{"1xBet": 4}</t>
        </is>
      </c>
    </row>
    <row r="21">
      <c r="A21" t="inlineStr">
        <is>
          <t>account_availability</t>
        </is>
      </c>
      <c r="B21" t="inlineStr">
        <is>
          <t>NOT_VERIFIED_WITH_BOOKMAKER_ACCOUNTS</t>
        </is>
      </c>
    </row>
    <row r="22"/>
    <row r="23">
      <c r="A23" t="inlineStr">
        <is>
          <t>Snapshot</t>
        </is>
      </c>
      <c r="B23" t="inlineStr">
        <is>
          <t>Captured UTC</t>
        </is>
      </c>
      <c r="C23" t="inlineStr">
        <is>
          <t>Goal blend</t>
        </is>
      </c>
      <c r="D23" t="inlineStr">
        <is>
          <t>Market led</t>
        </is>
      </c>
    </row>
    <row r="24">
      <c r="A24" t="inlineStr">
        <is>
          <t>2fd31d337223</t>
        </is>
      </c>
      <c r="B24" t="inlineStr">
        <is>
          <t>2026-10-11T06:30:30Z</t>
        </is>
      </c>
      <c r="C24" t="inlineStr">
        <is>
          <t>LEGACY_NOT_RECORDED</t>
        </is>
      </c>
      <c r="D24" t="inlineStr">
        <is>
          <t>LEGACY_NOT_RECORDED</t>
        </is>
      </c>
    </row>
    <row r="25">
      <c r="A25" t="inlineStr">
        <is>
          <t>bdc690a8c706</t>
        </is>
      </c>
      <c r="B25" t="inlineStr">
        <is>
          <t>2026-10-11T06:38:09Z</t>
        </is>
      </c>
      <c r="C25" t="inlineStr">
        <is>
          <t>LEGACY_NOT_RECORDED</t>
        </is>
      </c>
      <c r="D25" t="inlineStr">
        <is>
          <t>LEGACY_NOT_RECORDED</t>
        </is>
      </c>
    </row>
    <row r="26">
      <c r="A26" t="inlineStr">
        <is>
          <t>b9c15c09504a</t>
        </is>
      </c>
      <c r="B26" t="inlineStr">
        <is>
          <t>2026-10-11T06:44:04Z</t>
        </is>
      </c>
      <c r="C26" t="inlineStr">
        <is>
          <t>LEGACY_NOT_RECORDED</t>
        </is>
      </c>
      <c r="D26" t="inlineStr">
        <is>
          <t>LEGACY_NOT_RECORDED</t>
        </is>
      </c>
    </row>
    <row r="27">
      <c r="A27" t="inlineStr">
        <is>
          <t>648ca5973f8d</t>
        </is>
      </c>
      <c r="B27" t="inlineStr">
        <is>
          <t>2026-10-11T08:21:00Z</t>
        </is>
      </c>
      <c r="C27" t="inlineStr">
        <is>
          <t>LEGACY_NOT_RECORDED</t>
        </is>
      </c>
      <c r="D27" t="inlineStr">
        <is>
          <t>LEGACY_NOT_RECORDED</t>
        </is>
      </c>
    </row>
    <row r="28">
      <c r="A28" t="inlineStr">
        <is>
          <t>660b75e4a311</t>
        </is>
      </c>
      <c r="B28" t="inlineStr">
        <is>
          <t>2026-10-11T08:25:02Z</t>
        </is>
      </c>
      <c r="C28" t="inlineStr">
        <is>
          <t>LEGACY_NOT_RECORDED</t>
        </is>
      </c>
      <c r="D28" t="inlineStr">
        <is>
          <t>LEGACY_NOT_RECORDED</t>
        </is>
      </c>
    </row>
    <row r="29">
      <c r="A29" t="inlineStr">
        <is>
          <t>a2cdead106b5</t>
        </is>
      </c>
      <c r="B29" t="inlineStr">
        <is>
          <t>2026-10-11T10:46:00Z</t>
        </is>
      </c>
      <c r="C29" t="inlineStr">
        <is>
          <t>LEGACY_NOT_RECORDED</t>
        </is>
      </c>
      <c r="D29" t="inlineStr">
        <is>
          <t>LEGACY_NOT_RECORDED</t>
        </is>
      </c>
    </row>
    <row r="30">
      <c r="A30" t="inlineStr">
        <is>
          <t>5fb257972ff2</t>
        </is>
      </c>
      <c r="B30" t="inlineStr">
        <is>
          <t>2026-10-11T11:06:08Z</t>
        </is>
      </c>
      <c r="C30" t="inlineStr">
        <is>
          <t>LEGACY_NOT_RECORDED</t>
        </is>
      </c>
      <c r="D30" t="inlineStr">
        <is>
          <t>LEGACY_NOT_RECORDED</t>
        </is>
      </c>
    </row>
    <row r="31">
      <c r="A31" t="inlineStr">
        <is>
          <t>f1a72cc22d71</t>
        </is>
      </c>
      <c r="B31" t="inlineStr">
        <is>
          <t>2026-10-11T11:32:53Z</t>
        </is>
      </c>
      <c r="C31" t="inlineStr">
        <is>
          <t>LEGACY_NOT_RECORDED</t>
        </is>
      </c>
      <c r="D31" t="inlineStr">
        <is>
          <t>LEGACY_NOT_RECORDED</t>
        </is>
      </c>
    </row>
    <row r="32">
      <c r="A32" t="inlineStr">
        <is>
          <t>4f7af2f470a0</t>
        </is>
      </c>
      <c r="B32" t="inlineStr">
        <is>
          <t>2026-10-12T16:34:11Z</t>
        </is>
      </c>
      <c r="C32" t="inlineStr">
        <is>
          <t>LEGACY_NOT_RECORDED</t>
        </is>
      </c>
      <c r="D32" t="inlineStr">
        <is>
          <t>LEGACY_NOT_RECORDED</t>
        </is>
      </c>
    </row>
    <row r="33">
      <c r="A33" t="inlineStr">
        <is>
          <t>5496e9ba03ae</t>
        </is>
      </c>
      <c r="B33" t="inlineStr">
        <is>
          <t>2026-10-12T21:11:56Z</t>
        </is>
      </c>
      <c r="C33" t="inlineStr">
        <is>
          <t>LEGACY_NOT_RECORDED</t>
        </is>
      </c>
      <c r="D33" t="inlineStr">
        <is>
          <t>LEGACY_NOT_RECORDED</t>
        </is>
      </c>
    </row>
    <row r="34">
      <c r="A34" t="inlineStr">
        <is>
          <t>f6306ebd6d74</t>
        </is>
      </c>
      <c r="B34" t="inlineStr">
        <is>
          <t>2026-10-13T07:01:01Z</t>
        </is>
      </c>
      <c r="C34" t="inlineStr">
        <is>
          <t>LEGACY_NOT_RECORDED</t>
        </is>
      </c>
      <c r="D34" t="inlineStr">
        <is>
          <t>LEGACY_NOT_RECORDED</t>
        </is>
      </c>
    </row>
    <row r="35">
      <c r="A35" t="inlineStr">
        <is>
          <t>fbfe5af89d06</t>
        </is>
      </c>
      <c r="B35" t="inlineStr">
        <is>
          <t>2026-10-13T07:52:43Z</t>
        </is>
      </c>
      <c r="C35" t="inlineStr">
        <is>
          <t>LEGACY_NOT_RECORDED</t>
        </is>
      </c>
      <c r="D35" t="inlineStr">
        <is>
          <t>LEGACY_NOT_RECORDED</t>
        </is>
      </c>
    </row>
    <row r="36">
      <c r="A36" t="inlineStr">
        <is>
          <t>87b1676077a4</t>
        </is>
      </c>
      <c r="B36" t="inlineStr">
        <is>
          <t>2026-10-13T09:01:13Z</t>
        </is>
      </c>
      <c r="C36" t="inlineStr">
        <is>
          <t>LEGACY_NOT_RECORDED</t>
        </is>
      </c>
      <c r="D36" t="inlineStr">
        <is>
          <t>LEGACY_NOT_RECORDED</t>
        </is>
      </c>
    </row>
    <row r="37">
      <c r="A37" t="inlineStr">
        <is>
          <t>0dba961b0bbe</t>
        </is>
      </c>
      <c r="B37" t="inlineStr">
        <is>
          <t>2026-10-13T09:27:14Z</t>
        </is>
      </c>
      <c r="C37" t="inlineStr">
        <is>
          <t>LEGACY_NOT_RECORDED</t>
        </is>
      </c>
      <c r="D37" t="inlineStr">
        <is>
          <t>LEGACY_NOT_RECORDED</t>
        </is>
      </c>
    </row>
    <row r="38">
      <c r="A38" t="inlineStr">
        <is>
          <t>962a7a22cb5b</t>
        </is>
      </c>
      <c r="B38" t="inlineStr">
        <is>
          <t>2026-10-13T11:07:31Z</t>
        </is>
      </c>
      <c r="C38" t="inlineStr">
        <is>
          <t>CAPTURED</t>
        </is>
      </c>
      <c r="D38" t="inlineStr">
        <is>
          <t>CAPTURED</t>
        </is>
      </c>
    </row>
    <row r="39">
      <c r="A39" t="inlineStr">
        <is>
          <t>aea62120d25e</t>
        </is>
      </c>
      <c r="B39" t="inlineStr">
        <is>
          <t>2026-10-13T12:01:10Z</t>
        </is>
      </c>
      <c r="C39" t="inlineStr">
        <is>
          <t>CAPTURED</t>
        </is>
      </c>
      <c r="D39" t="inlineStr">
        <is>
          <t>CAPTURED</t>
        </is>
      </c>
    </row>
    <row r="40">
      <c r="A40" t="inlineStr">
        <is>
          <t>95dc22b24994</t>
        </is>
      </c>
      <c r="B40" t="inlineStr">
        <is>
          <t>2026-10-13T12:30:01Z</t>
        </is>
      </c>
      <c r="C40" t="inlineStr">
        <is>
          <t>CAPTURED</t>
        </is>
      </c>
      <c r="D40" t="inlineStr">
        <is>
          <t>CAPTURED</t>
        </is>
      </c>
    </row>
    <row r="41">
      <c r="A41" t="inlineStr">
        <is>
          <t>ea202e9e045b</t>
        </is>
      </c>
      <c r="B41" t="inlineStr">
        <is>
          <t>2026-10-13T12:48:34Z</t>
        </is>
      </c>
      <c r="C41" t="inlineStr">
        <is>
          <t>CAPTURED</t>
        </is>
      </c>
      <c r="D41" t="inlineStr">
        <is>
          <t>CAPTURED</t>
        </is>
      </c>
    </row>
    <row r="42"/>
    <row r="43">
      <c r="A43" t="inlineStr">
        <is>
          <t>Daily observations</t>
        </is>
      </c>
      <c r="B43" t="inlineStr">
        <is>
          <t>Graded</t>
        </is>
      </c>
      <c r="C43" t="inlineStr">
        <is>
          <t>Win rate</t>
        </is>
      </c>
      <c r="D43" t="inlineStr">
        <is>
          <t>Net simulated ROI</t>
        </is>
      </c>
      <c r="E43" t="inlineStr">
        <is>
          <t>Brier</t>
        </is>
      </c>
    </row>
    <row r="44">
      <c r="A44" t="inlineStr">
        <is>
          <t>2026-10-13</t>
        </is>
      </c>
      <c r="B44">
        <v>7</v>
      </c>
      <c r="C44">
        <v>0.571429</v>
      </c>
      <c r="D44">
        <v>-0.215714</v>
      </c>
      <c r="E44">
        <v>0.309299</v>
      </c>
    </row>
    <row r="45"/>
    <row r="46">
      <c r="A46" t="inlineStr">
        <is>
          <t>Review dependency versions</t>
        </is>
      </c>
    </row>
    <row r="47">
      <c r="A47" t="inlineStr">
        <is>
          <t>python</t>
        </is>
      </c>
      <c r="B47" t="inlineStr">
        <is>
          <t>3.12.15</t>
        </is>
      </c>
    </row>
    <row r="48">
      <c r="A48" t="inlineStr">
        <is>
          <t>numpy</t>
        </is>
      </c>
      <c r="B48" t="inlineStr">
        <is>
          <t>2.5.4</t>
        </is>
      </c>
    </row>
    <row r="49">
      <c r="A49" t="inlineStr">
        <is>
          <t>pandas</t>
        </is>
      </c>
      <c r="B49" t="inlineStr">
        <is>
          <t>3.0.6</t>
        </is>
      </c>
    </row>
    <row r="50">
      <c r="A50" t="inlineStr">
        <is>
          <t>scipy</t>
        </is>
      </c>
      <c r="B50" t="inlineStr">
        <is>
          <t>1.18.1</t>
        </is>
      </c>
    </row>
    <row r="51">
      <c r="A51" t="inlineStr">
        <is>
          <t>requests</t>
        </is>
      </c>
      <c r="B51" t="inlineStr">
        <is>
          <t>2.34.2</t>
        </is>
      </c>
    </row>
    <row r="52">
      <c r="A52" t="inlineStr">
        <is>
          <t>python-dotenv</t>
        </is>
      </c>
      <c r="B52" t="inlineStr">
        <is>
          <t>1.2.4</t>
        </is>
      </c>
    </row>
    <row r="53">
      <c r="A53" t="inlineStr">
        <is>
          <t>coverage</t>
        </is>
      </c>
      <c r="B53" t="inlineStr">
        <is>
          <t>7.16.2</t>
        </is>
      </c>
    </row>
    <row r="54">
      <c r="A54" t="inlineStr">
        <is>
          <t>PyYAML</t>
        </is>
      </c>
      <c r="B54" t="inlineStr">
        <is>
          <t>6.0.3</t>
        </is>
      </c>
    </row>
    <row r="55"/>
    <row r="56">
      <c r="A56" t="inlineStr">
        <is>
          <t>Improvement is not established by fresher data or software changes. Compare paired forecasts and settled results.</t>
        </is>
      </c>
    </row>
    <row r="57">
      <c r="A57" t="inlineStr">
        <is>
          <t>Account access and executable stake sizes are not verified. Exchange targets require a commission/liquidity adapter.</t>
        </is>
      </c>
    </row>
  </sheetData>
</worksheet>
</file>