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3.8799999999999986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0.8484848484848485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Plan'!$A$10:$A$82</c:f>
              <c:strCache>
                <c:ptCount val="7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</c:strCache>
            </c:strRef>
          </c:cat>
          <c:val>
            <c:numRef>
              <c:f>'ROI Plan'!$F$10:$F$82</c:f>
              <c:numCache>
                <c:formatCode>General</c:formatCode>
                <c:ptCount val="7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0.7607338760888485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0.8095238095238095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73</v>
      </c>
      <c r="C7" s="18"/>
      <c r="D7" s="18" t="str">
        <v>STRICT</v>
      </c>
      <c r="E7" s="18">
        <f>Breakdowns!D7</f>
        <v>33</v>
      </c>
      <c r="F7" s="20">
        <f>Breakdowns!H7</f>
        <v>0.8484848484848485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60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0.7666666666666667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0.06466666666666665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3.879999999999999</v>
      </c>
      <c r="C14" s="18"/>
      <c r="D14" s="18" t="inlineStr">
        <is>
          <t>60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0.15315701523221703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IF(COUNT(Predictions!H6:H248)=0,"n.a.",AVERAGE(Predictions!H6:H248))</f>
        <v>0.5688622754491018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IF(COUNT(Predictions!I6:I248)=0,"n.a.",AVERAGE(Predictions!I6:I248))</f>
        <v>0.5730995958682634</v>
      </c>
      <c r="C17" s="18"/>
      <c r="D17" s="18" t="inlineStr">
        <is>
          <t>Over 1.5</t>
        </is>
      </c>
      <c r="E17" s="18">
        <f>COUNT(Predictions!J6:J248)</f>
        <v>167</v>
      </c>
      <c r="F17" s="20">
        <f>IF(E17=0,"n.a.",AVERAGE(Predictions!J6:J248))</f>
        <v>0.8023952095808383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0.6456348865960799</v>
      </c>
      <c r="C18" s="18"/>
      <c r="D18" s="18" t="inlineStr">
        <is>
          <t>Under 3.5</t>
        </is>
      </c>
      <c r="E18" s="18">
        <f>COUNT(Predictions!K6:K248)</f>
        <v>167</v>
      </c>
      <c r="F18" s="20">
        <f>IF(E18=0,"n.a.",AVERAGE(Predictions!K6:K248))</f>
        <v>0.6287425149700598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0.8556056838156894</v>
      </c>
      <c r="C19" s="18"/>
      <c r="D19" s="18" t="inlineStr">
        <is>
          <t>BTTS Yes</t>
        </is>
      </c>
      <c r="E19" s="18">
        <f>COUNT(Predictions!L6:L248)</f>
        <v>167</v>
      </c>
      <c r="F19" s="20">
        <f>IF(E19=0,"n.a.",AVERAGE(Predictions!L6:L248))</f>
        <v>0.562874251497006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COUNT(Predictions!M6:M248)</f>
        <v>167</v>
      </c>
      <c r="F20" s="20">
        <f>IF(E20=0,"n.a.",AVERAGE(Predictions!M6:M248))</f>
        <v>0.562874251497006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46 wins from 60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2026-10-27T11:35:27.251567+00:00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2026-10-27 11:35:21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PENDING_KICKOFF_OR_FINAL_SCORE</t>
        </is>
      </c>
      <c r="D82" s="22" t="str">
        <f>IF(ISNUMBER(Selections!M78),Selections!M78,"")</f>
        <v/>
      </c>
      <c r="E82" s="22" t="str">
        <f>IF(ISNUMBER(Selections!N78),Selections!N78,"")</f>
        <v/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</sheetData>
  <mergeCells count="1">
    <mergeCell ref="A2:J2"/>
  </mergeCells>
  <conditionalFormatting sqref="E10:E8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COUNTA(Selections!$A$6:$A$78)</f>
        <v>73</v>
      </c>
      <c r="D6" s="19">
        <f>((COUNTIFS(Selections!$K$6:$K$78,"WON")+COUNTIFS(Selections!$K$6:$K$78,"HALF_WON"))+(COUNTIFS(Selections!$K$6:$K$78,"LOST")+COUNTIFS(Selections!$K$6:$K$78,"HALF_LOST"))+COUNTIFS(Selections!$K$6:$K$78,"REFUNDED"))</f>
        <v>60</v>
      </c>
      <c r="E6" s="19">
        <f>(COUNTIFS(Selections!$K$6:$K$78,"WON")+COUNTIFS(Selections!$K$6:$K$78,"HALF_WON"))</f>
        <v>46</v>
      </c>
      <c r="F6" s="19">
        <f>(COUNTIFS(Selections!$K$6:$K$78,"LOST")+COUNTIFS(Selections!$K$6:$K$78,"HALF_LOST"))</f>
        <v>14</v>
      </c>
      <c r="G6" s="19">
        <f>COUNTA(Selections!$A$6:$A$78)-((COUNTIFS(Selections!$K$6:$K$78,"WON")+COUNTIFS(Selections!$K$6:$K$78,"HALF_WON"))+(COUNTIFS(Selections!$K$6:$K$78,"LOST")+COUNTIFS(Selections!$K$6:$K$78,"HALF_LOST"))+COUNTIFS(Selections!$K$6:$K$78,"REFUNDED"))</f>
        <v>13</v>
      </c>
      <c r="H6" s="20">
        <f>IF(((COUNTIFS(Selections!$K$6:$K$78,"WON")+COUNTIFS(Selections!$K$6:$K$78,"HALF_WON"))+(COUNTIFS(Selections!$K$6:$K$78,"LOST")+COUNTIFS(Selections!$K$6:$K$78,"HALF_LOST"))+COUNTIFS(Selections!$K$6:$K$78,"REFUNDED"))=0,"n.a.",(COUNTIFS(Selections!$K$6:$K$78,"WON")+COUNTIFS(Selections!$K$6:$K$78,"HALF_WON"))/((COUNTIFS(Selections!$K$6:$K$78,"WON")+COUNTIFS(Selections!$K$6:$K$78,"HALF_WON"))+(COUNTIFS(Selections!$K$6:$K$78,"LOST")+COUNTIFS(Selections!$K$6:$K$78,"HALF_LOST"))+COUNTIFS(Selections!$K$6:$K$78,"REFUNDED")))</f>
        <v>0.7666666666666667</v>
      </c>
      <c r="I6" s="22">
        <f>SUM(Selections!$M$6:$M$78)</f>
        <v>60</v>
      </c>
      <c r="J6" s="22">
        <f>SUM(Selections!$N$6:$N$78)</f>
        <v>3.879999999999999</v>
      </c>
      <c r="K6" s="20">
        <f>IF(SUM(Selections!$M$6:$M$78)=0,"n.a.",SUM(Selections!$N$6:$N$78)/SUM(Selections!$M$6:$M$78))</f>
        <v>0.06466666666666665</v>
      </c>
      <c r="L6" s="21">
        <f>IF(SUM(Selections!$T$6:$T$78)=0,"n.a.",SUM(Selections!$O$6:$O$78)/SUM(Selections!$T$6:$T$78))</f>
        <v>0.15315701523221703</v>
      </c>
      <c r="M6" s="20">
        <f>IF(SUM(Selections!$T$6:$T$78)=0,"n.a.",SUM(Selections!$S$6:$S$78)/SUM(Selections!$T$6:$T$78))</f>
        <v>0.7466573036186906</v>
      </c>
      <c r="N6" s="20">
        <f>IF(SUM(Selections!$T$6:$T$78)=0,"n.a.",(SUMIFS(Selections!$L$6:$L$78,Selections!$T$6:$T$78,1))/SUM(Selections!$T$6:$T$78))</f>
        <v>0.7666666666666667</v>
      </c>
      <c r="O6" s="20">
        <f>IF(SUM(Selections!$T$6:$T$78)=0,"n.a.",(SUM(Selections!$S$6:$S$78)-(SUMIFS(Selections!$L$6:$L$78,Selections!$T$6:$T$78,1)))/SUM(Selections!$T$6:$T$78))</f>
        <v>-0.02000936304797607</v>
      </c>
      <c r="P6" s="19">
        <f>SUM(Selections!$T$6:$T$78)</f>
        <v>60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COUNTIFS(Selections!$F$6:$F$78,"STRICT")</f>
        <v>44</v>
      </c>
      <c r="D7" s="19">
        <f>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33</v>
      </c>
      <c r="E7" s="19">
        <f>(COUNTIFS(Selections!$F$6:$F$78,"STRICT",Selections!$K$6:$K$78,"WON")+COUNTIFS(Selections!$F$6:$F$78,"STRICT",Selections!$K$6:$K$78,"HALF_WON"))</f>
        <v>28</v>
      </c>
      <c r="F7" s="19">
        <f>(COUNTIFS(Selections!$F$6:$F$78,"STRICT",Selections!$K$6:$K$78,"LOST")+COUNTIFS(Selections!$F$6:$F$78,"STRICT",Selections!$K$6:$K$78,"HALF_LOST"))</f>
        <v>5</v>
      </c>
      <c r="G7" s="19">
        <f>COUNTIFS(Selections!$F$6:$F$78,"STRICT")-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11</v>
      </c>
      <c r="H7" s="20">
        <f>IF(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=0,"n.a.",(COUNTIFS(Selections!$F$6:$F$78,"STRICT",Selections!$K$6:$K$78,"WON")+COUNTIFS(Selections!$F$6:$F$78,"STRICT",Selections!$K$6:$K$78,"HALF_WON"))/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)</f>
        <v>0.8484848484848485</v>
      </c>
      <c r="I7" s="22">
        <f>SUMIFS(Selections!$M$6:$M$78,Selections!$F$6:$F$78,"STRICT")</f>
        <v>33</v>
      </c>
      <c r="J7" s="22">
        <f>SUMIFS(Selections!$N$6:$N$78,Selections!$F$6:$F$78,"STRICT")</f>
        <v>6.77</v>
      </c>
      <c r="K7" s="20">
        <f>IF(SUMIFS(Selections!$M$6:$M$78,Selections!$F$6:$F$78,"STRICT")=0,"n.a.",SUMIFS(Selections!$N$6:$N$78,Selections!$F$6:$F$78,"STRICT")/SUMIFS(Selections!$M$6:$M$78,Selections!$F$6:$F$78,"STRICT"))</f>
        <v>0.20515151515151514</v>
      </c>
      <c r="L7" s="21">
        <f>IF(SUMIFS(Selections!$T$6:$T$78,Selections!$F$6:$F$78,"STRICT")=0,"n.a.",SUMIFS(Selections!$O$6:$O$78,Selections!$F$6:$F$78,"STRICT")/SUMIFS(Selections!$T$6:$T$78,Selections!$F$6:$F$78,"STRICT"))</f>
        <v>0.10680197011474592</v>
      </c>
      <c r="M7" s="20">
        <f>IF(SUMIFS(Selections!$T$6:$T$78,Selections!$F$6:$F$78,"STRICT")=0,"n.a.",SUMIFS(Selections!$S$6:$S$78,Selections!$F$6:$F$78,"STRICT")/SUMIFS(Selections!$T$6:$T$78,Selections!$F$6:$F$78,"STRICT"))</f>
        <v>0.7358653782937092</v>
      </c>
      <c r="N7" s="20">
        <f>IF(SUMIFS(Selections!$T$6:$T$78,Selections!$F$6:$F$78,"STRICT")=0,"n.a.",(SUMIFS(Selections!$L$6:$L$78,Selections!$F$6:$F$78,"STRICT",Selections!$T$6:$T$78,1))/SUMIFS(Selections!$T$6:$T$78,Selections!$F$6:$F$78,"STRICT"))</f>
        <v>0.8484848484848485</v>
      </c>
      <c r="O7" s="20">
        <f>IF(SUMIFS(Selections!$T$6:$T$78,Selections!$F$6:$F$78,"STRICT")=0,"n.a.",(SUMIFS(Selections!$S$6:$S$78,Selections!$F$6:$F$78,"STRICT")-(SUMIFS(Selections!$L$6:$L$78,Selections!$F$6:$F$78,"STRICT",Selections!$T$6:$T$78,1)))/SUMIFS(Selections!$T$6:$T$78,Selections!$F$6:$F$78,"STRICT"))</f>
        <v>-0.11261947019113927</v>
      </c>
      <c r="P7" s="19">
        <f>SUMIFS(Selections!$T$6:$T$78,Selections!$F$6:$F$78,"STRICT")</f>
        <v>33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COUNTIFS(Selections!$F$6:$F$78,"PROVISIONAL")</f>
        <v>29</v>
      </c>
      <c r="D8" s="19">
        <f>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27</v>
      </c>
      <c r="E8" s="19">
        <f>(COUNTIFS(Selections!$F$6:$F$78,"PROVISIONAL",Selections!$K$6:$K$78,"WON")+COUNTIFS(Selections!$F$6:$F$78,"PROVISIONAL",Selections!$K$6:$K$78,"HALF_WON"))</f>
        <v>18</v>
      </c>
      <c r="F8" s="19">
        <f>(COUNTIFS(Selections!$F$6:$F$78,"PROVISIONAL",Selections!$K$6:$K$78,"LOST")+COUNTIFS(Selections!$F$6:$F$78,"PROVISIONAL",Selections!$K$6:$K$78,"HALF_LOST"))</f>
        <v>9</v>
      </c>
      <c r="G8" s="19">
        <f>COUNTIFS(Selections!$F$6:$F$78,"PROVISIONAL")-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</v>
      </c>
      <c r="H8" s="20">
        <f>IF(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=0,"n.a.",(COUNTIFS(Selections!$F$6:$F$78,"PROVISIONAL",Selections!$K$6:$K$78,"WON")+COUNTIFS(Selections!$F$6:$F$78,"PROVISIONAL",Selections!$K$6:$K$78,"HALF_WON"))/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)</f>
        <v>0.6666666666666666</v>
      </c>
      <c r="I8" s="22">
        <f>SUMIFS(Selections!$M$6:$M$78,Selections!$F$6:$F$78,"PROVISIONAL")</f>
        <v>27</v>
      </c>
      <c r="J8" s="22">
        <f>SUMIFS(Selections!$N$6:$N$78,Selections!$F$6:$F$78,"PROVISIONAL")</f>
        <v>-2.8900000000000006</v>
      </c>
      <c r="K8" s="20">
        <f>IF(SUMIFS(Selections!$M$6:$M$78,Selections!$F$6:$F$78,"PROVISIONAL")=0,"n.a.",SUMIFS(Selections!$N$6:$N$78,Selections!$F$6:$F$78,"PROVISIONAL")/SUMIFS(Selections!$M$6:$M$78,Selections!$F$6:$F$78,"PROVISIONAL"))</f>
        <v>-0.10703703703703706</v>
      </c>
      <c r="L8" s="21">
        <f>IF(SUMIFS(Selections!$T$6:$T$78,Selections!$F$6:$F$78,"PROVISIONAL")=0,"n.a.",SUMIFS(Selections!$O$6:$O$78,Selections!$F$6:$F$78,"PROVISIONAL")/SUMIFS(Selections!$T$6:$T$78,Selections!$F$6:$F$78,"PROVISIONAL"))</f>
        <v>0.20981318148690395</v>
      </c>
      <c r="M8" s="20">
        <f>IF(SUMIFS(Selections!$T$6:$T$78,Selections!$F$6:$F$78,"PROVISIONAL")=0,"n.a.",SUMIFS(Selections!$S$6:$S$78,Selections!$F$6:$F$78,"PROVISIONAL")/SUMIFS(Selections!$T$6:$T$78,Selections!$F$6:$F$78,"PROVISIONAL"))</f>
        <v>0.7598474345714459</v>
      </c>
      <c r="N8" s="20">
        <f>IF(SUMIFS(Selections!$T$6:$T$78,Selections!$F$6:$F$78,"PROVISIONAL")=0,"n.a.",(SUMIFS(Selections!$L$6:$L$78,Selections!$F$6:$F$78,"PROVISIONAL",Selections!$T$6:$T$78,1))/SUMIFS(Selections!$T$6:$T$78,Selections!$F$6:$F$78,"PROVISIONAL"))</f>
        <v>0.6666666666666666</v>
      </c>
      <c r="O8" s="20">
        <f>IF(SUMIFS(Selections!$T$6:$T$78,Selections!$F$6:$F$78,"PROVISIONAL")=0,"n.a.",(SUMIFS(Selections!$S$6:$S$78,Selections!$F$6:$F$78,"PROVISIONAL")-(SUMIFS(Selections!$L$6:$L$78,Selections!$F$6:$F$78,"PROVISIONAL",Selections!$T$6:$T$78,1)))/SUMIFS(Selections!$T$6:$T$78,Selections!$F$6:$F$78,"PROVISIONAL"))</f>
        <v>0.09318076790477925</v>
      </c>
      <c r="P8" s="19">
        <f>SUMIFS(Selections!$T$6:$T$78,Selections!$F$6:$F$78,"PROVISIONAL")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COUNTIFS(Selections!$C$6:$C$78,"Bundesliga")</f>
        <v>8</v>
      </c>
      <c r="D9" s="19">
        <f>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8</v>
      </c>
      <c r="E9" s="19">
        <f>(COUNTIFS(Selections!$C$6:$C$78,"Bundesliga",Selections!$K$6:$K$78,"WON")+COUNTIFS(Selections!$C$6:$C$78,"Bundesliga",Selections!$K$6:$K$78,"HALF_WON"))</f>
        <v>7</v>
      </c>
      <c r="F9" s="19">
        <f>(COUNTIFS(Selections!$C$6:$C$78,"Bundesliga",Selections!$K$6:$K$78,"LOST")+COUNTIFS(Selections!$C$6:$C$78,"Bundesliga",Selections!$K$6:$K$78,"HALF_LOST"))</f>
        <v>1</v>
      </c>
      <c r="G9" s="19">
        <f>COUNTIFS(Selections!$C$6:$C$78,"Bundesliga")-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0</v>
      </c>
      <c r="H9" s="20">
        <f>IF(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=0,"n.a.",(COUNTIFS(Selections!$C$6:$C$78,"Bundesliga",Selections!$K$6:$K$78,"WON")+COUNTIFS(Selections!$C$6:$C$78,"Bundesliga",Selections!$K$6:$K$78,"HALF_WON"))/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)</f>
        <v>0.875</v>
      </c>
      <c r="I9" s="22">
        <f>SUMIFS(Selections!$M$6:$M$78,Selections!$C$6:$C$78,"Bundesliga")</f>
        <v>8</v>
      </c>
      <c r="J9" s="22">
        <f>SUMIFS(Selections!$N$6:$N$78,Selections!$C$6:$C$78,"Bundesliga")</f>
        <v>0.8599999999999999</v>
      </c>
      <c r="K9" s="20">
        <f>IF(SUMIFS(Selections!$M$6:$M$78,Selections!$C$6:$C$78,"Bundesliga")=0,"n.a.",SUMIFS(Selections!$N$6:$N$78,Selections!$C$6:$C$78,"Bundesliga")/SUMIFS(Selections!$M$6:$M$78,Selections!$C$6:$C$78,"Bundesliga"))</f>
        <v>0.10749999999999998</v>
      </c>
      <c r="L9" s="21">
        <f>IF(SUMIFS(Selections!$T$6:$T$78,Selections!$C$6:$C$78,"Bundesliga")=0,"n.a.",SUMIFS(Selections!$O$6:$O$78,Selections!$C$6:$C$78,"Bundesliga")/SUMIFS(Selections!$T$6:$T$78,Selections!$C$6:$C$78,"Bundesliga"))</f>
        <v>0.05476987785554626</v>
      </c>
      <c r="M9" s="20">
        <f>IF(SUMIFS(Selections!$T$6:$T$78,Selections!$C$6:$C$78,"Bundesliga")=0,"n.a.",SUMIFS(Selections!$S$6:$S$78,Selections!$C$6:$C$78,"Bundesliga")/SUMIFS(Selections!$T$6:$T$78,Selections!$C$6:$C$78,"Bundesliga"))</f>
        <v>0.7834511017749206</v>
      </c>
      <c r="N9" s="20">
        <f>IF(SUMIFS(Selections!$T$6:$T$78,Selections!$C$6:$C$78,"Bundesliga")=0,"n.a.",(SUMIFS(Selections!$L$6:$L$78,Selections!$C$6:$C$78,"Bundesliga",Selections!$T$6:$T$78,1))/SUMIFS(Selections!$T$6:$T$78,Selections!$C$6:$C$78,"Bundesliga"))</f>
        <v>0.875</v>
      </c>
      <c r="O9" s="20">
        <f>IF(SUMIFS(Selections!$T$6:$T$78,Selections!$C$6:$C$78,"Bundesliga")=0,"n.a.",(SUMIFS(Selections!$S$6:$S$78,Selections!$C$6:$C$78,"Bundesliga")-(SUMIFS(Selections!$L$6:$L$78,Selections!$C$6:$C$78,"Bundesliga",Selections!$T$6:$T$78,1)))/SUMIFS(Selections!$T$6:$T$78,Selections!$C$6:$C$78,"Bundesliga"))</f>
        <v>-0.09154889822507939</v>
      </c>
      <c r="P9" s="19">
        <f>SUMIFS(Selections!$T$6:$T$78,Selections!$C$6:$C$78,"Bundesliga")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COUNTIFS(Selections!$C$6:$C$78,"Eredivisie")</f>
        <v>3</v>
      </c>
      <c r="D10" s="19">
        <f>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2</v>
      </c>
      <c r="E10" s="19">
        <f>(COUNTIFS(Selections!$C$6:$C$78,"Eredivisie",Selections!$K$6:$K$78,"WON")+COUNTIFS(Selections!$C$6:$C$78,"Eredivisie",Selections!$K$6:$K$78,"HALF_WON"))</f>
        <v>1</v>
      </c>
      <c r="F10" s="19">
        <f>(COUNTIFS(Selections!$C$6:$C$78,"Eredivisie",Selections!$K$6:$K$78,"LOST")+COUNTIFS(Selections!$C$6:$C$78,"Eredivisie",Selections!$K$6:$K$78,"HALF_LOST"))</f>
        <v>1</v>
      </c>
      <c r="G10" s="19">
        <f>COUNTIFS(Selections!$C$6:$C$78,"Eredivisie")-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1</v>
      </c>
      <c r="H10" s="20">
        <f>IF(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=0,"n.a.",(COUNTIFS(Selections!$C$6:$C$78,"Eredivisie",Selections!$K$6:$K$78,"WON")+COUNTIFS(Selections!$C$6:$C$78,"Eredivisie",Selections!$K$6:$K$78,"HALF_WON"))/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)</f>
        <v>0.5</v>
      </c>
      <c r="I10" s="22">
        <f>SUMIFS(Selections!$M$6:$M$78,Selections!$C$6:$C$78,"Eredivisie")</f>
        <v>2</v>
      </c>
      <c r="J10" s="22">
        <f>SUMIFS(Selections!$N$6:$N$78,Selections!$C$6:$C$78,"Eredivisie")</f>
        <v>-0.65</v>
      </c>
      <c r="K10" s="20">
        <f>IF(SUMIFS(Selections!$M$6:$M$78,Selections!$C$6:$C$78,"Eredivisie")=0,"n.a.",SUMIFS(Selections!$N$6:$N$78,Selections!$C$6:$C$78,"Eredivisie")/SUMIFS(Selections!$M$6:$M$78,Selections!$C$6:$C$78,"Eredivisie"))</f>
        <v>-0.325</v>
      </c>
      <c r="L10" s="21">
        <f>IF(SUMIFS(Selections!$T$6:$T$78,Selections!$C$6:$C$78,"Eredivisie")=0,"n.a.",SUMIFS(Selections!$O$6:$O$78,Selections!$C$6:$C$78,"Eredivisie")/SUMIFS(Selections!$T$6:$T$78,Selections!$C$6:$C$78,"Eredivisie"))</f>
        <v>0.14257965392608346</v>
      </c>
      <c r="M10" s="20">
        <f>IF(SUMIFS(Selections!$T$6:$T$78,Selections!$C$6:$C$78,"Eredivisie")=0,"n.a.",SUMIFS(Selections!$S$6:$S$78,Selections!$C$6:$C$78,"Eredivisie")/SUMIFS(Selections!$T$6:$T$78,Selections!$C$6:$C$78,"Eredivisie"))</f>
        <v>0.6505937799294621</v>
      </c>
      <c r="N10" s="20">
        <f>IF(SUMIFS(Selections!$T$6:$T$78,Selections!$C$6:$C$78,"Eredivisie")=0,"n.a.",(SUMIFS(Selections!$L$6:$L$78,Selections!$C$6:$C$78,"Eredivisie",Selections!$T$6:$T$78,1))/SUMIFS(Selections!$T$6:$T$78,Selections!$C$6:$C$78,"Eredivisie"))</f>
        <v>0.5</v>
      </c>
      <c r="O10" s="20">
        <f>IF(SUMIFS(Selections!$T$6:$T$78,Selections!$C$6:$C$78,"Eredivisie")=0,"n.a.",(SUMIFS(Selections!$S$6:$S$78,Selections!$C$6:$C$78,"Eredivisie")-(SUMIFS(Selections!$L$6:$L$78,Selections!$C$6:$C$78,"Eredivisie",Selections!$T$6:$T$78,1)))/SUMIFS(Selections!$T$6:$T$78,Selections!$C$6:$C$78,"Eredivisie"))</f>
        <v>0.1505937799294621</v>
      </c>
      <c r="P10" s="19">
        <f>SUMIFS(Selections!$T$6:$T$78,Selections!$C$6:$C$78,"Eredivisie")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COUNTIFS(Selections!$C$6:$C$78,"La Liga")</f>
        <v>13</v>
      </c>
      <c r="D11" s="19">
        <f>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10</v>
      </c>
      <c r="E11" s="19">
        <f>(COUNTIFS(Selections!$C$6:$C$78,"La Liga",Selections!$K$6:$K$78,"WON")+COUNTIFS(Selections!$C$6:$C$78,"La Liga",Selections!$K$6:$K$78,"HALF_WON"))</f>
        <v>10</v>
      </c>
      <c r="F11" s="19">
        <f>(COUNTIFS(Selections!$C$6:$C$78,"La Liga",Selections!$K$6:$K$78,"LOST")+COUNTIFS(Selections!$C$6:$C$78,"La Liga",Selections!$K$6:$K$78,"HALF_LOST"))</f>
        <v>0</v>
      </c>
      <c r="G11" s="19">
        <f>COUNTIFS(Selections!$C$6:$C$78,"La Liga")-((COUNTIFS(Selections!$C$6:$C$78,"La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3</v>
      </c>
      <c r="H11" s="20">
        <f>IF(((COUNTIFS(Selections!$C$6:$C$78,"La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Liga",Selections!$K$6:$K$78,"REFUNDED"))=0,"n.a.",(COUNTIFS(Selections!$C$6:$C$78,"La Liga",Selections!$K$6:$K$78,"WON")+COUNTIFS(Selections!$C$6:$C$78,"La Liga",Selections!$K$6:$K$78,"HALF_WON"))/((COUNTIFS(Selections!$C$6:$C$78,"La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Liga",Selections!$K$6:$K$78,"REFUNDED")))</f>
        <v>1.0</v>
      </c>
      <c r="I11" s="22">
        <f>SUMIFS(Selections!$M$6:$M$78,Selections!$C$6:$C$78,"La Liga")</f>
        <v>10</v>
      </c>
      <c r="J11" s="22">
        <f>SUMIFS(Selections!$N$6:$N$78,Selections!$C$6:$C$78,"La Liga")</f>
        <v>3.3499999999999996</v>
      </c>
      <c r="K11" s="20">
        <f>IF(SUMIFS(Selections!$M$6:$M$78,Selections!$C$6:$C$78,"La Liga")=0,"n.a.",SUMIFS(Selections!$N$6:$N$78,Selections!$C$6:$C$78,"La Liga")/SUMIFS(Selections!$M$6:$M$78,Selections!$C$6:$C$78,"La Liga"))</f>
        <v>0.33499999999999996</v>
      </c>
      <c r="L11" s="21">
        <f>IF(SUMIFS(Selections!$T$6:$T$78,Selections!$C$6:$C$78,"La Liga")=0,"n.a.",SUMIFS(Selections!$O$6:$O$78,Selections!$C$6:$C$78,"La Liga")/SUMIFS(Selections!$T$6:$T$78,Selections!$C$6:$C$78,"La Liga"))</f>
        <v>0.04486184778213071</v>
      </c>
      <c r="M11" s="20">
        <f>IF(SUMIFS(Selections!$T$6:$T$78,Selections!$C$6:$C$78,"La Liga")=0,"n.a.",SUMIFS(Selections!$S$6:$S$78,Selections!$C$6:$C$78,"La Liga")/SUMIFS(Selections!$T$6:$T$78,Selections!$C$6:$C$78,"La Liga"))</f>
        <v>0.8008348272747599</v>
      </c>
      <c r="N11" s="20">
        <f>IF(SUMIFS(Selections!$T$6:$T$78,Selections!$C$6:$C$78,"La Liga")=0,"n.a.",(SUMIFS(Selections!$L$6:$L$78,Selections!$C$6:$C$78,"La Liga",Selections!$T$6:$T$78,1))/SUMIFS(Selections!$T$6:$T$78,Selections!$C$6:$C$78,"La Liga"))</f>
        <v>1.0</v>
      </c>
      <c r="O11" s="20">
        <f>IF(SUMIFS(Selections!$T$6:$T$78,Selections!$C$6:$C$78,"La Liga")=0,"n.a.",(SUMIFS(Selections!$S$6:$S$78,Selections!$C$6:$C$78,"La Liga")-(SUMIFS(Selections!$L$6:$L$78,Selections!$C$6:$C$78,"La Liga",Selections!$T$6:$T$78,1)))/SUMIFS(Selections!$T$6:$T$78,Selections!$C$6:$C$78,"La Liga"))</f>
        <v>-0.19916517272524015</v>
      </c>
      <c r="P11" s="19">
        <f>SUMIFS(Selections!$T$6:$T$78,Selections!$C$6:$C$78,"La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COUNTIFS(Selections!$C$6:$C$78,"Ligue 1")</f>
        <v>7</v>
      </c>
      <c r="D12" s="19">
        <f>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5</v>
      </c>
      <c r="E12" s="19">
        <f>(COUNTIFS(Selections!$C$6:$C$78,"Ligue 1",Selections!$K$6:$K$78,"WON")+COUNTIFS(Selections!$C$6:$C$78,"Ligue 1",Selections!$K$6:$K$78,"HALF_WON"))</f>
        <v>3</v>
      </c>
      <c r="F12" s="19">
        <f>(COUNTIFS(Selections!$C$6:$C$78,"Ligue 1",Selections!$K$6:$K$78,"LOST")+COUNTIFS(Selections!$C$6:$C$78,"Ligue 1",Selections!$K$6:$K$78,"HALF_LOST"))</f>
        <v>2</v>
      </c>
      <c r="G12" s="19">
        <f>COUNTIFS(Selections!$C$6:$C$78,"Ligue 1")-((COUNTIFS(Selections!$C$6:$C$78,"Ligue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2</v>
      </c>
      <c r="H12" s="20">
        <f>IF(((COUNTIFS(Selections!$C$6:$C$78,"Ligue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1",Selections!$K$6:$K$78,"REFUNDED"))=0,"n.a.",(COUNTIFS(Selections!$C$6:$C$78,"Ligue 1",Selections!$K$6:$K$78,"WON")+COUNTIFS(Selections!$C$6:$C$78,"Ligue 1",Selections!$K$6:$K$78,"HALF_WON"))/((COUNTIFS(Selections!$C$6:$C$78,"Ligue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1",Selections!$K$6:$K$78,"REFUNDED")))</f>
        <v>0.6</v>
      </c>
      <c r="I12" s="22">
        <f>SUMIFS(Selections!$M$6:$M$78,Selections!$C$6:$C$78,"Ligue 1")</f>
        <v>5</v>
      </c>
      <c r="J12" s="22">
        <f>SUMIFS(Selections!$N$6:$N$78,Selections!$C$6:$C$78,"Ligue 1")</f>
        <v>-0.9200000000000002</v>
      </c>
      <c r="K12" s="20">
        <f>IF(SUMIFS(Selections!$M$6:$M$78,Selections!$C$6:$C$78,"Ligue 1")=0,"n.a.",SUMIFS(Selections!$N$6:$N$78,Selections!$C$6:$C$78,"Ligue 1")/SUMIFS(Selections!$M$6:$M$78,Selections!$C$6:$C$78,"Ligue 1"))</f>
        <v>-0.18400000000000002</v>
      </c>
      <c r="L12" s="21">
        <f>IF(SUMIFS(Selections!$T$6:$T$78,Selections!$C$6:$C$78,"Ligue 1")=0,"n.a.",SUMIFS(Selections!$O$6:$O$78,Selections!$C$6:$C$78,"Ligue 1")/SUMIFS(Selections!$T$6:$T$78,Selections!$C$6:$C$78,"Ligue 1"))</f>
        <v>0.24280020699055926</v>
      </c>
      <c r="M12" s="20">
        <f>IF(SUMIFS(Selections!$T$6:$T$78,Selections!$C$6:$C$78,"Ligue 1")=0,"n.a.",SUMIFS(Selections!$S$6:$S$78,Selections!$C$6:$C$78,"Ligue 1")/SUMIFS(Selections!$T$6:$T$78,Selections!$C$6:$C$78,"Ligue 1"))</f>
        <v>0.7165429404243758</v>
      </c>
      <c r="N12" s="20">
        <f>IF(SUMIFS(Selections!$T$6:$T$78,Selections!$C$6:$C$78,"Ligue 1")=0,"n.a.",(SUMIFS(Selections!$L$6:$L$78,Selections!$C$6:$C$78,"Ligue 1",Selections!$T$6:$T$78,1))/SUMIFS(Selections!$T$6:$T$78,Selections!$C$6:$C$78,"Ligue 1"))</f>
        <v>0.6</v>
      </c>
      <c r="O12" s="20">
        <f>IF(SUMIFS(Selections!$T$6:$T$78,Selections!$C$6:$C$78,"Ligue 1")=0,"n.a.",(SUMIFS(Selections!$S$6:$S$78,Selections!$C$6:$C$78,"Ligue 1")-(SUMIFS(Selections!$L$6:$L$78,Selections!$C$6:$C$78,"Ligue 1",Selections!$T$6:$T$78,1)))/SUMIFS(Selections!$T$6:$T$78,Selections!$C$6:$C$78,"Ligue 1"))</f>
        <v>0.11654294042437585</v>
      </c>
      <c r="P12" s="19">
        <f>SUMIFS(Selections!$T$6:$T$78,Selections!$C$6:$C$78,"Ligue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COUNTIFS(Selections!$C$6:$C$78,"Premier League")</f>
        <v>10</v>
      </c>
      <c r="D13" s="19">
        <f>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10</v>
      </c>
      <c r="E13" s="19">
        <f>(COUNTIFS(Selections!$C$6:$C$78,"Premier League",Selections!$K$6:$K$78,"WON")+COUNTIFS(Selections!$C$6:$C$78,"Premier League",Selections!$K$6:$K$78,"HALF_WON"))</f>
        <v>6</v>
      </c>
      <c r="F13" s="19">
        <f>(COUNTIFS(Selections!$C$6:$C$78,"Premier League",Selections!$K$6:$K$78,"LOST")+COUNTIFS(Selections!$C$6:$C$78,"Premier League",Selections!$K$6:$K$78,"HALF_LOST"))</f>
        <v>4</v>
      </c>
      <c r="G13" s="19">
        <f>COUNTIFS(Selections!$C$6:$C$78,"Premier League")-((COUNTIFS(Selections!$C$6:$C$78,"Premier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0</v>
      </c>
      <c r="H13" s="20">
        <f>IF(((COUNTIFS(Selections!$C$6:$C$78,"Premier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League",Selections!$K$6:$K$78,"REFUNDED"))=0,"n.a.",(COUNTIFS(Selections!$C$6:$C$78,"Premier League",Selections!$K$6:$K$78,"WON")+COUNTIFS(Selections!$C$6:$C$78,"Premier League",Selections!$K$6:$K$78,"HALF_WON"))/((COUNTIFS(Selections!$C$6:$C$78,"Premier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League",Selections!$K$6:$K$78,"REFUNDED")))</f>
        <v>0.6</v>
      </c>
      <c r="I13" s="22">
        <f>SUMIFS(Selections!$M$6:$M$78,Selections!$C$6:$C$78,"Premier League")</f>
        <v>10</v>
      </c>
      <c r="J13" s="22">
        <f>SUMIFS(Selections!$N$6:$N$78,Selections!$C$6:$C$78,"Premier League")</f>
        <v>-0.91</v>
      </c>
      <c r="K13" s="20">
        <f>IF(SUMIFS(Selections!$M$6:$M$78,Selections!$C$6:$C$78,"Premier League")=0,"n.a.",SUMIFS(Selections!$N$6:$N$78,Selections!$C$6:$C$78,"Premier League")/SUMIFS(Selections!$M$6:$M$78,Selections!$C$6:$C$78,"Premier League"))</f>
        <v>-0.091</v>
      </c>
      <c r="L13" s="21">
        <f>IF(SUMIFS(Selections!$T$6:$T$78,Selections!$C$6:$C$78,"Premier League")=0,"n.a.",SUMIFS(Selections!$O$6:$O$78,Selections!$C$6:$C$78,"Premier League")/SUMIFS(Selections!$T$6:$T$78,Selections!$C$6:$C$78,"Premier League"))</f>
        <v>0.2710779075766395</v>
      </c>
      <c r="M13" s="20">
        <f>IF(SUMIFS(Selections!$T$6:$T$78,Selections!$C$6:$C$78,"Premier League")=0,"n.a.",SUMIFS(Selections!$S$6:$S$78,Selections!$C$6:$C$78,"Premier League")/SUMIFS(Selections!$T$6:$T$78,Selections!$C$6:$C$78,"Premier League"))</f>
        <v>0.73688098969651</v>
      </c>
      <c r="N13" s="20">
        <f>IF(SUMIFS(Selections!$T$6:$T$78,Selections!$C$6:$C$78,"Premier League")=0,"n.a.",(SUMIFS(Selections!$L$6:$L$78,Selections!$C$6:$C$78,"Premier League",Selections!$T$6:$T$78,1))/SUMIFS(Selections!$T$6:$T$78,Selections!$C$6:$C$78,"Premier League"))</f>
        <v>0.6</v>
      </c>
      <c r="O13" s="20">
        <f>IF(SUMIFS(Selections!$T$6:$T$78,Selections!$C$6:$C$78,"Premier League")=0,"n.a.",(SUMIFS(Selections!$S$6:$S$78,Selections!$C$6:$C$78,"Premier League")-(SUMIFS(Selections!$L$6:$L$78,Selections!$C$6:$C$78,"Premier League",Selections!$T$6:$T$78,1)))/SUMIFS(Selections!$T$6:$T$78,Selections!$C$6:$C$78,"Premier League"))</f>
        <v>0.13688098969650997</v>
      </c>
      <c r="P13" s="19">
        <f>SUMIFS(Selections!$T$6:$T$78,Selections!$C$6:$C$78,"Premier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COUNTIFS(Selections!$C$6:$C$78,"Primeira Liga")</f>
        <v>4</v>
      </c>
      <c r="D14" s="19">
        <f>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1</v>
      </c>
      <c r="E14" s="19">
        <f>(COUNTIFS(Selections!$C$6:$C$78,"Primeira Liga",Selections!$K$6:$K$78,"WON")+COUNTIFS(Selections!$C$6:$C$78,"Primeira Liga",Selections!$K$6:$K$78,"HALF_WON"))</f>
        <v>1</v>
      </c>
      <c r="F14" s="19">
        <f>(COUNTIFS(Selections!$C$6:$C$78,"Primeira Liga",Selections!$K$6:$K$78,"LOST")+COUNTIFS(Selections!$C$6:$C$78,"Primeira Liga",Selections!$K$6:$K$78,"HALF_LOST"))</f>
        <v>0</v>
      </c>
      <c r="G14" s="19">
        <f>COUNTIFS(Selections!$C$6:$C$78,"Primeira Liga")-((COUNTIFS(Selections!$C$6:$C$78,"Primeira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3</v>
      </c>
      <c r="H14" s="20">
        <f>IF(((COUNTIFS(Selections!$C$6:$C$78,"Primeira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Liga",Selections!$K$6:$K$78,"REFUNDED"))=0,"n.a.",(COUNTIFS(Selections!$C$6:$C$78,"Primeira Liga",Selections!$K$6:$K$78,"WON")+COUNTIFS(Selections!$C$6:$C$78,"Primeira Liga",Selections!$K$6:$K$78,"HALF_WON"))/((COUNTIFS(Selections!$C$6:$C$78,"Primeira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Liga",Selections!$K$6:$K$78,"REFUNDED")))</f>
        <v>1.0</v>
      </c>
      <c r="I14" s="22">
        <f>SUMIFS(Selections!$M$6:$M$78,Selections!$C$6:$C$78,"Primeira Liga")</f>
        <v>1</v>
      </c>
      <c r="J14" s="22">
        <f>SUMIFS(Selections!$N$6:$N$78,Selections!$C$6:$C$78,"Primeira Liga")</f>
        <v>1.0899999999999999</v>
      </c>
      <c r="K14" s="20">
        <f>IF(SUMIFS(Selections!$M$6:$M$78,Selections!$C$6:$C$78,"Primeira Liga")=0,"n.a.",SUMIFS(Selections!$N$6:$N$78,Selections!$C$6:$C$78,"Primeira Liga")/SUMIFS(Selections!$M$6:$M$78,Selections!$C$6:$C$78,"Primeira Liga"))</f>
        <v>1.0899999999999999</v>
      </c>
      <c r="L14" s="21">
        <f>IF(SUMIFS(Selections!$T$6:$T$78,Selections!$C$6:$C$78,"Primeira Liga")=0,"n.a.",SUMIFS(Selections!$O$6:$O$78,Selections!$C$6:$C$78,"Primeira Liga")/SUMIFS(Selections!$T$6:$T$78,Selections!$C$6:$C$78,"Primeira Liga"))</f>
        <v>0.3218146879483473</v>
      </c>
      <c r="M14" s="20">
        <f>IF(SUMIFS(Selections!$T$6:$T$78,Selections!$C$6:$C$78,"Primeira Liga")=0,"n.a.",SUMIFS(Selections!$S$6:$S$78,Selections!$C$6:$C$78,"Primeira Liga")/SUMIFS(Selections!$T$6:$T$78,Selections!$C$6:$C$78,"Primeira Liga"))</f>
        <v>0.4327128699253373</v>
      </c>
      <c r="N14" s="20">
        <f>IF(SUMIFS(Selections!$T$6:$T$78,Selections!$C$6:$C$78,"Primeira Liga")=0,"n.a.",(SUMIFS(Selections!$L$6:$L$78,Selections!$C$6:$C$78,"Primeira Liga",Selections!$T$6:$T$78,1))/SUMIFS(Selections!$T$6:$T$78,Selections!$C$6:$C$78,"Primeira Liga"))</f>
        <v>1.0</v>
      </c>
      <c r="O14" s="20">
        <f>IF(SUMIFS(Selections!$T$6:$T$78,Selections!$C$6:$C$78,"Primeira Liga")=0,"n.a.",(SUMIFS(Selections!$S$6:$S$78,Selections!$C$6:$C$78,"Primeira Liga")-(SUMIFS(Selections!$L$6:$L$78,Selections!$C$6:$C$78,"Primeira Liga",Selections!$T$6:$T$78,1)))/SUMIFS(Selections!$T$6:$T$78,Selections!$C$6:$C$78,"Primeira Liga"))</f>
        <v>-0.5672871300746627</v>
      </c>
      <c r="P14" s="19">
        <f>SUMIFS(Selections!$T$6:$T$78,Selections!$C$6:$C$78,"Primeira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COUNTIFS(Selections!$C$6:$C$78,"Serie A")</f>
        <v>14</v>
      </c>
      <c r="D15" s="19">
        <f>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12</v>
      </c>
      <c r="E15" s="19">
        <f>(COUNTIFS(Selections!$C$6:$C$78,"Serie A",Selections!$K$6:$K$78,"WON")+COUNTIFS(Selections!$C$6:$C$78,"Serie A",Selections!$K$6:$K$78,"HALF_WON"))</f>
        <v>8</v>
      </c>
      <c r="F15" s="19">
        <f>(COUNTIFS(Selections!$C$6:$C$78,"Serie A",Selections!$K$6:$K$78,"LOST")+COUNTIFS(Selections!$C$6:$C$78,"Serie A",Selections!$K$6:$K$78,"HALF_LOST"))</f>
        <v>4</v>
      </c>
      <c r="G15" s="19">
        <f>COUNTIFS(Selections!$C$6:$C$78,"Serie A")-((COUNTIFS(Selections!$C$6:$C$78,"Serie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2</v>
      </c>
      <c r="H15" s="20">
        <f>IF(((COUNTIFS(Selections!$C$6:$C$78,"Serie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A",Selections!$K$6:$K$78,"REFUNDED"))=0,"n.a.",(COUNTIFS(Selections!$C$6:$C$78,"Serie A",Selections!$K$6:$K$78,"WON")+COUNTIFS(Selections!$C$6:$C$78,"Serie A",Selections!$K$6:$K$78,"HALF_WON"))/((COUNTIFS(Selections!$C$6:$C$78,"Serie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A",Selections!$K$6:$K$78,"REFUNDED")))</f>
        <v>0.6666666666666666</v>
      </c>
      <c r="I15" s="22">
        <f>SUMIFS(Selections!$M$6:$M$78,Selections!$C$6:$C$78,"Serie A")</f>
        <v>12</v>
      </c>
      <c r="J15" s="22">
        <f>SUMIFS(Selections!$N$6:$N$78,Selections!$C$6:$C$78,"Serie A")</f>
        <v>-0.9499999999999998</v>
      </c>
      <c r="K15" s="20">
        <f>IF(SUMIFS(Selections!$M$6:$M$78,Selections!$C$6:$C$78,"Serie A")=0,"n.a.",SUMIFS(Selections!$N$6:$N$78,Selections!$C$6:$C$78,"Serie A")/SUMIFS(Selections!$M$6:$M$78,Selections!$C$6:$C$78,"Serie A"))</f>
        <v>-0.07916666666666665</v>
      </c>
      <c r="L15" s="21">
        <f>IF(SUMIFS(Selections!$T$6:$T$78,Selections!$C$6:$C$78,"Serie A")=0,"n.a.",SUMIFS(Selections!$O$6:$O$78,Selections!$C$6:$C$78,"Serie A")/SUMIFS(Selections!$T$6:$T$78,Selections!$C$6:$C$78,"Serie A"))</f>
        <v>0.169928030982309</v>
      </c>
      <c r="M15" s="20">
        <f>IF(SUMIFS(Selections!$T$6:$T$78,Selections!$C$6:$C$78,"Serie A")=0,"n.a.",SUMIFS(Selections!$S$6:$S$78,Selections!$C$6:$C$78,"Serie A")/SUMIFS(Selections!$T$6:$T$78,Selections!$C$6:$C$78,"Serie A"))</f>
        <v>0.7136492876887082</v>
      </c>
      <c r="N15" s="20">
        <f>IF(SUMIFS(Selections!$T$6:$T$78,Selections!$C$6:$C$78,"Serie A")=0,"n.a.",(SUMIFS(Selections!$L$6:$L$78,Selections!$C$6:$C$78,"Serie A",Selections!$T$6:$T$78,1))/SUMIFS(Selections!$T$6:$T$78,Selections!$C$6:$C$78,"Serie A"))</f>
        <v>0.6666666666666666</v>
      </c>
      <c r="O15" s="20">
        <f>IF(SUMIFS(Selections!$T$6:$T$78,Selections!$C$6:$C$78,"Serie A")=0,"n.a.",(SUMIFS(Selections!$S$6:$S$78,Selections!$C$6:$C$78,"Serie A")-(SUMIFS(Selections!$L$6:$L$78,Selections!$C$6:$C$78,"Serie A",Selections!$T$6:$T$78,1)))/SUMIFS(Selections!$T$6:$T$78,Selections!$C$6:$C$78,"Serie A"))</f>
        <v>0.04698262102204154</v>
      </c>
      <c r="P15" s="19">
        <f>SUMIFS(Selections!$T$6:$T$78,Selections!$C$6:$C$78,"Serie A")</f>
        <v>12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(n=12).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COUNTIFS(Selections!$C$6:$C$78,"UEFA Champions League")</f>
        <v>14</v>
      </c>
      <c r="D16" s="19">
        <f>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12</v>
      </c>
      <c r="E16" s="19">
        <f>(COUNTIFS(Selections!$C$6:$C$78,"UEFA Champions League",Selections!$K$6:$K$78,"WON")+COUNTIFS(Selections!$C$6:$C$78,"UEFA Champions League",Selections!$K$6:$K$78,"HALF_WON"))</f>
        <v>10</v>
      </c>
      <c r="F16" s="19">
        <f>(COUNTIFS(Selections!$C$6:$C$78,"UEFA Champions League",Selections!$K$6:$K$78,"LOST")+COUNTIFS(Selections!$C$6:$C$78,"UEFA Champions League",Selections!$K$6:$K$78,"HALF_LOST"))</f>
        <v>2</v>
      </c>
      <c r="G16" s="19">
        <f>COUNTIFS(Selections!$C$6:$C$78,"UEFA Champions League")-((COUNTIFS(Selections!$C$6:$C$78,"UEFA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2</v>
      </c>
      <c r="H16" s="20">
        <f>IF(((COUNTIFS(Selections!$C$6:$C$78,"UEFA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League",Selections!$K$6:$K$78,"REFUNDED"))=0,"n.a.",(COUNTIFS(Selections!$C$6:$C$78,"UEFA Champions League",Selections!$K$6:$K$78,"WON")+COUNTIFS(Selections!$C$6:$C$78,"UEFA Champions League",Selections!$K$6:$K$78,"HALF_WON"))/((COUNTIFS(Selections!$C$6:$C$78,"UEFA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League",Selections!$K$6:$K$78,"REFUNDED")))</f>
        <v>0.8333333333333334</v>
      </c>
      <c r="I16" s="22">
        <f>SUMIFS(Selections!$M$6:$M$78,Selections!$C$6:$C$78,"UEFA Champions League")</f>
        <v>12</v>
      </c>
      <c r="J16" s="22">
        <f>SUMIFS(Selections!$N$6:$N$78,Selections!$C$6:$C$78,"UEFA Champions League")</f>
        <v>2.01</v>
      </c>
      <c r="K16" s="20">
        <f>IF(SUMIFS(Selections!$M$6:$M$78,Selections!$C$6:$C$78,"UEFA Champions League")=0,"n.a.",SUMIFS(Selections!$N$6:$N$78,Selections!$C$6:$C$78,"UEFA Champions League")/SUMIFS(Selections!$M$6:$M$78,Selections!$C$6:$C$78,"UEFA Champions League"))</f>
        <v>0.16749999999999998</v>
      </c>
      <c r="L16" s="21">
        <f>IF(SUMIFS(Selections!$T$6:$T$78,Selections!$C$6:$C$78,"UEFA Champions League")=0,"n.a.",SUMIFS(Selections!$O$6:$O$78,Selections!$C$6:$C$78,"UEFA Champions League")/SUMIFS(Selections!$T$6:$T$78,Selections!$C$6:$C$78,"UEFA Champions League"))</f>
        <v>0.14431274457999424</v>
      </c>
      <c r="M16" s="20">
        <f>IF(SUMIFS(Selections!$T$6:$T$78,Selections!$C$6:$C$78,"UEFA Champions League")=0,"n.a.",SUMIFS(Selections!$S$6:$S$78,Selections!$C$6:$C$78,"UEFA Champions League")/SUMIFS(Selections!$T$6:$T$78,Selections!$C$6:$C$78,"UEFA Champions League"))</f>
        <v>0.7728553874198951</v>
      </c>
      <c r="N16" s="20">
        <f>IF(SUMIFS(Selections!$T$6:$T$78,Selections!$C$6:$C$78,"UEFA Champions League")=0,"n.a.",(SUMIFS(Selections!$L$6:$L$78,Selections!$C$6:$C$78,"UEFA Champions League",Selections!$T$6:$T$78,1))/SUMIFS(Selections!$T$6:$T$78,Selections!$C$6:$C$78,"UEFA Champions League"))</f>
        <v>0.8333333333333334</v>
      </c>
      <c r="O16" s="20">
        <f>IF(SUMIFS(Selections!$T$6:$T$78,Selections!$C$6:$C$78,"UEFA Champions League")=0,"n.a.",(SUMIFS(Selections!$S$6:$S$78,Selections!$C$6:$C$78,"UEFA Champions League")-(SUMIFS(Selections!$L$6:$L$78,Selections!$C$6:$C$78,"UEFA Champions League",Selections!$T$6:$T$78,1)))/SUMIFS(Selections!$T$6:$T$78,Selections!$C$6:$C$78,"UEFA Champions League"))</f>
        <v>-0.06047794591343825</v>
      </c>
      <c r="P16" s="19">
        <f>SUMIFS(Selections!$T$6:$T$78,Selections!$C$6:$C$78,"UEFA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COUNTIFS(Selections!$E$6:$E$78,"Asian Handicap Away +1.00")</f>
        <v>1</v>
      </c>
      <c r="D17" s="19">
        <f>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1</v>
      </c>
      <c r="E17" s="19">
        <f>(COUNTIFS(Selections!$E$6:$E$78,"Asian Handicap Away +1.00",Selections!$K$6:$K$78,"WON")+COUNTIFS(Selections!$E$6:$E$78,"Asian Handicap Away +1.00",Selections!$K$6:$K$78,"HALF_WON"))</f>
        <v>1</v>
      </c>
      <c r="F17" s="19">
        <f>(COUNTIFS(Selections!$E$6:$E$78,"Asian Handicap Away +1.00",Selections!$K$6:$K$78,"LOST")+COUNTIFS(Selections!$E$6:$E$78,"Asian Handicap Away +1.00",Selections!$K$6:$K$78,"HALF_LOST"))</f>
        <v>0</v>
      </c>
      <c r="G17" s="19">
        <f>COUNTIFS(Selections!$E$6:$E$78,"Asian Handicap Away +1.00")-((COUNTIFS(Selections!$E$6:$E$78,"Asian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0</v>
      </c>
      <c r="H17" s="20">
        <f>IF(((COUNTIFS(Selections!$E$6:$E$78,"Asian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+1.00",Selections!$K$6:$K$78,"REFUNDED"))=0,"n.a.",(COUNTIFS(Selections!$E$6:$E$78,"Asian Handicap Away +1.00",Selections!$K$6:$K$78,"WON")+COUNTIFS(Selections!$E$6:$E$78,"Asian Handicap Away +1.00",Selections!$K$6:$K$78,"HALF_WON"))/((COUNTIFS(Selections!$E$6:$E$78,"Asian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+1.00",Selections!$K$6:$K$78,"REFUNDED")))</f>
        <v>1.0</v>
      </c>
      <c r="I17" s="22">
        <f>SUMIFS(Selections!$M$6:$M$78,Selections!$E$6:$E$78,"Asian Handicap Away +1.00")</f>
        <v>1</v>
      </c>
      <c r="J17" s="22">
        <f>SUMIFS(Selections!$N$6:$N$78,Selections!$E$6:$E$78,"Asian Handicap Away +1.00")</f>
        <v>0.58</v>
      </c>
      <c r="K17" s="20">
        <f>IF(SUMIFS(Selections!$M$6:$M$78,Selections!$E$6:$E$78,"Asian Handicap Away +1.00")=0,"n.a.",SUMIFS(Selections!$N$6:$N$78,Selections!$E$6:$E$78,"Asian Handicap Away +1.00")/SUMIFS(Selections!$M$6:$M$78,Selections!$E$6:$E$78,"Asian Handicap Away +1.00"))</f>
        <v>0.58</v>
      </c>
      <c r="L17" s="21">
        <f>IF(SUMIFS(Selections!$T$6:$T$78,Selections!$E$6:$E$78,"Asian Handicap Away +1.00")=0,"n.a.",SUMIFS(Selections!$O$6:$O$78,Selections!$E$6:$E$78,"Asian Handicap Away +1.00")/SUMIFS(Selections!$T$6:$T$78,Selections!$E$6:$E$78,"Asian Handicap Away +1.00"))</f>
        <v>0.061763712158882544</v>
      </c>
      <c r="M17" s="20">
        <f>IF(SUMIFS(Selections!$T$6:$T$78,Selections!$E$6:$E$78,"Asian Handicap Away +1.00")=0,"n.a.",SUMIFS(Selections!$S$6:$S$78,Selections!$E$6:$E$78,"Asian Handicap Away +1.00")/SUMIFS(Selections!$T$6:$T$78,Selections!$E$6:$E$78,"Asian Handicap Away +1.00"))</f>
        <v>0.7514769383761689</v>
      </c>
      <c r="N17" s="20">
        <f>IF(SUMIFS(Selections!$T$6:$T$78,Selections!$E$6:$E$78,"Asian Handicap Away +1.00")=0,"n.a.",(SUMIFS(Selections!$L$6:$L$78,Selections!$E$6:$E$78,"Asian Handicap Away +1.00",Selections!$T$6:$T$78,1))/SUMIFS(Selections!$T$6:$T$78,Selections!$E$6:$E$78,"Asian Handicap Away +1.00"))</f>
        <v>1.0</v>
      </c>
      <c r="O17" s="20">
        <f>IF(SUMIFS(Selections!$T$6:$T$78,Selections!$E$6:$E$78,"Asian Handicap Away +1.00")=0,"n.a.",(SUMIFS(Selections!$S$6:$S$78,Selections!$E$6:$E$78,"Asian Handicap Away +1.00")-(SUMIFS(Selections!$L$6:$L$78,Selections!$E$6:$E$78,"Asian Handicap Away +1.00",Selections!$T$6:$T$78,1)))/SUMIFS(Selections!$T$6:$T$78,Selections!$E$6:$E$78,"Asian Handicap Away +1.00"))</f>
        <v>-0.2485230616238311</v>
      </c>
      <c r="P17" s="19">
        <f>SUMIFS(Selections!$T$6:$T$78,Selections!$E$6:$E$78,"Asian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COUNTIFS(Selections!$E$6:$E$78,"Asian Handicap Away +1.25")</f>
        <v>1</v>
      </c>
      <c r="D18" s="19">
        <f>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1</v>
      </c>
      <c r="E18" s="19">
        <f>(COUNTIFS(Selections!$E$6:$E$78,"Asian Handicap Away +1.25",Selections!$K$6:$K$78,"WON")+COUNTIFS(Selections!$E$6:$E$78,"Asian Handicap Away +1.25",Selections!$K$6:$K$78,"HALF_WON"))</f>
        <v>1</v>
      </c>
      <c r="F18" s="19">
        <f>(COUNTIFS(Selections!$E$6:$E$78,"Asian Handicap Away +1.25",Selections!$K$6:$K$78,"LOST")+COUNTIFS(Selections!$E$6:$E$78,"Asian Handicap Away +1.25",Selections!$K$6:$K$78,"HALF_LOST"))</f>
        <v>0</v>
      </c>
      <c r="G18" s="19">
        <f>COUNTIFS(Selections!$E$6:$E$78,"Asian Handicap Away +1.25")-((COUNTIFS(Selections!$E$6:$E$78,"Asian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0</v>
      </c>
      <c r="H18" s="20">
        <f>IF(((COUNTIFS(Selections!$E$6:$E$78,"Asian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+1.25",Selections!$K$6:$K$78,"REFUNDED"))=0,"n.a.",(COUNTIFS(Selections!$E$6:$E$78,"Asian Handicap Away +1.25",Selections!$K$6:$K$78,"WON")+COUNTIFS(Selections!$E$6:$E$78,"Asian Handicap Away +1.25",Selections!$K$6:$K$78,"HALF_WON"))/((COUNTIFS(Selections!$E$6:$E$78,"Asian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+1.25",Selections!$K$6:$K$78,"REFUNDED")))</f>
        <v>1.0</v>
      </c>
      <c r="I18" s="22">
        <f>SUMIFS(Selections!$M$6:$M$78,Selections!$E$6:$E$78,"Asian Handicap Away +1.25")</f>
        <v>1</v>
      </c>
      <c r="J18" s="22">
        <f>SUMIFS(Selections!$N$6:$N$78,Selections!$E$6:$E$78,"Asian Handicap Away +1.25")</f>
        <v>0.16</v>
      </c>
      <c r="K18" s="20">
        <f>IF(SUMIFS(Selections!$M$6:$M$78,Selections!$E$6:$E$78,"Asian Handicap Away +1.25")=0,"n.a.",SUMIFS(Selections!$N$6:$N$78,Selections!$E$6:$E$78,"Asian Handicap Away +1.25")/SUMIFS(Selections!$M$6:$M$78,Selections!$E$6:$E$78,"Asian Handicap Away +1.25"))</f>
        <v>0.16</v>
      </c>
      <c r="L18" s="21">
        <f>IF(SUMIFS(Selections!$T$6:$T$78,Selections!$E$6:$E$78,"Asian Handicap Away +1.25")=0,"n.a.",SUMIFS(Selections!$O$6:$O$78,Selections!$E$6:$E$78,"Asian Handicap Away +1.25")/SUMIFS(Selections!$T$6:$T$78,Selections!$E$6:$E$78,"Asian Handicap Away +1.25"))</f>
        <v>0.024359397046770922</v>
      </c>
      <c r="M18" s="20">
        <f>IF(SUMIFS(Selections!$T$6:$T$78,Selections!$E$6:$E$78,"Asian Handicap Away +1.25")=0,"n.a.",SUMIFS(Selections!$S$6:$S$78,Selections!$E$6:$E$78,"Asian Handicap Away +1.25")/SUMIFS(Selections!$T$6:$T$78,Selections!$E$6:$E$78,"Asian Handicap Away +1.25"))</f>
        <v>0.8439250274811143</v>
      </c>
      <c r="N18" s="20">
        <f>IF(SUMIFS(Selections!$T$6:$T$78,Selections!$E$6:$E$78,"Asian Handicap Away +1.25")=0,"n.a.",(SUMIFS(Selections!$L$6:$L$78,Selections!$E$6:$E$78,"Asian Handicap Away +1.25",Selections!$T$6:$T$78,1))/SUMIFS(Selections!$T$6:$T$78,Selections!$E$6:$E$78,"Asian Handicap Away +1.25"))</f>
        <v>1.0</v>
      </c>
      <c r="O18" s="20">
        <f>IF(SUMIFS(Selections!$T$6:$T$78,Selections!$E$6:$E$78,"Asian Handicap Away +1.25")=0,"n.a.",(SUMIFS(Selections!$S$6:$S$78,Selections!$E$6:$E$78,"Asian Handicap Away +1.25")-(SUMIFS(Selections!$L$6:$L$78,Selections!$E$6:$E$78,"Asian Handicap Away +1.25",Selections!$T$6:$T$78,1)))/SUMIFS(Selections!$T$6:$T$78,Selections!$E$6:$E$78,"Asian Handicap Away +1.25"))</f>
        <v>-0.1560749725188857</v>
      </c>
      <c r="P18" s="19">
        <f>SUMIFS(Selections!$T$6:$T$78,Selections!$E$6:$E$78,"Asian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COUNTIFS(Selections!$E$6:$E$78,"Asian Handicap Away +2.00")</f>
        <v>4</v>
      </c>
      <c r="D19" s="19">
        <f>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3</v>
      </c>
      <c r="E19" s="19">
        <f>(COUNTIFS(Selections!$E$6:$E$78,"Asian Handicap Away +2.00",Selections!$K$6:$K$78,"WON")+COUNTIFS(Selections!$E$6:$E$78,"Asian Handicap Away +2.00",Selections!$K$6:$K$78,"HALF_WON"))</f>
        <v>3</v>
      </c>
      <c r="F19" s="19">
        <f>(COUNTIFS(Selections!$E$6:$E$78,"Asian Handicap Away +2.00",Selections!$K$6:$K$78,"LOST")+COUNTIFS(Selections!$E$6:$E$78,"Asian Handicap Away +2.00",Selections!$K$6:$K$78,"HALF_LOST"))</f>
        <v>0</v>
      </c>
      <c r="G19" s="19">
        <f>COUNTIFS(Selections!$E$6:$E$78,"Asian Handicap Away +2.00")-((COUNTIFS(Selections!$E$6:$E$78,"Asian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1</v>
      </c>
      <c r="H19" s="20">
        <f>IF(((COUNTIFS(Selections!$E$6:$E$78,"Asian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+2.00",Selections!$K$6:$K$78,"REFUNDED"))=0,"n.a.",(COUNTIFS(Selections!$E$6:$E$78,"Asian Handicap Away +2.00",Selections!$K$6:$K$78,"WON")+COUNTIFS(Selections!$E$6:$E$78,"Asian Handicap Away +2.00",Selections!$K$6:$K$78,"HALF_WON"))/((COUNTIFS(Selections!$E$6:$E$78,"Asian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+2.00",Selections!$K$6:$K$78,"REFUNDED")))</f>
        <v>1.0</v>
      </c>
      <c r="I19" s="22">
        <f>SUMIFS(Selections!$M$6:$M$78,Selections!$E$6:$E$78,"Asian Handicap Away +2.00")</f>
        <v>3</v>
      </c>
      <c r="J19" s="22">
        <f>SUMIFS(Selections!$N$6:$N$78,Selections!$E$6:$E$78,"Asian Handicap Away +2.00")</f>
        <v>1.17</v>
      </c>
      <c r="K19" s="20">
        <f>IF(SUMIFS(Selections!$M$6:$M$78,Selections!$E$6:$E$78,"Asian Handicap Away +2.00")=0,"n.a.",SUMIFS(Selections!$N$6:$N$78,Selections!$E$6:$E$78,"Asian Handicap Away +2.00")/SUMIFS(Selections!$M$6:$M$78,Selections!$E$6:$E$78,"Asian Handicap Away +2.00"))</f>
        <v>0.38999999999999996</v>
      </c>
      <c r="L19" s="21">
        <f>IF(SUMIFS(Selections!$T$6:$T$78,Selections!$E$6:$E$78,"Asian Handicap Away +2.00")=0,"n.a.",SUMIFS(Selections!$O$6:$O$78,Selections!$E$6:$E$78,"Asian Handicap Away +2.00")/SUMIFS(Selections!$T$6:$T$78,Selections!$E$6:$E$78,"Asian Handicap Away +2.00"))</f>
        <v>0.023947298801919998</v>
      </c>
      <c r="M19" s="20">
        <f>IF(SUMIFS(Selections!$T$6:$T$78,Selections!$E$6:$E$78,"Asian Handicap Away +2.00")=0,"n.a.",SUMIFS(Selections!$S$6:$S$78,Selections!$E$6:$E$78,"Asian Handicap Away +2.00")/SUMIFS(Selections!$T$6:$T$78,Selections!$E$6:$E$78,"Asian Handicap Away +2.00"))</f>
        <v>0.8542990352659695</v>
      </c>
      <c r="N19" s="20">
        <f>IF(SUMIFS(Selections!$T$6:$T$78,Selections!$E$6:$E$78,"Asian Handicap Away +2.00")=0,"n.a.",(SUMIFS(Selections!$L$6:$L$78,Selections!$E$6:$E$78,"Asian Handicap Away +2.00",Selections!$T$6:$T$78,1))/SUMIFS(Selections!$T$6:$T$78,Selections!$E$6:$E$78,"Asian Handicap Away +2.00"))</f>
        <v>1.0</v>
      </c>
      <c r="O19" s="20">
        <f>IF(SUMIFS(Selections!$T$6:$T$78,Selections!$E$6:$E$78,"Asian Handicap Away +2.00")=0,"n.a.",(SUMIFS(Selections!$S$6:$S$78,Selections!$E$6:$E$78,"Asian Handicap Away +2.00")-(SUMIFS(Selections!$L$6:$L$78,Selections!$E$6:$E$78,"Asian Handicap Away +2.00",Selections!$T$6:$T$78,1)))/SUMIFS(Selections!$T$6:$T$78,Selections!$E$6:$E$78,"Asian Handicap Away +2.00"))</f>
        <v>-0.1457009647340305</v>
      </c>
      <c r="P19" s="19">
        <f>SUMIFS(Selections!$T$6:$T$78,Selections!$E$6:$E$78,"Asian Handicap Away +2.00")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COUNTIFS(Selections!$E$6:$E$78,"Asian Handicap Away +2.25")</f>
        <v>1</v>
      </c>
      <c r="D20" s="19">
        <f>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0</v>
      </c>
      <c r="E20" s="19">
        <f>(COUNTIFS(Selections!$E$6:$E$78,"Asian Handicap Away +2.25",Selections!$K$6:$K$78,"WON")+COUNTIFS(Selections!$E$6:$E$78,"Asian Handicap Away +2.25",Selections!$K$6:$K$78,"HALF_WON"))</f>
        <v>0</v>
      </c>
      <c r="F20" s="19">
        <f>(COUNTIFS(Selections!$E$6:$E$78,"Asian Handicap Away +2.25",Selections!$K$6:$K$78,"LOST")+COUNTIFS(Selections!$E$6:$E$78,"Asian Handicap Away +2.25",Selections!$K$6:$K$78,"HALF_LOST"))</f>
        <v>0</v>
      </c>
      <c r="G20" s="19">
        <f>COUNTIFS(Selections!$E$6:$E$78,"Asian Handicap Away +2.25")-((COUNTIFS(Selections!$E$6:$E$78,"Asian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1</v>
      </c>
      <c r="H20" s="20" t="str">
        <f>IF(((COUNTIFS(Selections!$E$6:$E$78,"Asian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+2.25",Selections!$K$6:$K$78,"REFUNDED"))=0,"n.a.",(COUNTIFS(Selections!$E$6:$E$78,"Asian Handicap Away +2.25",Selections!$K$6:$K$78,"WON")+COUNTIFS(Selections!$E$6:$E$78,"Asian Handicap Away +2.25",Selections!$K$6:$K$78,"HALF_WON"))/((COUNTIFS(Selections!$E$6:$E$78,"Asian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+2.25",Selections!$K$6:$K$78,"REFUNDED")))</f>
        <v>n.a.</v>
      </c>
      <c r="I20" s="22">
        <f>SUMIFS(Selections!$M$6:$M$78,Selections!$E$6:$E$78,"Asian Handicap Away +2.25")</f>
        <v>0</v>
      </c>
      <c r="J20" s="22">
        <f>SUMIFS(Selections!$N$6:$N$78,Selections!$E$6:$E$78,"Asian Handicap Away +2.25")</f>
        <v>0</v>
      </c>
      <c r="K20" s="20" t="str">
        <f>IF(SUMIFS(Selections!$M$6:$M$78,Selections!$E$6:$E$78,"Asian Handicap Away +2.25")=0,"n.a.",SUMIFS(Selections!$N$6:$N$78,Selections!$E$6:$E$78,"Asian Handicap Away +2.25")/SUMIFS(Selections!$M$6:$M$78,Selections!$E$6:$E$78,"Asian Handicap Away +2.25"))</f>
        <v>n.a.</v>
      </c>
      <c r="L20" s="21" t="str">
        <f>IF(SUMIFS(Selections!$T$6:$T$78,Selections!$E$6:$E$78,"Asian Handicap Away +2.25")=0,"n.a.",SUMIFS(Selections!$O$6:$O$78,Selections!$E$6:$E$78,"Asian Handicap Away +2.25")/SUMIFS(Selections!$T$6:$T$78,Selections!$E$6:$E$78,"Asian Handicap Away +2.25"))</f>
        <v>n.a.</v>
      </c>
      <c r="M20" s="20" t="str">
        <f>IF(SUMIFS(Selections!$T$6:$T$78,Selections!$E$6:$E$78,"Asian Handicap Away +2.25")=0,"n.a.",SUMIFS(Selections!$S$6:$S$78,Selections!$E$6:$E$78,"Asian Handicap Away +2.25")/SUMIFS(Selections!$T$6:$T$78,Selections!$E$6:$E$78,"Asian Handicap Away +2.25"))</f>
        <v>n.a.</v>
      </c>
      <c r="N20" s="20" t="str">
        <f>IF(SUMIFS(Selections!$T$6:$T$78,Selections!$E$6:$E$78,"Asian Handicap Away +2.25")=0,"n.a.",(SUMIFS(Selections!$L$6:$L$78,Selections!$E$6:$E$78,"Asian Handicap Away +2.25",Selections!$T$6:$T$78,1))/SUMIFS(Selections!$T$6:$T$78,Selections!$E$6:$E$78,"Asian Handicap Away +2.25"))</f>
        <v>n.a.</v>
      </c>
      <c r="O20" s="20" t="str">
        <f>IF(SUMIFS(Selections!$T$6:$T$78,Selections!$E$6:$E$78,"Asian Handicap Away +2.25")=0,"n.a.",(SUMIFS(Selections!$S$6:$S$78,Selections!$E$6:$E$78,"Asian Handicap Away +2.25")-(SUMIFS(Selections!$L$6:$L$78,Selections!$E$6:$E$78,"Asian Handicap Away +2.25",Selections!$T$6:$T$78,1)))/SUMIFS(Selections!$T$6:$T$78,Selections!$E$6:$E$78,"Asian Handicap Away +2.25"))</f>
        <v>n.a.</v>
      </c>
      <c r="P20" s="19">
        <f>SUMIFS(Selections!$T$6:$T$78,Selections!$E$6:$E$78,"Asian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COUNTIFS(Selections!$E$6:$E$78,"Asian Handicap Home +1.25")</f>
        <v>1</v>
      </c>
      <c r="D21" s="19">
        <f>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1</v>
      </c>
      <c r="E21" s="19">
        <f>(COUNTIFS(Selections!$E$6:$E$78,"Asian Handicap Home +1.25",Selections!$K$6:$K$78,"WON")+COUNTIFS(Selections!$E$6:$E$78,"Asian Handicap Home +1.25",Selections!$K$6:$K$78,"HALF_WON"))</f>
        <v>1</v>
      </c>
      <c r="F21" s="19">
        <f>(COUNTIFS(Selections!$E$6:$E$78,"Asian Handicap Home +1.25",Selections!$K$6:$K$78,"LOST")+COUNTIFS(Selections!$E$6:$E$78,"Asian Handicap Home +1.25",Selections!$K$6:$K$78,"HALF_LOST"))</f>
        <v>0</v>
      </c>
      <c r="G21" s="19">
        <f>COUNTIFS(Selections!$E$6:$E$78,"Asian Handicap Home +1.25")-((COUNTIFS(Selections!$E$6:$E$78,"Asian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0</v>
      </c>
      <c r="H21" s="20">
        <f>IF(((COUNTIFS(Selections!$E$6:$E$78,"Asian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+1.25",Selections!$K$6:$K$78,"REFUNDED"))=0,"n.a.",(COUNTIFS(Selections!$E$6:$E$78,"Asian Handicap Home +1.25",Selections!$K$6:$K$78,"WON")+COUNTIFS(Selections!$E$6:$E$78,"Asian Handicap Home +1.25",Selections!$K$6:$K$78,"HALF_WON"))/((COUNTIFS(Selections!$E$6:$E$78,"Asian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+1.25",Selections!$K$6:$K$78,"REFUNDED")))</f>
        <v>1.0</v>
      </c>
      <c r="I21" s="22">
        <f>SUMIFS(Selections!$M$6:$M$78,Selections!$E$6:$E$78,"Asian Handicap Home +1.25")</f>
        <v>1</v>
      </c>
      <c r="J21" s="22">
        <f>SUMIFS(Selections!$N$6:$N$78,Selections!$E$6:$E$78,"Asian Handicap Home +1.25")</f>
        <v>0.6</v>
      </c>
      <c r="K21" s="20">
        <f>IF(SUMIFS(Selections!$M$6:$M$78,Selections!$E$6:$E$78,"Asian Handicap Home +1.25")=0,"n.a.",SUMIFS(Selections!$N$6:$N$78,Selections!$E$6:$E$78,"Asian Handicap Home +1.25")/SUMIFS(Selections!$M$6:$M$78,Selections!$E$6:$E$78,"Asian Handicap Home +1.25"))</f>
        <v>0.6</v>
      </c>
      <c r="L21" s="21">
        <f>IF(SUMIFS(Selections!$T$6:$T$78,Selections!$E$6:$E$78,"Asian Handicap Home +1.25")=0,"n.a.",SUMIFS(Selections!$O$6:$O$78,Selections!$E$6:$E$78,"Asian Handicap Home +1.25")/SUMIFS(Selections!$T$6:$T$78,Selections!$E$6:$E$78,"Asian Handicap Home +1.25"))</f>
        <v>0.040902088882518665</v>
      </c>
      <c r="M21" s="20">
        <f>IF(SUMIFS(Selections!$T$6:$T$78,Selections!$E$6:$E$78,"Asian Handicap Home +1.25")=0,"n.a.",SUMIFS(Selections!$S$6:$S$78,Selections!$E$6:$E$78,"Asian Handicap Home +1.25")/SUMIFS(Selections!$T$6:$T$78,Selections!$E$6:$E$78,"Asian Handicap Home +1.25"))</f>
        <v>0.7977573514747232</v>
      </c>
      <c r="N21" s="20">
        <f>IF(SUMIFS(Selections!$T$6:$T$78,Selections!$E$6:$E$78,"Asian Handicap Home +1.25")=0,"n.a.",(SUMIFS(Selections!$L$6:$L$78,Selections!$E$6:$E$78,"Asian Handicap Home +1.25",Selections!$T$6:$T$78,1))/SUMIFS(Selections!$T$6:$T$78,Selections!$E$6:$E$78,"Asian Handicap Home +1.25"))</f>
        <v>1.0</v>
      </c>
      <c r="O21" s="20">
        <f>IF(SUMIFS(Selections!$T$6:$T$78,Selections!$E$6:$E$78,"Asian Handicap Home +1.25")=0,"n.a.",(SUMIFS(Selections!$S$6:$S$78,Selections!$E$6:$E$78,"Asian Handicap Home +1.25")-(SUMIFS(Selections!$L$6:$L$78,Selections!$E$6:$E$78,"Asian Handicap Home +1.25",Selections!$T$6:$T$78,1)))/SUMIFS(Selections!$T$6:$T$78,Selections!$E$6:$E$78,"Asian Handicap Home +1.25"))</f>
        <v>-0.20224264852527685</v>
      </c>
      <c r="P21" s="19">
        <f>SUMIFS(Selections!$T$6:$T$78,Selections!$E$6:$E$78,"Asian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COUNTIFS(Selections!$E$6:$E$78,"Asian Handicap Home +2.00")</f>
        <v>2</v>
      </c>
      <c r="D22" s="19">
        <f>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E22" s="19">
        <f>(COUNTIFS(Selections!$E$6:$E$78,"Asian Handicap Home +2.00",Selections!$K$6:$K$78,"WON")+COUNTIFS(Selections!$E$6:$E$78,"Asian Handicap Home +2.00",Selections!$K$6:$K$78,"HALF_WON"))</f>
        <v>1</v>
      </c>
      <c r="F22" s="19">
        <f>(COUNTIFS(Selections!$E$6:$E$78,"Asian Handicap Home +2.00",Selections!$K$6:$K$78,"LOST")+COUNTIFS(Selections!$E$6:$E$78,"Asian Handicap Home +2.00",Selections!$K$6:$K$78,"HALF_LOST"))</f>
        <v>0</v>
      </c>
      <c r="G22" s="19">
        <f>COUNTIFS(Selections!$E$6:$E$78,"Asian Handicap Home +2.00")-((COUNTIFS(Selections!$E$6:$E$78,"Asian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H22" s="20">
        <f>IF(((COUNTIFS(Selections!$E$6:$E$78,"Asian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+2.00",Selections!$K$6:$K$78,"REFUNDED"))=0,"n.a.",(COUNTIFS(Selections!$E$6:$E$78,"Asian Handicap Home +2.00",Selections!$K$6:$K$78,"WON")+COUNTIFS(Selections!$E$6:$E$78,"Asian Handicap Home +2.00",Selections!$K$6:$K$78,"HALF_WON"))/((COUNTIFS(Selections!$E$6:$E$78,"Asian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+2.00",Selections!$K$6:$K$78,"REFUNDED")))</f>
        <v>1.0</v>
      </c>
      <c r="I22" s="22">
        <f>SUMIFS(Selections!$M$6:$M$78,Selections!$E$6:$E$78,"Asian Handicap Home +2.00")</f>
        <v>1</v>
      </c>
      <c r="J22" s="22">
        <f>SUMIFS(Selections!$N$6:$N$78,Selections!$E$6:$E$78,"Asian Handicap Home +2.00")</f>
        <v>0.26</v>
      </c>
      <c r="K22" s="20">
        <f>IF(SUMIFS(Selections!$M$6:$M$78,Selections!$E$6:$E$78,"Asian Handicap Home +2.00")=0,"n.a.",SUMIFS(Selections!$N$6:$N$78,Selections!$E$6:$E$78,"Asian Handicap Home +2.00")/SUMIFS(Selections!$M$6:$M$78,Selections!$E$6:$E$78,"Asian Handicap Home +2.00"))</f>
        <v>0.26</v>
      </c>
      <c r="L22" s="21">
        <f>IF(SUMIFS(Selections!$T$6:$T$78,Selections!$E$6:$E$78,"Asian Handicap Home +2.00")=0,"n.a.",SUMIFS(Selections!$O$6:$O$78,Selections!$E$6:$E$78,"Asian Handicap Home +2.00")/SUMIFS(Selections!$T$6:$T$78,Selections!$E$6:$E$78,"Asian Handicap Home +2.00"))</f>
        <v>0.022096178165030404</v>
      </c>
      <c r="M22" s="20">
        <f>IF(SUMIFS(Selections!$T$6:$T$78,Selections!$E$6:$E$78,"Asian Handicap Home +2.00")=0,"n.a.",SUMIFS(Selections!$S$6:$S$78,Selections!$E$6:$E$78,"Asian Handicap Home +2.00")/SUMIFS(Selections!$T$6:$T$78,Selections!$E$6:$E$78,"Asian Handicap Home +2.00"))</f>
        <v>0.851352167304631</v>
      </c>
      <c r="N22" s="20">
        <f>IF(SUMIFS(Selections!$T$6:$T$78,Selections!$E$6:$E$78,"Asian Handicap Home +2.00")=0,"n.a.",(SUMIFS(Selections!$L$6:$L$78,Selections!$E$6:$E$78,"Asian Handicap Home +2.00",Selections!$T$6:$T$78,1))/SUMIFS(Selections!$T$6:$T$78,Selections!$E$6:$E$78,"Asian Handicap Home +2.00"))</f>
        <v>1.0</v>
      </c>
      <c r="O22" s="20">
        <f>IF(SUMIFS(Selections!$T$6:$T$78,Selections!$E$6:$E$78,"Asian Handicap Home +2.00")=0,"n.a.",(SUMIFS(Selections!$S$6:$S$78,Selections!$E$6:$E$78,"Asian Handicap Home +2.00")-(SUMIFS(Selections!$L$6:$L$78,Selections!$E$6:$E$78,"Asian Handicap Home +2.00",Selections!$T$6:$T$78,1)))/SUMIFS(Selections!$T$6:$T$78,Selections!$E$6:$E$78,"Asian Handicap Home +2.00"))</f>
        <v>-0.14864783269536896</v>
      </c>
      <c r="P22" s="19">
        <f>SUMIFS(Selections!$T$6:$T$78,Selections!$E$6:$E$78,"Asian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COUNTIFS(Selections!$E$6:$E$78,"Asian Handicap Home +2.25")</f>
        <v>1</v>
      </c>
      <c r="D23" s="19">
        <f>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1</v>
      </c>
      <c r="E23" s="19">
        <f>(COUNTIFS(Selections!$E$6:$E$78,"Asian Handicap Home +2.25",Selections!$K$6:$K$78,"WON")+COUNTIFS(Selections!$E$6:$E$78,"Asian Handicap Home +2.25",Selections!$K$6:$K$78,"HALF_WON"))</f>
        <v>1</v>
      </c>
      <c r="F23" s="19">
        <f>(COUNTIFS(Selections!$E$6:$E$78,"Asian Handicap Home +2.25",Selections!$K$6:$K$78,"LOST")+COUNTIFS(Selections!$E$6:$E$78,"Asian Handicap Home +2.25",Selections!$K$6:$K$78,"HALF_LOST"))</f>
        <v>0</v>
      </c>
      <c r="G23" s="19">
        <f>COUNTIFS(Selections!$E$6:$E$78,"Asian Handicap Home +2.25")-((COUNTIFS(Selections!$E$6:$E$78,"Asian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0</v>
      </c>
      <c r="H23" s="20">
        <f>IF(((COUNTIFS(Selections!$E$6:$E$78,"Asian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+2.25",Selections!$K$6:$K$78,"REFUNDED"))=0,"n.a.",(COUNTIFS(Selections!$E$6:$E$78,"Asian Handicap Home +2.25",Selections!$K$6:$K$78,"WON")+COUNTIFS(Selections!$E$6:$E$78,"Asian Handicap Home +2.25",Selections!$K$6:$K$78,"HALF_WON"))/((COUNTIFS(Selections!$E$6:$E$78,"Asian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+2.25",Selections!$K$6:$K$78,"REFUNDED")))</f>
        <v>1.0</v>
      </c>
      <c r="I23" s="22">
        <f>SUMIFS(Selections!$M$6:$M$78,Selections!$E$6:$E$78,"Asian Handicap Home +2.25")</f>
        <v>1</v>
      </c>
      <c r="J23" s="22">
        <f>SUMIFS(Selections!$N$6:$N$78,Selections!$E$6:$E$78,"Asian Handicap Home +2.25")</f>
        <v>0.35</v>
      </c>
      <c r="K23" s="20">
        <f>IF(SUMIFS(Selections!$M$6:$M$78,Selections!$E$6:$E$78,"Asian Handicap Home +2.25")=0,"n.a.",SUMIFS(Selections!$N$6:$N$78,Selections!$E$6:$E$78,"Asian Handicap Home +2.25")/SUMIFS(Selections!$M$6:$M$78,Selections!$E$6:$E$78,"Asian Handicap Home +2.25"))</f>
        <v>0.35</v>
      </c>
      <c r="L23" s="21">
        <f>IF(SUMIFS(Selections!$T$6:$T$78,Selections!$E$6:$E$78,"Asian Handicap Home +2.25")=0,"n.a.",SUMIFS(Selections!$O$6:$O$78,Selections!$E$6:$E$78,"Asian Handicap Home +2.25")/SUMIFS(Selections!$T$6:$T$78,Selections!$E$6:$E$78,"Asian Handicap Home +2.25"))</f>
        <v>0.03828819671116923</v>
      </c>
      <c r="M23" s="20">
        <f>IF(SUMIFS(Selections!$T$6:$T$78,Selections!$E$6:$E$78,"Asian Handicap Home +2.25")=0,"n.a.",SUMIFS(Selections!$S$6:$S$78,Selections!$E$6:$E$78,"Asian Handicap Home +2.25")/SUMIFS(Selections!$T$6:$T$78,Selections!$E$6:$E$78,"Asian Handicap Home +2.25"))</f>
        <v>0.8043263004101746</v>
      </c>
      <c r="N23" s="20">
        <f>IF(SUMIFS(Selections!$T$6:$T$78,Selections!$E$6:$E$78,"Asian Handicap Home +2.25")=0,"n.a.",(SUMIFS(Selections!$L$6:$L$78,Selections!$E$6:$E$78,"Asian Handicap Home +2.25",Selections!$T$6:$T$78,1))/SUMIFS(Selections!$T$6:$T$78,Selections!$E$6:$E$78,"Asian Handicap Home +2.25"))</f>
        <v>1.0</v>
      </c>
      <c r="O23" s="20">
        <f>IF(SUMIFS(Selections!$T$6:$T$78,Selections!$E$6:$E$78,"Asian Handicap Home +2.25")=0,"n.a.",(SUMIFS(Selections!$S$6:$S$78,Selections!$E$6:$E$78,"Asian Handicap Home +2.25")-(SUMIFS(Selections!$L$6:$L$78,Selections!$E$6:$E$78,"Asian Handicap Home +2.25",Selections!$T$6:$T$78,1)))/SUMIFS(Selections!$T$6:$T$78,Selections!$E$6:$E$78,"Asian Handicap Home +2.25"))</f>
        <v>-0.1956736995898254</v>
      </c>
      <c r="P23" s="19">
        <f>SUMIFS(Selections!$T$6:$T$78,Selections!$E$6:$E$78,"Asian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COUNTIFS(Selections!$E$6:$E$78,"Away win")</f>
        <v>4</v>
      </c>
      <c r="D24" s="19">
        <f>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4</v>
      </c>
      <c r="E24" s="19">
        <f>(COUNTIFS(Selections!$E$6:$E$78,"Away win",Selections!$K$6:$K$78,"WON")+COUNTIFS(Selections!$E$6:$E$78,"Away win",Selections!$K$6:$K$78,"HALF_WON"))</f>
        <v>2</v>
      </c>
      <c r="F24" s="19">
        <f>(COUNTIFS(Selections!$E$6:$E$78,"Away win",Selections!$K$6:$K$78,"LOST")+COUNTIFS(Selections!$E$6:$E$78,"Away win",Selections!$K$6:$K$78,"HALF_LOST"))</f>
        <v>2</v>
      </c>
      <c r="G24" s="19">
        <f>COUNTIFS(Selections!$E$6:$E$78,"Away win")-((COUNTIFS(Selections!$E$6:$E$78,"Away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0</v>
      </c>
      <c r="H24" s="20">
        <f>IF(((COUNTIFS(Selections!$E$6:$E$78,"Away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win",Selections!$K$6:$K$78,"REFUNDED"))=0,"n.a.",(COUNTIFS(Selections!$E$6:$E$78,"Away win",Selections!$K$6:$K$78,"WON")+COUNTIFS(Selections!$E$6:$E$78,"Away win",Selections!$K$6:$K$78,"HALF_WON"))/((COUNTIFS(Selections!$E$6:$E$78,"Away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win",Selections!$K$6:$K$78,"REFUNDED")))</f>
        <v>0.5</v>
      </c>
      <c r="I24" s="22">
        <f>SUMIFS(Selections!$M$6:$M$78,Selections!$E$6:$E$78,"Away win")</f>
        <v>4</v>
      </c>
      <c r="J24" s="22">
        <f>SUMIFS(Selections!$N$6:$N$78,Selections!$E$6:$E$78,"Away win")</f>
        <v>0.45999999999999996</v>
      </c>
      <c r="K24" s="20">
        <f>IF(SUMIFS(Selections!$M$6:$M$78,Selections!$E$6:$E$78,"Away win")=0,"n.a.",SUMIFS(Selections!$N$6:$N$78,Selections!$E$6:$E$78,"Away win")/SUMIFS(Selections!$M$6:$M$78,Selections!$E$6:$E$78,"Away win"))</f>
        <v>0.11499999999999999</v>
      </c>
      <c r="L24" s="21">
        <f>IF(SUMIFS(Selections!$T$6:$T$78,Selections!$E$6:$E$78,"Away win")=0,"n.a.",SUMIFS(Selections!$O$6:$O$78,Selections!$E$6:$E$78,"Away win")/SUMIFS(Selections!$T$6:$T$78,Selections!$E$6:$E$78,"Away win"))</f>
        <v>0.33482070932030694</v>
      </c>
      <c r="M24" s="20">
        <f>IF(SUMIFS(Selections!$T$6:$T$78,Selections!$E$6:$E$78,"Away win")=0,"n.a.",SUMIFS(Selections!$S$6:$S$78,Selections!$E$6:$E$78,"Away win")/SUMIFS(Selections!$T$6:$T$78,Selections!$E$6:$E$78,"Away win"))</f>
        <v>0.4847194437283757</v>
      </c>
      <c r="N24" s="20">
        <f>IF(SUMIFS(Selections!$T$6:$T$78,Selections!$E$6:$E$78,"Away win")=0,"n.a.",(SUMIFS(Selections!$L$6:$L$78,Selections!$E$6:$E$78,"Away win",Selections!$T$6:$T$78,1))/SUMIFS(Selections!$T$6:$T$78,Selections!$E$6:$E$78,"Away win"))</f>
        <v>0.5</v>
      </c>
      <c r="O24" s="20">
        <f>IF(SUMIFS(Selections!$T$6:$T$78,Selections!$E$6:$E$78,"Away win")=0,"n.a.",(SUMIFS(Selections!$S$6:$S$78,Selections!$E$6:$E$78,"Away win")-(SUMIFS(Selections!$L$6:$L$78,Selections!$E$6:$E$78,"Away win",Selections!$T$6:$T$78,1)))/SUMIFS(Selections!$T$6:$T$78,Selections!$E$6:$E$78,"Away win"))</f>
        <v>-0.01528055627162428</v>
      </c>
      <c r="P24" s="19">
        <f>SUMIFS(Selections!$T$6:$T$78,Selections!$E$6:$E$78,"Away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COUNTIFS(Selections!$E$6:$E$78,"Both Teams to Score - Yes")</f>
        <v>3</v>
      </c>
      <c r="D25" s="19">
        <f>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3</v>
      </c>
      <c r="E25" s="19">
        <f>(COUNTIFS(Selections!$E$6:$E$78,"Both Teams to Score - Yes",Selections!$K$6:$K$78,"WON")+COUNTIFS(Selections!$E$6:$E$78,"Both Teams to Score - Yes",Selections!$K$6:$K$78,"HALF_WON"))</f>
        <v>2</v>
      </c>
      <c r="F25" s="19">
        <f>(COUNTIFS(Selections!$E$6:$E$78,"Both Teams to Score - Yes",Selections!$K$6:$K$78,"LOST")+COUNTIFS(Selections!$E$6:$E$78,"Both Teams to Score - Yes",Selections!$K$6:$K$78,"HALF_LOST"))</f>
        <v>1</v>
      </c>
      <c r="G25" s="19">
        <f>COUNTIFS(Selections!$E$6:$E$78,"Both Teams to Score - Yes")-((COUNTIFS(Selections!$E$6:$E$78,"Both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0</v>
      </c>
      <c r="H25" s="20">
        <f>IF(((COUNTIFS(Selections!$E$6:$E$78,"Both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Yes",Selections!$K$6:$K$78,"REFUNDED"))=0,"n.a.",(COUNTIFS(Selections!$E$6:$E$78,"Both Teams to Score - Yes",Selections!$K$6:$K$78,"WON")+COUNTIFS(Selections!$E$6:$E$78,"Both Teams to Score - Yes",Selections!$K$6:$K$78,"HALF_WON"))/((COUNTIFS(Selections!$E$6:$E$78,"Both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Yes",Selections!$K$6:$K$78,"REFUNDED")))</f>
        <v>0.6666666666666666</v>
      </c>
      <c r="I25" s="22">
        <f>SUMIFS(Selections!$M$6:$M$78,Selections!$E$6:$E$78,"Both Teams to Score - Yes")</f>
        <v>3</v>
      </c>
      <c r="J25" s="22">
        <f>SUMIFS(Selections!$N$6:$N$78,Selections!$E$6:$E$78,"Both Teams to Score - Yes")</f>
        <v>0.020000000000000018</v>
      </c>
      <c r="K25" s="20">
        <f>IF(SUMIFS(Selections!$M$6:$M$78,Selections!$E$6:$E$78,"Both Teams to Score - Yes")=0,"n.a.",SUMIFS(Selections!$N$6:$N$78,Selections!$E$6:$E$78,"Both Teams to Score - Yes")/SUMIFS(Selections!$M$6:$M$78,Selections!$E$6:$E$78,"Both Teams to Score - Yes"))</f>
        <v>0.006666666666666672</v>
      </c>
      <c r="L25" s="21">
        <f>IF(SUMIFS(Selections!$T$6:$T$78,Selections!$E$6:$E$78,"Both Teams to Score - Yes")=0,"n.a.",SUMIFS(Selections!$O$6:$O$78,Selections!$E$6:$E$78,"Both Teams to Score - Yes")/SUMIFS(Selections!$T$6:$T$78,Selections!$E$6:$E$78,"Both Teams to Score - Yes"))</f>
        <v>0.2227178753914428</v>
      </c>
      <c r="M25" s="20">
        <f>IF(SUMIFS(Selections!$T$6:$T$78,Selections!$E$6:$E$78,"Both Teams to Score - Yes")=0,"n.a.",SUMIFS(Selections!$S$6:$S$78,Selections!$E$6:$E$78,"Both Teams to Score - Yes")/SUMIFS(Selections!$T$6:$T$78,Selections!$E$6:$E$78,"Both Teams to Score - Yes"))</f>
        <v>0.7130523653970714</v>
      </c>
      <c r="N25" s="20">
        <f>IF(SUMIFS(Selections!$T$6:$T$78,Selections!$E$6:$E$78,"Both Teams to Score - Yes")=0,"n.a.",(SUMIFS(Selections!$L$6:$L$78,Selections!$E$6:$E$78,"Both Teams to Score - Yes",Selections!$T$6:$T$78,1))/SUMIFS(Selections!$T$6:$T$78,Selections!$E$6:$E$78,"Both Teams to Score - Yes"))</f>
        <v>0.6666666666666666</v>
      </c>
      <c r="O25" s="20">
        <f>IF(SUMIFS(Selections!$T$6:$T$78,Selections!$E$6:$E$78,"Both Teams to Score - Yes")=0,"n.a.",(SUMIFS(Selections!$S$6:$S$78,Selections!$E$6:$E$78,"Both Teams to Score - Yes")-(SUMIFS(Selections!$L$6:$L$78,Selections!$E$6:$E$78,"Both Teams to Score - Yes",Selections!$T$6:$T$78,1)))/SUMIFS(Selections!$T$6:$T$78,Selections!$E$6:$E$78,"Both Teams to Score - Yes"))</f>
        <v>0.04638569873040477</v>
      </c>
      <c r="P25" s="19">
        <f>SUMIFS(Selections!$T$6:$T$78,Selections!$E$6:$E$78,"Both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COUNTIFS(Selections!$E$6:$E$78,"Corners Under 10.5")</f>
        <v>2</v>
      </c>
      <c r="D26" s="19">
        <f>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1</v>
      </c>
      <c r="E26" s="19">
        <f>(COUNTIFS(Selections!$E$6:$E$78,"Corners Under 10.5",Selections!$K$6:$K$78,"WON")+COUNTIFS(Selections!$E$6:$E$78,"Corners Under 10.5",Selections!$K$6:$K$78,"HALF_WON"))</f>
        <v>1</v>
      </c>
      <c r="F26" s="19">
        <f>(COUNTIFS(Selections!$E$6:$E$78,"Corners Under 10.5",Selections!$K$6:$K$78,"LOST")+COUNTIFS(Selections!$E$6:$E$78,"Corners Under 10.5",Selections!$K$6:$K$78,"HALF_LOST"))</f>
        <v>0</v>
      </c>
      <c r="G26" s="19">
        <f>COUNTIFS(Selections!$E$6:$E$78,"Corners Under 10.5")-((COUNTIFS(Selections!$E$6:$E$78,"Corners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1</v>
      </c>
      <c r="H26" s="20">
        <f>IF(((COUNTIFS(Selections!$E$6:$E$78,"Corners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10.5",Selections!$K$6:$K$78,"REFUNDED"))=0,"n.a.",(COUNTIFS(Selections!$E$6:$E$78,"Corners Under 10.5",Selections!$K$6:$K$78,"WON")+COUNTIFS(Selections!$E$6:$E$78,"Corners Under 10.5",Selections!$K$6:$K$78,"HALF_WON"))/((COUNTIFS(Selections!$E$6:$E$78,"Corners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10.5",Selections!$K$6:$K$78,"REFUNDED")))</f>
        <v>1.0</v>
      </c>
      <c r="I26" s="22">
        <f>SUMIFS(Selections!$M$6:$M$78,Selections!$E$6:$E$78,"Corners Under 10.5")</f>
        <v>1</v>
      </c>
      <c r="J26" s="22">
        <f>SUMIFS(Selections!$N$6:$N$78,Selections!$E$6:$E$78,"Corners Under 10.5")</f>
        <v>0.53</v>
      </c>
      <c r="K26" s="20">
        <f>IF(SUMIFS(Selections!$M$6:$M$78,Selections!$E$6:$E$78,"Corners Under 10.5")=0,"n.a.",SUMIFS(Selections!$N$6:$N$78,Selections!$E$6:$E$78,"Corners Under 10.5")/SUMIFS(Selections!$M$6:$M$78,Selections!$E$6:$E$78,"Corners Under 10.5"))</f>
        <v>0.53</v>
      </c>
      <c r="L26" s="21">
        <f>IF(SUMIFS(Selections!$T$6:$T$78,Selections!$E$6:$E$78,"Corners Under 10.5")=0,"n.a.",SUMIFS(Selections!$O$6:$O$78,Selections!$E$6:$E$78,"Corners Under 10.5")/SUMIFS(Selections!$T$6:$T$78,Selections!$E$6:$E$78,"Corners Under 10.5"))</f>
        <v>0.07225612473142058</v>
      </c>
      <c r="M26" s="20">
        <f>IF(SUMIFS(Selections!$T$6:$T$78,Selections!$E$6:$E$78,"Corners Under 10.5")=0,"n.a.",SUMIFS(Selections!$S$6:$S$78,Selections!$E$6:$E$78,"Corners Under 10.5")/SUMIFS(Selections!$T$6:$T$78,Selections!$E$6:$E$78,"Corners Under 10.5"))</f>
        <v>0.7311950061263359</v>
      </c>
      <c r="N26" s="20">
        <f>IF(SUMIFS(Selections!$T$6:$T$78,Selections!$E$6:$E$78,"Corners Under 10.5")=0,"n.a.",(SUMIFS(Selections!$L$6:$L$78,Selections!$E$6:$E$78,"Corners Under 10.5",Selections!$T$6:$T$78,1))/SUMIFS(Selections!$T$6:$T$78,Selections!$E$6:$E$78,"Corners Under 10.5"))</f>
        <v>1.0</v>
      </c>
      <c r="O26" s="20">
        <f>IF(SUMIFS(Selections!$T$6:$T$78,Selections!$E$6:$E$78,"Corners Under 10.5")=0,"n.a.",(SUMIFS(Selections!$S$6:$S$78,Selections!$E$6:$E$78,"Corners Under 10.5")-(SUMIFS(Selections!$L$6:$L$78,Selections!$E$6:$E$78,"Corners Under 10.5",Selections!$T$6:$T$78,1)))/SUMIFS(Selections!$T$6:$T$78,Selections!$E$6:$E$78,"Corners Under 10.5"))</f>
        <v>-0.2688049938736641</v>
      </c>
      <c r="P26" s="19">
        <f>SUMIFS(Selections!$T$6:$T$78,Selections!$E$6:$E$78,"Corners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COUNTIFS(Selections!$E$6:$E$78,"Double Chance 12")</f>
        <v>8</v>
      </c>
      <c r="D27" s="19">
        <f>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7</v>
      </c>
      <c r="E27" s="19">
        <f>(COUNTIFS(Selections!$E$6:$E$78,"Double Chance 12",Selections!$K$6:$K$78,"WON")+COUNTIFS(Selections!$E$6:$E$78,"Double Chance 12",Selections!$K$6:$K$78,"HALF_WON"))</f>
        <v>6</v>
      </c>
      <c r="F27" s="19">
        <f>(COUNTIFS(Selections!$E$6:$E$78,"Double Chance 12",Selections!$K$6:$K$78,"LOST")+COUNTIFS(Selections!$E$6:$E$78,"Double Chance 12",Selections!$K$6:$K$78,"HALF_LOST"))</f>
        <v>1</v>
      </c>
      <c r="G27" s="19">
        <f>COUNTIFS(Selections!$E$6:$E$78,"Double Chance 12")-((COUNTIFS(Selections!$E$6:$E$78,"Double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1</v>
      </c>
      <c r="H27" s="20">
        <f>IF(((COUNTIFS(Selections!$E$6:$E$78,"Double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12",Selections!$K$6:$K$78,"REFUNDED"))=0,"n.a.",(COUNTIFS(Selections!$E$6:$E$78,"Double Chance 12",Selections!$K$6:$K$78,"WON")+COUNTIFS(Selections!$E$6:$E$78,"Double Chance 12",Selections!$K$6:$K$78,"HALF_WON"))/((COUNTIFS(Selections!$E$6:$E$78,"Double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12",Selections!$K$6:$K$78,"REFUNDED")))</f>
        <v>0.8571428571428571</v>
      </c>
      <c r="I27" s="22">
        <f>SUMIFS(Selections!$M$6:$M$78,Selections!$E$6:$E$78,"Double Chance 12")</f>
        <v>7</v>
      </c>
      <c r="J27" s="22">
        <f>SUMIFS(Selections!$N$6:$N$78,Selections!$E$6:$E$78,"Double Chance 12")</f>
        <v>0.3799999999999999</v>
      </c>
      <c r="K27" s="20">
        <f>IF(SUMIFS(Selections!$M$6:$M$78,Selections!$E$6:$E$78,"Double Chance 12")=0,"n.a.",SUMIFS(Selections!$N$6:$N$78,Selections!$E$6:$E$78,"Double Chance 12")/SUMIFS(Selections!$M$6:$M$78,Selections!$E$6:$E$78,"Double Chance 12"))</f>
        <v>0.05428571428571427</v>
      </c>
      <c r="L27" s="21">
        <f>IF(SUMIFS(Selections!$T$6:$T$78,Selections!$E$6:$E$78,"Double Chance 12")=0,"n.a.",SUMIFS(Selections!$O$6:$O$78,Selections!$E$6:$E$78,"Double Chance 12")/SUMIFS(Selections!$T$6:$T$78,Selections!$E$6:$E$78,"Double Chance 12"))</f>
        <v>0.1271285110309219</v>
      </c>
      <c r="M27" s="20">
        <f>IF(SUMIFS(Selections!$T$6:$T$78,Selections!$E$6:$E$78,"Double Chance 12")=0,"n.a.",SUMIFS(Selections!$S$6:$S$78,Selections!$E$6:$E$78,"Double Chance 12")/SUMIFS(Selections!$T$6:$T$78,Selections!$E$6:$E$78,"Double Chance 12"))</f>
        <v>0.7824061665594064</v>
      </c>
      <c r="N27" s="20">
        <f>IF(SUMIFS(Selections!$T$6:$T$78,Selections!$E$6:$E$78,"Double Chance 12")=0,"n.a.",(SUMIFS(Selections!$L$6:$L$78,Selections!$E$6:$E$78,"Double Chance 12",Selections!$T$6:$T$78,1))/SUMIFS(Selections!$T$6:$T$78,Selections!$E$6:$E$78,"Double Chance 12"))</f>
        <v>0.8571428571428571</v>
      </c>
      <c r="O27" s="20">
        <f>IF(SUMIFS(Selections!$T$6:$T$78,Selections!$E$6:$E$78,"Double Chance 12")=0,"n.a.",(SUMIFS(Selections!$S$6:$S$78,Selections!$E$6:$E$78,"Double Chance 12")-(SUMIFS(Selections!$L$6:$L$78,Selections!$E$6:$E$78,"Double Chance 12",Selections!$T$6:$T$78,1)))/SUMIFS(Selections!$T$6:$T$78,Selections!$E$6:$E$78,"Double Chance 12"))</f>
        <v>-0.07473669058345067</v>
      </c>
      <c r="P27" s="19">
        <f>SUMIFS(Selections!$T$6:$T$78,Selections!$E$6:$E$78,"Double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COUNTIFS(Selections!$E$6:$E$78,"Double Chance 1X")</f>
        <v>11</v>
      </c>
      <c r="D28" s="19">
        <f>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8</v>
      </c>
      <c r="E28" s="19">
        <f>(COUNTIFS(Selections!$E$6:$E$78,"Double Chance 1X",Selections!$K$6:$K$78,"WON")+COUNTIFS(Selections!$E$6:$E$78,"Double Chance 1X",Selections!$K$6:$K$78,"HALF_WON"))</f>
        <v>7</v>
      </c>
      <c r="F28" s="19">
        <f>(COUNTIFS(Selections!$E$6:$E$78,"Double Chance 1X",Selections!$K$6:$K$78,"LOST")+COUNTIFS(Selections!$E$6:$E$78,"Double Chance 1X",Selections!$K$6:$K$78,"HALF_LOST"))</f>
        <v>1</v>
      </c>
      <c r="G28" s="19">
        <f>COUNTIFS(Selections!$E$6:$E$78,"Double Chance 1X")-((COUNTIFS(Selections!$E$6:$E$78,"Double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3</v>
      </c>
      <c r="H28" s="20">
        <f>IF(((COUNTIFS(Selections!$E$6:$E$78,"Double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1X",Selections!$K$6:$K$78,"REFUNDED"))=0,"n.a.",(COUNTIFS(Selections!$E$6:$E$78,"Double Chance 1X",Selections!$K$6:$K$78,"WON")+COUNTIFS(Selections!$E$6:$E$78,"Double Chance 1X",Selections!$K$6:$K$78,"HALF_WON"))/((COUNTIFS(Selections!$E$6:$E$78,"Double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1X",Selections!$K$6:$K$78,"REFUNDED")))</f>
        <v>0.875</v>
      </c>
      <c r="I28" s="22">
        <f>SUMIFS(Selections!$M$6:$M$78,Selections!$E$6:$E$78,"Double Chance 1X")</f>
        <v>8</v>
      </c>
      <c r="J28" s="22">
        <f>SUMIFS(Selections!$N$6:$N$78,Selections!$E$6:$E$78,"Double Chance 1X")</f>
        <v>0.6199999999999999</v>
      </c>
      <c r="K28" s="20">
        <f>IF(SUMIFS(Selections!$M$6:$M$78,Selections!$E$6:$E$78,"Double Chance 1X")=0,"n.a.",SUMIFS(Selections!$N$6:$N$78,Selections!$E$6:$E$78,"Double Chance 1X")/SUMIFS(Selections!$M$6:$M$78,Selections!$E$6:$E$78,"Double Chance 1X"))</f>
        <v>0.07749999999999999</v>
      </c>
      <c r="L28" s="21">
        <f>IF(SUMIFS(Selections!$T$6:$T$78,Selections!$E$6:$E$78,"Double Chance 1X")=0,"n.a.",SUMIFS(Selections!$O$6:$O$78,Selections!$E$6:$E$78,"Double Chance 1X")/SUMIFS(Selections!$T$6:$T$78,Selections!$E$6:$E$78,"Double Chance 1X"))</f>
        <v>0.07791461736616206</v>
      </c>
      <c r="M28" s="20">
        <f>IF(SUMIFS(Selections!$T$6:$T$78,Selections!$E$6:$E$78,"Double Chance 1X")=0,"n.a.",SUMIFS(Selections!$S$6:$S$78,Selections!$E$6:$E$78,"Double Chance 1X")/SUMIFS(Selections!$T$6:$T$78,Selections!$E$6:$E$78,"Double Chance 1X"))</f>
        <v>0.79596299912058</v>
      </c>
      <c r="N28" s="20">
        <f>IF(SUMIFS(Selections!$T$6:$T$78,Selections!$E$6:$E$78,"Double Chance 1X")=0,"n.a.",(SUMIFS(Selections!$L$6:$L$78,Selections!$E$6:$E$78,"Double Chance 1X",Selections!$T$6:$T$78,1))/SUMIFS(Selections!$T$6:$T$78,Selections!$E$6:$E$78,"Double Chance 1X"))</f>
        <v>0.875</v>
      </c>
      <c r="O28" s="20">
        <f>IF(SUMIFS(Selections!$T$6:$T$78,Selections!$E$6:$E$78,"Double Chance 1X")=0,"n.a.",(SUMIFS(Selections!$S$6:$S$78,Selections!$E$6:$E$78,"Double Chance 1X")-(SUMIFS(Selections!$L$6:$L$78,Selections!$E$6:$E$78,"Double Chance 1X",Selections!$T$6:$T$78,1)))/SUMIFS(Selections!$T$6:$T$78,Selections!$E$6:$E$78,"Double Chance 1X"))</f>
        <v>-0.07903700087942</v>
      </c>
      <c r="P28" s="19">
        <f>SUMIFS(Selections!$T$6:$T$78,Selections!$E$6:$E$78,"Double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COUNTIFS(Selections!$E$6:$E$78,"Double Chance X2")</f>
        <v>8</v>
      </c>
      <c r="D29" s="19">
        <f>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8</v>
      </c>
      <c r="E29" s="19">
        <f>(COUNTIFS(Selections!$E$6:$E$78,"Double Chance X2",Selections!$K$6:$K$78,"WON")+COUNTIFS(Selections!$E$6:$E$78,"Double Chance X2",Selections!$K$6:$K$78,"HALF_WON"))</f>
        <v>6</v>
      </c>
      <c r="F29" s="19">
        <f>(COUNTIFS(Selections!$E$6:$E$78,"Double Chance X2",Selections!$K$6:$K$78,"LOST")+COUNTIFS(Selections!$E$6:$E$78,"Double Chance X2",Selections!$K$6:$K$78,"HALF_LOST"))</f>
        <v>2</v>
      </c>
      <c r="G29" s="19">
        <f>COUNTIFS(Selections!$E$6:$E$78,"Double Chance X2")-((COUNTIFS(Selections!$E$6:$E$78,"Double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0</v>
      </c>
      <c r="H29" s="20">
        <f>IF(((COUNTIFS(Selections!$E$6:$E$78,"Double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X2",Selections!$K$6:$K$78,"REFUNDED"))=0,"n.a.",(COUNTIFS(Selections!$E$6:$E$78,"Double Chance X2",Selections!$K$6:$K$78,"WON")+COUNTIFS(Selections!$E$6:$E$78,"Double Chance X2",Selections!$K$6:$K$78,"HALF_WON"))/((COUNTIFS(Selections!$E$6:$E$78,"Double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X2",Selections!$K$6:$K$78,"REFUNDED")))</f>
        <v>0.75</v>
      </c>
      <c r="I29" s="22">
        <f>SUMIFS(Selections!$M$6:$M$78,Selections!$E$6:$E$78,"Double Chance X2")</f>
        <v>8</v>
      </c>
      <c r="J29" s="22">
        <f>SUMIFS(Selections!$N$6:$N$78,Selections!$E$6:$E$78,"Double Chance X2")</f>
        <v>0.8999999999999995</v>
      </c>
      <c r="K29" s="20">
        <f>IF(SUMIFS(Selections!$M$6:$M$78,Selections!$E$6:$E$78,"Double Chance X2")=0,"n.a.",SUMIFS(Selections!$N$6:$N$78,Selections!$E$6:$E$78,"Double Chance X2")/SUMIFS(Selections!$M$6:$M$78,Selections!$E$6:$E$78,"Double Chance X2"))</f>
        <v>0.11249999999999993</v>
      </c>
      <c r="L29" s="21">
        <f>IF(SUMIFS(Selections!$T$6:$T$78,Selections!$E$6:$E$78,"Double Chance X2")=0,"n.a.",SUMIFS(Selections!$O$6:$O$78,Selections!$E$6:$E$78,"Double Chance X2")/SUMIFS(Selections!$T$6:$T$78,Selections!$E$6:$E$78,"Double Chance X2"))</f>
        <v>0.14280778054839663</v>
      </c>
      <c r="M29" s="20">
        <f>IF(SUMIFS(Selections!$T$6:$T$78,Selections!$E$6:$E$78,"Double Chance X2")=0,"n.a.",SUMIFS(Selections!$S$6:$S$78,Selections!$E$6:$E$78,"Double Chance X2")/SUMIFS(Selections!$T$6:$T$78,Selections!$E$6:$E$78,"Double Chance X2"))</f>
        <v>0.6766958022298177</v>
      </c>
      <c r="N29" s="20">
        <f>IF(SUMIFS(Selections!$T$6:$T$78,Selections!$E$6:$E$78,"Double Chance X2")=0,"n.a.",(SUMIFS(Selections!$L$6:$L$78,Selections!$E$6:$E$78,"Double Chance X2",Selections!$T$6:$T$78,1))/SUMIFS(Selections!$T$6:$T$78,Selections!$E$6:$E$78,"Double Chance X2"))</f>
        <v>0.75</v>
      </c>
      <c r="O29" s="20">
        <f>IF(SUMIFS(Selections!$T$6:$T$78,Selections!$E$6:$E$78,"Double Chance X2")=0,"n.a.",(SUMIFS(Selections!$S$6:$S$78,Selections!$E$6:$E$78,"Double Chance X2")-(SUMIFS(Selections!$L$6:$L$78,Selections!$E$6:$E$78,"Double Chance X2",Selections!$T$6:$T$78,1)))/SUMIFS(Selections!$T$6:$T$78,Selections!$E$6:$E$78,"Double Chance X2"))</f>
        <v>-0.07330419777018227</v>
      </c>
      <c r="P29" s="19">
        <f>SUMIFS(Selections!$T$6:$T$78,Selections!$E$6:$E$78,"Double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COUNTIFS(Selections!$E$6:$E$78,"Home win")</f>
        <v>9</v>
      </c>
      <c r="D30" s="19">
        <f>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8</v>
      </c>
      <c r="E30" s="19">
        <f>(COUNTIFS(Selections!$E$6:$E$78,"Home win",Selections!$K$6:$K$78,"WON")+COUNTIFS(Selections!$E$6:$E$78,"Home win",Selections!$K$6:$K$78,"HALF_WON"))</f>
        <v>5</v>
      </c>
      <c r="F30" s="19">
        <f>(COUNTIFS(Selections!$E$6:$E$78,"Home win",Selections!$K$6:$K$78,"LOST")+COUNTIFS(Selections!$E$6:$E$78,"Home win",Selections!$K$6:$K$78,"HALF_LOST"))</f>
        <v>3</v>
      </c>
      <c r="G30" s="19">
        <f>COUNTIFS(Selections!$E$6:$E$78,"Home win")-((COUNTIFS(Selections!$E$6:$E$78,"Home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1</v>
      </c>
      <c r="H30" s="20">
        <f>IF(((COUNTIFS(Selections!$E$6:$E$78,"Home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win",Selections!$K$6:$K$78,"REFUNDED"))=0,"n.a.",(COUNTIFS(Selections!$E$6:$E$78,"Home win",Selections!$K$6:$K$78,"WON")+COUNTIFS(Selections!$E$6:$E$78,"Home win",Selections!$K$6:$K$78,"HALF_WON"))/((COUNTIFS(Selections!$E$6:$E$78,"Home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win",Selections!$K$6:$K$78,"REFUNDED")))</f>
        <v>0.625</v>
      </c>
      <c r="I30" s="22">
        <f>SUMIFS(Selections!$M$6:$M$78,Selections!$E$6:$E$78,"Home win")</f>
        <v>8</v>
      </c>
      <c r="J30" s="22">
        <f>SUMIFS(Selections!$N$6:$N$78,Selections!$E$6:$E$78,"Home win")</f>
        <v>-0.47</v>
      </c>
      <c r="K30" s="20">
        <f>IF(SUMIFS(Selections!$M$6:$M$78,Selections!$E$6:$E$78,"Home win")=0,"n.a.",SUMIFS(Selections!$N$6:$N$78,Selections!$E$6:$E$78,"Home win")/SUMIFS(Selections!$M$6:$M$78,Selections!$E$6:$E$78,"Home win"))</f>
        <v>-0.05875</v>
      </c>
      <c r="L30" s="21">
        <f>IF(SUMIFS(Selections!$T$6:$T$78,Selections!$E$6:$E$78,"Home win")=0,"n.a.",SUMIFS(Selections!$O$6:$O$78,Selections!$E$6:$E$78,"Home win")/SUMIFS(Selections!$T$6:$T$78,Selections!$E$6:$E$78,"Home win"))</f>
        <v>0.17119356220977308</v>
      </c>
      <c r="M30" s="20">
        <f>IF(SUMIFS(Selections!$T$6:$T$78,Selections!$E$6:$E$78,"Home win")=0,"n.a.",SUMIFS(Selections!$S$6:$S$78,Selections!$E$6:$E$78,"Home win")/SUMIFS(Selections!$T$6:$T$78,Selections!$E$6:$E$78,"Home win"))</f>
        <v>0.6586625192942568</v>
      </c>
      <c r="N30" s="20">
        <f>IF(SUMIFS(Selections!$T$6:$T$78,Selections!$E$6:$E$78,"Home win")=0,"n.a.",(SUMIFS(Selections!$L$6:$L$78,Selections!$E$6:$E$78,"Home win",Selections!$T$6:$T$78,1))/SUMIFS(Selections!$T$6:$T$78,Selections!$E$6:$E$78,"Home win"))</f>
        <v>0.625</v>
      </c>
      <c r="O30" s="20">
        <f>IF(SUMIFS(Selections!$T$6:$T$78,Selections!$E$6:$E$78,"Home win")=0,"n.a.",(SUMIFS(Selections!$S$6:$S$78,Selections!$E$6:$E$78,"Home win")-(SUMIFS(Selections!$L$6:$L$78,Selections!$E$6:$E$78,"Home win",Selections!$T$6:$T$78,1)))/SUMIFS(Selections!$T$6:$T$78,Selections!$E$6:$E$78,"Home win"))</f>
        <v>0.03366251929425679</v>
      </c>
      <c r="P30" s="19">
        <f>SUMIFS(Selections!$T$6:$T$78,Selections!$E$6:$E$78,"Home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COUNTIFS(Selections!$E$6:$E$78,"Over 1.5")</f>
        <v>12</v>
      </c>
      <c r="D31" s="19">
        <f>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8</v>
      </c>
      <c r="E31" s="19">
        <f>(COUNTIFS(Selections!$E$6:$E$78,"Over 1.5",Selections!$K$6:$K$78,"WON")+COUNTIFS(Selections!$E$6:$E$78,"Over 1.5",Selections!$K$6:$K$78,"HALF_WON"))</f>
        <v>7</v>
      </c>
      <c r="F31" s="19">
        <f>(COUNTIFS(Selections!$E$6:$E$78,"Over 1.5",Selections!$K$6:$K$78,"LOST")+COUNTIFS(Selections!$E$6:$E$78,"Over 1.5",Selections!$K$6:$K$78,"HALF_LOST"))</f>
        <v>1</v>
      </c>
      <c r="G31" s="19">
        <f>COUNTIFS(Selections!$E$6:$E$78,"Over 1.5")-((COUNTIFS(Selections!$E$6:$E$78,"Over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4</v>
      </c>
      <c r="H31" s="20">
        <f>IF(((COUNTIFS(Selections!$E$6:$E$78,"Over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1.5",Selections!$K$6:$K$78,"REFUNDED"))=0,"n.a.",(COUNTIFS(Selections!$E$6:$E$78,"Over 1.5",Selections!$K$6:$K$78,"WON")+COUNTIFS(Selections!$E$6:$E$78,"Over 1.5",Selections!$K$6:$K$78,"HALF_WON"))/((COUNTIFS(Selections!$E$6:$E$78,"Over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1.5",Selections!$K$6:$K$78,"REFUNDED")))</f>
        <v>0.875</v>
      </c>
      <c r="I31" s="22">
        <f>SUMIFS(Selections!$M$6:$M$78,Selections!$E$6:$E$78,"Over 1.5")</f>
        <v>8</v>
      </c>
      <c r="J31" s="22">
        <f>SUMIFS(Selections!$N$6:$N$78,Selections!$E$6:$E$78,"Over 1.5")</f>
        <v>0.6199999999999999</v>
      </c>
      <c r="K31" s="20">
        <f>IF(SUMIFS(Selections!$M$6:$M$78,Selections!$E$6:$E$78,"Over 1.5")=0,"n.a.",SUMIFS(Selections!$N$6:$N$78,Selections!$E$6:$E$78,"Over 1.5")/SUMIFS(Selections!$M$6:$M$78,Selections!$E$6:$E$78,"Over 1.5"))</f>
        <v>0.07749999999999999</v>
      </c>
      <c r="L31" s="21">
        <f>IF(SUMIFS(Selections!$T$6:$T$78,Selections!$E$6:$E$78,"Over 1.5")=0,"n.a.",SUMIFS(Selections!$O$6:$O$78,Selections!$E$6:$E$78,"Over 1.5")/SUMIFS(Selections!$T$6:$T$78,Selections!$E$6:$E$78,"Over 1.5"))</f>
        <v>0.09729999767437307</v>
      </c>
      <c r="M31" s="20">
        <f>IF(SUMIFS(Selections!$T$6:$T$78,Selections!$E$6:$E$78,"Over 1.5")=0,"n.a.",SUMIFS(Selections!$S$6:$S$78,Selections!$E$6:$E$78,"Over 1.5")/SUMIFS(Selections!$T$6:$T$78,Selections!$E$6:$E$78,"Over 1.5"))</f>
        <v>0.8532929638063016</v>
      </c>
      <c r="N31" s="20">
        <f>IF(SUMIFS(Selections!$T$6:$T$78,Selections!$E$6:$E$78,"Over 1.5")=0,"n.a.",(SUMIFS(Selections!$L$6:$L$78,Selections!$E$6:$E$78,"Over 1.5",Selections!$T$6:$T$78,1))/SUMIFS(Selections!$T$6:$T$78,Selections!$E$6:$E$78,"Over 1.5"))</f>
        <v>0.875</v>
      </c>
      <c r="O31" s="20">
        <f>IF(SUMIFS(Selections!$T$6:$T$78,Selections!$E$6:$E$78,"Over 1.5")=0,"n.a.",(SUMIFS(Selections!$S$6:$S$78,Selections!$E$6:$E$78,"Over 1.5")-(SUMIFS(Selections!$L$6:$L$78,Selections!$E$6:$E$78,"Over 1.5",Selections!$T$6:$T$78,1)))/SUMIFS(Selections!$T$6:$T$78,Selections!$E$6:$E$78,"Over 1.5"))</f>
        <v>-0.021707036193698404</v>
      </c>
      <c r="P31" s="19">
        <f>SUMIFS(Selections!$T$6:$T$78,Selections!$E$6:$E$78,"Over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COUNTIFS(Selections!$E$6:$E$78,"Under 3.5")</f>
        <v>5</v>
      </c>
      <c r="D32" s="19">
        <f>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5</v>
      </c>
      <c r="E32" s="19">
        <f>(COUNTIFS(Selections!$E$6:$E$78,"Under 3.5",Selections!$K$6:$K$78,"WON")+COUNTIFS(Selections!$E$6:$E$78,"Under 3.5",Selections!$K$6:$K$78,"HALF_WON"))</f>
        <v>2</v>
      </c>
      <c r="F32" s="19">
        <f>(COUNTIFS(Selections!$E$6:$E$78,"Under 3.5",Selections!$K$6:$K$78,"LOST")+COUNTIFS(Selections!$E$6:$E$78,"Under 3.5",Selections!$K$6:$K$78,"HALF_LOST"))</f>
        <v>3</v>
      </c>
      <c r="G32" s="19">
        <f>COUNTIFS(Selections!$E$6:$E$78,"Under 3.5")-((COUNTIFS(Selections!$E$6:$E$78,"Under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0</v>
      </c>
      <c r="H32" s="20">
        <f>IF(((COUNTIFS(Selections!$E$6:$E$78,"Under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3.5",Selections!$K$6:$K$78,"REFUNDED"))=0,"n.a.",(COUNTIFS(Selections!$E$6:$E$78,"Under 3.5",Selections!$K$6:$K$78,"WON")+COUNTIFS(Selections!$E$6:$E$78,"Under 3.5",Selections!$K$6:$K$78,"HALF_WON"))/((COUNTIFS(Selections!$E$6:$E$78,"Under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3.5",Selections!$K$6:$K$78,"REFUNDED")))</f>
        <v>0.4</v>
      </c>
      <c r="I32" s="22">
        <f>SUMIFS(Selections!$M$6:$M$78,Selections!$E$6:$E$78,"Under 3.5")</f>
        <v>5</v>
      </c>
      <c r="J32" s="22">
        <f>SUMIFS(Selections!$N$6:$N$78,Selections!$E$6:$E$78,"Under 3.5")</f>
        <v>-2.3</v>
      </c>
      <c r="K32" s="20">
        <f>IF(SUMIFS(Selections!$M$6:$M$78,Selections!$E$6:$E$78,"Under 3.5")=0,"n.a.",SUMIFS(Selections!$N$6:$N$78,Selections!$E$6:$E$78,"Under 3.5")/SUMIFS(Selections!$M$6:$M$78,Selections!$E$6:$E$78,"Under 3.5"))</f>
        <v>-0.45999999999999996</v>
      </c>
      <c r="L32" s="21">
        <f>IF(SUMIFS(Selections!$T$6:$T$78,Selections!$E$6:$E$78,"Under 3.5")=0,"n.a.",SUMIFS(Selections!$O$6:$O$78,Selections!$E$6:$E$78,"Under 3.5")/SUMIFS(Selections!$T$6:$T$78,Selections!$E$6:$E$78,"Under 3.5"))</f>
        <v>0.4093699233539641</v>
      </c>
      <c r="M32" s="20">
        <f>IF(SUMIFS(Selections!$T$6:$T$78,Selections!$E$6:$E$78,"Under 3.5")=0,"n.a.",SUMIFS(Selections!$S$6:$S$78,Selections!$E$6:$E$78,"Under 3.5")/SUMIFS(Selections!$T$6:$T$78,Selections!$E$6:$E$78,"Under 3.5"))</f>
        <v>0.8049432015044351</v>
      </c>
      <c r="N32" s="20">
        <f>IF(SUMIFS(Selections!$T$6:$T$78,Selections!$E$6:$E$78,"Under 3.5")=0,"n.a.",(SUMIFS(Selections!$L$6:$L$78,Selections!$E$6:$E$78,"Under 3.5",Selections!$T$6:$T$78,1))/SUMIFS(Selections!$T$6:$T$78,Selections!$E$6:$E$78,"Under 3.5"))</f>
        <v>0.4</v>
      </c>
      <c r="O32" s="20">
        <f>IF(SUMIFS(Selections!$T$6:$T$78,Selections!$E$6:$E$78,"Under 3.5")=0,"n.a.",(SUMIFS(Selections!$S$6:$S$78,Selections!$E$6:$E$78,"Under 3.5")-(SUMIFS(Selections!$L$6:$L$78,Selections!$E$6:$E$78,"Under 3.5",Selections!$T$6:$T$78,1)))/SUMIFS(Selections!$T$6:$T$78,Selections!$E$6:$E$78,"Under 3.5"))</f>
        <v>0.4049432015044351</v>
      </c>
      <c r="P32" s="19">
        <f>SUMIFS(Selections!$T$6:$T$78,Selections!$E$6:$E$78,"Under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COUNTIFS(Selections!$G$6:$G$78,"48h-top-ten-probability-ev-no-under35-v14")</f>
        <v>9</v>
      </c>
      <c r="D33" s="19">
        <f>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8</v>
      </c>
      <c r="E33" s="19">
        <f>(COUNTIFS(Selections!$G$6:$G$78,"48h-top-ten-probability-ev-no-under35-v14",Selections!$K$6:$K$78,"WON")+COUNTIFS(Selections!$G$6:$G$78,"48h-top-ten-probability-ev-no-under35-v14",Selections!$K$6:$K$78,"HALF_WON"))</f>
        <v>6</v>
      </c>
      <c r="F33" s="19">
        <f>(COUNTIFS(Selections!$G$6:$G$78,"48h-top-ten-probability-ev-no-under35-v14",Selections!$K$6:$K$78,"LOST")+COUNTIFS(Selections!$G$6:$G$78,"48h-top-ten-probability-ev-no-under35-v14",Selections!$K$6:$K$78,"HALF_LOST"))</f>
        <v>2</v>
      </c>
      <c r="G33" s="19">
        <f>COUNTIFS(Selections!$G$6:$G$78,"48h-top-ten-probability-ev-no-under35-v14")-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1</v>
      </c>
      <c r="H33" s="20">
        <f>IF(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=0,"n.a.",(COUNTIFS(Selections!$G$6:$G$78,"48h-top-ten-probability-ev-no-under35-v14",Selections!$K$6:$K$78,"WON")+COUNTIFS(Selections!$G$6:$G$78,"48h-top-ten-probability-ev-no-under35-v14",Selections!$K$6:$K$78,"HALF_WON"))/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)</f>
        <v>0.75</v>
      </c>
      <c r="I33" s="22">
        <f>SUMIFS(Selections!$M$6:$M$78,Selections!$G$6:$G$78,"48h-top-ten-probability-ev-no-under35-v14")</f>
        <v>8</v>
      </c>
      <c r="J33" s="22">
        <f>SUMIFS(Selections!$N$6:$N$78,Selections!$G$6:$G$78,"48h-top-ten-probability-ev-no-under35-v14")</f>
        <v>0.04999999999999982</v>
      </c>
      <c r="K33" s="20">
        <f>IF(SUMIFS(Selections!$M$6:$M$78,Selections!$G$6:$G$78,"48h-top-ten-probability-ev-no-under35-v14")=0,"n.a.",SUMIFS(Selections!$N$6:$N$78,Selections!$G$6:$G$78,"48h-top-ten-probability-ev-no-under35-v14")/SUMIFS(Selections!$M$6:$M$78,Selections!$G$6:$G$78,"48h-top-ten-probability-ev-no-under35-v14"))</f>
        <v>0.006249999999999978</v>
      </c>
      <c r="L33" s="21">
        <f>IF(SUMIFS(Selections!$T$6:$T$78,Selections!$G$6:$G$78,"48h-top-ten-probability-ev-no-under35-v14")=0,"n.a.",SUMIFS(Selections!$O$6:$O$78,Selections!$G$6:$G$78,"48h-top-ten-probability-ev-no-under35-v14")/SUMIFS(Selections!$T$6:$T$78,Selections!$G$6:$G$78,"48h-top-ten-probability-ev-no-under35-v14"))</f>
        <v>0.17867353798981395</v>
      </c>
      <c r="M33" s="20">
        <f>IF(SUMIFS(Selections!$T$6:$T$78,Selections!$G$6:$G$78,"48h-top-ten-probability-ev-no-under35-v14")=0,"n.a.",SUMIFS(Selections!$S$6:$S$78,Selections!$G$6:$G$78,"48h-top-ten-probability-ev-no-under35-v14")/SUMIFS(Selections!$T$6:$T$78,Selections!$G$6:$G$78,"48h-top-ten-probability-ev-no-under35-v14"))</f>
        <v>0.7347857301737204</v>
      </c>
      <c r="N33" s="20">
        <f>IF(SUMIFS(Selections!$T$6:$T$78,Selections!$G$6:$G$78,"48h-top-ten-probability-ev-no-under35-v14")=0,"n.a.",(SUMIFS(Selections!$L$6:$L$78,Selections!$G$6:$G$78,"48h-top-ten-probability-ev-no-under35-v14",Selections!$T$6:$T$78,1))/SUMIFS(Selections!$T$6:$T$78,Selections!$G$6:$G$78,"48h-top-ten-probability-ev-no-under35-v14"))</f>
        <v>0.75</v>
      </c>
      <c r="O33" s="20">
        <f>IF(SUMIFS(Selections!$T$6:$T$78,Selections!$G$6:$G$78,"48h-top-ten-probability-ev-no-under35-v14")=0,"n.a.",(SUMIFS(Selections!$S$6:$S$78,Selections!$G$6:$G$78,"48h-top-ten-probability-ev-no-under35-v14")-(SUMIFS(Selections!$L$6:$L$78,Selections!$G$6:$G$78,"48h-top-ten-probability-ev-no-under35-v14",Selections!$T$6:$T$78,1)))/SUMIFS(Selections!$T$6:$T$78,Selections!$G$6:$G$78,"48h-top-ten-probability-ev-no-under35-v14"))</f>
        <v>-0.015214269826279603</v>
      </c>
      <c r="P33" s="19">
        <f>SUMIFS(Selections!$T$6:$T$78,Selections!$G$6:$G$78,"48h-top-ten-probability-ev-no-under35-v14")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COUNTIFS(Selections!$G$6:$G$78,"48h-top-twelve-probability-ev-no-under35-v15")</f>
        <v>12</v>
      </c>
      <c r="D34" s="19">
        <f>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11</v>
      </c>
      <c r="E34" s="19">
        <f>(COUNTIFS(Selections!$G$6:$G$78,"48h-top-twelve-probability-ev-no-under35-v15",Selections!$K$6:$K$78,"WON")+COUNTIFS(Selections!$G$6:$G$78,"48h-top-twelve-probability-ev-no-under35-v15",Selections!$K$6:$K$78,"HALF_WON"))</f>
        <v>7</v>
      </c>
      <c r="F34" s="19">
        <f>(COUNTIFS(Selections!$G$6:$G$78,"48h-top-twelve-probability-ev-no-under35-v15",Selections!$K$6:$K$78,"LOST")+COUNTIFS(Selections!$G$6:$G$78,"48h-top-twelve-probability-ev-no-under35-v15",Selections!$K$6:$K$78,"HALF_LOST"))</f>
        <v>4</v>
      </c>
      <c r="G34" s="19">
        <f>COUNTIFS(Selections!$G$6:$G$78,"48h-top-twelve-probability-ev-no-under35-v15")-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</v>
      </c>
      <c r="H34" s="20">
        <f>IF(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=0,"n.a.",(COUNTIFS(Selections!$G$6:$G$78,"48h-top-twelve-probability-ev-no-under35-v15",Selections!$K$6:$K$78,"WON")+COUNTIFS(Selections!$G$6:$G$78,"48h-top-twelve-probability-ev-no-under35-v15",Selections!$K$6:$K$78,"HALF_WON"))/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)</f>
        <v>0.6363636363636364</v>
      </c>
      <c r="I34" s="22">
        <f>SUMIFS(Selections!$M$6:$M$78,Selections!$G$6:$G$78,"48h-top-twelve-probability-ev-no-under35-v15")</f>
        <v>11</v>
      </c>
      <c r="J34" s="22">
        <f>SUMIFS(Selections!$N$6:$N$78,Selections!$G$6:$G$78,"48h-top-twelve-probability-ev-no-under35-v15")</f>
        <v>-1.3800000000000003</v>
      </c>
      <c r="K34" s="20">
        <f>IF(SUMIFS(Selections!$M$6:$M$78,Selections!$G$6:$G$78,"48h-top-twelve-probability-ev-no-under35-v15")=0,"n.a.",SUMIFS(Selections!$N$6:$N$78,Selections!$G$6:$G$78,"48h-top-twelve-probability-ev-no-under35-v15")/SUMIFS(Selections!$M$6:$M$78,Selections!$G$6:$G$78,"48h-top-twelve-probability-ev-no-under35-v15"))</f>
        <v>-0.12545454545454549</v>
      </c>
      <c r="L34" s="21">
        <f>IF(SUMIFS(Selections!$T$6:$T$78,Selections!$G$6:$G$78,"48h-top-twelve-probability-ev-no-under35-v15")=0,"n.a.",SUMIFS(Selections!$O$6:$O$78,Selections!$G$6:$G$78,"48h-top-twelve-probability-ev-no-under35-v15")/SUMIFS(Selections!$T$6:$T$78,Selections!$G$6:$G$78,"48h-top-twelve-probability-ev-no-under35-v15"))</f>
        <v>0.19421744781096573</v>
      </c>
      <c r="M34" s="20">
        <f>IF(SUMIFS(Selections!$T$6:$T$78,Selections!$G$6:$G$78,"48h-top-twelve-probability-ev-no-under35-v15")=0,"n.a.",SUMIFS(Selections!$S$6:$S$78,Selections!$G$6:$G$78,"48h-top-twelve-probability-ev-no-under35-v15")/SUMIFS(Selections!$T$6:$T$78,Selections!$G$6:$G$78,"48h-top-twelve-probability-ev-no-under35-v15"))</f>
        <v>0.7256811914176179</v>
      </c>
      <c r="N34" s="20">
        <f>IF(SUMIFS(Selections!$T$6:$T$78,Selections!$G$6:$G$78,"48h-top-twelve-probability-ev-no-under35-v15")=0,"n.a.",(SUMIFS(Selections!$L$6:$L$78,Selections!$G$6:$G$78,"48h-top-twelve-probability-ev-no-under35-v15",Selections!$T$6:$T$78,1))/SUMIFS(Selections!$T$6:$T$78,Selections!$G$6:$G$78,"48h-top-twelve-probability-ev-no-under35-v15"))</f>
        <v>0.6363636363636364</v>
      </c>
      <c r="O34" s="20">
        <f>IF(SUMIFS(Selections!$T$6:$T$78,Selections!$G$6:$G$78,"48h-top-twelve-probability-ev-no-under35-v15")=0,"n.a.",(SUMIFS(Selections!$S$6:$S$78,Selections!$G$6:$G$78,"48h-top-twelve-probability-ev-no-under35-v15")-(SUMIFS(Selections!$L$6:$L$78,Selections!$G$6:$G$78,"48h-top-twelve-probability-ev-no-under35-v15",Selections!$T$6:$T$78,1)))/SUMIFS(Selections!$T$6:$T$78,Selections!$G$6:$G$78,"48h-top-twelve-probability-ev-no-under35-v15"))</f>
        <v>0.08931755505398153</v>
      </c>
      <c r="P34" s="19">
        <f>SUMIFS(Selections!$T$6:$T$78,Selections!$G$6:$G$78,"48h-top-twelve-probability-ev-no-under35-v15")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COUNTIFS(Selections!$G$6:$G$78,"48h-top-twelve-profitable-win-probability-v23")</f>
        <v>1</v>
      </c>
      <c r="D35" s="19">
        <f>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0</v>
      </c>
      <c r="E35" s="19">
        <f>(COUNTIFS(Selections!$G$6:$G$78,"48h-top-twelve-profitable-win-probability-v23",Selections!$K$6:$K$78,"WON")+COUNTIFS(Selections!$G$6:$G$78,"48h-top-twelve-profitable-win-probability-v23",Selections!$K$6:$K$78,"HALF_WON"))</f>
        <v>0</v>
      </c>
      <c r="F35" s="19">
        <f>(COUNTIFS(Selections!$G$6:$G$78,"48h-top-twelve-profitable-win-probability-v23",Selections!$K$6:$K$78,"LOST")+COUNTIFS(Selections!$G$6:$G$78,"48h-top-twelve-profitable-win-probability-v23",Selections!$K$6:$K$78,"HALF_LOST"))</f>
        <v>0</v>
      </c>
      <c r="G35" s="19">
        <f>COUNTIFS(Selections!$G$6:$G$78,"48h-top-twelve-profitable-win-probability-v23")-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1</v>
      </c>
      <c r="H35" s="20" t="str">
        <f>IF(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=0,"n.a.",(COUNTIFS(Selections!$G$6:$G$78,"48h-top-twelve-profitable-win-probability-v23",Selections!$K$6:$K$78,"WON")+COUNTIFS(Selections!$G$6:$G$78,"48h-top-twelve-profitable-win-probability-v23",Selections!$K$6:$K$78,"HALF_WON"))/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)</f>
        <v>n.a.</v>
      </c>
      <c r="I35" s="22">
        <f>SUMIFS(Selections!$M$6:$M$78,Selections!$G$6:$G$78,"48h-top-twelve-profitable-win-probability-v23")</f>
        <v>0</v>
      </c>
      <c r="J35" s="22">
        <f>SUMIFS(Selections!$N$6:$N$78,Selections!$G$6:$G$78,"48h-top-twelve-profitable-win-probability-v23")</f>
        <v>0</v>
      </c>
      <c r="K35" s="20" t="str">
        <f>IF(SUMIFS(Selections!$M$6:$M$78,Selections!$G$6:$G$78,"48h-top-twelve-profitable-win-probability-v23")=0,"n.a.",SUMIFS(Selections!$N$6:$N$78,Selections!$G$6:$G$78,"48h-top-twelve-profitable-win-probability-v23")/SUMIFS(Selections!$M$6:$M$78,Selections!$G$6:$G$78,"48h-top-twelve-profitable-win-probability-v23"))</f>
        <v>n.a.</v>
      </c>
      <c r="L35" s="21" t="str">
        <f>IF(SUMIFS(Selections!$T$6:$T$78,Selections!$G$6:$G$78,"48h-top-twelve-profitable-win-probability-v23")=0,"n.a.",SUMIFS(Selections!$O$6:$O$78,Selections!$G$6:$G$78,"48h-top-twelve-profitable-win-probability-v23")/SUMIFS(Selections!$T$6:$T$78,Selections!$G$6:$G$78,"48h-top-twelve-profitable-win-probability-v23"))</f>
        <v>n.a.</v>
      </c>
      <c r="M35" s="20" t="str">
        <f>IF(SUMIFS(Selections!$T$6:$T$78,Selections!$G$6:$G$78,"48h-top-twelve-profitable-win-probability-v23")=0,"n.a.",SUMIFS(Selections!$S$6:$S$78,Selections!$G$6:$G$78,"48h-top-twelve-profitable-win-probability-v23")/SUMIFS(Selections!$T$6:$T$78,Selections!$G$6:$G$78,"48h-top-twelve-profitable-win-probability-v23"))</f>
        <v>n.a.</v>
      </c>
      <c r="N35" s="20" t="str">
        <f>IF(SUMIFS(Selections!$T$6:$T$78,Selections!$G$6:$G$78,"48h-top-twelve-profitable-win-probability-v23")=0,"n.a.",(SUMIFS(Selections!$L$6:$L$78,Selections!$G$6:$G$78,"48h-top-twelve-profitable-win-probability-v23",Selections!$T$6:$T$78,1))/SUMIFS(Selections!$T$6:$T$78,Selections!$G$6:$G$78,"48h-top-twelve-profitable-win-probability-v23"))</f>
        <v>n.a.</v>
      </c>
      <c r="O35" s="20" t="str">
        <f>IF(SUMIFS(Selections!$T$6:$T$78,Selections!$G$6:$G$78,"48h-top-twelve-profitable-win-probability-v23")=0,"n.a.",(SUMIFS(Selections!$S$6:$S$78,Selections!$G$6:$G$78,"48h-top-twelve-profitable-win-probability-v23")-(SUMIFS(Selections!$L$6:$L$78,Selections!$G$6:$G$78,"48h-top-twelve-profitable-win-probability-v23",Selections!$T$6:$T$78,1)))/SUMIFS(Selections!$T$6:$T$78,Selections!$G$6:$G$78,"48h-top-twelve-profitable-win-probability-v23"))</f>
        <v>n.a.</v>
      </c>
      <c r="P35" s="19">
        <f>SUMIFS(Selections!$T$6:$T$78,Selections!$G$6:$G$78,"48h-top-twelve-profitable-win-probability-v23")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COUNTIFS(Selections!$G$6:$G$78,"48h-two-per-market-group-probability-ev-corners-cards-v25")</f>
        <v>16</v>
      </c>
      <c r="D36" s="19">
        <f>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12</v>
      </c>
      <c r="E36" s="19">
        <f>(COUNTIFS(Selections!$G$6:$G$78,"48h-two-per-market-group-probability-ev-corners-cards-v25",Selections!$K$6:$K$78,"WON")+COUNTIFS(Selections!$G$6:$G$78,"48h-two-per-market-group-probability-ev-corners-cards-v25",Selections!$K$6:$K$78,"HALF_WON"))</f>
        <v>9</v>
      </c>
      <c r="F36" s="19">
        <f>(COUNTIFS(Selections!$G$6:$G$78,"48h-two-per-market-group-probability-ev-corners-cards-v25",Selections!$K$6:$K$78,"LOST")+COUNTIFS(Selections!$G$6:$G$78,"48h-two-per-market-group-probability-ev-corners-cards-v25",Selections!$K$6:$K$78,"HALF_LOST"))</f>
        <v>3</v>
      </c>
      <c r="G36" s="19">
        <f>COUNTIFS(Selections!$G$6:$G$78,"48h-two-per-market-group-probability-ev-corners-cards-v25")-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4</v>
      </c>
      <c r="H36" s="20">
        <f>IF(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=0,"n.a.",(COUNTIFS(Selections!$G$6:$G$78,"48h-two-per-market-group-probability-ev-corners-cards-v25",Selections!$K$6:$K$78,"WON")+COUNTIFS(Selections!$G$6:$G$78,"48h-two-per-market-group-probability-ev-corners-cards-v25",Selections!$K$6:$K$78,"HALF_WON"))/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)</f>
        <v>0.75</v>
      </c>
      <c r="I36" s="22">
        <f>SUMIFS(Selections!$M$6:$M$78,Selections!$G$6:$G$78,"48h-two-per-market-group-probability-ev-corners-cards-v25")</f>
        <v>12</v>
      </c>
      <c r="J36" s="22">
        <f>SUMIFS(Selections!$N$6:$N$78,Selections!$G$6:$G$78,"48h-two-per-market-group-probability-ev-corners-cards-v25")</f>
        <v>0.45999999999999974</v>
      </c>
      <c r="K36" s="20">
        <f>IF(SUMIFS(Selections!$M$6:$M$78,Selections!$G$6:$G$78,"48h-two-per-market-group-probability-ev-corners-cards-v25")=0,"n.a.",SUMIFS(Selections!$N$6:$N$78,Selections!$G$6:$G$78,"48h-two-per-market-group-probability-ev-corners-cards-v25")/SUMIFS(Selections!$M$6:$M$78,Selections!$G$6:$G$78,"48h-two-per-market-group-probability-ev-corners-cards-v25"))</f>
        <v>0.03833333333333331</v>
      </c>
      <c r="L36" s="21">
        <f>IF(SUMIFS(Selections!$T$6:$T$78,Selections!$G$6:$G$78,"48h-two-per-market-group-probability-ev-corners-cards-v25")=0,"n.a.",SUMIFS(Selections!$O$6:$O$78,Selections!$G$6:$G$78,"48h-two-per-market-group-probability-ev-corners-cards-v25")/SUMIFS(Selections!$T$6:$T$78,Selections!$G$6:$G$78,"48h-two-per-market-group-probability-ev-corners-cards-v25"))</f>
        <v>0.13045944850654306</v>
      </c>
      <c r="M36" s="20">
        <f>IF(SUMIFS(Selections!$T$6:$T$78,Selections!$G$6:$G$78,"48h-two-per-market-group-probability-ev-corners-cards-v25")=0,"n.a.",SUMIFS(Selections!$S$6:$S$78,Selections!$G$6:$G$78,"48h-two-per-market-group-probability-ev-corners-cards-v25")/SUMIFS(Selections!$T$6:$T$78,Selections!$G$6:$G$78,"48h-two-per-market-group-probability-ev-corners-cards-v25"))</f>
        <v>0.7093136666437047</v>
      </c>
      <c r="N36" s="20">
        <f>IF(SUMIFS(Selections!$T$6:$T$78,Selections!$G$6:$G$78,"48h-two-per-market-group-probability-ev-corners-cards-v25")=0,"n.a.",(SUMIFS(Selections!$L$6:$L$78,Selections!$G$6:$G$78,"48h-two-per-market-group-probability-ev-corners-cards-v25",Selections!$T$6:$T$78,1))/SUMIFS(Selections!$T$6:$T$78,Selections!$G$6:$G$78,"48h-two-per-market-group-probability-ev-corners-cards-v25"))</f>
        <v>0.75</v>
      </c>
      <c r="O36" s="20">
        <f>IF(SUMIFS(Selections!$T$6:$T$78,Selections!$G$6:$G$78,"48h-two-per-market-group-probability-ev-corners-cards-v25")=0,"n.a.",(SUMIFS(Selections!$S$6:$S$78,Selections!$G$6:$G$78,"48h-two-per-market-group-probability-ev-corners-cards-v25")-(SUMIFS(Selections!$L$6:$L$78,Selections!$G$6:$G$78,"48h-two-per-market-group-probability-ev-corners-cards-v25",Selections!$T$6:$T$78,1)))/SUMIFS(Selections!$T$6:$T$78,Selections!$G$6:$G$78,"48h-two-per-market-group-probability-ev-corners-cards-v25"))</f>
        <v>-0.040686333356295346</v>
      </c>
      <c r="P36" s="19">
        <f>SUMIFS(Selections!$T$6:$T$78,Selections!$G$6:$G$78,"48h-two-per-market-group-probability-ev-corners-cards-v25")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COUNTIFS(Selections!$G$6:$G$78,"48h-two-per-market-group-probability-ev-v24")</f>
        <v>4</v>
      </c>
      <c r="D37" s="19">
        <f>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3</v>
      </c>
      <c r="E37" s="19">
        <f>(COUNTIFS(Selections!$G$6:$G$78,"48h-two-per-market-group-probability-ev-v24",Selections!$K$6:$K$78,"WON")+COUNTIFS(Selections!$G$6:$G$78,"48h-two-per-market-group-probability-ev-v24",Selections!$K$6:$K$78,"HALF_WON"))</f>
        <v>2</v>
      </c>
      <c r="F37" s="19">
        <f>(COUNTIFS(Selections!$G$6:$G$78,"48h-two-per-market-group-probability-ev-v24",Selections!$K$6:$K$78,"LOST")+COUNTIFS(Selections!$G$6:$G$78,"48h-two-per-market-group-probability-ev-v24",Selections!$K$6:$K$78,"HALF_LOST"))</f>
        <v>1</v>
      </c>
      <c r="G37" s="19">
        <f>COUNTIFS(Selections!$G$6:$G$78,"48h-two-per-market-group-probability-ev-v24")-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1</v>
      </c>
      <c r="H37" s="20">
        <f>IF(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=0,"n.a.",(COUNTIFS(Selections!$G$6:$G$78,"48h-two-per-market-group-probability-ev-v24",Selections!$K$6:$K$78,"WON")+COUNTIFS(Selections!$G$6:$G$78,"48h-two-per-market-group-probability-ev-v24",Selections!$K$6:$K$78,"HALF_WON"))/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)</f>
        <v>0.6666666666666666</v>
      </c>
      <c r="I37" s="22">
        <f>SUMIFS(Selections!$M$6:$M$78,Selections!$G$6:$G$78,"48h-two-per-market-group-probability-ev-v24")</f>
        <v>3</v>
      </c>
      <c r="J37" s="22">
        <f>SUMIFS(Selections!$N$6:$N$78,Selections!$G$6:$G$78,"48h-two-per-market-group-probability-ev-v24")</f>
        <v>0.6200000000000001</v>
      </c>
      <c r="K37" s="20">
        <f>IF(SUMIFS(Selections!$M$6:$M$78,Selections!$G$6:$G$78,"48h-two-per-market-group-probability-ev-v24")=0,"n.a.",SUMIFS(Selections!$N$6:$N$78,Selections!$G$6:$G$78,"48h-two-per-market-group-probability-ev-v24")/SUMIFS(Selections!$M$6:$M$78,Selections!$G$6:$G$78,"48h-two-per-market-group-probability-ev-v24"))</f>
        <v>0.2066666666666667</v>
      </c>
      <c r="L37" s="21">
        <f>IF(SUMIFS(Selections!$T$6:$T$78,Selections!$G$6:$G$78,"48h-two-per-market-group-probability-ev-v24")=0,"n.a.",SUMIFS(Selections!$O$6:$O$78,Selections!$G$6:$G$78,"48h-two-per-market-group-probability-ev-v24")/SUMIFS(Selections!$T$6:$T$78,Selections!$G$6:$G$78,"48h-two-per-market-group-probability-ev-v24"))</f>
        <v>0.23207082865311845</v>
      </c>
      <c r="M37" s="20">
        <f>IF(SUMIFS(Selections!$T$6:$T$78,Selections!$G$6:$G$78,"48h-two-per-market-group-probability-ev-v24")=0,"n.a.",SUMIFS(Selections!$S$6:$S$78,Selections!$G$6:$G$78,"48h-two-per-market-group-probability-ev-v24")/SUMIFS(Selections!$T$6:$T$78,Selections!$G$6:$G$78,"48h-two-per-market-group-probability-ev-v24"))</f>
        <v>0.5372089614736306</v>
      </c>
      <c r="N37" s="20">
        <f>IF(SUMIFS(Selections!$T$6:$T$78,Selections!$G$6:$G$78,"48h-two-per-market-group-probability-ev-v24")=0,"n.a.",(SUMIFS(Selections!$L$6:$L$78,Selections!$G$6:$G$78,"48h-two-per-market-group-probability-ev-v24",Selections!$T$6:$T$78,1))/SUMIFS(Selections!$T$6:$T$78,Selections!$G$6:$G$78,"48h-two-per-market-group-probability-ev-v24"))</f>
        <v>0.6666666666666666</v>
      </c>
      <c r="O37" s="20">
        <f>IF(SUMIFS(Selections!$T$6:$T$78,Selections!$G$6:$G$78,"48h-two-per-market-group-probability-ev-v24")=0,"n.a.",(SUMIFS(Selections!$S$6:$S$78,Selections!$G$6:$G$78,"48h-two-per-market-group-probability-ev-v24")-(SUMIFS(Selections!$L$6:$L$78,Selections!$G$6:$G$78,"48h-two-per-market-group-probability-ev-v24",Selections!$T$6:$T$78,1)))/SUMIFS(Selections!$T$6:$T$78,Selections!$G$6:$G$78,"48h-two-per-market-group-probability-ev-v24"))</f>
        <v>-0.129457705193036</v>
      </c>
      <c r="P37" s="19">
        <f>SUMIFS(Selections!$T$6:$T$78,Selections!$G$6:$G$78,"48h-two-per-market-group-probability-ev-v24")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COUNTIFS(Selections!$G$6:$G$78,"48h-zero-tolerance-ev05-no-loss75-corners-v26")</f>
        <v>2</v>
      </c>
      <c r="D38" s="19">
        <f>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0</v>
      </c>
      <c r="E38" s="19">
        <f>(COUNTIFS(Selections!$G$6:$G$78,"48h-zero-tolerance-ev05-no-loss75-corners-v26",Selections!$K$6:$K$78,"WON")+COUNTIFS(Selections!$G$6:$G$78,"48h-zero-tolerance-ev05-no-loss75-corners-v26",Selections!$K$6:$K$78,"HALF_WON"))</f>
        <v>0</v>
      </c>
      <c r="F38" s="19">
        <f>(COUNTIFS(Selections!$G$6:$G$78,"48h-zero-tolerance-ev05-no-loss75-corners-v26",Selections!$K$6:$K$78,"LOST")+COUNTIFS(Selections!$G$6:$G$78,"48h-zero-tolerance-ev05-no-loss75-corners-v26",Selections!$K$6:$K$78,"HALF_LOST"))</f>
        <v>0</v>
      </c>
      <c r="G38" s="19">
        <f>COUNTIFS(Selections!$G$6:$G$78,"48h-zero-tolerance-ev05-no-loss75-corners-v26")-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2</v>
      </c>
      <c r="H38" s="20" t="str">
        <f>IF(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=0,"n.a.",(COUNTIFS(Selections!$G$6:$G$78,"48h-zero-tolerance-ev05-no-loss75-corners-v26",Selections!$K$6:$K$78,"WON")+COUNTIFS(Selections!$G$6:$G$78,"48h-zero-tolerance-ev05-no-loss75-corners-v26",Selections!$K$6:$K$78,"HALF_WON"))/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)</f>
        <v>n.a.</v>
      </c>
      <c r="I38" s="22">
        <f>SUMIFS(Selections!$M$6:$M$78,Selections!$G$6:$G$78,"48h-zero-tolerance-ev05-no-loss75-corners-v26")</f>
        <v>0</v>
      </c>
      <c r="J38" s="22">
        <f>SUMIFS(Selections!$N$6:$N$78,Selections!$G$6:$G$78,"48h-zero-tolerance-ev05-no-loss75-corners-v26")</f>
        <v>0</v>
      </c>
      <c r="K38" s="20" t="str">
        <f>IF(SUMIFS(Selections!$M$6:$M$78,Selections!$G$6:$G$78,"48h-zero-tolerance-ev05-no-loss75-corners-v26")=0,"n.a.",SUMIFS(Selections!$N$6:$N$78,Selections!$G$6:$G$78,"48h-zero-tolerance-ev05-no-loss75-corners-v26")/SUMIFS(Selections!$M$6:$M$78,Selections!$G$6:$G$78,"48h-zero-tolerance-ev05-no-loss75-corners-v26"))</f>
        <v>n.a.</v>
      </c>
      <c r="L38" s="21" t="str">
        <f>IF(SUMIFS(Selections!$T$6:$T$78,Selections!$G$6:$G$78,"48h-zero-tolerance-ev05-no-loss75-corners-v26")=0,"n.a.",SUMIFS(Selections!$O$6:$O$78,Selections!$G$6:$G$78,"48h-zero-tolerance-ev05-no-loss75-corners-v26")/SUMIFS(Selections!$T$6:$T$78,Selections!$G$6:$G$78,"48h-zero-tolerance-ev05-no-loss75-corners-v26"))</f>
        <v>n.a.</v>
      </c>
      <c r="M38" s="20" t="str">
        <f>IF(SUMIFS(Selections!$T$6:$T$78,Selections!$G$6:$G$78,"48h-zero-tolerance-ev05-no-loss75-corners-v26")=0,"n.a.",SUMIFS(Selections!$S$6:$S$78,Selections!$G$6:$G$78,"48h-zero-tolerance-ev05-no-loss75-corners-v26")/SUMIFS(Selections!$T$6:$T$78,Selections!$G$6:$G$78,"48h-zero-tolerance-ev05-no-loss75-corners-v26"))</f>
        <v>n.a.</v>
      </c>
      <c r="N38" s="20" t="str">
        <f>IF(SUMIFS(Selections!$T$6:$T$78,Selections!$G$6:$G$78,"48h-zero-tolerance-ev05-no-loss75-corners-v26")=0,"n.a.",(SUMIFS(Selections!$L$6:$L$78,Selections!$G$6:$G$78,"48h-zero-tolerance-ev05-no-loss75-corners-v26",Selections!$T$6:$T$78,1))/SUMIFS(Selections!$T$6:$T$78,Selections!$G$6:$G$78,"48h-zero-tolerance-ev05-no-loss75-corners-v26"))</f>
        <v>n.a.</v>
      </c>
      <c r="O38" s="20" t="str">
        <f>IF(SUMIFS(Selections!$T$6:$T$78,Selections!$G$6:$G$78,"48h-zero-tolerance-ev05-no-loss75-corners-v26")=0,"n.a.",(SUMIFS(Selections!$S$6:$S$78,Selections!$G$6:$G$78,"48h-zero-tolerance-ev05-no-loss75-corners-v26")-(SUMIFS(Selections!$L$6:$L$78,Selections!$G$6:$G$78,"48h-zero-tolerance-ev05-no-loss75-corners-v26",Selections!$T$6:$T$78,1)))/SUMIFS(Selections!$T$6:$T$78,Selections!$G$6:$G$78,"48h-zero-tolerance-ev05-no-loss75-corners-v26"))</f>
        <v>n.a.</v>
      </c>
      <c r="P38" s="19">
        <f>SUMIFS(Selections!$T$6:$T$78,Selections!$G$6:$G$78,"48h-zero-tolerance-ev05-no-loss75-corners-v26")</f>
        <v>0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(n=0).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COUNTIFS(Selections!$G$6:$G$78,"48h-zero-tolerance-ev1-common-no-loss75-v22")</f>
        <v>8</v>
      </c>
      <c r="D39" s="19">
        <f>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7</v>
      </c>
      <c r="E39" s="19">
        <f>(COUNTIFS(Selections!$G$6:$G$78,"48h-zero-tolerance-ev1-common-no-loss75-v22",Selections!$K$6:$K$78,"WON")+COUNTIFS(Selections!$G$6:$G$78,"48h-zero-tolerance-ev1-common-no-loss75-v22",Selections!$K$6:$K$78,"HALF_WON"))</f>
        <v>7</v>
      </c>
      <c r="F39" s="19">
        <f>(COUNTIFS(Selections!$G$6:$G$78,"48h-zero-tolerance-ev1-common-no-loss75-v22",Selections!$K$6:$K$78,"LOST")+COUNTIFS(Selections!$G$6:$G$78,"48h-zero-tolerance-ev1-common-no-loss75-v22",Selections!$K$6:$K$78,"HALF_LOST"))</f>
        <v>0</v>
      </c>
      <c r="G39" s="19">
        <f>COUNTIFS(Selections!$G$6:$G$78,"48h-zero-tolerance-ev1-common-no-loss75-v22")-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1</v>
      </c>
      <c r="H39" s="20">
        <f>IF(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=0,"n.a.",(COUNTIFS(Selections!$G$6:$G$78,"48h-zero-tolerance-ev1-common-no-loss75-v22",Selections!$K$6:$K$78,"WON")+COUNTIFS(Selections!$G$6:$G$78,"48h-zero-tolerance-ev1-common-no-loss75-v22",Selections!$K$6:$K$78,"HALF_WON"))/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)</f>
        <v>1.0</v>
      </c>
      <c r="I39" s="22">
        <f>SUMIFS(Selections!$M$6:$M$78,Selections!$G$6:$G$78,"48h-zero-tolerance-ev1-common-no-loss75-v22")</f>
        <v>7</v>
      </c>
      <c r="J39" s="22">
        <f>SUMIFS(Selections!$N$6:$N$78,Selections!$G$6:$G$78,"48h-zero-tolerance-ev1-common-no-loss75-v22")</f>
        <v>2.37</v>
      </c>
      <c r="K39" s="20">
        <f>IF(SUMIFS(Selections!$M$6:$M$78,Selections!$G$6:$G$78,"48h-zero-tolerance-ev1-common-no-loss75-v22")=0,"n.a.",SUMIFS(Selections!$N$6:$N$78,Selections!$G$6:$G$78,"48h-zero-tolerance-ev1-common-no-loss75-v22")/SUMIFS(Selections!$M$6:$M$78,Selections!$G$6:$G$78,"48h-zero-tolerance-ev1-common-no-loss75-v22"))</f>
        <v>0.3385714285714286</v>
      </c>
      <c r="L39" s="21">
        <f>IF(SUMIFS(Selections!$T$6:$T$78,Selections!$G$6:$G$78,"48h-zero-tolerance-ev1-common-no-loss75-v22")=0,"n.a.",SUMIFS(Selections!$O$6:$O$78,Selections!$G$6:$G$78,"48h-zero-tolerance-ev1-common-no-loss75-v22")/SUMIFS(Selections!$T$6:$T$78,Selections!$G$6:$G$78,"48h-zero-tolerance-ev1-common-no-loss75-v22"))</f>
        <v>0.029217671084275306</v>
      </c>
      <c r="M39" s="20">
        <f>IF(SUMIFS(Selections!$T$6:$T$78,Selections!$G$6:$G$78,"48h-zero-tolerance-ev1-common-no-loss75-v22")=0,"n.a.",SUMIFS(Selections!$S$6:$S$78,Selections!$G$6:$G$78,"48h-zero-tolerance-ev1-common-no-loss75-v22")/SUMIFS(Selections!$T$6:$T$78,Selections!$G$6:$G$78,"48h-zero-tolerance-ev1-common-no-loss75-v22"))</f>
        <v>0.8361780388006138</v>
      </c>
      <c r="N39" s="20">
        <f>IF(SUMIFS(Selections!$T$6:$T$78,Selections!$G$6:$G$78,"48h-zero-tolerance-ev1-common-no-loss75-v22")=0,"n.a.",(SUMIFS(Selections!$L$6:$L$78,Selections!$G$6:$G$78,"48h-zero-tolerance-ev1-common-no-loss75-v22",Selections!$T$6:$T$78,1))/SUMIFS(Selections!$T$6:$T$78,Selections!$G$6:$G$78,"48h-zero-tolerance-ev1-common-no-loss75-v22"))</f>
        <v>1.0</v>
      </c>
      <c r="O39" s="20">
        <f>IF(SUMIFS(Selections!$T$6:$T$78,Selections!$G$6:$G$78,"48h-zero-tolerance-ev1-common-no-loss75-v22")=0,"n.a.",(SUMIFS(Selections!$S$6:$S$78,Selections!$G$6:$G$78,"48h-zero-tolerance-ev1-common-no-loss75-v22")-(SUMIFS(Selections!$L$6:$L$78,Selections!$G$6:$G$78,"48h-zero-tolerance-ev1-common-no-loss75-v22",Selections!$T$6:$T$78,1)))/SUMIFS(Selections!$T$6:$T$78,Selections!$G$6:$G$78,"48h-zero-tolerance-ev1-common-no-loss75-v22"))</f>
        <v>-0.1638219611993862</v>
      </c>
      <c r="P39" s="19">
        <f>SUMIFS(Selections!$T$6:$T$78,Selections!$G$6:$G$78,"48h-zero-tolerance-ev1-common-no-loss75-v22")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COUNTIFS(Selections!$G$6:$G$78,"72h-all-markets-ev15-one-book-v6")</f>
        <v>1</v>
      </c>
      <c r="D40" s="19">
        <f>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1</v>
      </c>
      <c r="E40" s="19">
        <f>(COUNTIFS(Selections!$G$6:$G$78,"72h-all-markets-ev15-one-book-v6",Selections!$K$6:$K$78,"WON")+COUNTIFS(Selections!$G$6:$G$78,"72h-all-markets-ev15-one-book-v6",Selections!$K$6:$K$78,"HALF_WON"))</f>
        <v>1</v>
      </c>
      <c r="F40" s="19">
        <f>(COUNTIFS(Selections!$G$6:$G$78,"72h-all-markets-ev15-one-book-v6",Selections!$K$6:$K$78,"LOST")+COUNTIFS(Selections!$G$6:$G$78,"72h-all-markets-ev15-one-book-v6",Selections!$K$6:$K$78,"HALF_LOST"))</f>
        <v>0</v>
      </c>
      <c r="G40" s="19">
        <f>COUNTIFS(Selections!$G$6:$G$78,"72h-all-markets-ev15-one-book-v6")-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0</v>
      </c>
      <c r="H40" s="20">
        <f>IF(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=0,"n.a.",(COUNTIFS(Selections!$G$6:$G$78,"72h-all-markets-ev15-one-book-v6",Selections!$K$6:$K$78,"WON")+COUNTIFS(Selections!$G$6:$G$78,"72h-all-markets-ev15-one-book-v6",Selections!$K$6:$K$78,"HALF_WON"))/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)</f>
        <v>1.0</v>
      </c>
      <c r="I40" s="22">
        <f>SUMIFS(Selections!$M$6:$M$78,Selections!$G$6:$G$78,"72h-all-markets-ev15-one-book-v6")</f>
        <v>1</v>
      </c>
      <c r="J40" s="22">
        <f>SUMIFS(Selections!$N$6:$N$78,Selections!$G$6:$G$78,"72h-all-markets-ev15-one-book-v6")</f>
        <v>0.44999999999999996</v>
      </c>
      <c r="K40" s="20">
        <f>IF(SUMIFS(Selections!$M$6:$M$78,Selections!$G$6:$G$78,"72h-all-markets-ev15-one-book-v6")=0,"n.a.",SUMIFS(Selections!$N$6:$N$78,Selections!$G$6:$G$78,"72h-all-markets-ev15-one-book-v6")/SUMIFS(Selections!$M$6:$M$78,Selections!$G$6:$G$78,"72h-all-markets-ev15-one-book-v6"))</f>
        <v>0.44999999999999996</v>
      </c>
      <c r="L40" s="21">
        <f>IF(SUMIFS(Selections!$T$6:$T$78,Selections!$G$6:$G$78,"72h-all-markets-ev15-one-book-v6")=0,"n.a.",SUMIFS(Selections!$O$6:$O$78,Selections!$G$6:$G$78,"72h-all-markets-ev15-one-book-v6")/SUMIFS(Selections!$T$6:$T$78,Selections!$G$6:$G$78,"72h-all-markets-ev15-one-book-v6"))</f>
        <v>0.08610395019172555</v>
      </c>
      <c r="M40" s="20">
        <f>IF(SUMIFS(Selections!$T$6:$T$78,Selections!$G$6:$G$78,"72h-all-markets-ev15-one-book-v6")=0,"n.a.",SUMIFS(Selections!$S$6:$S$78,Selections!$G$6:$G$78,"72h-all-markets-ev15-one-book-v6")/SUMIFS(Selections!$T$6:$T$78,Selections!$G$6:$G$78,"72h-all-markets-ev15-one-book-v6"))</f>
        <v>0.706565253946085</v>
      </c>
      <c r="N40" s="20">
        <f>IF(SUMIFS(Selections!$T$6:$T$78,Selections!$G$6:$G$78,"72h-all-markets-ev15-one-book-v6")=0,"n.a.",(SUMIFS(Selections!$L$6:$L$78,Selections!$G$6:$G$78,"72h-all-markets-ev15-one-book-v6",Selections!$T$6:$T$78,1))/SUMIFS(Selections!$T$6:$T$78,Selections!$G$6:$G$78,"72h-all-markets-ev15-one-book-v6"))</f>
        <v>1.0</v>
      </c>
      <c r="O40" s="20">
        <f>IF(SUMIFS(Selections!$T$6:$T$78,Selections!$G$6:$G$78,"72h-all-markets-ev15-one-book-v6")=0,"n.a.",(SUMIFS(Selections!$S$6:$S$78,Selections!$G$6:$G$78,"72h-all-markets-ev15-one-book-v6")-(SUMIFS(Selections!$L$6:$L$78,Selections!$G$6:$G$78,"72h-all-markets-ev15-one-book-v6",Selections!$T$6:$T$78,1)))/SUMIFS(Selections!$T$6:$T$78,Selections!$G$6:$G$78,"72h-all-markets-ev15-one-book-v6"))</f>
        <v>-0.29343474605391495</v>
      </c>
      <c r="P40" s="19">
        <f>SUMIFS(Selections!$T$6:$T$78,Selections!$G$6:$G$78,"72h-all-markets-ev15-one-book-v6")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COUNTIFS(Selections!$G$6:$G$78,"72h-all-markets-net-ev15-execution-v7")</f>
        <v>5</v>
      </c>
      <c r="D41" s="19">
        <f>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4</v>
      </c>
      <c r="E41" s="19">
        <f>(COUNTIFS(Selections!$G$6:$G$78,"72h-all-markets-net-ev15-execution-v7",Selections!$K$6:$K$78,"WON")+COUNTIFS(Selections!$G$6:$G$78,"72h-all-markets-net-ev15-execution-v7",Selections!$K$6:$K$78,"HALF_WON"))</f>
        <v>4</v>
      </c>
      <c r="F41" s="19">
        <f>(COUNTIFS(Selections!$G$6:$G$78,"72h-all-markets-net-ev15-execution-v7",Selections!$K$6:$K$78,"LOST")+COUNTIFS(Selections!$G$6:$G$78,"72h-all-markets-net-ev15-execution-v7",Selections!$K$6:$K$78,"HALF_LOST"))</f>
        <v>0</v>
      </c>
      <c r="G41" s="19">
        <f>COUNTIFS(Selections!$G$6:$G$78,"72h-all-markets-net-ev15-execution-v7")-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1</v>
      </c>
      <c r="H41" s="20">
        <f>IF(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=0,"n.a.",(COUNTIFS(Selections!$G$6:$G$78,"72h-all-markets-net-ev15-execution-v7",Selections!$K$6:$K$78,"WON")+COUNTIFS(Selections!$G$6:$G$78,"72h-all-markets-net-ev15-execution-v7",Selections!$K$6:$K$78,"HALF_WON"))/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)</f>
        <v>1.0</v>
      </c>
      <c r="I41" s="22">
        <f>SUMIFS(Selections!$M$6:$M$78,Selections!$G$6:$G$78,"72h-all-markets-net-ev15-execution-v7")</f>
        <v>4</v>
      </c>
      <c r="J41" s="22">
        <f>SUMIFS(Selections!$N$6:$N$78,Selections!$G$6:$G$78,"72h-all-markets-net-ev15-execution-v7")</f>
        <v>1.74</v>
      </c>
      <c r="K41" s="20">
        <f>IF(SUMIFS(Selections!$M$6:$M$78,Selections!$G$6:$G$78,"72h-all-markets-net-ev15-execution-v7")=0,"n.a.",SUMIFS(Selections!$N$6:$N$78,Selections!$G$6:$G$78,"72h-all-markets-net-ev15-execution-v7")/SUMIFS(Selections!$M$6:$M$78,Selections!$G$6:$G$78,"72h-all-markets-net-ev15-execution-v7"))</f>
        <v>0.435</v>
      </c>
      <c r="L41" s="21">
        <f>IF(SUMIFS(Selections!$T$6:$T$78,Selections!$G$6:$G$78,"72h-all-markets-net-ev15-execution-v7")=0,"n.a.",SUMIFS(Selections!$O$6:$O$78,Selections!$G$6:$G$78,"72h-all-markets-net-ev15-execution-v7")/SUMIFS(Selections!$T$6:$T$78,Selections!$G$6:$G$78,"72h-all-markets-net-ev15-execution-v7"))</f>
        <v>0.05403053120768371</v>
      </c>
      <c r="M41" s="20">
        <f>IF(SUMIFS(Selections!$T$6:$T$78,Selections!$G$6:$G$78,"72h-all-markets-net-ev15-execution-v7")=0,"n.a.",SUMIFS(Selections!$S$6:$S$78,Selections!$G$6:$G$78,"72h-all-markets-net-ev15-execution-v7")/SUMIFS(Selections!$T$6:$T$78,Selections!$G$6:$G$78,"72h-all-markets-net-ev15-execution-v7"))</f>
        <v>0.7950551078170468</v>
      </c>
      <c r="N41" s="20">
        <f>IF(SUMIFS(Selections!$T$6:$T$78,Selections!$G$6:$G$78,"72h-all-markets-net-ev15-execution-v7")=0,"n.a.",(SUMIFS(Selections!$L$6:$L$78,Selections!$G$6:$G$78,"72h-all-markets-net-ev15-execution-v7",Selections!$T$6:$T$78,1))/SUMIFS(Selections!$T$6:$T$78,Selections!$G$6:$G$78,"72h-all-markets-net-ev15-execution-v7"))</f>
        <v>1.0</v>
      </c>
      <c r="O41" s="20">
        <f>IF(SUMIFS(Selections!$T$6:$T$78,Selections!$G$6:$G$78,"72h-all-markets-net-ev15-execution-v7")=0,"n.a.",(SUMIFS(Selections!$S$6:$S$78,Selections!$G$6:$G$78,"72h-all-markets-net-ev15-execution-v7")-(SUMIFS(Selections!$L$6:$L$78,Selections!$G$6:$G$78,"72h-all-markets-net-ev15-execution-v7",Selections!$T$6:$T$78,1)))/SUMIFS(Selections!$T$6:$T$78,Selections!$G$6:$G$78,"72h-all-markets-net-ev15-execution-v7"))</f>
        <v>-0.2049448921829532</v>
      </c>
      <c r="P41" s="19">
        <f>SUMIFS(Selections!$T$6:$T$78,Selections!$G$6:$G$78,"72h-all-markets-net-ev15-execution-v7")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COUNTIFS(Selections!$G$6:$G$78,"72h-seven-markets-fresh-references-net-ev15-v11")</f>
        <v>5</v>
      </c>
      <c r="D42" s="19">
        <f>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5</v>
      </c>
      <c r="E42" s="19">
        <f>(COUNTIFS(Selections!$G$6:$G$78,"72h-seven-markets-fresh-references-net-ev15-v11",Selections!$K$6:$K$78,"WON")+COUNTIFS(Selections!$G$6:$G$78,"72h-seven-markets-fresh-references-net-ev15-v11",Selections!$K$6:$K$78,"HALF_WON"))</f>
        <v>4</v>
      </c>
      <c r="F42" s="19">
        <f>(COUNTIFS(Selections!$G$6:$G$78,"72h-seven-markets-fresh-references-net-ev15-v11",Selections!$K$6:$K$78,"LOST")+COUNTIFS(Selections!$G$6:$G$78,"72h-seven-markets-fresh-references-net-ev15-v11",Selections!$K$6:$K$78,"HALF_LOST"))</f>
        <v>1</v>
      </c>
      <c r="G42" s="19">
        <f>COUNTIFS(Selections!$G$6:$G$78,"72h-seven-markets-fresh-references-net-ev15-v11")-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0</v>
      </c>
      <c r="H42" s="20">
        <f>IF(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=0,"n.a.",(COUNTIFS(Selections!$G$6:$G$78,"72h-seven-markets-fresh-references-net-ev15-v11",Selections!$K$6:$K$78,"WON")+COUNTIFS(Selections!$G$6:$G$78,"72h-seven-markets-fresh-references-net-ev15-v11",Selections!$K$6:$K$78,"HALF_WON"))/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)</f>
        <v>0.8</v>
      </c>
      <c r="I42" s="22">
        <f>SUMIFS(Selections!$M$6:$M$78,Selections!$G$6:$G$78,"72h-seven-markets-fresh-references-net-ev15-v11")</f>
        <v>5</v>
      </c>
      <c r="J42" s="22">
        <f>SUMIFS(Selections!$N$6:$N$78,Selections!$G$6:$G$78,"72h-seven-markets-fresh-references-net-ev15-v11")</f>
        <v>0.3600000000000001</v>
      </c>
      <c r="K42" s="20">
        <f>IF(SUMIFS(Selections!$M$6:$M$78,Selections!$G$6:$G$78,"72h-seven-markets-fresh-references-net-ev15-v11")=0,"n.a.",SUMIFS(Selections!$N$6:$N$78,Selections!$G$6:$G$78,"72h-seven-markets-fresh-references-net-ev15-v11")/SUMIFS(Selections!$M$6:$M$78,Selections!$G$6:$G$78,"72h-seven-markets-fresh-references-net-ev15-v11"))</f>
        <v>0.07200000000000002</v>
      </c>
      <c r="L42" s="21">
        <f>IF(SUMIFS(Selections!$T$6:$T$78,Selections!$G$6:$G$78,"72h-seven-markets-fresh-references-net-ev15-v11")=0,"n.a.",SUMIFS(Selections!$O$6:$O$78,Selections!$G$6:$G$78,"72h-seven-markets-fresh-references-net-ev15-v11")/SUMIFS(Selections!$T$6:$T$78,Selections!$G$6:$G$78,"72h-seven-markets-fresh-references-net-ev15-v11"))</f>
        <v>0.12900891729637554</v>
      </c>
      <c r="M42" s="20">
        <f>IF(SUMIFS(Selections!$T$6:$T$78,Selections!$G$6:$G$78,"72h-seven-markets-fresh-references-net-ev15-v11")=0,"n.a.",SUMIFS(Selections!$S$6:$S$78,Selections!$G$6:$G$78,"72h-seven-markets-fresh-references-net-ev15-v11")/SUMIFS(Selections!$T$6:$T$78,Selections!$G$6:$G$78,"72h-seven-markets-fresh-references-net-ev15-v11"))</f>
        <v>0.7527708085856005</v>
      </c>
      <c r="N42" s="20">
        <f>IF(SUMIFS(Selections!$T$6:$T$78,Selections!$G$6:$G$78,"72h-seven-markets-fresh-references-net-ev15-v11")=0,"n.a.",(SUMIFS(Selections!$L$6:$L$78,Selections!$G$6:$G$78,"72h-seven-markets-fresh-references-net-ev15-v11",Selections!$T$6:$T$78,1))/SUMIFS(Selections!$T$6:$T$78,Selections!$G$6:$G$78,"72h-seven-markets-fresh-references-net-ev15-v11"))</f>
        <v>0.8</v>
      </c>
      <c r="O42" s="20">
        <f>IF(SUMIFS(Selections!$T$6:$T$78,Selections!$G$6:$G$78,"72h-seven-markets-fresh-references-net-ev15-v11")=0,"n.a.",(SUMIFS(Selections!$S$6:$S$78,Selections!$G$6:$G$78,"72h-seven-markets-fresh-references-net-ev15-v11")-(SUMIFS(Selections!$L$6:$L$78,Selections!$G$6:$G$78,"72h-seven-markets-fresh-references-net-ev15-v11",Selections!$T$6:$T$78,1)))/SUMIFS(Selections!$T$6:$T$78,Selections!$G$6:$G$78,"72h-seven-markets-fresh-references-net-ev15-v11"))</f>
        <v>-0.04722919141439952</v>
      </c>
      <c r="P42" s="19">
        <f>SUMIFS(Selections!$T$6:$T$78,Selections!$G$6:$G$78,"72h-seven-markets-fresh-references-net-ev15-v11")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COUNTIFS(Selections!$G$6:$G$78,"72h-ucl-v2")</f>
        <v>1</v>
      </c>
      <c r="D43" s="19">
        <f>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1</v>
      </c>
      <c r="E43" s="19">
        <f>(COUNTIFS(Selections!$G$6:$G$78,"72h-ucl-v2",Selections!$K$6:$K$78,"WON")+COUNTIFS(Selections!$G$6:$G$78,"72h-ucl-v2",Selections!$K$6:$K$78,"HALF_WON"))</f>
        <v>1</v>
      </c>
      <c r="F43" s="19">
        <f>(COUNTIFS(Selections!$G$6:$G$78,"72h-ucl-v2",Selections!$K$6:$K$78,"LOST")+COUNTIFS(Selections!$G$6:$G$78,"72h-ucl-v2",Selections!$K$6:$K$78,"HALF_LOST"))</f>
        <v>0</v>
      </c>
      <c r="G43" s="19">
        <f>COUNTIFS(Selections!$G$6:$G$78,"72h-ucl-v2")-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0</v>
      </c>
      <c r="H43" s="20">
        <f>IF(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=0,"n.a.",(COUNTIFS(Selections!$G$6:$G$78,"72h-ucl-v2",Selections!$K$6:$K$78,"WON")+COUNTIFS(Selections!$G$6:$G$78,"72h-ucl-v2",Selections!$K$6:$K$78,"HALF_WON"))/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)</f>
        <v>1.0</v>
      </c>
      <c r="I43" s="22">
        <f>SUMIFS(Selections!$M$6:$M$78,Selections!$G$6:$G$78,"72h-ucl-v2")</f>
        <v>1</v>
      </c>
      <c r="J43" s="22">
        <f>SUMIFS(Selections!$N$6:$N$78,Selections!$G$6:$G$78,"72h-ucl-v2")</f>
        <v>0.28</v>
      </c>
      <c r="K43" s="20">
        <f>IF(SUMIFS(Selections!$M$6:$M$78,Selections!$G$6:$G$78,"72h-ucl-v2")=0,"n.a.",SUMIFS(Selections!$N$6:$N$78,Selections!$G$6:$G$78,"72h-ucl-v2")/SUMIFS(Selections!$M$6:$M$78,Selections!$G$6:$G$78,"72h-ucl-v2"))</f>
        <v>0.28</v>
      </c>
      <c r="L43" s="21">
        <f>IF(SUMIFS(Selections!$T$6:$T$78,Selections!$G$6:$G$78,"72h-ucl-v2")=0,"n.a.",SUMIFS(Selections!$O$6:$O$78,Selections!$G$6:$G$78,"72h-ucl-v2")/SUMIFS(Selections!$T$6:$T$78,Selections!$G$6:$G$78,"72h-ucl-v2"))</f>
        <v>0.041442876272802645</v>
      </c>
      <c r="M43" s="20">
        <f>IF(SUMIFS(Selections!$T$6:$T$78,Selections!$G$6:$G$78,"72h-ucl-v2")=0,"n.a.",SUMIFS(Selections!$S$6:$S$78,Selections!$G$6:$G$78,"72h-ucl-v2")/SUMIFS(Selections!$T$6:$T$78,Selections!$G$6:$G$78,"72h-ucl-v2"))</f>
        <v>0.7964247650798294</v>
      </c>
      <c r="N43" s="20">
        <f>IF(SUMIFS(Selections!$T$6:$T$78,Selections!$G$6:$G$78,"72h-ucl-v2")=0,"n.a.",(SUMIFS(Selections!$L$6:$L$78,Selections!$G$6:$G$78,"72h-ucl-v2",Selections!$T$6:$T$78,1))/SUMIFS(Selections!$T$6:$T$78,Selections!$G$6:$G$78,"72h-ucl-v2"))</f>
        <v>1.0</v>
      </c>
      <c r="O43" s="20">
        <f>IF(SUMIFS(Selections!$T$6:$T$78,Selections!$G$6:$G$78,"72h-ucl-v2")=0,"n.a.",(SUMIFS(Selections!$S$6:$S$78,Selections!$G$6:$G$78,"72h-ucl-v2")-(SUMIFS(Selections!$L$6:$L$78,Selections!$G$6:$G$78,"72h-ucl-v2",Selections!$T$6:$T$78,1)))/SUMIFS(Selections!$T$6:$T$78,Selections!$G$6:$G$78,"72h-ucl-v2"))</f>
        <v>-0.2035752349201706</v>
      </c>
      <c r="P43" s="19">
        <f>SUMIFS(Selections!$T$6:$T$78,Selections!$G$6:$G$78,"72h-ucl-v2")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COUNTIFS(Selections!$G$6:$G$78,"72h-ucl-v3")</f>
        <v>7</v>
      </c>
      <c r="D44" s="19">
        <f>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6</v>
      </c>
      <c r="E44" s="19">
        <f>(COUNTIFS(Selections!$G$6:$G$78,"72h-ucl-v3",Selections!$K$6:$K$78,"WON")+COUNTIFS(Selections!$G$6:$G$78,"72h-ucl-v3",Selections!$K$6:$K$78,"HALF_WON"))</f>
        <v>3</v>
      </c>
      <c r="F44" s="19">
        <f>(COUNTIFS(Selections!$G$6:$G$78,"72h-ucl-v3",Selections!$K$6:$K$78,"LOST")+COUNTIFS(Selections!$G$6:$G$78,"72h-ucl-v3",Selections!$K$6:$K$78,"HALF_LOST"))</f>
        <v>3</v>
      </c>
      <c r="G44" s="19">
        <f>COUNTIFS(Selections!$G$6:$G$78,"72h-ucl-v3")-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1</v>
      </c>
      <c r="H44" s="20">
        <f>IF(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=0,"n.a.",(COUNTIFS(Selections!$G$6:$G$78,"72h-ucl-v3",Selections!$K$6:$K$78,"WON")+COUNTIFS(Selections!$G$6:$G$78,"72h-ucl-v3",Selections!$K$6:$K$78,"HALF_WON"))/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)</f>
        <v>0.5</v>
      </c>
      <c r="I44" s="22">
        <f>SUMIFS(Selections!$M$6:$M$78,Selections!$G$6:$G$78,"72h-ucl-v3")</f>
        <v>6</v>
      </c>
      <c r="J44" s="22">
        <f>SUMIFS(Selections!$N$6:$N$78,Selections!$G$6:$G$78,"72h-ucl-v3")</f>
        <v>-1.7100000000000002</v>
      </c>
      <c r="K44" s="20">
        <f>IF(SUMIFS(Selections!$M$6:$M$78,Selections!$G$6:$G$78,"72h-ucl-v3")=0,"n.a.",SUMIFS(Selections!$N$6:$N$78,Selections!$G$6:$G$78,"72h-ucl-v3")/SUMIFS(Selections!$M$6:$M$78,Selections!$G$6:$G$78,"72h-ucl-v3"))</f>
        <v>-0.28500000000000003</v>
      </c>
      <c r="L44" s="21">
        <f>IF(SUMIFS(Selections!$T$6:$T$78,Selections!$G$6:$G$78,"72h-ucl-v3")=0,"n.a.",SUMIFS(Selections!$O$6:$O$78,Selections!$G$6:$G$78,"72h-ucl-v3")/SUMIFS(Selections!$T$6:$T$78,Selections!$G$6:$G$78,"72h-ucl-v3"))</f>
        <v>0.3538657630451178</v>
      </c>
      <c r="M44" s="20">
        <f>IF(SUMIFS(Selections!$T$6:$T$78,Selections!$G$6:$G$78,"72h-ucl-v3")=0,"n.a.",SUMIFS(Selections!$S$6:$S$78,Selections!$G$6:$G$78,"72h-ucl-v3")/SUMIFS(Selections!$T$6:$T$78,Selections!$G$6:$G$78,"72h-ucl-v3"))</f>
        <v>0.7987491501653422</v>
      </c>
      <c r="N44" s="20">
        <f>IF(SUMIFS(Selections!$T$6:$T$78,Selections!$G$6:$G$78,"72h-ucl-v3")=0,"n.a.",(SUMIFS(Selections!$L$6:$L$78,Selections!$G$6:$G$78,"72h-ucl-v3",Selections!$T$6:$T$78,1))/SUMIFS(Selections!$T$6:$T$78,Selections!$G$6:$G$78,"72h-ucl-v3"))</f>
        <v>0.5</v>
      </c>
      <c r="O44" s="20">
        <f>IF(SUMIFS(Selections!$T$6:$T$78,Selections!$G$6:$G$78,"72h-ucl-v3")=0,"n.a.",(SUMIFS(Selections!$S$6:$S$78,Selections!$G$6:$G$78,"72h-ucl-v3")-(SUMIFS(Selections!$L$6:$L$78,Selections!$G$6:$G$78,"72h-ucl-v3",Selections!$T$6:$T$78,1)))/SUMIFS(Selections!$T$6:$T$78,Selections!$G$6:$G$78,"72h-ucl-v3"))</f>
        <v>0.2987491501653422</v>
      </c>
      <c r="P44" s="19">
        <f>SUMIFS(Selections!$T$6:$T$78,Selections!$G$6:$G$78,"72h-ucl-v3")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COUNTIFS(Selections!$G$6:$G$78,"legacy/unspecified")</f>
        <v>2</v>
      </c>
      <c r="D45" s="19">
        <f>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2</v>
      </c>
      <c r="E45" s="19">
        <f>(COUNTIFS(Selections!$G$6:$G$78,"legacy/unspecified",Selections!$K$6:$K$78,"WON")+COUNTIFS(Selections!$G$6:$G$78,"legacy/unspecified",Selections!$K$6:$K$78,"HALF_WON"))</f>
        <v>2</v>
      </c>
      <c r="F45" s="19">
        <f>(COUNTIFS(Selections!$G$6:$G$78,"legacy/unspecified",Selections!$K$6:$K$78,"LOST")+COUNTIFS(Selections!$G$6:$G$78,"legacy/unspecified",Selections!$K$6:$K$78,"HALF_LOST"))</f>
        <v>0</v>
      </c>
      <c r="G45" s="19">
        <f>COUNTIFS(Selections!$G$6:$G$78,"legacy/unspecified")-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0</v>
      </c>
      <c r="H45" s="20">
        <f>IF(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=0,"n.a.",(COUNTIFS(Selections!$G$6:$G$78,"legacy/unspecified",Selections!$K$6:$K$78,"WON")+COUNTIFS(Selections!$G$6:$G$78,"legacy/unspecified",Selections!$K$6:$K$78,"HALF_WON"))/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)</f>
        <v>1.0</v>
      </c>
      <c r="I45" s="22">
        <f>SUMIFS(Selections!$M$6:$M$78,Selections!$G$6:$G$78,"legacy/unspecified")</f>
        <v>2</v>
      </c>
      <c r="J45" s="22">
        <f>SUMIFS(Selections!$N$6:$N$78,Selections!$G$6:$G$78,"legacy/unspecified")</f>
        <v>0.6399999999999999</v>
      </c>
      <c r="K45" s="20">
        <f>IF(SUMIFS(Selections!$M$6:$M$78,Selections!$G$6:$G$78,"legacy/unspecified")=0,"n.a.",SUMIFS(Selections!$N$6:$N$78,Selections!$G$6:$G$78,"legacy/unspecified")/SUMIFS(Selections!$M$6:$M$78,Selections!$G$6:$G$78,"legacy/unspecified"))</f>
        <v>0.31999999999999995</v>
      </c>
      <c r="L45" s="21">
        <f>IF(SUMIFS(Selections!$T$6:$T$78,Selections!$G$6:$G$78,"legacy/unspecified")=0,"n.a.",SUMIFS(Selections!$O$6:$O$78,Selections!$G$6:$G$78,"legacy/unspecified")/SUMIFS(Selections!$T$6:$T$78,Selections!$G$6:$G$78,"legacy/unspecified"))</f>
        <v>0.022741501209119913</v>
      </c>
      <c r="M45" s="20">
        <f>IF(SUMIFS(Selections!$T$6:$T$78,Selections!$G$6:$G$78,"legacy/unspecified")=0,"n.a.",SUMIFS(Selections!$S$6:$S$78,Selections!$G$6:$G$78,"legacy/unspecified")/SUMIFS(Selections!$T$6:$T$78,Selections!$G$6:$G$78,"legacy/unspecified"))</f>
        <v>0.8612313600870412</v>
      </c>
      <c r="N45" s="20">
        <f>IF(SUMIFS(Selections!$T$6:$T$78,Selections!$G$6:$G$78,"legacy/unspecified")=0,"n.a.",(SUMIFS(Selections!$L$6:$L$78,Selections!$G$6:$G$78,"legacy/unspecified",Selections!$T$6:$T$78,1))/SUMIFS(Selections!$T$6:$T$78,Selections!$G$6:$G$78,"legacy/unspecified"))</f>
        <v>1.0</v>
      </c>
      <c r="O45" s="20">
        <f>IF(SUMIFS(Selections!$T$6:$T$78,Selections!$G$6:$G$78,"legacy/unspecified")=0,"n.a.",(SUMIFS(Selections!$S$6:$S$78,Selections!$G$6:$G$78,"legacy/unspecified")-(SUMIFS(Selections!$L$6:$L$78,Selections!$G$6:$G$78,"legacy/unspecified",Selections!$T$6:$T$78,1)))/SUMIFS(Selections!$T$6:$T$78,Selections!$G$6:$G$78,"legacy/unspecified"))</f>
        <v>-0.13876863991295885</v>
      </c>
      <c r="P45" s="19">
        <f>SUMIFS(Selections!$T$6:$T$78,Selections!$G$6:$G$78,"legacy/unspecified")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COUNTIFS(Selections!$P$6:$P$78,"2026-W41")</f>
        <v>5</v>
      </c>
      <c r="D46" s="19">
        <f>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4</v>
      </c>
      <c r="E46" s="19">
        <f>(COUNTIFS(Selections!$P$6:$P$78,"2026-W41",Selections!$K$6:$K$78,"WON")+COUNTIFS(Selections!$P$6:$P$78,"2026-W41",Selections!$K$6:$K$78,"HALF_WON"))</f>
        <v>2</v>
      </c>
      <c r="F46" s="19">
        <f>(COUNTIFS(Selections!$P$6:$P$78,"2026-W41",Selections!$K$6:$K$78,"LOST")+COUNTIFS(Selections!$P$6:$P$78,"2026-W41",Selections!$K$6:$K$78,"HALF_LOST"))</f>
        <v>2</v>
      </c>
      <c r="G46" s="19">
        <f>COUNTIFS(Selections!$P$6:$P$78,"2026-W41")-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1</v>
      </c>
      <c r="H46" s="20">
        <f>IF(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=0,"n.a.",(COUNTIFS(Selections!$P$6:$P$78,"2026-W41",Selections!$K$6:$K$78,"WON")+COUNTIFS(Selections!$P$6:$P$78,"2026-W41",Selections!$K$6:$K$78,"HALF_WON"))/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)</f>
        <v>0.5</v>
      </c>
      <c r="I46" s="22">
        <f>SUMIFS(Selections!$M$6:$M$78,Selections!$P$6:$P$78,"2026-W41")</f>
        <v>4</v>
      </c>
      <c r="J46" s="22">
        <f>SUMIFS(Selections!$N$6:$N$78,Selections!$P$6:$P$78,"2026-W41")</f>
        <v>-1.48</v>
      </c>
      <c r="K46" s="20">
        <f>IF(SUMIFS(Selections!$M$6:$M$78,Selections!$P$6:$P$78,"2026-W41")=0,"n.a.",SUMIFS(Selections!$N$6:$N$78,Selections!$P$6:$P$78,"2026-W41")/SUMIFS(Selections!$M$6:$M$78,Selections!$P$6:$P$78,"2026-W41"))</f>
        <v>-0.37</v>
      </c>
      <c r="L46" s="21">
        <f>IF(SUMIFS(Selections!$T$6:$T$78,Selections!$P$6:$P$78,"2026-W41")=0,"n.a.",SUMIFS(Selections!$O$6:$O$78,Selections!$P$6:$P$78,"2026-W41")/SUMIFS(Selections!$T$6:$T$78,Selections!$P$6:$P$78,"2026-W41"))</f>
        <v>0.32924630276534106</v>
      </c>
      <c r="M46" s="20">
        <f>IF(SUMIFS(Selections!$T$6:$T$78,Selections!$P$6:$P$78,"2026-W41")=0,"n.a.",SUMIFS(Selections!$S$6:$S$78,Selections!$P$6:$P$78,"2026-W41")/SUMIFS(Selections!$T$6:$T$78,Selections!$P$6:$P$78,"2026-W41"))</f>
        <v>0.8212200676021444</v>
      </c>
      <c r="N46" s="20">
        <f>IF(SUMIFS(Selections!$T$6:$T$78,Selections!$P$6:$P$78,"2026-W41")=0,"n.a.",(SUMIFS(Selections!$L$6:$L$78,Selections!$P$6:$P$78,"2026-W41",Selections!$T$6:$T$78,1))/SUMIFS(Selections!$T$6:$T$78,Selections!$P$6:$P$78,"2026-W41"))</f>
        <v>0.5</v>
      </c>
      <c r="O46" s="20">
        <f>IF(SUMIFS(Selections!$T$6:$T$78,Selections!$P$6:$P$78,"2026-W41")=0,"n.a.",(SUMIFS(Selections!$S$6:$S$78,Selections!$P$6:$P$78,"2026-W41")-(SUMIFS(Selections!$L$6:$L$78,Selections!$P$6:$P$78,"2026-W41",Selections!$T$6:$T$78,1)))/SUMIFS(Selections!$T$6:$T$78,Selections!$P$6:$P$78,"2026-W41"))</f>
        <v>0.3212200676021444</v>
      </c>
      <c r="P46" s="19">
        <f>SUMIFS(Selections!$T$6:$T$78,Selections!$P$6:$P$78,"2026-W41")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COUNTIFS(Selections!$P$6:$P$78,"2026-W42")</f>
        <v>24</v>
      </c>
      <c r="D47" s="19">
        <f>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22</v>
      </c>
      <c r="E47" s="19">
        <f>(COUNTIFS(Selections!$P$6:$P$78,"2026-W42",Selections!$K$6:$K$78,"WON")+COUNTIFS(Selections!$P$6:$P$78,"2026-W42",Selections!$K$6:$K$78,"HALF_WON"))</f>
        <v>19</v>
      </c>
      <c r="F47" s="19">
        <f>(COUNTIFS(Selections!$P$6:$P$78,"2026-W42",Selections!$K$6:$K$78,"LOST")+COUNTIFS(Selections!$P$6:$P$78,"2026-W42",Selections!$K$6:$K$78,"HALF_LOST"))</f>
        <v>3</v>
      </c>
      <c r="G47" s="19">
        <f>COUNTIFS(Selections!$P$6:$P$78,"2026-W42")-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</v>
      </c>
      <c r="H47" s="20">
        <f>IF(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=0,"n.a.",(COUNTIFS(Selections!$P$6:$P$78,"2026-W42",Selections!$K$6:$K$78,"WON")+COUNTIFS(Selections!$P$6:$P$78,"2026-W42",Selections!$K$6:$K$78,"HALF_WON"))/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)</f>
        <v>0.8636363636363636</v>
      </c>
      <c r="I47" s="22">
        <f>SUMIFS(Selections!$M$6:$M$78,Selections!$P$6:$P$78,"2026-W42")</f>
        <v>22</v>
      </c>
      <c r="J47" s="22">
        <f>SUMIFS(Selections!$N$6:$N$78,Selections!$P$6:$P$78,"2026-W42")</f>
        <v>4.289999999999999</v>
      </c>
      <c r="K47" s="20">
        <f>IF(SUMIFS(Selections!$M$6:$M$78,Selections!$P$6:$P$78,"2026-W42")=0,"n.a.",SUMIFS(Selections!$N$6:$N$78,Selections!$P$6:$P$78,"2026-W42")/SUMIFS(Selections!$M$6:$M$78,Selections!$P$6:$P$78,"2026-W42"))</f>
        <v>0.19499999999999995</v>
      </c>
      <c r="L47" s="21">
        <f>IF(SUMIFS(Selections!$T$6:$T$78,Selections!$P$6:$P$78,"2026-W42")=0,"n.a.",SUMIFS(Selections!$O$6:$O$78,Selections!$P$6:$P$78,"2026-W42")/SUMIFS(Selections!$T$6:$T$78,Selections!$P$6:$P$78,"2026-W42"))</f>
        <v>0.13041357566209277</v>
      </c>
      <c r="M47" s="20">
        <f>IF(SUMIFS(Selections!$T$6:$T$78,Selections!$P$6:$P$78,"2026-W42")=0,"n.a.",SUMIFS(Selections!$S$6:$S$78,Selections!$P$6:$P$78,"2026-W42")/SUMIFS(Selections!$T$6:$T$78,Selections!$P$6:$P$78,"2026-W42"))</f>
        <v>0.7692010233716516</v>
      </c>
      <c r="N47" s="20">
        <f>IF(SUMIFS(Selections!$T$6:$T$78,Selections!$P$6:$P$78,"2026-W42")=0,"n.a.",(SUMIFS(Selections!$L$6:$L$78,Selections!$P$6:$P$78,"2026-W42",Selections!$T$6:$T$78,1))/SUMIFS(Selections!$T$6:$T$78,Selections!$P$6:$P$78,"2026-W42"))</f>
        <v>0.8636363636363636</v>
      </c>
      <c r="O47" s="20">
        <f>IF(SUMIFS(Selections!$T$6:$T$78,Selections!$P$6:$P$78,"2026-W42")=0,"n.a.",(SUMIFS(Selections!$S$6:$S$78,Selections!$P$6:$P$78,"2026-W42")-(SUMIFS(Selections!$L$6:$L$78,Selections!$P$6:$P$78,"2026-W42",Selections!$T$6:$T$78,1)))/SUMIFS(Selections!$T$6:$T$78,Selections!$P$6:$P$78,"2026-W42"))</f>
        <v>-0.09443534026471201</v>
      </c>
      <c r="P47" s="19">
        <f>SUMIFS(Selections!$T$6:$T$78,Selections!$P$6:$P$78,"2026-W42")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COUNTIFS(Selections!$P$6:$P$78,"2026-W43")</f>
        <v>41</v>
      </c>
      <c r="D48" s="19">
        <f>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34</v>
      </c>
      <c r="E48" s="19">
        <f>(COUNTIFS(Selections!$P$6:$P$78,"2026-W43",Selections!$K$6:$K$78,"WON")+COUNTIFS(Selections!$P$6:$P$78,"2026-W43",Selections!$K$6:$K$78,"HALF_WON"))</f>
        <v>25</v>
      </c>
      <c r="F48" s="19">
        <f>(COUNTIFS(Selections!$P$6:$P$78,"2026-W43",Selections!$K$6:$K$78,"LOST")+COUNTIFS(Selections!$P$6:$P$78,"2026-W43",Selections!$K$6:$K$78,"HALF_LOST"))</f>
        <v>9</v>
      </c>
      <c r="G48" s="19">
        <f>COUNTIFS(Selections!$P$6:$P$78,"2026-W43")-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7</v>
      </c>
      <c r="H48" s="20">
        <f>IF(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=0,"n.a.",(COUNTIFS(Selections!$P$6:$P$78,"2026-W43",Selections!$K$6:$K$78,"WON")+COUNTIFS(Selections!$P$6:$P$78,"2026-W43",Selections!$K$6:$K$78,"HALF_WON"))/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)</f>
        <v>0.7352941176470589</v>
      </c>
      <c r="I48" s="22">
        <f>SUMIFS(Selections!$M$6:$M$78,Selections!$P$6:$P$78,"2026-W43")</f>
        <v>34</v>
      </c>
      <c r="J48" s="22">
        <f>SUMIFS(Selections!$N$6:$N$78,Selections!$P$6:$P$78,"2026-W43")</f>
        <v>1.0699999999999994</v>
      </c>
      <c r="K48" s="20">
        <f>IF(SUMIFS(Selections!$M$6:$M$78,Selections!$P$6:$P$78,"2026-W43")=0,"n.a.",SUMIFS(Selections!$N$6:$N$78,Selections!$P$6:$P$78,"2026-W43")/SUMIFS(Selections!$M$6:$M$78,Selections!$P$6:$P$78,"2026-W43"))</f>
        <v>0.0314705882352941</v>
      </c>
      <c r="L48" s="21">
        <f>IF(SUMIFS(Selections!$T$6:$T$78,Selections!$P$6:$P$78,"2026-W43")=0,"n.a.",SUMIFS(Selections!$O$6:$O$78,Selections!$P$6:$P$78,"2026-W43")/SUMIFS(Selections!$T$6:$T$78,Selections!$P$6:$P$78,"2026-W43"))</f>
        <v>0.14715697171487105</v>
      </c>
      <c r="M48" s="20">
        <f>IF(SUMIFS(Selections!$T$6:$T$78,Selections!$P$6:$P$78,"2026-W43")=0,"n.a.",SUMIFS(Selections!$S$6:$S$78,Selections!$P$6:$P$78,"2026-W43")/SUMIFS(Selections!$T$6:$T$78,Selections!$P$6:$P$78,"2026-W43"))</f>
        <v>0.7232981009569568</v>
      </c>
      <c r="N48" s="20">
        <f>IF(SUMIFS(Selections!$T$6:$T$78,Selections!$P$6:$P$78,"2026-W43")=0,"n.a.",(SUMIFS(Selections!$L$6:$L$78,Selections!$P$6:$P$78,"2026-W43",Selections!$T$6:$T$78,1))/SUMIFS(Selections!$T$6:$T$78,Selections!$P$6:$P$78,"2026-W43"))</f>
        <v>0.7352941176470589</v>
      </c>
      <c r="O48" s="20">
        <f>IF(SUMIFS(Selections!$T$6:$T$78,Selections!$P$6:$P$78,"2026-W43")=0,"n.a.",(SUMIFS(Selections!$S$6:$S$78,Selections!$P$6:$P$78,"2026-W43")-(SUMIFS(Selections!$L$6:$L$78,Selections!$P$6:$P$78,"2026-W43",Selections!$T$6:$T$78,1)))/SUMIFS(Selections!$T$6:$T$78,Selections!$P$6:$P$78,"2026-W43"))</f>
        <v>-0.011996016690102085</v>
      </c>
      <c r="P48" s="19">
        <f>SUMIFS(Selections!$T$6:$T$78,Selections!$P$6:$P$78,"2026-W43")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COUNTIFS(Selections!$P$6:$P$78,"2026-W44")</f>
        <v>3</v>
      </c>
      <c r="D49" s="19">
        <f>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0</v>
      </c>
      <c r="E49" s="19">
        <f>(COUNTIFS(Selections!$P$6:$P$78,"2026-W44",Selections!$K$6:$K$78,"WON")+COUNTIFS(Selections!$P$6:$P$78,"2026-W44",Selections!$K$6:$K$78,"HALF_WON"))</f>
        <v>0</v>
      </c>
      <c r="F49" s="19">
        <f>(COUNTIFS(Selections!$P$6:$P$78,"2026-W44",Selections!$K$6:$K$78,"LOST")+COUNTIFS(Selections!$P$6:$P$78,"2026-W44",Selections!$K$6:$K$78,"HALF_LOST"))</f>
        <v>0</v>
      </c>
      <c r="G49" s="19">
        <f>COUNTIFS(Selections!$P$6:$P$78,"2026-W44")-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3</v>
      </c>
      <c r="H49" s="20" t="str">
        <f>IF(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=0,"n.a.",(COUNTIFS(Selections!$P$6:$P$78,"2026-W44",Selections!$K$6:$K$78,"WON")+COUNTIFS(Selections!$P$6:$P$78,"2026-W44",Selections!$K$6:$K$78,"HALF_WON"))/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)</f>
        <v>n.a.</v>
      </c>
      <c r="I49" s="22">
        <f>SUMIFS(Selections!$M$6:$M$78,Selections!$P$6:$P$78,"2026-W44")</f>
        <v>0</v>
      </c>
      <c r="J49" s="22">
        <f>SUMIFS(Selections!$N$6:$N$78,Selections!$P$6:$P$78,"2026-W44")</f>
        <v>0</v>
      </c>
      <c r="K49" s="20" t="str">
        <f>IF(SUMIFS(Selections!$M$6:$M$78,Selections!$P$6:$P$78,"2026-W44")=0,"n.a.",SUMIFS(Selections!$N$6:$N$78,Selections!$P$6:$P$78,"2026-W44")/SUMIFS(Selections!$M$6:$M$78,Selections!$P$6:$P$78,"2026-W44"))</f>
        <v>n.a.</v>
      </c>
      <c r="L49" s="21" t="str">
        <f>IF(SUMIFS(Selections!$T$6:$T$78,Selections!$P$6:$P$78,"2026-W44")=0,"n.a.",SUMIFS(Selections!$O$6:$O$78,Selections!$P$6:$P$78,"2026-W44")/SUMIFS(Selections!$T$6:$T$78,Selections!$P$6:$P$78,"2026-W44"))</f>
        <v>n.a.</v>
      </c>
      <c r="M49" s="20" t="str">
        <f>IF(SUMIFS(Selections!$T$6:$T$78,Selections!$P$6:$P$78,"2026-W44")=0,"n.a.",SUMIFS(Selections!$S$6:$S$78,Selections!$P$6:$P$78,"2026-W44")/SUMIFS(Selections!$T$6:$T$78,Selections!$P$6:$P$78,"2026-W44"))</f>
        <v>n.a.</v>
      </c>
      <c r="N49" s="20" t="str">
        <f>IF(SUMIFS(Selections!$T$6:$T$78,Selections!$P$6:$P$78,"2026-W44")=0,"n.a.",(SUMIFS(Selections!$L$6:$L$78,Selections!$P$6:$P$78,"2026-W44",Selections!$T$6:$T$78,1))/SUMIFS(Selections!$T$6:$T$78,Selections!$P$6:$P$78,"2026-W44"))</f>
        <v>n.a.</v>
      </c>
      <c r="O49" s="20" t="str">
        <f>IF(SUMIFS(Selections!$T$6:$T$78,Selections!$P$6:$P$78,"2026-W44")=0,"n.a.",(SUMIFS(Selections!$S$6:$S$78,Selections!$P$6:$P$78,"2026-W44")-(SUMIFS(Selections!$L$6:$L$78,Selections!$P$6:$P$78,"2026-W44",Selections!$T$6:$T$78,1)))/SUMIFS(Selections!$T$6:$T$78,Selections!$P$6:$P$78,"2026-W44"))</f>
        <v>n.a.</v>
      </c>
      <c r="P49" s="19">
        <f>SUMIFS(Selections!$T$6:$T$78,Selections!$P$6:$P$78,"2026-W44")</f>
        <v>0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(n=0).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COUNTIFS(Selections!$S$6:$S$78,"&gt;="&amp;B6,Selections!$S$6:$S$78,"&lt;"&amp;C6,Selections!$T$6:$T$78,1)</f>
        <v>5</v>
      </c>
      <c r="E6" s="20">
        <f>IF(D6=0,"n.a.",SUMIFS(Selections!$S$6:$S$78,Selections!$S$6:$S$78,"&gt;="&amp;B6,Selections!$S$6:$S$78,"&lt;"&amp;C6,Selections!$T$6:$T$78,1)/D6)</f>
        <v>0.44746011527469004</v>
      </c>
      <c r="F6" s="20">
        <f>IF(D6=0,"n.a.",SUMIFS(Selections!$L$6:$L$78,Selections!$S$6:$S$78,"&gt;="&amp;B6,Selections!$S$6:$S$78,"&lt;"&amp;C6,Selections!$T$6:$T$78,1)/D6)</f>
        <v>0.4</v>
      </c>
      <c r="G6" s="20">
        <f>IF(D6=0,"n.a.",E6-F6)</f>
        <v>0.04746011527469002</v>
      </c>
      <c r="H6" s="21">
        <f>IF(D6=0,"n.a.",SUMIFS(Selections!$O$6:$O$78,Selections!$S$6:$S$78,"&gt;="&amp;B6,Selections!$S$6:$S$78,"&lt;"&amp;C6,Selections!$T$6:$T$78,1)/D6)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COUNTIFS(Selections!$S$6:$S$78,"&gt;="&amp;B7,Selections!$S$6:$S$78,"&lt;"&amp;C7,Selections!$T$6:$T$78,1)</f>
        <v>2</v>
      </c>
      <c r="E7" s="20">
        <f>IF(D7=0,"n.a.",SUMIFS(Selections!$S$6:$S$78,Selections!$S$6:$S$78,"&gt;="&amp;B7,Selections!$S$6:$S$78,"&lt;"&amp;C7,Selections!$T$6:$T$78,1)/D7)</f>
        <v>0.566643476006385</v>
      </c>
      <c r="F7" s="20">
        <f>IF(D7=0,"n.a.",SUMIFS(Selections!$L$6:$L$78,Selections!$S$6:$S$78,"&gt;="&amp;B7,Selections!$S$6:$S$78,"&lt;"&amp;C7,Selections!$T$6:$T$78,1)/D7)</f>
        <v>0.5</v>
      </c>
      <c r="G7" s="20">
        <f>IF(D7=0,"n.a.",E7-F7)</f>
        <v>0.06664347600638498</v>
      </c>
      <c r="H7" s="21">
        <f>IF(D7=0,"n.a.",SUMIFS(Selections!$O$6:$O$78,Selections!$S$6:$S$78,"&gt;="&amp;B7,Selections!$S$6:$S$78,"&lt;"&amp;C7,Selections!$T$6:$T$78,1)/D7)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COUNTIFS(Selections!$S$6:$S$78,"&gt;="&amp;B8,Selections!$S$6:$S$78,"&lt;"&amp;C8,Selections!$T$6:$T$78,1)</f>
        <v>9</v>
      </c>
      <c r="E8" s="20">
        <f>IF(D8=0,"n.a.",SUMIFS(Selections!$S$6:$S$78,Selections!$S$6:$S$78,"&gt;="&amp;B8,Selections!$S$6:$S$78,"&lt;"&amp;C8,Selections!$T$6:$T$78,1)/D8)</f>
        <v>0.6435167729572643</v>
      </c>
      <c r="F8" s="20">
        <f>IF(D8=0,"n.a.",SUMIFS(Selections!$L$6:$L$78,Selections!$S$6:$S$78,"&gt;="&amp;B8,Selections!$S$6:$S$78,"&lt;"&amp;C8,Selections!$T$6:$T$78,1)/D8)</f>
        <v>0.5555555555555556</v>
      </c>
      <c r="G8" s="20">
        <f>IF(D8=0,"n.a.",E8-F8)</f>
        <v>0.0879612174017087</v>
      </c>
      <c r="H8" s="21">
        <f>IF(D8=0,"n.a.",SUMIFS(Selections!$O$6:$O$78,Selections!$S$6:$S$78,"&gt;="&amp;B8,Selections!$S$6:$S$78,"&lt;"&amp;C8,Selections!$T$6:$T$78,1)/D8)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COUNTIFS(Selections!$S$6:$S$78,"&gt;="&amp;B9,Selections!$S$6:$S$78,"&lt;"&amp;C9,Selections!$T$6:$T$78,1)</f>
        <v>21</v>
      </c>
      <c r="E9" s="20">
        <f>IF(D9=0,"n.a.",SUMIFS(Selections!$S$6:$S$78,Selections!$S$6:$S$78,"&gt;="&amp;B9,Selections!$S$6:$S$78,"&lt;"&amp;C9,Selections!$T$6:$T$78,1)/D9)</f>
        <v>0.7607338760888485</v>
      </c>
      <c r="F9" s="20">
        <f>IF(D9=0,"n.a.",SUMIFS(Selections!$L$6:$L$78,Selections!$S$6:$S$78,"&gt;="&amp;B9,Selections!$S$6:$S$78,"&lt;"&amp;C9,Selections!$T$6:$T$78,1)/D9)</f>
        <v>0.8095238095238095</v>
      </c>
      <c r="G9" s="20">
        <f>IF(D9=0,"n.a.",E9-F9)</f>
        <v>-0.048789933434961075</v>
      </c>
      <c r="H9" s="21">
        <f>IF(D9=0,"n.a.",SUMIFS(Selections!$O$6:$O$78,Selections!$S$6:$S$78,"&gt;="&amp;B9,Selections!$S$6:$S$78,"&lt;"&amp;C9,Selections!$T$6:$T$78,1)/D9)</f>
        <v>0.15549725657136584</v>
      </c>
      <c r="I9" s="18" t="inlineStr">
        <is>
          <t>Collect more scored forecasts (n=21).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COUNTIFS(Selections!$S$6:$S$78,"&gt;="&amp;B10,Selections!$S$6:$S$78,"&lt;"&amp;C10,Selections!$T$6:$T$78,1)</f>
        <v>19</v>
      </c>
      <c r="E10" s="20">
        <f>IF(D10=0,"n.a.",SUMIFS(Selections!$S$6:$S$78,Selections!$S$6:$S$78,"&gt;="&amp;B10,Selections!$S$6:$S$78,"&lt;"&amp;C10,Selections!$T$6:$T$78,1)/D10)</f>
        <v>0.8395330613191175</v>
      </c>
      <c r="F10" s="20">
        <f>IF(D10=0,"n.a.",SUMIFS(Selections!$L$6:$L$78,Selections!$S$6:$S$78,"&gt;="&amp;B10,Selections!$S$6:$S$78,"&lt;"&amp;C10,Selections!$T$6:$T$78,1)/D10)</f>
        <v>0.8947368421052632</v>
      </c>
      <c r="G10" s="20">
        <f>IF(D10=0,"n.a.",E10-F10)</f>
        <v>-0.05520378078614563</v>
      </c>
      <c r="H10" s="21">
        <f>IF(D10=0,"n.a.",SUMIFS(Selections!$O$6:$O$78,Selections!$S$6:$S$78,"&gt;="&amp;B10,Selections!$S$6:$S$78,"&lt;"&amp;C10,Selections!$T$6:$T$78,1)/D10)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COUNTIFS(Selections!$S$6:$S$78,"&gt;="&amp;B11,Selections!$S$6:$S$78,"&lt;"&amp;C11,Selections!$T$6:$T$78,1)</f>
        <v>4</v>
      </c>
      <c r="E11" s="20">
        <f>IF(D11=0,"n.a.",SUMIFS(Selections!$S$6:$S$78,Selections!$S$6:$S$78,"&gt;="&amp;B11,Selections!$S$6:$S$78,"&lt;"&amp;C11,Selections!$T$6:$T$78,1)/D11)</f>
        <v>0.9276650422976989</v>
      </c>
      <c r="F11" s="20">
        <f>IF(D11=0,"n.a.",SUMIFS(Selections!$L$6:$L$78,Selections!$S$6:$S$78,"&gt;="&amp;B11,Selections!$S$6:$S$78,"&lt;"&amp;C11,Selections!$T$6:$T$78,1)/D11)</f>
        <v>1.0</v>
      </c>
      <c r="G11" s="20">
        <f>IF(D11=0,"n.a.",E11-F11)</f>
        <v>-0.07233495770230114</v>
      </c>
      <c r="H11" s="21">
        <f>IF(D11=0,"n.a.",SUMIFS(Selections!$O$6:$O$78,Selections!$S$6:$S$78,"&gt;="&amp;B11,Selections!$S$6:$S$78,"&lt;"&amp;C11,Selections!$T$6:$T$78,1)/D11)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/>
      <c r="K78" s="18" t="inlineStr">
        <is>
          <t>PENDING_KICKOFF_OR_FINAL_SCORE</t>
        </is>
      </c>
      <c r="L78" s="18"/>
      <c r="M78" s="22" t="str">
        <f>IF(AND(ISNUMBER(L78),ISNUMBER(I78),I78&gt;1),'ROI Plan'!$B$5,"")</f>
        <v/>
      </c>
      <c r="N78" s="22" t="str">
        <f>IF(ISNUMBER(M78),M78*IF(K78="HALF_WON",(I78-1)/2-U78,IF(K78="HALF_LOST",-0.5-U78,IF(K78="REFUNDED",-U78,I78*L78-1-U78))),"")</f>
        <v/>
      </c>
      <c r="O78" s="21">
        <f>IF(AND(ISNUMBER(L78),ISNUMBER(H78)),(H78-L78)^2,"")</f>
      </c>
      <c r="P78" s="18" t="inlineStr">
        <is>
          <t>2026-W44</t>
        </is>
      </c>
      <c r="Q78" s="18" t="inlineStr">
        <is>
          <t>61fd07517a6df27aaf13e10dfc2e47db9451d4a2</t>
        </is>
      </c>
      <c r="R78" s="18"/>
      <c r="S78" s="20">
        <f>IF(AND(ISNUMBER(L78),ISNUMBER(H78)),H78,"")</f>
      </c>
      <c r="T78" s="19">
        <f>IF(AND(ISNUMBER(L78),ISNUMBER(H78)),1,0)</f>
        <v>0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</sheetData>
  <mergeCells count="2">
    <mergeCell ref="B2:W2"/>
    <mergeCell ref="B4:W4"/>
  </mergeCells>
  <conditionalFormatting sqref="K6:K7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Bundesliga|07 elversberg|1 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SV 07 Elversberg vs 1. FSV Mainz 05</t>
        </is>
      </c>
      <c r="E210" s="18" t="inlineStr">
        <is>
          <t>48h-zero-tolerance-ev05-no-loss75-corners-v26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026e1ab4c40e3e64dd34bad82c62ace7981ad77e</t>
        </is>
      </c>
      <c r="P210" s="18"/>
      <c r="Q210" s="18"/>
      <c r="R210" s="18"/>
    </row>
    <row r="211" ht="36" customHeight="1">
      <c r="A211" s="18" t="inlineStr">
        <is>
          <t>Bundesliga|elversberg|fsv mainz|2026-10-30</t>
        </is>
      </c>
      <c r="B211" s="23">
        <v>46325.8125</v>
      </c>
      <c r="C211" s="18" t="inlineStr">
        <is>
          <t>Bundesliga</t>
        </is>
      </c>
      <c r="D211" s="18" t="inlineStr">
        <is>
          <t>Elversberg vs FSV Mainz 05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La Liga|villarreal|espanyol|2026-10-30</t>
        </is>
      </c>
      <c r="B212" s="23">
        <v>46325.833333333336</v>
      </c>
      <c r="C212" s="18" t="inlineStr">
        <is>
          <t>La Liga</t>
        </is>
      </c>
      <c r="D212" s="18" t="inlineStr">
        <is>
          <t>Villarreal vs Espanyol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La Liga|villarreal|rcd espanyol barcelona|2026-10-30</t>
        </is>
      </c>
      <c r="B213" s="23">
        <v>46325.833333333336</v>
      </c>
      <c r="C213" s="18" t="inlineStr">
        <is>
          <t>La Liga</t>
        </is>
      </c>
      <c r="D213" s="18" t="inlineStr">
        <is>
          <t>Villarreal CF vs RCD Espanyol de Barcelona</t>
        </is>
      </c>
      <c r="E213" s="18" t="inlineStr">
        <is>
          <t>48h-zero-tolerance-ev05-no-loss75-corners-v26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026e1ab4c40e3e64dd34bad82c62ace7981ad77e</t>
        </is>
      </c>
      <c r="P213" s="18"/>
      <c r="Q213" s="18"/>
      <c r="R213" s="18"/>
    </row>
    <row r="214" ht="36" customHeight="1">
      <c r="A214" s="18" t="inlineStr">
        <is>
          <t>Ligue 1|lille osc|racing lens|2026-10-30</t>
        </is>
      </c>
      <c r="B214" s="23">
        <v>46325.836805555555</v>
      </c>
      <c r="C214" s="18" t="inlineStr">
        <is>
          <t>Ligue 1</t>
        </is>
      </c>
      <c r="D214" s="18" t="inlineStr">
        <is>
          <t>Lille OSC vs Racing Club de Lens</t>
        </is>
      </c>
      <c r="E214" s="18" t="inlineStr">
        <is>
          <t>48h-zero-tolerance-ev05-no-loss75-corners-v26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026e1ab4c40e3e64dd34bad82c62ace7981ad77e</t>
        </is>
      </c>
      <c r="P214" s="18"/>
      <c r="Q214" s="18"/>
      <c r="R214" s="18"/>
    </row>
    <row r="215" ht="36" customHeight="1">
      <c r="A215" s="18" t="inlineStr">
        <is>
          <t>Ligue 1|lille|rc lens|2026-10-30</t>
        </is>
      </c>
      <c r="B215" s="23">
        <v>46325.836805555555</v>
      </c>
      <c r="C215" s="18" t="inlineStr">
        <is>
          <t>Ligue 1</t>
        </is>
      </c>
      <c r="D215" s="18" t="inlineStr">
        <is>
          <t>Lille vs RC Lens</t>
        </is>
      </c>
      <c r="E215" s="18" t="inlineStr">
        <is>
          <t>48h-top-twelve-probability-ev-no-under35-v15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4c569effb9e7261783c7d1cc1a5b93cb0f40d309</t>
        </is>
      </c>
      <c r="P215" s="18"/>
      <c r="Q215" s="18"/>
      <c r="R215" s="18"/>
    </row>
    <row r="216" ht="36" customHeight="1">
      <c r="A216" s="18" t="inlineStr">
        <is>
          <t>Primeira Liga|casa pia|sporting cp|2026-10-30</t>
        </is>
      </c>
      <c r="B216" s="23">
        <v>46325.84375</v>
      </c>
      <c r="C216" s="18" t="inlineStr">
        <is>
          <t>Primeira Liga</t>
        </is>
      </c>
      <c r="D216" s="18" t="inlineStr">
        <is>
          <t>Casa Pia AC vs Sporting Clube de Portugal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Premier League|chelsea|man united|2026-10-31</t>
        </is>
      </c>
      <c r="B217" s="23">
        <v>46326.520833333336</v>
      </c>
      <c r="C217" s="18" t="inlineStr">
        <is>
          <t>Premier League</t>
        </is>
      </c>
      <c r="D217" s="18" t="inlineStr">
        <is>
          <t>Chelsea vs Manchester United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La Liga|levante|ath madrid|2026-10-31</t>
        </is>
      </c>
      <c r="B218" s="23">
        <v>46326.541666666664</v>
      </c>
      <c r="C218" s="18" t="inlineStr">
        <is>
          <t>La Liga</t>
        </is>
      </c>
      <c r="D218" s="18" t="inlineStr">
        <is>
          <t>Levante vs Atlético Madrid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Bundesliga|augsburg|freiburg|2026-10-31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Augsburg vs SC Freiburg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Bundesliga|bayer leverkusen|vfb stuttgart|2026-10-31</t>
        </is>
      </c>
      <c r="B220" s="23">
        <v>46326.604166666664</v>
      </c>
      <c r="C220" s="18" t="inlineStr">
        <is>
          <t>Bundesliga</t>
        </is>
      </c>
      <c r="D220" s="18" t="inlineStr">
        <is>
          <t>Bayer Leverkusen vs VfB Stuttgart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Bundesliga|m gladbach|paderborn|2026-10-31</t>
        </is>
      </c>
      <c r="B221" s="23">
        <v>46326.604166666664</v>
      </c>
      <c r="C221" s="18" t="inlineStr">
        <is>
          <t>Bundesliga</t>
        </is>
      </c>
      <c r="D221" s="18" t="inlineStr">
        <is>
          <t>Borussia Monchengladbach vs SC Paderborn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Bundesliga|schalke|rb leipzig|2026-10-31</t>
        </is>
      </c>
      <c r="B222" s="23">
        <v>46326.604166666664</v>
      </c>
      <c r="C222" s="18" t="inlineStr">
        <is>
          <t>Bundesliga</t>
        </is>
      </c>
      <c r="D222" s="18" t="inlineStr">
        <is>
          <t>FC Schalke 04 vs RB Leipzig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Bundesliga|werder bremen|tsg hoffenheim|2026-10-31</t>
        </is>
      </c>
      <c r="B223" s="23">
        <v>46326.604166666664</v>
      </c>
      <c r="C223" s="18" t="inlineStr">
        <is>
          <t>Bundesliga</t>
        </is>
      </c>
      <c r="D223" s="18" t="inlineStr">
        <is>
          <t>Werder Bremen vs TSG Hoffenheim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League|bournemouth|leeds|2026-10-31</t>
        </is>
      </c>
      <c r="B224" s="23">
        <v>46326.625</v>
      </c>
      <c r="C224" s="18" t="inlineStr">
        <is>
          <t>Premier League</t>
        </is>
      </c>
      <c r="D224" s="18" t="inlineStr">
        <is>
          <t>Bournemouth vs Leeds United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Premier League|brentford|nott m forest|2026-10-31</t>
        </is>
      </c>
      <c r="B225" s="23">
        <v>46326.625</v>
      </c>
      <c r="C225" s="18" t="inlineStr">
        <is>
          <t>Premier League</t>
        </is>
      </c>
      <c r="D225" s="18" t="inlineStr">
        <is>
          <t>Brentford vs Nottingham Forest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Premier League|coventry city|sunderland|2026-10-31</t>
        </is>
      </c>
      <c r="B226" s="23">
        <v>46326.625</v>
      </c>
      <c r="C226" s="18" t="inlineStr">
        <is>
          <t>Premier League</t>
        </is>
      </c>
      <c r="D226" s="18" t="inlineStr">
        <is>
          <t>Coventry City vs Sunderland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Premier League|hull city|ipswich town|2026-10-31</t>
        </is>
      </c>
      <c r="B227" s="23">
        <v>46326.625</v>
      </c>
      <c r="C227" s="18" t="inlineStr">
        <is>
          <t>Premier League</t>
        </is>
      </c>
      <c r="D227" s="18" t="inlineStr">
        <is>
          <t>Hull City vs Ipswich Town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Premier League|man city|brighton|2026-10-31</t>
        </is>
      </c>
      <c r="B228" s="23">
        <v>46326.625</v>
      </c>
      <c r="C228" s="18" t="inlineStr">
        <is>
          <t>Premier League</t>
        </is>
      </c>
      <c r="D228" s="18" t="inlineStr">
        <is>
          <t>Manchester City vs Brighton and Hove Albion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La Liga|rayo vallecano|celta vigo|2026-10-31</t>
        </is>
      </c>
      <c r="B229" s="23">
        <v>46326.635416666664</v>
      </c>
      <c r="C229" s="18" t="inlineStr">
        <is>
          <t>La Liga</t>
        </is>
      </c>
      <c r="D229" s="18" t="inlineStr">
        <is>
          <t>Rayo Vallecano vs Celta Vigo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Ligue 1|nice|rennes|2026-10-31</t>
        </is>
      </c>
      <c r="B230" s="23">
        <v>46326.677083333336</v>
      </c>
      <c r="C230" s="18" t="inlineStr">
        <is>
          <t>Ligue 1</t>
        </is>
      </c>
      <c r="D230" s="18" t="inlineStr">
        <is>
          <t>Nice vs Rennes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Bundesliga|bayern munich|borussia dortmund|2026-10-31</t>
        </is>
      </c>
      <c r="B231" s="23">
        <v>46326.729166666664</v>
      </c>
      <c r="C231" s="18" t="inlineStr">
        <is>
          <t>Bundesliga</t>
        </is>
      </c>
      <c r="D231" s="18" t="inlineStr">
        <is>
          <t>Bayern Munich vs Borussia Dortmund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La Liga|real betis|malaga|2026-10-31</t>
        </is>
      </c>
      <c r="B232" s="23">
        <v>46326.729166666664</v>
      </c>
      <c r="C232" s="18" t="inlineStr">
        <is>
          <t>La Liga</t>
        </is>
      </c>
      <c r="D232" s="18" t="inlineStr">
        <is>
          <t>Real Betis vs Málaga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Premier League|tottenham|crystal palace|2026-10-31</t>
        </is>
      </c>
      <c r="B233" s="23">
        <v>46326.729166666664</v>
      </c>
      <c r="C233" s="18" t="inlineStr">
        <is>
          <t>Premier League</t>
        </is>
      </c>
      <c r="D233" s="18" t="inlineStr">
        <is>
          <t>Tottenham Hotspur vs Crystal Palace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Ligue 1|lorient|brest|2026-10-31</t>
        </is>
      </c>
      <c r="B234" s="23">
        <v>46326.822916666664</v>
      </c>
      <c r="C234" s="18" t="inlineStr">
        <is>
          <t>Ligue 1</t>
        </is>
      </c>
      <c r="D234" s="18" t="inlineStr">
        <is>
          <t>Lorient vs Brest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Ligue 1|lyon|angers|2026-10-31</t>
        </is>
      </c>
      <c r="B235" s="23">
        <v>46326.822916666664</v>
      </c>
      <c r="C235" s="18" t="inlineStr">
        <is>
          <t>Ligue 1</t>
        </is>
      </c>
      <c r="D235" s="18" t="inlineStr">
        <is>
          <t>Lyon vs Angers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1|troyes|le mans|2026-10-31</t>
        </is>
      </c>
      <c r="B236" s="23">
        <v>46326.822916666664</v>
      </c>
      <c r="C236" s="18" t="inlineStr">
        <is>
          <t>Ligue 1</t>
        </is>
      </c>
      <c r="D236" s="18" t="inlineStr">
        <is>
          <t>Troyes vs Le Mans FC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La Liga|barcelona|alaves|2026-10-31</t>
        </is>
      </c>
      <c r="B237" s="23">
        <v>46326.833333333336</v>
      </c>
      <c r="C237" s="18" t="inlineStr">
        <is>
          <t>La Liga</t>
        </is>
      </c>
      <c r="D237" s="18" t="inlineStr">
        <is>
          <t>Barcelona vs Alavés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Premier League|aston villa|fulham|2026-10-31</t>
        </is>
      </c>
      <c r="B238" s="23">
        <v>46326.833333333336</v>
      </c>
      <c r="C238" s="18" t="inlineStr">
        <is>
          <t>Premier League</t>
        </is>
      </c>
      <c r="D238" s="18" t="inlineStr">
        <is>
          <t>Aston Villa vs Fulham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0117b0e0fe09a0266deb28e532f2ad9e4f4da47a</t>
        </is>
      </c>
      <c r="P238" s="18"/>
      <c r="Q238" s="18"/>
      <c r="R238" s="18"/>
    </row>
    <row r="239" ht="36" customHeight="1">
      <c r="A239" s="18" t="inlineStr">
        <is>
          <t>La Liga|getafe|sevilla|2026-11-01</t>
        </is>
      </c>
      <c r="B239" s="23">
        <v>46327.541666666664</v>
      </c>
      <c r="C239" s="18" t="inlineStr">
        <is>
          <t>La Liga</t>
        </is>
      </c>
      <c r="D239" s="18" t="inlineStr">
        <is>
          <t>Getafe vs Sevilla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0117b0e0fe09a0266deb28e532f2ad9e4f4da47a</t>
        </is>
      </c>
      <c r="P239" s="18"/>
      <c r="Q239" s="18"/>
      <c r="R239" s="18"/>
    </row>
    <row r="240" ht="36" customHeight="1">
      <c r="A240" s="18" t="inlineStr">
        <is>
          <t>Ligue 1|strasbourg|auxerre|2026-11-01</t>
        </is>
      </c>
      <c r="B240" s="23">
        <v>46327.583333333336</v>
      </c>
      <c r="C240" s="18" t="inlineStr">
        <is>
          <t>Ligue 1</t>
        </is>
      </c>
      <c r="D240" s="18" t="inlineStr">
        <is>
          <t>Strasbourg vs Auxerre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Bundesliga|union berlin|1 koln|2026-11-01</t>
        </is>
      </c>
      <c r="B241" s="23">
        <v>46327.604166666664</v>
      </c>
      <c r="C241" s="18" t="inlineStr">
        <is>
          <t>Bundesliga</t>
        </is>
      </c>
      <c r="D241" s="18" t="inlineStr">
        <is>
          <t>Union Berlin vs 1. FC Köln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La Liga|real racing santander|real madrid|2026-11-01</t>
        </is>
      </c>
      <c r="B242" s="23">
        <v>46327.635416666664</v>
      </c>
      <c r="C242" s="18" t="inlineStr">
        <is>
          <t>La Liga</t>
        </is>
      </c>
      <c r="D242" s="18" t="inlineStr">
        <is>
          <t>Real Racing Club de Santander vs Real Madrid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1|paris|as monaco|2026-11-01</t>
        </is>
      </c>
      <c r="B243" s="23">
        <v>46327.677083333336</v>
      </c>
      <c r="C243" s="18" t="inlineStr">
        <is>
          <t>Ligue 1</t>
        </is>
      </c>
      <c r="D243" s="18" t="inlineStr">
        <is>
          <t>Paris FC vs AS Monaco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Bundesliga|eintracht frankfurt|hamburger|2026-11-01</t>
        </is>
      </c>
      <c r="B244" s="23">
        <v>46327.6875</v>
      </c>
      <c r="C244" s="18" t="inlineStr">
        <is>
          <t>Bundesliga</t>
        </is>
      </c>
      <c r="D244" s="18" t="inlineStr">
        <is>
          <t>Eintracht Frankfurt vs Hamburger SV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  <row r="245" ht="36" customHeight="1">
      <c r="A245" s="18" t="inlineStr">
        <is>
          <t>Premier League|liverpool|arsenal|2026-11-01</t>
        </is>
      </c>
      <c r="B245" s="23">
        <v>46327.6875</v>
      </c>
      <c r="C245" s="18" t="inlineStr">
        <is>
          <t>Premier League</t>
        </is>
      </c>
      <c r="D245" s="18" t="inlineStr">
        <is>
          <t>Liverpool vs Arsenal</t>
        </is>
      </c>
      <c r="E245" s="18" t="inlineStr">
        <is>
          <t>48h-zero-tolerance-ev1-common-no-loss75-v22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10a7df008090a45923c14f3c84ec260b147ea047</t>
        </is>
      </c>
      <c r="P245" s="18"/>
      <c r="Q245" s="18"/>
      <c r="R245" s="18"/>
    </row>
    <row r="246" ht="36" customHeight="1">
      <c r="A246" s="18" t="inlineStr">
        <is>
          <t>La Liga|elche|valencia|2026-11-01</t>
        </is>
      </c>
      <c r="B246" s="23">
        <v>46327.729166666664</v>
      </c>
      <c r="C246" s="18" t="inlineStr">
        <is>
          <t>La Liga</t>
        </is>
      </c>
      <c r="D246" s="18" t="inlineStr">
        <is>
          <t>Elche CF vs Valencia</t>
        </is>
      </c>
      <c r="E246" s="18" t="inlineStr">
        <is>
          <t>48h-zero-tolerance-ev1-common-no-loss75-v22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10a7df008090a45923c14f3c84ec260b147ea047</t>
        </is>
      </c>
      <c r="P246" s="18"/>
      <c r="Q246" s="18"/>
      <c r="R246" s="18"/>
    </row>
    <row r="247" ht="36" customHeight="1">
      <c r="A247" s="18" t="inlineStr">
        <is>
          <t>Ligue 1|marseille|toulouse|2026-11-01</t>
        </is>
      </c>
      <c r="B247" s="23">
        <v>46327.822916666664</v>
      </c>
      <c r="C247" s="18" t="inlineStr">
        <is>
          <t>Ligue 1</t>
        </is>
      </c>
      <c r="D247" s="18" t="inlineStr">
        <is>
          <t>Marseille vs Toulouse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10a7df008090a45923c14f3c84ec260b147ea047</t>
        </is>
      </c>
      <c r="P247" s="18"/>
      <c r="Q247" s="18"/>
      <c r="R247" s="18"/>
    </row>
    <row r="248" ht="36" customHeight="1">
      <c r="A248" s="18" t="inlineStr">
        <is>
          <t>La Liga|ath bilbao|real sociedad|2026-11-01</t>
        </is>
      </c>
      <c r="B248" s="23">
        <v>46327.833333333336</v>
      </c>
      <c r="C248" s="18" t="inlineStr">
        <is>
          <t>La Liga</t>
        </is>
      </c>
      <c r="D248" s="18" t="inlineStr">
        <is>
          <t>Athletic Bilbao vs Real Sociedad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10a7df008090a45923c14f3c84ec260b147ea047</t>
        </is>
      </c>
      <c r="P248" s="18"/>
      <c r="Q248" s="18"/>
      <c r="R24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14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14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14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14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260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0.9764705882352941</v>
      </c>
      <c r="H10" s="18" t="inlineStr">
        <is>
          <t>Approval review</t>
        </is>
      </c>
      <c r="I10" s="18" t="inlineStr">
        <is>
          <t>217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0.1411764705882353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0.9764705882352941</v>
      </c>
      <c r="H12" s="18" t="inlineStr">
        <is>
          <t>Approval review</t>
        </is>
      </c>
      <c r="I12" s="18" t="inlineStr">
        <is>
          <t>217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0.9764705882352941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COUNTIFS(Selections!$P$6:$P$78,A6,Selections!$M$6:$M$78,"&gt;0")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COUNTIFS(Selections!$P$6:$P$78,A7,Selections!$M$6:$M$78,"&gt;0")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COUNTIFS(Selections!$P$6:$P$78,A8,Selections!$M$6:$M$78,"&gt;0")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0.0</v>
      </c>
      <c r="C9" s="19">
        <f>COUNTIFS(Selections!$P$6:$P$78,A9,Selections!$M$6:$M$78,"&gt;0")</f>
        <v>0</v>
      </c>
      <c r="D9" s="22" t="str">
        <f>IF(C9=0,"n.a.",Breakdowns!J49)</f>
        <v>n.a.</v>
      </c>
      <c r="E9" s="22">
        <f>IF(SUM($C$6:C9)=0,"n.a.",SUM($D$6:D9))</f>
        <v>3.8799999999999986</v>
      </c>
      <c r="F9" s="20" t="str">
        <f>Breakdowns!H49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73</v>
      </c>
      <c r="B8" s="19">
        <v>60</v>
      </c>
      <c r="C8" s="19">
        <v>46</v>
      </c>
      <c r="D8" s="19">
        <v>14</v>
      </c>
      <c r="E8" s="19">
        <v>13</v>
      </c>
      <c r="F8" s="20">
        <v>0.766667</v>
      </c>
      <c r="G8" s="20">
        <v>0.064667</v>
      </c>
      <c r="H8" s="19">
        <v>3.88</v>
      </c>
      <c r="I8" s="19">
        <v>45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0</v>
      </c>
      <c r="E55" s="19">
        <v>0</v>
      </c>
      <c r="F55" s="20"/>
      <c r="G55" s="20"/>
      <c r="H55" s="18"/>
      <c r="I55" s="19">
        <v>2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9">
      <c r="A5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2026-10-27T11:35:27.251567+00:00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1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2026-10-25</t>
        </is>
      </c>
      <c r="C15" s="19">
        <v>1980</v>
      </c>
      <c r="D15" s="19">
        <v>2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1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6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5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44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141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71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93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114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29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38</v>
      </c>
      <c r="D37" s="19">
        <v>1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72</v>
      </c>
      <c r="D38" s="19">
        <v>1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46</v>
      </c>
      <c r="C39" s="19">
        <v>26</v>
      </c>
      <c r="D39" s="19">
        <v>1</v>
      </c>
      <c r="E39" s="20">
        <v>-0.030666655948099794</v>
      </c>
      <c r="F39" s="20">
        <v>0.014734308422460327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0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0</v>
      </c>
    </row>
    <row r="51" ht="44" customHeight="1">
      <c r="A51" s="18" t="inlineStr">
        <is>
          <t>Account availability</t>
        </is>
      </c>
      <c r="B51" s="18" t="inlineStr">
        <is>
          <t>Not verified with bookmaker accounts</t>
        </is>
      </c>
    </row>
    <row r="52" ht="44" customHeight="1">
      <c r="A52" s="18" t="inlineStr">
        <is>
          <t>Past kickoff count</t>
        </is>
      </c>
      <c r="B52" s="19">
        <v>0</v>
      </c>
    </row>
    <row r="53" ht="44" customHeight="1">
      <c r="A53" s="18" t="inlineStr">
        <is>
          <t>Upcoming kickoff count</t>
        </is>
      </c>
      <c r="B53" s="19">
        <v>0</v>
      </c>
    </row>
    <row r="54" ht="44" customHeight="1">
      <c r="A54" s="18" t="inlineStr">
        <is>
          <t>Unknown kickoff count</t>
        </is>
      </c>
      <c r="B54" s="19">
        <v>0</v>
      </c>
    </row>
    <row r="57">
      <c r="A57" s="26" t="inlineStr">
        <is>
          <t>Forecast capture coverage</t>
        </is>
      </c>
    </row>
    <row r="58" ht="34" customHeight="1">
      <c r="A58" s="24" t="inlineStr">
        <is>
          <t>Experiment</t>
        </is>
      </c>
      <c r="B58" s="24" t="inlineStr">
        <is>
          <t>Capture state</t>
        </is>
      </c>
      <c r="C58" s="24" t="inlineStr">
        <is>
          <t>Snapshot count</t>
        </is>
      </c>
    </row>
    <row r="59" ht="44" customHeight="1">
      <c r="A59" s="18" t="inlineStr">
        <is>
          <t>Goal-market blend</t>
        </is>
      </c>
      <c r="B59" s="18" t="inlineStr">
        <is>
          <t>Captured</t>
        </is>
      </c>
      <c r="C59" s="19">
        <v>41</v>
      </c>
    </row>
    <row r="60" ht="44" customHeight="1">
      <c r="A60" s="18" t="inlineStr">
        <is>
          <t>Goal-market blend</t>
        </is>
      </c>
      <c r="B60" s="18" t="inlineStr">
        <is>
          <t>Legacy not recorded</t>
        </is>
      </c>
      <c r="C60" s="19">
        <v>14</v>
      </c>
    </row>
    <row r="61" ht="44" customHeight="1">
      <c r="A61" s="18" t="inlineStr">
        <is>
          <t>Market-led forecasts</t>
        </is>
      </c>
      <c r="B61" s="18" t="inlineStr">
        <is>
          <t>Captured</t>
        </is>
      </c>
      <c r="C61" s="19">
        <v>41</v>
      </c>
    </row>
    <row r="62" ht="44" customHeight="1">
      <c r="A62" s="18" t="inlineStr">
        <is>
          <t>Market-led forecasts</t>
        </is>
      </c>
      <c r="B62" s="18" t="inlineStr">
        <is>
          <t>Legacy not recorded</t>
        </is>
      </c>
      <c r="C62" s="19">
        <v>14</v>
      </c>
    </row>
    <row r="63" ht="44" customHeight="1">
      <c r="A63" s="18" t="inlineStr">
        <is>
          <t>Recency comparison</t>
        </is>
      </c>
      <c r="B63" s="18" t="inlineStr">
        <is>
          <t>Captured</t>
        </is>
      </c>
      <c r="C63" s="19">
        <v>37</v>
      </c>
    </row>
    <row r="64" ht="44" customHeight="1">
      <c r="A64" s="18" t="inlineStr">
        <is>
          <t>Recency comparison</t>
        </is>
      </c>
      <c r="B64" s="18" t="inlineStr">
        <is>
          <t>Legacy not recorded</t>
        </is>
      </c>
      <c r="C64" s="19">
        <v>18</v>
      </c>
    </row>
    <row r="65" ht="44" customHeight="1">
      <c r="A65" s="18" t="inlineStr">
        <is>
          <t>EV filter sensitivity</t>
        </is>
      </c>
      <c r="B65" s="18" t="inlineStr">
        <is>
          <t>Captured</t>
        </is>
      </c>
      <c r="C65" s="19">
        <v>23</v>
      </c>
    </row>
    <row r="66" ht="44" customHeight="1">
      <c r="A66" s="18" t="inlineStr">
        <is>
          <t>EV filter sensitivity</t>
        </is>
      </c>
      <c r="B66" s="18" t="inlineStr">
        <is>
          <t>Legacy not recorded</t>
        </is>
      </c>
      <c r="C66" s="19">
        <v>19</v>
      </c>
    </row>
    <row r="67" ht="44" customHeight="1">
      <c r="A67" s="18" t="inlineStr">
        <is>
          <t>EV filter sensitivity</t>
        </is>
      </c>
      <c r="B67" s="18" t="inlineStr">
        <is>
          <t>Not generated</t>
        </is>
      </c>
      <c r="C67" s="19">
        <v>13</v>
      </c>
    </row>
    <row r="68" ht="44" customHeight="1">
      <c r="A68" s="18" t="inlineStr">
        <is>
          <t>85% market weight</t>
        </is>
      </c>
      <c r="B68" s="18" t="inlineStr">
        <is>
          <t>Captured</t>
        </is>
      </c>
      <c r="C68" s="19">
        <v>34</v>
      </c>
    </row>
    <row r="69" ht="44" customHeight="1">
      <c r="A69" s="18" t="inlineStr">
        <is>
          <t>85% market weight</t>
        </is>
      </c>
      <c r="B69" s="18" t="inlineStr">
        <is>
          <t>Legacy not recorded</t>
        </is>
      </c>
      <c r="C69" s="19">
        <v>20</v>
      </c>
    </row>
    <row r="70" ht="44" customHeight="1">
      <c r="A70" s="18" t="inlineStr">
        <is>
          <t>85% market weight</t>
        </is>
      </c>
      <c r="B70" s="18" t="inlineStr">
        <is>
          <t>Present but rejected</t>
        </is>
      </c>
      <c r="C70" s="19">
        <v>1</v>
      </c>
    </row>
    <row r="71" ht="44" customHeight="1">
      <c r="A71" s="18" t="inlineStr">
        <is>
          <t>Pinnacle totals anchor</t>
        </is>
      </c>
      <c r="B71" s="18" t="inlineStr">
        <is>
          <t>Captured</t>
        </is>
      </c>
      <c r="C71" s="19">
        <v>34</v>
      </c>
    </row>
    <row r="72" ht="44" customHeight="1">
      <c r="A72" s="18" t="inlineStr">
        <is>
          <t>Pinnacle totals anchor</t>
        </is>
      </c>
      <c r="B72" s="18" t="inlineStr">
        <is>
          <t>Legacy not recorded</t>
        </is>
      </c>
      <c r="C72" s="19">
        <v>21</v>
      </c>
    </row>
    <row r="73" ht="44" customHeight="1">
      <c r="A73" s="18" t="inlineStr">
        <is>
          <t>Stronger regularisation (L2=3)</t>
        </is>
      </c>
      <c r="B73" s="18" t="inlineStr">
        <is>
          <t>Legacy not recorded</t>
        </is>
      </c>
      <c r="C73" s="19">
        <v>55</v>
      </c>
    </row>
    <row r="74" ht="44" customHeight="1">
      <c r="A74" s="18" t="inlineStr">
        <is>
          <t>Fixed half-life (480 days)</t>
        </is>
      </c>
      <c r="B74" s="18" t="inlineStr">
        <is>
          <t>Legacy not recorded</t>
        </is>
      </c>
      <c r="C74" s="19">
        <v>55</v>
      </c>
    </row>
    <row r="75" ht="44" customHeight="1">
      <c r="A75" s="18" t="inlineStr">
        <is>
          <t>Probability / calibration policy</t>
        </is>
      </c>
      <c r="B75" s="18" t="inlineStr">
        <is>
          <t>Captured</t>
        </is>
      </c>
      <c r="C75" s="19">
        <v>15</v>
      </c>
    </row>
    <row r="76" ht="44" customHeight="1">
      <c r="A76" s="18" t="inlineStr">
        <is>
          <t>Probability / calibration policy</t>
        </is>
      </c>
      <c r="B76" s="18" t="inlineStr">
        <is>
          <t>Legacy not recorded</t>
        </is>
      </c>
      <c r="C76" s="19">
        <v>26</v>
      </c>
    </row>
    <row r="77" ht="44" customHeight="1">
      <c r="A77" s="18" t="inlineStr">
        <is>
          <t>Probability / calibration policy</t>
        </is>
      </c>
      <c r="B77" s="18" t="inlineStr">
        <is>
          <t>Not generated</t>
        </is>
      </c>
      <c r="C77" s="19">
        <v>13</v>
      </c>
    </row>
    <row r="78" ht="44" customHeight="1">
      <c r="A78" s="18" t="inlineStr">
        <is>
          <t>Probability / calibration policy</t>
        </is>
      </c>
      <c r="B78" s="18" t="inlineStr">
        <is>
          <t>Present but rejected</t>
        </is>
      </c>
      <c r="C78" s="19">
        <v>1</v>
      </c>
    </row>
    <row r="79" ht="44" customHeight="1">
      <c r="A79" s="18" t="inlineStr">
        <is>
          <t>Shortlist probability / EV weights</t>
        </is>
      </c>
      <c r="B79" s="18" t="inlineStr">
        <is>
          <t>Captured</t>
        </is>
      </c>
      <c r="C79" s="19">
        <v>7</v>
      </c>
    </row>
    <row r="80" ht="44" customHeight="1">
      <c r="A80" s="18" t="inlineStr">
        <is>
          <t>Shortlist probability / EV weights</t>
        </is>
      </c>
      <c r="B80" s="18" t="inlineStr">
        <is>
          <t>Legacy not recorded</t>
        </is>
      </c>
      <c r="C80" s="19">
        <v>35</v>
      </c>
    </row>
    <row r="81" ht="44" customHeight="1">
      <c r="A81" s="18" t="inlineStr">
        <is>
          <t>Shortlist probability / EV weights</t>
        </is>
      </c>
      <c r="B81" s="18" t="inlineStr">
        <is>
          <t>Not generated</t>
        </is>
      </c>
      <c r="C81" s="19">
        <v>13</v>
      </c>
    </row>
    <row r="84">
      <c r="A84" s="26" t="inlineStr">
        <is>
          <t>EV sensitivity results</t>
        </is>
      </c>
    </row>
    <row r="85" ht="34" customHeight="1">
      <c r="A85" s="24" t="inlineStr">
        <is>
          <t>EV floor</t>
        </is>
      </c>
      <c r="B85" s="24" t="inlineStr">
        <is>
          <t>Tier</t>
        </is>
      </c>
      <c r="C85" s="24" t="inlineStr">
        <is>
          <t>Selected</t>
        </is>
      </c>
      <c r="D85" s="24" t="inlineStr">
        <is>
          <t>Settled</t>
        </is>
      </c>
      <c r="E85" s="24" t="inlineStr">
        <is>
          <t>Simulated ROI</t>
        </is>
      </c>
      <c r="F85" s="24" t="inlineStr">
        <is>
          <t>Drawdown (units)</t>
        </is>
      </c>
    </row>
    <row r="86" ht="44" customHeight="1">
      <c r="A86" s="20">
        <v>0.015</v>
      </c>
      <c r="B86" s="18" t="inlineStr">
        <is>
          <t>ALL</t>
        </is>
      </c>
      <c r="C86" s="19">
        <v>9</v>
      </c>
      <c r="D86" s="19">
        <v>8</v>
      </c>
      <c r="E86" s="20">
        <v>0.1725</v>
      </c>
      <c r="F86" s="22">
        <v>1.0</v>
      </c>
    </row>
    <row r="87" ht="44" customHeight="1">
      <c r="A87" s="20">
        <v>0.015</v>
      </c>
      <c r="B87" s="18" t="inlineStr">
        <is>
          <t>STRICT</t>
        </is>
      </c>
      <c r="C87" s="19">
        <v>7</v>
      </c>
      <c r="D87" s="19">
        <v>6</v>
      </c>
      <c r="E87" s="20">
        <v>0.09833333333333331</v>
      </c>
      <c r="F87" s="22">
        <v>1.0</v>
      </c>
    </row>
    <row r="88" ht="44" customHeight="1">
      <c r="A88" s="20">
        <v>0.015</v>
      </c>
      <c r="B88" s="18" t="inlineStr">
        <is>
          <t>PROVISIONAL</t>
        </is>
      </c>
      <c r="C88" s="19">
        <v>2</v>
      </c>
      <c r="D88" s="19">
        <v>2</v>
      </c>
      <c r="E88" s="20">
        <v>0.395</v>
      </c>
      <c r="F88" s="22">
        <v>0.0</v>
      </c>
    </row>
    <row r="89" ht="44" customHeight="1">
      <c r="A89" s="20">
        <v>0.03</v>
      </c>
      <c r="B89" s="18" t="inlineStr">
        <is>
          <t>ALL</t>
        </is>
      </c>
      <c r="C89" s="19">
        <v>8</v>
      </c>
      <c r="D89" s="19">
        <v>7</v>
      </c>
      <c r="E89" s="20">
        <v>0.16285714285714284</v>
      </c>
      <c r="F89" s="22">
        <v>1.0</v>
      </c>
    </row>
    <row r="90" ht="44" customHeight="1">
      <c r="A90" s="20">
        <v>0.03</v>
      </c>
      <c r="B90" s="18" t="inlineStr">
        <is>
          <t>STRICT</t>
        </is>
      </c>
      <c r="C90" s="19">
        <v>6</v>
      </c>
      <c r="D90" s="19">
        <v>5</v>
      </c>
      <c r="E90" s="20">
        <v>0.06999999999999998</v>
      </c>
      <c r="F90" s="22">
        <v>1.0</v>
      </c>
    </row>
    <row r="91" ht="44" customHeight="1">
      <c r="A91" s="20">
        <v>0.03</v>
      </c>
      <c r="B91" s="18" t="inlineStr">
        <is>
          <t>PROVISIONAL</t>
        </is>
      </c>
      <c r="C91" s="19">
        <v>2</v>
      </c>
      <c r="D91" s="19">
        <v>2</v>
      </c>
      <c r="E91" s="20">
        <v>0.395</v>
      </c>
      <c r="F91" s="22">
        <v>0.0</v>
      </c>
    </row>
    <row r="92" ht="44" customHeight="1">
      <c r="A92" s="20">
        <v>0.05</v>
      </c>
      <c r="B92" s="18" t="inlineStr">
        <is>
          <t>ALL</t>
        </is>
      </c>
      <c r="C92" s="19">
        <v>7</v>
      </c>
      <c r="D92" s="19">
        <v>6</v>
      </c>
      <c r="E92" s="20">
        <v>0.14666666666666664</v>
      </c>
      <c r="F92" s="22">
        <v>1.0</v>
      </c>
    </row>
    <row r="93" ht="44" customHeight="1">
      <c r="A93" s="20">
        <v>0.05</v>
      </c>
      <c r="B93" s="18" t="inlineStr">
        <is>
          <t>STRICT</t>
        </is>
      </c>
      <c r="C93" s="19">
        <v>5</v>
      </c>
      <c r="D93" s="19">
        <v>5</v>
      </c>
      <c r="E93" s="20">
        <v>0.06999999999999998</v>
      </c>
      <c r="F93" s="22">
        <v>1.0</v>
      </c>
    </row>
    <row r="94" ht="44" customHeight="1">
      <c r="A94" s="20">
        <v>0.05</v>
      </c>
      <c r="B94" s="18" t="inlineStr">
        <is>
          <t>PROVISIONAL</t>
        </is>
      </c>
      <c r="C94" s="19">
        <v>2</v>
      </c>
      <c r="D94" s="19">
        <v>1</v>
      </c>
      <c r="E94" s="20">
        <v>0.53</v>
      </c>
      <c r="F94" s="22">
        <v>0.0</v>
      </c>
    </row>
    <row r="97">
      <c r="A97" s="26" t="inlineStr">
        <is>
          <t>Daily review observations</t>
        </is>
      </c>
    </row>
    <row r="98" ht="34" customHeight="1">
      <c r="A98" s="24" t="inlineStr">
        <is>
          <t>Review date</t>
        </is>
      </c>
      <c r="B98" s="24" t="inlineStr">
        <is>
          <t>Graded</t>
        </is>
      </c>
      <c r="C98" s="24" t="inlineStr">
        <is>
          <t>Win rate</t>
        </is>
      </c>
      <c r="D98" s="24" t="inlineStr">
        <is>
          <t>Simulated ROI</t>
        </is>
      </c>
      <c r="E98" s="24" t="inlineStr">
        <is>
          <t>Brier</t>
        </is>
      </c>
    </row>
    <row r="99" ht="44" customHeight="1">
      <c r="A99" s="18" t="inlineStr">
        <is>
          <t>2026-10-13</t>
        </is>
      </c>
      <c r="B99" s="19">
        <v>9</v>
      </c>
      <c r="C99" s="20">
        <v>0.666667</v>
      </c>
      <c r="D99" s="20">
        <v>-0.096667</v>
      </c>
      <c r="E99" s="21">
        <v>0.250532</v>
      </c>
    </row>
    <row r="100" ht="44" customHeight="1">
      <c r="A100" s="18" t="inlineStr">
        <is>
          <t>2026-10-14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2026-10-15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2026-10-16</t>
        </is>
      </c>
      <c r="B102" s="19">
        <v>12</v>
      </c>
      <c r="C102" s="20">
        <v>0.75</v>
      </c>
      <c r="D102" s="20">
        <v>0.031667</v>
      </c>
      <c r="E102" s="21">
        <v>0.199836</v>
      </c>
    </row>
    <row r="103" ht="44" customHeight="1">
      <c r="A103" s="18" t="inlineStr">
        <is>
          <t>2026-10-17</t>
        </is>
      </c>
      <c r="B103" s="19">
        <v>17</v>
      </c>
      <c r="C103" s="20">
        <v>0.764706</v>
      </c>
      <c r="D103" s="20">
        <v>0.044706</v>
      </c>
      <c r="E103" s="21">
        <v>0.178798</v>
      </c>
    </row>
    <row r="104" ht="44" customHeight="1">
      <c r="A104" s="18" t="inlineStr">
        <is>
          <t>2026-10-18</t>
        </is>
      </c>
      <c r="B104" s="19">
        <v>26</v>
      </c>
      <c r="C104" s="20">
        <v>0.807692</v>
      </c>
      <c r="D104" s="20">
        <v>0.108077</v>
      </c>
      <c r="E104" s="21">
        <v>0.161003</v>
      </c>
    </row>
    <row r="105" ht="44" customHeight="1">
      <c r="A105" s="18" t="inlineStr">
        <is>
          <t>2026-10-19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2026-10-20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2026-10-21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2026-10-22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2026-10-23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2026-10-24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2026-10-25</t>
        </is>
      </c>
      <c r="B111" s="19">
        <v>59</v>
      </c>
      <c r="C111" s="20">
        <v>0.762712</v>
      </c>
      <c r="D111" s="20">
        <v>0.05678</v>
      </c>
      <c r="E111" s="21">
        <v>0.154528</v>
      </c>
    </row>
    <row r="112" ht="44" customHeight="1">
      <c r="A112" s="18" t="inlineStr">
        <is>
          <t>2026-10-26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2026-10-27</t>
        </is>
      </c>
      <c r="B113" s="19">
        <v>60</v>
      </c>
      <c r="C113" s="20">
        <v>0.766667</v>
      </c>
      <c r="D113" s="20">
        <v>0.064667</v>
      </c>
      <c r="E113" s="21">
        <v>0.153157</v>
      </c>
    </row>
    <row r="116">
      <c r="A116" s="26" t="inlineStr">
        <is>
          <t>Dependency versions</t>
        </is>
      </c>
    </row>
    <row r="117" ht="34" customHeight="1">
      <c r="A117" s="24" t="inlineStr">
        <is>
          <t>Dependency</t>
        </is>
      </c>
      <c r="B117" s="24" t="inlineStr">
        <is>
          <t>Version</t>
        </is>
      </c>
    </row>
    <row r="118" ht="44" customHeight="1">
      <c r="A118" s="18" t="inlineStr">
        <is>
          <t>python</t>
        </is>
      </c>
      <c r="B118" s="18" t="inlineStr">
        <is>
          <t>3.12.15</t>
        </is>
      </c>
    </row>
    <row r="119" ht="44" customHeight="1">
      <c r="A119" s="18" t="inlineStr">
        <is>
          <t>numpy</t>
        </is>
      </c>
      <c r="B119" s="18" t="inlineStr">
        <is>
          <t>2.5.4</t>
        </is>
      </c>
    </row>
    <row r="120" ht="44" customHeight="1">
      <c r="A120" s="18" t="inlineStr">
        <is>
          <t>pandas</t>
        </is>
      </c>
      <c r="B120" s="18" t="inlineStr">
        <is>
          <t>3.1.0</t>
        </is>
      </c>
    </row>
    <row r="121" ht="44" customHeight="1">
      <c r="A121" s="18" t="inlineStr">
        <is>
          <t>scipy</t>
        </is>
      </c>
      <c r="B121" s="18" t="inlineStr">
        <is>
          <t>1.18.1</t>
        </is>
      </c>
    </row>
    <row r="122" ht="44" customHeight="1">
      <c r="A122" s="18" t="inlineStr">
        <is>
          <t>requests</t>
        </is>
      </c>
      <c r="B122" s="18" t="inlineStr">
        <is>
          <t>2.34.2</t>
        </is>
      </c>
    </row>
    <row r="123" ht="44" customHeight="1">
      <c r="A123" s="18" t="inlineStr">
        <is>
          <t>rapidfuzz</t>
        </is>
      </c>
      <c r="B123" s="18" t="inlineStr">
        <is>
          <t>3.14.6</t>
        </is>
      </c>
    </row>
    <row r="124" ht="44" customHeight="1">
      <c r="A124" s="18" t="inlineStr">
        <is>
          <t>python-dotenv</t>
        </is>
      </c>
      <c r="B124" s="18" t="inlineStr">
        <is>
          <t>1.2.4</t>
        </is>
      </c>
    </row>
    <row r="125" ht="44" customHeight="1">
      <c r="A125" s="18" t="inlineStr">
        <is>
          <t>coverage</t>
        </is>
      </c>
      <c r="B125" s="18" t="inlineStr">
        <is>
          <t>7.17.0</t>
        </is>
      </c>
    </row>
    <row r="126" ht="44" customHeight="1">
      <c r="A126" s="18" t="inlineStr">
        <is>
          <t>PyYAML</t>
        </is>
      </c>
      <c r="B126" s="18" t="inlineStr">
        <is>
          <t>6.0.3</t>
        </is>
      </c>
    </row>
    <row r="129">
      <c r="A12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7:F57"/>
    <mergeCell ref="A84:F84"/>
    <mergeCell ref="A97:F97"/>
    <mergeCell ref="A116:F11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hyperlinks>
    <hyperlink ref="A12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</sheetData>
  <autoFilter ref="A5:H60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2026-10-27T11:35:27.251567+00:00; 1376 candidates on 133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1376</v>
      </c>
      <c r="D9" s="19">
        <v>133</v>
      </c>
      <c r="E9" s="20">
        <v>-0.03274642082773921</v>
      </c>
      <c r="F9" s="20">
        <v>0.2754360465116279</v>
      </c>
      <c r="G9" s="22">
        <v>-11.713486798710083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824</v>
      </c>
      <c r="D11" s="19">
        <v>127</v>
      </c>
      <c r="E11" s="20">
        <v>0.007429215813202136</v>
      </c>
      <c r="F11" s="20">
        <v>0.529126213592233</v>
      </c>
      <c r="G11" s="22">
        <v>2.8392863246721123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133</v>
      </c>
      <c r="D15" s="18"/>
      <c r="E15" s="21">
        <v>-0.09782435117087487</v>
      </c>
      <c r="F15" s="20">
        <v>0.6015037593984962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310</v>
      </c>
      <c r="D20" s="19">
        <v>17</v>
      </c>
      <c r="E20" s="20">
        <v>-0.040520696326017715</v>
      </c>
      <c r="F20" s="20">
        <v>0.24193548387096775</v>
      </c>
      <c r="G20" s="22">
        <v>-20.705675200420465</v>
      </c>
      <c r="H20" s="20">
        <v>-0.0012033032040851546</v>
      </c>
      <c r="I20" s="19">
        <v>310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237</v>
      </c>
      <c r="D21" s="19">
        <v>99</v>
      </c>
      <c r="E21" s="20">
        <v>-0.02260227777420532</v>
      </c>
      <c r="F21" s="20">
        <v>0.4092827004219409</v>
      </c>
      <c r="G21" s="22">
        <v>-5.678347327104944</v>
      </c>
      <c r="H21" s="20">
        <v>0.03044222102562871</v>
      </c>
      <c r="I21" s="19">
        <v>178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215</v>
      </c>
      <c r="D22" s="19">
        <v>90</v>
      </c>
      <c r="E22" s="20">
        <v>-0.03899684659949059</v>
      </c>
      <c r="F22" s="20">
        <v>0.27906976744186046</v>
      </c>
      <c r="G22" s="22">
        <v>-8.370138471244983</v>
      </c>
      <c r="H22" s="20">
        <v>0.001119596501495756</v>
      </c>
      <c r="I22" s="19">
        <v>215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205</v>
      </c>
      <c r="D23" s="19">
        <v>79</v>
      </c>
      <c r="E23" s="20">
        <v>-0.030934312555478696</v>
      </c>
      <c r="F23" s="20">
        <v>0.13170731707317074</v>
      </c>
      <c r="G23" s="22">
        <v>-13.286302587052933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80</v>
      </c>
      <c r="D25" s="19">
        <v>16</v>
      </c>
      <c r="E25" s="20">
        <v>-0.057172441537914585</v>
      </c>
      <c r="F25" s="20">
        <v>0.2625</v>
      </c>
      <c r="G25" s="22">
        <v>-7.159954322598122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704</v>
      </c>
      <c r="D48" s="19">
        <v>103</v>
      </c>
      <c r="E48" s="20">
        <v>-0.03661789375785826</v>
      </c>
      <c r="F48" s="20">
        <v>0.2372159090909091</v>
      </c>
      <c r="G48" s="22">
        <v>-15.629925179977663</v>
      </c>
      <c r="H48" s="20">
        <v>0.006458286354804325</v>
      </c>
      <c r="I48" s="19">
        <v>456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324</v>
      </c>
      <c r="D49" s="19">
        <v>39</v>
      </c>
      <c r="E49" s="20">
        <v>-0.0359965113628846</v>
      </c>
      <c r="F49" s="20">
        <v>0.23148148148148148</v>
      </c>
      <c r="G49" s="22">
        <v>-9.857767218943463</v>
      </c>
      <c r="H49" s="20">
        <v>0.004146594935900756</v>
      </c>
      <c r="I49" s="19">
        <v>213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284</v>
      </c>
      <c r="D50" s="19">
        <v>81</v>
      </c>
      <c r="E50" s="20">
        <v>-0.018509639822468844</v>
      </c>
      <c r="F50" s="20">
        <v>0.4225352112676056</v>
      </c>
      <c r="G50" s="22">
        <v>-2.153854465768168</v>
      </c>
      <c r="H50" s="20">
        <v>0.024021129767916805</v>
      </c>
      <c r="I50" s="19">
        <v>135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</v>
      </c>
      <c r="F51" s="20">
        <v>0.265625</v>
      </c>
      <c r="G51" s="22">
        <v>-1.724534799744848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1312</v>
      </c>
      <c r="D56" s="19">
        <v>133</v>
      </c>
      <c r="E56" s="20">
        <v>-0.03297359748045886</v>
      </c>
      <c r="F56" s="20">
        <v>0.2774390243902439</v>
      </c>
      <c r="G56" s="22">
        <v>-11.214774646435504</v>
      </c>
      <c r="H56" s="20">
        <v>0.00762851924299777</v>
      </c>
      <c r="I56" s="19">
        <v>773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La Liga</t>
        </is>
      </c>
      <c r="B63" s="18"/>
      <c r="C63" s="19">
        <v>221</v>
      </c>
      <c r="D63" s="19">
        <v>17</v>
      </c>
      <c r="E63" s="20">
        <v>-0.033595887547028996</v>
      </c>
      <c r="F63" s="20">
        <v>0.248868778280543</v>
      </c>
      <c r="G63" s="22">
        <v>-8.03789509807613</v>
      </c>
      <c r="H63" s="20">
        <v>0.0034362920469933472</v>
      </c>
      <c r="I63" s="19">
        <v>137</v>
      </c>
      <c r="J63" s="18" t="inlineStr">
        <is>
          <t>Small sample</t>
        </is>
      </c>
    </row>
    <row r="64" ht="30" customHeight="1">
      <c r="A64" s="18" t="inlineStr">
        <is>
          <t>Bundesliga</t>
        </is>
      </c>
      <c r="B64" s="18"/>
      <c r="C64" s="19">
        <v>206</v>
      </c>
      <c r="D64" s="19">
        <v>16</v>
      </c>
      <c r="E64" s="20">
        <v>-0.03417691477215487</v>
      </c>
      <c r="F64" s="20">
        <v>0.2766990291262136</v>
      </c>
      <c r="G64" s="22">
        <v>-6.282940875927583</v>
      </c>
      <c r="H64" s="20">
        <v>0.011464541483792197</v>
      </c>
      <c r="I64" s="19">
        <v>127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203</v>
      </c>
      <c r="D65" s="19">
        <v>18</v>
      </c>
      <c r="E65" s="20">
        <v>-0.03330555571298487</v>
      </c>
      <c r="F65" s="20">
        <v>0.22167487684729065</v>
      </c>
      <c r="G65" s="22">
        <v>-4.176009689355321</v>
      </c>
      <c r="H65" s="20">
        <v>0.0059867969616587986</v>
      </c>
      <c r="I65" s="19">
        <v>112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193</v>
      </c>
      <c r="D66" s="19">
        <v>17</v>
      </c>
      <c r="E66" s="20">
        <v>-0.026766538868986927</v>
      </c>
      <c r="F66" s="20">
        <v>0.29533678756476683</v>
      </c>
      <c r="G66" s="22">
        <v>-2.8166538081437302</v>
      </c>
      <c r="H66" s="20">
        <v>0.010241295878031926</v>
      </c>
      <c r="I66" s="19">
        <v>126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