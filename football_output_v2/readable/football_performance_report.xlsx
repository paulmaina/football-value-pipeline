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8.0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0.3799999999999999</v>
                </pt>
                <pt idx="2">
                  <v>0.3799999999999999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0.3799999999999999</c:v>
                </c:pt>
                <c:pt idx="15">
                  <c:v>0.3799999999999999</c:v>
                </c:pt>
                <c:pt idx="16">
                  <c:v>0.3799999999999999</c:v>
                </c:pt>
                <c:pt idx="17">
                  <c:v>0.3799999999999999</c:v>
                </c:pt>
                <c:pt idx="18">
                  <c:v>0.3799999999999999</c:v>
                </c:pt>
                <c:pt idx="19">
                  <c:v>0.3799999999999999</c:v>
                </c:pt>
                <c:pt idx="20">
                  <c:v>0.3799999999999999</c:v>
                </c:pt>
                <c:pt idx="21">
                  <c:v>0.3799999999999999</c:v>
                </c:pt>
                <c:pt idx="22">
                  <c:v>0.3799999999999999</c:v>
                </c:pt>
                <c:pt idx="23">
                  <c:v>0.3799999999999999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0.8547176992047558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0.5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7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12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0.031666666666666655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0.3799999999999999</v>
      </c>
      <c r="C14" s="18"/>
      <c r="D14" s="18" t="inlineStr">
        <is>
          <t>12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0.19983601281644184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0.631578947368421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0.5431063721052631</v>
      </c>
      <c r="C17" s="18"/>
      <c r="D17" s="18" t="inlineStr">
        <is>
          <t>Over 1.5</t>
        </is>
      </c>
      <c r="E17" s="18">
        <f>COUNT(Predictions!J6:J168)</f>
        <v>38</v>
      </c>
      <c r="F17" s="20">
        <f>IF(E17=0,"n.a.",AVERAGE(Predictions!J6:J168))</f>
        <v>0.8947368421052632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0.46768966087934005</v>
      </c>
      <c r="C18" s="18"/>
      <c r="D18" s="18" t="inlineStr">
        <is>
          <t>Under 3.5</t>
        </is>
      </c>
      <c r="E18" s="18">
        <f>COUNT(Predictions!K6:K168)</f>
        <v>38</v>
      </c>
      <c r="F18" s="20">
        <f>IF(E18=0,"n.a.",AVERAGE(Predictions!K6:K168))</f>
        <v>0.5789473684210527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0.9110599603710386</v>
      </c>
      <c r="C19" s="18"/>
      <c r="D19" s="18" t="inlineStr">
        <is>
          <t>BTTS Yes</t>
        </is>
      </c>
      <c r="E19" s="18">
        <f>COUNT(Predictions!L6:L168)</f>
        <v>38</v>
      </c>
      <c r="F19" s="20">
        <f>IF(E19=0,"n.a.",AVERAGE(Predictions!L6:L168))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38</v>
      </c>
      <c r="F20" s="20">
        <f>IF(E20=0,"n.a.",AVERAGE(Predictions!M6:M168))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9 wins from 12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2026-10-17T06:09:23.758904+00:00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27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2026-10-16 22:22:42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0.3799999999999999</v>
      </c>
      <c r="G24" s="22">
        <f>$B$4+F24</f>
        <v>100.38</v>
      </c>
      <c r="H24" s="22">
        <f>MAX($B$4,$G$10:G24)</f>
        <v>100.38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0.3799999999999999</v>
      </c>
      <c r="G25" s="22">
        <f>$B$4+F25</f>
        <v>100.38</v>
      </c>
      <c r="H25" s="22">
        <f>MAX($B$4,$G$10:G25)</f>
        <v>100.38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0.3799999999999999</v>
      </c>
      <c r="G26" s="22">
        <f>$B$4+F26</f>
        <v>100.38</v>
      </c>
      <c r="H26" s="22">
        <f>MAX($B$4,$G$10:G26)</f>
        <v>100.38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0.3799999999999999</v>
      </c>
      <c r="G27" s="22">
        <f>$B$4+F27</f>
        <v>100.38</v>
      </c>
      <c r="H27" s="22">
        <f>MAX($B$4,$G$10:G27)</f>
        <v>100.38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0.3799999999999999</v>
      </c>
      <c r="G28" s="22">
        <f>$B$4+F28</f>
        <v>100.38</v>
      </c>
      <c r="H28" s="22">
        <f>MAX($B$4,$G$10:G28)</f>
        <v>100.38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0.3799999999999999</v>
      </c>
      <c r="G29" s="22">
        <f>$B$4+F29</f>
        <v>100.38</v>
      </c>
      <c r="H29" s="22">
        <f>MAX($B$4,$G$10:G29)</f>
        <v>100.38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0.3799999999999999</v>
      </c>
      <c r="G30" s="22">
        <f>$B$4+F30</f>
        <v>100.38</v>
      </c>
      <c r="H30" s="22">
        <f>MAX($B$4,$G$10:G30)</f>
        <v>100.38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0.3799999999999999</v>
      </c>
      <c r="G31" s="22">
        <f>$B$4+F31</f>
        <v>100.38</v>
      </c>
      <c r="H31" s="22">
        <f>MAX($B$4,$G$10:G31)</f>
        <v>100.38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0.3799999999999999</v>
      </c>
      <c r="G32" s="22">
        <f>$B$4+F32</f>
        <v>100.38</v>
      </c>
      <c r="H32" s="22">
        <f>MAX($B$4,$G$10:G32)</f>
        <v>100.38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0.3799999999999999</v>
      </c>
      <c r="G33" s="22">
        <f>$B$4+F33</f>
        <v>100.38</v>
      </c>
      <c r="H33" s="22">
        <f>MAX($B$4,$G$10:G33)</f>
        <v>100.38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12</v>
      </c>
      <c r="E6" s="19">
        <f>COUNTIFS(Selections!$K$6:$K$29,"WON")</f>
        <v>9</v>
      </c>
      <c r="F6" s="19">
        <f>COUNTIFS(Selections!$K$6:$K$29,"LOST")</f>
        <v>3</v>
      </c>
      <c r="G6" s="19">
        <f>COUNTA(Selections!$A$6:$A$29)-(COUNTIFS(Selections!$K$6:$K$29,"WON")+COUNTIFS(Selections!$K$6:$K$29,"LOST"))</f>
        <v>12</v>
      </c>
      <c r="H6" s="20">
        <f>IF((COUNTIFS(Selections!$K$6:$K$29,"WON")+COUNTIFS(Selections!$K$6:$K$29,"LOST"))=0,"n.a.",COUNTIFS(Selections!$K$6:$K$29,"WON")/(COUNTIFS(Selections!$K$6:$K$29,"WON")+COUNTIFS(Selections!$K$6:$K$29,"LOST")))</f>
        <v>0.75</v>
      </c>
      <c r="I6" s="22">
        <f>SUM(Selections!$M$6:$M$29)</f>
        <v>12</v>
      </c>
      <c r="J6" s="22">
        <f>SUM(Selections!$N$6:$N$29)</f>
        <v>0.3799999999999999</v>
      </c>
      <c r="K6" s="20">
        <f>IF(SUM(Selections!$M$6:$M$29)=0,"n.a.",SUM(Selections!$N$6:$N$29)/SUM(Selections!$M$6:$M$29))</f>
        <v>0.031666666666666655</v>
      </c>
      <c r="L6" s="21">
        <f>IF(SUM(Selections!$T$6:$T$29)=0,"n.a.",SUM(Selections!$O$6:$O$29)/SUM(Selections!$T$6:$T$29))</f>
        <v>0.19983601281644184</v>
      </c>
      <c r="M6" s="20">
        <f>IF(SUM(Selections!$T$6:$T$29)=0,"n.a.",SUM(Selections!$S$6:$S$29)/SUM(Selections!$T$6:$T$29))</f>
        <v>0.8052790441971117</v>
      </c>
      <c r="N6" s="20">
        <f>IF(SUM(Selections!$T$6:$T$29)=0,"n.a.",(SUMIFS(Selections!$L$6:$L$29,Selections!$T$6:$T$29,1))/SUM(Selections!$T$6:$T$29))</f>
        <v>0.75</v>
      </c>
      <c r="O6" s="20">
        <f>IF(SUM(Selections!$T$6:$T$29)=0,"n.a.",(SUM(Selections!$S$6:$S$29)-(SUMIFS(Selections!$L$6:$L$29,Selections!$T$6:$T$29,1)))/SUM(Selections!$T$6:$T$29))</f>
        <v>0.055279044197111715</v>
      </c>
      <c r="P6" s="19">
        <f>SUM(Selections!$T$6:$T$29)</f>
        <v>12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(n=12).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7</v>
      </c>
      <c r="E7" s="19">
        <f>COUNTIFS(Selections!$F$6:$F$29,"STRICT",Selections!$K$6:$K$29,"WON")</f>
        <v>7</v>
      </c>
      <c r="F7" s="19">
        <f>COUNTIFS(Selections!$F$6:$F$29,"STRICT",Selections!$K$6:$K$29,"LOST")</f>
        <v>0</v>
      </c>
      <c r="G7" s="19">
        <f>COUNTIFS(Selections!$F$6:$F$29,"STRICT")-(COUNTIFS(Selections!$F$6:$F$29,"STRICT",Selections!$K$6:$K$29,"WON")+COUNTIFS(Selections!$F$6:$F$29,"STRICT",Selections!$K$6:$K$29,"LOST"))</f>
        <v>7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1.0</v>
      </c>
      <c r="I7" s="22">
        <f>SUMIFS(Selections!$M$6:$M$29,Selections!$F$6:$F$29,"STRICT")</f>
        <v>7</v>
      </c>
      <c r="J7" s="22">
        <f>SUMIFS(Selections!$N$6:$N$29,Selections!$F$6:$F$29,"STRICT")</f>
        <v>2.86</v>
      </c>
      <c r="K7" s="20">
        <f>IF(SUMIFS(Selections!$M$6:$M$29,Selections!$F$6:$F$29,"STRICT")=0,"n.a.",SUMIFS(Selections!$N$6:$N$29,Selections!$F$6:$F$29,"STRICT")/SUMIFS(Selections!$M$6:$M$29,Selections!$F$6:$F$29,"STRICT"))</f>
        <v>0.40857142857142853</v>
      </c>
      <c r="L7" s="21">
        <f>IF(SUMIFS(Selections!$T$6:$T$29,Selections!$F$6:$F$29,"STRICT")=0,"n.a.",SUMIFS(Selections!$O$6:$O$29,Selections!$F$6:$F$29,"STRICT")/SUMIFS(Selections!$T$6:$T$29,Selections!$F$6:$F$29,"STRICT"))</f>
        <v>0.054486957017980946</v>
      </c>
      <c r="M7" s="20">
        <f>IF(SUMIFS(Selections!$T$6:$T$29,Selections!$F$6:$F$29,"STRICT")=0,"n.a.",SUMIFS(Selections!$S$6:$S$29,Selections!$F$6:$F$29,"STRICT")/SUMIFS(Selections!$T$6:$T$29,Selections!$F$6:$F$29,"STRICT"))</f>
        <v>0.7917141316062943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1.0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-0.20828586839370566</v>
      </c>
      <c r="P7" s="19">
        <f>SUMIFS(Selections!$T$6:$T$29,Selections!$F$6:$F$29,"STRICT")</f>
        <v>7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(n=7).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5</v>
      </c>
      <c r="E8" s="19">
        <f>COUNTIFS(Selections!$F$6:$F$29,"PROVISIONAL",Selections!$K$6:$K$29,"WON")</f>
        <v>2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5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0.4</v>
      </c>
      <c r="I8" s="22">
        <f>SUMIFS(Selections!$M$6:$M$29,Selections!$F$6:$F$29,"PROVISIONAL")</f>
        <v>5</v>
      </c>
      <c r="J8" s="22">
        <f>SUMIFS(Selections!$N$6:$N$29,Selections!$F$6:$F$29,"PROVISIONAL")</f>
        <v>-2.48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-0.496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0.40332469093428713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0.824269921824256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0.42426992182425594</v>
      </c>
      <c r="P8" s="19">
        <f>SUMIFS(Selections!$T$6:$T$29,Selections!$F$6:$F$29,"PROVISIONAL")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0</v>
      </c>
      <c r="E9" s="19">
        <f>COUNTIFS(Selections!$C$6:$C$29,"Bundesliga",Selections!$K$6:$K$29,"WON")</f>
        <v>0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2</v>
      </c>
      <c r="H9" s="20" t="str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n.a.</v>
      </c>
      <c r="I9" s="22">
        <f>SUMIFS(Selections!$M$6:$M$29,Selections!$C$6:$C$29,"Bundesliga")</f>
        <v>0</v>
      </c>
      <c r="J9" s="22">
        <f>SUMIFS(Selections!$N$6:$N$29,Selections!$C$6:$C$29,"Bundesliga")</f>
        <v>0</v>
      </c>
      <c r="K9" s="20" t="str">
        <f>IF(SUMIFS(Selections!$M$6:$M$29,Selections!$C$6:$C$29,"Bundesliga")=0,"n.a.",SUMIFS(Selections!$N$6:$N$29,Selections!$C$6:$C$29,"Bundesliga")/SUMIFS(Selections!$M$6:$M$29,Selections!$C$6:$C$29,"Bundesliga"))</f>
        <v>n.a.</v>
      </c>
      <c r="L9" s="21" t="str">
        <f>IF(SUMIFS(Selections!$T$6:$T$29,Selections!$C$6:$C$29,"Bundesliga")=0,"n.a.",SUMIFS(Selections!$O$6:$O$29,Selections!$C$6:$C$29,"Bundesliga")/SUMIFS(Selections!$T$6:$T$29,Selections!$C$6:$C$29,"Bundesliga"))</f>
        <v>n.a.</v>
      </c>
      <c r="M9" s="20" t="str">
        <f>IF(SUMIFS(Selections!$T$6:$T$29,Selections!$C$6:$C$29,"Bundesliga")=0,"n.a.",SUMIFS(Selections!$S$6:$S$29,Selections!$C$6:$C$29,"Bundesliga")/SUMIFS(Selections!$T$6:$T$29,Selections!$C$6:$C$29,"Bundesliga"))</f>
        <v>n.a.</v>
      </c>
      <c r="N9" s="20" t="str">
        <f>IF(SUMIFS(Selections!$T$6:$T$29,Selections!$C$6:$C$29,"Bundesliga")=0,"n.a.",(SUMIFS(Selections!$L$6:$L$29,Selections!$C$6:$C$29,"Bundesliga",Selections!$T$6:$T$29,1))/SUMIFS(Selections!$T$6:$T$29,Selections!$C$6:$C$29,"Bundesliga"))</f>
        <v>n.a.</v>
      </c>
      <c r="O9" s="20" t="str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n.a.</v>
      </c>
      <c r="P9" s="19">
        <f>SUMIFS(Selections!$T$6:$T$29,Selections!$C$6:$C$29,"Bundesliga")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3</v>
      </c>
      <c r="E11" s="19">
        <f>COUNTIFS(Selections!$C$6:$C$29,"Premier League",Selections!$K$6:$K$29,"WON")</f>
        <v>0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3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0.0</v>
      </c>
      <c r="I11" s="22">
        <f>SUMIFS(Selections!$M$6:$M$29,Selections!$C$6:$C$29,"Premier League")</f>
        <v>3</v>
      </c>
      <c r="J11" s="22">
        <f>SUMIFS(Selections!$N$6:$N$29,Selections!$C$6:$C$29,"Premier League")</f>
        <v>-3.0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-1.0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0.6550299989350173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0.8084589103334122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0.0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0.8084589103334122</v>
      </c>
      <c r="P11" s="19">
        <f>SUMIFS(Selections!$T$6:$T$29,Selections!$C$6:$C$29,"Premier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2</v>
      </c>
      <c r="E12" s="19">
        <f>COUNTIFS(Selections!$C$6:$C$29,"Serie A",Selections!$K$6:$K$29,"WON")</f>
        <v>2</v>
      </c>
      <c r="F12" s="19">
        <f>COUNTIFS(Selections!$C$6:$C$29,"Serie A",Selections!$K$6:$K$29,"LOST")</f>
        <v>0</v>
      </c>
      <c r="G12" s="19">
        <f>COUNTIFS(Selections!$C$6:$C$29,"Serie A")-(COUNTIFS(Selections!$C$6:$C$29,"Serie A",Selections!$K$6:$K$29,"WON")+COUNTIFS(Selections!$C$6:$C$29,"Serie A",Selections!$K$6:$K$29,"LOST"))</f>
        <v>2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1.0</v>
      </c>
      <c r="I12" s="22">
        <f>SUMIFS(Selections!$M$6:$M$29,Selections!$C$6:$C$29,"Serie A")</f>
        <v>2</v>
      </c>
      <c r="J12" s="22">
        <f>SUMIFS(Selections!$N$6:$N$29,Selections!$C$6:$C$29,"Serie A")</f>
        <v>0.9099999999999999</v>
      </c>
      <c r="K12" s="20">
        <f>IF(SUMIFS(Selections!$M$6:$M$29,Selections!$C$6:$C$29,"Serie A")=0,"n.a.",SUMIFS(Selections!$N$6:$N$29,Selections!$C$6:$C$29,"Serie A")/SUMIFS(Selections!$M$6:$M$29,Selections!$C$6:$C$29,"Serie A"))</f>
        <v>0.45499999999999996</v>
      </c>
      <c r="L12" s="21">
        <f>IF(SUMIFS(Selections!$T$6:$T$29,Selections!$C$6:$C$29,"Serie A")=0,"n.a.",SUMIFS(Selections!$O$6:$O$29,Selections!$C$6:$C$29,"Serie A")/SUMIFS(Selections!$T$6:$T$29,Selections!$C$6:$C$29,"Serie A"))</f>
        <v>0.07119335473368883</v>
      </c>
      <c r="M12" s="20">
        <f>IF(SUMIFS(Selections!$T$6:$T$29,Selections!$C$6:$C$29,"Serie A")=0,"n.a.",SUMIFS(Selections!$S$6:$S$29,Selections!$C$6:$C$29,"Serie A")/SUMIFS(Selections!$T$6:$T$29,Selections!$C$6:$C$29,"Serie A"))</f>
        <v>0.7393540862546915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1.0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-0.26064591374530854</v>
      </c>
      <c r="P12" s="19">
        <f>SUMIFS(Selections!$T$6:$T$29,Selections!$C$6:$C$29,"Serie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0</v>
      </c>
      <c r="E14" s="19">
        <f>COUNTIFS(Selections!$E$6:$E$29,"Away win",Selections!$K$6:$K$29,"WON")</f>
        <v>0</v>
      </c>
      <c r="F14" s="19">
        <f>COUNTIFS(Selections!$E$6:$E$29,"Away win",Selections!$K$6:$K$29,"LOST")</f>
        <v>0</v>
      </c>
      <c r="G14" s="19">
        <f>COUNTIFS(Selections!$E$6:$E$29,"Away win")-(COUNTIFS(Selections!$E$6:$E$29,"Away win",Selections!$K$6:$K$29,"WON")+COUNTIFS(Selections!$E$6:$E$29,"Away win",Selections!$K$6:$K$29,"LOST"))</f>
        <v>1</v>
      </c>
      <c r="H14" s="20" t="str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n.a.</v>
      </c>
      <c r="I14" s="22">
        <f>SUMIFS(Selections!$M$6:$M$29,Selections!$E$6:$E$29,"Away win")</f>
        <v>0</v>
      </c>
      <c r="J14" s="22">
        <f>SUMIFS(Selections!$N$6:$N$29,Selections!$E$6:$E$29,"Away win")</f>
        <v>0</v>
      </c>
      <c r="K14" s="20" t="str">
        <f>IF(SUMIFS(Selections!$M$6:$M$29,Selections!$E$6:$E$29,"Away win")=0,"n.a.",SUMIFS(Selections!$N$6:$N$29,Selections!$E$6:$E$29,"Away win")/SUMIFS(Selections!$M$6:$M$29,Selections!$E$6:$E$29,"Away win"))</f>
        <v>n.a.</v>
      </c>
      <c r="L14" s="21" t="str">
        <f>IF(SUMIFS(Selections!$T$6:$T$29,Selections!$E$6:$E$29,"Away win")=0,"n.a.",SUMIFS(Selections!$O$6:$O$29,Selections!$E$6:$E$29,"Away win")/SUMIFS(Selections!$T$6:$T$29,Selections!$E$6:$E$29,"Away win"))</f>
        <v>n.a.</v>
      </c>
      <c r="M14" s="20" t="str">
        <f>IF(SUMIFS(Selections!$T$6:$T$29,Selections!$E$6:$E$29,"Away win")=0,"n.a.",SUMIFS(Selections!$S$6:$S$29,Selections!$E$6:$E$29,"Away win")/SUMIFS(Selections!$T$6:$T$29,Selections!$E$6:$E$29,"Away win"))</f>
        <v>n.a.</v>
      </c>
      <c r="N14" s="20" t="str">
        <f>IF(SUMIFS(Selections!$T$6:$T$29,Selections!$E$6:$E$29,"Away win")=0,"n.a.",(SUMIFS(Selections!$L$6:$L$29,Selections!$E$6:$E$29,"Away win",Selections!$T$6:$T$29,1))/SUMIFS(Selections!$T$6:$T$29,Selections!$E$6:$E$29,"Away win"))</f>
        <v>n.a.</v>
      </c>
      <c r="O14" s="20" t="str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n.a.</v>
      </c>
      <c r="P14" s="19">
        <f>SUMIFS(Selections!$T$6:$T$29,Selections!$E$6:$E$29,"Away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0</v>
      </c>
      <c r="E16" s="19">
        <f>COUNTIFS(Selections!$E$6:$E$29,"Double Chance 1X",Selections!$K$6:$K$29,"WON")</f>
        <v>0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2</v>
      </c>
      <c r="H16" s="20" t="str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n.a.</v>
      </c>
      <c r="I16" s="22">
        <f>SUMIFS(Selections!$M$6:$M$29,Selections!$E$6:$E$29,"Double Chance 1X")</f>
        <v>0</v>
      </c>
      <c r="J16" s="22">
        <f>SUMIFS(Selections!$N$6:$N$29,Selections!$E$6:$E$29,"Double Chance 1X")</f>
        <v>0</v>
      </c>
      <c r="K16" s="20" t="str">
        <f>IF(SUMIFS(Selections!$M$6:$M$29,Selections!$E$6:$E$29,"Double Chance 1X")=0,"n.a.",SUMIFS(Selections!$N$6:$N$29,Selections!$E$6:$E$29,"Double Chance 1X")/SUMIFS(Selections!$M$6:$M$29,Selections!$E$6:$E$29,"Double Chance 1X"))</f>
        <v>n.a.</v>
      </c>
      <c r="L16" s="21" t="str">
        <f>IF(SUMIFS(Selections!$T$6:$T$29,Selections!$E$6:$E$29,"Double Chance 1X")=0,"n.a.",SUMIFS(Selections!$O$6:$O$29,Selections!$E$6:$E$29,"Double Chance 1X")/SUMIFS(Selections!$T$6:$T$29,Selections!$E$6:$E$29,"Double Chance 1X"))</f>
        <v>n.a.</v>
      </c>
      <c r="M16" s="20" t="str">
        <f>IF(SUMIFS(Selections!$T$6:$T$29,Selections!$E$6:$E$29,"Double Chance 1X")=0,"n.a.",SUMIFS(Selections!$S$6:$S$29,Selections!$E$6:$E$29,"Double Chance 1X")/SUMIFS(Selections!$T$6:$T$29,Selections!$E$6:$E$29,"Double Chance 1X"))</f>
        <v>n.a.</v>
      </c>
      <c r="N16" s="20" t="str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n.a.</v>
      </c>
      <c r="O16" s="20" t="str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n.a.</v>
      </c>
      <c r="P16" s="19">
        <f>SUMIFS(Selections!$T$6:$T$29,Selections!$E$6:$E$29,"Double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2</v>
      </c>
      <c r="E17" s="19">
        <f>COUNTIFS(Selections!$E$6:$E$29,"Home win",Selections!$K$6:$K$29,"WON")</f>
        <v>2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3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2</v>
      </c>
      <c r="J17" s="22">
        <f>SUMIFS(Selections!$N$6:$N$29,Selections!$E$6:$E$29,"Home win")</f>
        <v>1.3699999999999999</v>
      </c>
      <c r="K17" s="20">
        <f>IF(SUMIFS(Selections!$M$6:$M$29,Selections!$E$6:$E$29,"Home win")=0,"n.a.",SUMIFS(Selections!$N$6:$N$29,Selections!$E$6:$E$29,"Home win")/SUMIFS(Selections!$M$6:$M$29,Selections!$E$6:$E$29,"Home win"))</f>
        <v>0.6849999999999999</v>
      </c>
      <c r="L17" s="21">
        <f>IF(SUMIFS(Selections!$T$6:$T$29,Selections!$E$6:$E$29,"Home win")=0,"n.a.",SUMIFS(Selections!$O$6:$O$29,Selections!$E$6:$E$29,"Home win")/SUMIFS(Selections!$T$6:$T$29,Selections!$E$6:$E$29,"Home win"))</f>
        <v>0.10707453570041733</v>
      </c>
      <c r="M17" s="20">
        <f>IF(SUMIFS(Selections!$T$6:$T$29,Selections!$E$6:$E$29,"Home win")=0,"n.a.",SUMIFS(Selections!$S$6:$S$29,Selections!$E$6:$E$29,"Home win")/SUMIFS(Selections!$T$6:$T$29,Selections!$E$6:$E$29,"Home win"))</f>
        <v>0.672911773109177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-0.32708822689082295</v>
      </c>
      <c r="P17" s="19">
        <f>SUMIFS(Selections!$T$6:$T$29,Selections!$E$6:$E$29,"Home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5</v>
      </c>
      <c r="E18" s="19">
        <f>COUNTIFS(Selections!$E$6:$E$29,"Over 1.5",Selections!$K$6:$K$29,"WON")</f>
        <v>5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4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5</v>
      </c>
      <c r="J18" s="22">
        <f>SUMIFS(Selections!$N$6:$N$29,Selections!$E$6:$E$29,"Over 1.5")</f>
        <v>1.24</v>
      </c>
      <c r="K18" s="20">
        <f>IF(SUMIFS(Selections!$M$6:$M$29,Selections!$E$6:$E$29,"Over 1.5")=0,"n.a.",SUMIFS(Selections!$N$6:$N$29,Selections!$E$6:$E$29,"Over 1.5")/SUMIFS(Selections!$M$6:$M$29,Selections!$E$6:$E$29,"Over 1.5"))</f>
        <v>0.248</v>
      </c>
      <c r="L18" s="21">
        <f>IF(SUMIFS(Selections!$T$6:$T$29,Selections!$E$6:$E$29,"Over 1.5")=0,"n.a.",SUMIFS(Selections!$O$6:$O$29,Selections!$E$6:$E$29,"Over 1.5")/SUMIFS(Selections!$T$6:$T$29,Selections!$E$6:$E$29,"Over 1.5"))</f>
        <v>0.018144350651683065</v>
      </c>
      <c r="M18" s="20">
        <f>IF(SUMIFS(Selections!$T$6:$T$29,Selections!$E$6:$E$29,"Over 1.5")=0,"n.a.",SUMIFS(Selections!$S$6:$S$29,Selections!$E$6:$E$29,"Over 1.5")/SUMIFS(Selections!$T$6:$T$29,Selections!$E$6:$E$29,"Over 1.5"))</f>
        <v>0.8780101224602997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-0.12198987753970025</v>
      </c>
      <c r="P18" s="19">
        <f>SUMIFS(Selections!$T$6:$T$29,Selections!$E$6:$E$29,"Over 1.5")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4</v>
      </c>
      <c r="E19" s="19">
        <f>COUNTIFS(Selections!$E$6:$E$29,"Under 3.5",Selections!$K$6:$K$29,"WON")</f>
        <v>1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2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0.25</v>
      </c>
      <c r="I19" s="22">
        <f>SUMIFS(Selections!$M$6:$M$29,Selections!$E$6:$E$29,"Under 3.5")</f>
        <v>4</v>
      </c>
      <c r="J19" s="22">
        <f>SUMIFS(Selections!$N$6:$N$29,Selections!$E$6:$E$29,"Under 3.5")</f>
        <v>-2.7199999999999998</v>
      </c>
      <c r="K19" s="20">
        <f>IF(SUMIFS(Selections!$M$6:$M$29,Selections!$E$6:$E$29,"Under 3.5")=0,"n.a.",SUMIFS(Selections!$N$6:$N$29,Selections!$E$6:$E$29,"Under 3.5")/SUMIFS(Selections!$M$6:$M$29,Selections!$E$6:$E$29,"Under 3.5"))</f>
        <v>-0.6799999999999999</v>
      </c>
      <c r="L19" s="21">
        <f>IF(SUMIFS(Selections!$T$6:$T$29,Selections!$E$6:$E$29,"Under 3.5")=0,"n.a.",SUMIFS(Selections!$O$6:$O$29,Selections!$E$6:$E$29,"Under 3.5")/SUMIFS(Selections!$T$6:$T$29,Selections!$E$6:$E$29,"Under 3.5"))</f>
        <v>0.5016332182694637</v>
      </c>
      <c r="M19" s="20">
        <f>IF(SUMIFS(Selections!$T$6:$T$29,Selections!$E$6:$E$29,"Under 3.5")=0,"n.a.",SUMIFS(Selections!$S$6:$S$29,Selections!$E$6:$E$29,"Under 3.5")/SUMIFS(Selections!$T$6:$T$29,Selections!$E$6:$E$29,"Under 3.5"))</f>
        <v>0.8054503740200165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0.25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0.5554503740200165</v>
      </c>
      <c r="P19" s="19">
        <f>SUMIFS(Selections!$T$6:$T$29,Selections!$E$6:$E$29,"Under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1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0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1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1.0</v>
      </c>
      <c r="I20" s="22">
        <f>SUMIFS(Selections!$M$6:$M$29,Selections!$G$6:$G$29,"72h-all-markets-net-ev15-execution-v7")</f>
        <v>1</v>
      </c>
      <c r="J20" s="22">
        <f>SUMIFS(Selections!$N$6:$N$29,Selections!$G$6:$G$29,"72h-all-markets-net-ev15-execution-v7")</f>
        <v>0.27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0.27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0.022780537094656536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0.8490677731739953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1.0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-0.1509322268260047</v>
      </c>
      <c r="P20" s="19">
        <f>SUMIFS(Selections!$T$6:$T$29,Selections!$G$6:$G$29,"72h-all-markets-net-ev15-execution-v7")</f>
        <v>1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(n=1).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0</v>
      </c>
      <c r="E21" s="19">
        <f>COUNTIFS(Selections!$G$6:$G$29,"72h-seven-markets-fresh-references-net-ev15-v11",Selections!$K$6:$K$29,"WON")</f>
        <v>0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2</v>
      </c>
      <c r="H21" s="20" t="str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n.a.</v>
      </c>
      <c r="I21" s="22">
        <f>SUMIFS(Selections!$M$6:$M$29,Selections!$G$6:$G$29,"72h-seven-markets-fresh-references-net-ev15-v11")</f>
        <v>0</v>
      </c>
      <c r="J21" s="22">
        <f>SUMIFS(Selections!$N$6:$N$29,Selections!$G$6:$G$29,"72h-seven-markets-fresh-references-net-ev15-v11")</f>
        <v>0</v>
      </c>
      <c r="K21" s="20" t="str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n.a.</v>
      </c>
      <c r="L21" s="21" t="str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n.a.</v>
      </c>
      <c r="M21" s="20" t="str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n.a.</v>
      </c>
      <c r="N21" s="20" t="str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n.a.</v>
      </c>
      <c r="O21" s="20" t="str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n.a.</v>
      </c>
      <c r="P21" s="19">
        <f>SUMIFS(Selections!$T$6:$T$29,Selections!$G$6:$G$29,"72h-seven-markets-fresh-references-net-ev15-v11")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0</v>
      </c>
      <c r="E22" s="19">
        <f>COUNTIFS(Selections!$G$6:$G$29,"72h-six-markets-dc12-probability-odds-net-ev15-v9",Selections!$K$6:$K$29,"WON")</f>
        <v>0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1</v>
      </c>
      <c r="H22" s="20" t="str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n.a.</v>
      </c>
      <c r="I22" s="22">
        <f>SUMIFS(Selections!$M$6:$M$29,Selections!$G$6:$G$29,"72h-six-markets-dc12-probability-odds-net-ev15-v9")</f>
        <v>0</v>
      </c>
      <c r="J22" s="22">
        <f>SUMIFS(Selections!$N$6:$N$29,Selections!$G$6:$G$29,"72h-six-markets-dc12-probability-odds-net-ev15-v9")</f>
        <v>0</v>
      </c>
      <c r="K22" s="20" t="str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n.a.</v>
      </c>
      <c r="L22" s="21" t="str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n.a.</v>
      </c>
      <c r="M22" s="20" t="str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n.a.</v>
      </c>
      <c r="N22" s="20" t="str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n.a.</v>
      </c>
      <c r="O22" s="20" t="str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n.a.</v>
      </c>
      <c r="P22" s="19">
        <f>SUMIFS(Selections!$T$6:$T$29,Selections!$G$6:$G$29,"72h-six-markets-dc12-probability-odds-net-ev15-v9")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5</v>
      </c>
      <c r="E24" s="19">
        <f>COUNTIFS(Selections!$G$6:$G$29,"legacy/unspecified",Selections!$K$6:$K$29,"WON")</f>
        <v>3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6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0.6</v>
      </c>
      <c r="I24" s="22">
        <f>SUMIFS(Selections!$M$6:$M$29,Selections!$G$6:$G$29,"legacy/unspecified")</f>
        <v>5</v>
      </c>
      <c r="J24" s="22">
        <f>SUMIFS(Selections!$N$6:$N$29,Selections!$G$6:$G$29,"legacy/unspecified")</f>
        <v>-0.8500000000000001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-0.17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0.30947166484544086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0.8097022392308822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0.6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0.20970223923088227</v>
      </c>
      <c r="P24" s="19">
        <f>SUMIFS(Selections!$T$6:$T$29,Selections!$G$6:$G$29,"legacy/unspecified")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8</v>
      </c>
      <c r="E26" s="19">
        <f>COUNTIFS(Selections!$P$6:$P$29,"2026-W42",Selections!$K$6:$K$29,"WON")</f>
        <v>7</v>
      </c>
      <c r="F26" s="19">
        <f>COUNTIFS(Selections!$P$6:$P$29,"2026-W42",Selections!$K$6:$K$29,"LOST")</f>
        <v>1</v>
      </c>
      <c r="G26" s="19">
        <f>COUNTIFS(Selections!$P$6:$P$29,"2026-W42")-(COUNTIFS(Selections!$P$6:$P$29,"2026-W42",Selections!$K$6:$K$29,"WON")+COUNTIFS(Selections!$P$6:$P$29,"2026-W42",Selections!$K$6:$K$29,"LOST"))</f>
        <v>10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0.875</v>
      </c>
      <c r="I26" s="22">
        <f>SUMIFS(Selections!$M$6:$M$29,Selections!$P$6:$P$29,"2026-W42")</f>
        <v>8</v>
      </c>
      <c r="J26" s="22">
        <f>SUMIFS(Selections!$N$6:$N$29,Selections!$P$6:$P$29,"2026-W42")</f>
        <v>1.8599999999999999</v>
      </c>
      <c r="K26" s="20">
        <f>IF(SUMIFS(Selections!$M$6:$M$29,Selections!$P$6:$P$29,"2026-W42")=0,"n.a.",SUMIFS(Selections!$N$6:$N$29,Selections!$P$6:$P$29,"2026-W42")/SUMIFS(Selections!$M$6:$M$29,Selections!$P$6:$P$29,"2026-W42"))</f>
        <v>0.23249999999999998</v>
      </c>
      <c r="L26" s="21">
        <f>IF(SUMIFS(Selections!$T$6:$T$29,Selections!$P$6:$P$29,"2026-W42")=0,"n.a.",SUMIFS(Selections!$O$6:$O$29,Selections!$P$6:$P$29,"2026-W42")/SUMIFS(Selections!$T$6:$T$29,Selections!$P$6:$P$29,"2026-W42"))</f>
        <v>0.13519602319344382</v>
      </c>
      <c r="M26" s="20">
        <f>IF(SUMIFS(Selections!$T$6:$T$29,Selections!$P$6:$P$29,"2026-W42")=0,"n.a.",SUMIFS(Selections!$S$6:$S$29,Selections!$P$6:$P$29,"2026-W42")/SUMIFS(Selections!$T$6:$T$29,Selections!$P$6:$P$29,"2026-W42"))</f>
        <v>0.7973442817146089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0.875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-0.07765571828539108</v>
      </c>
      <c r="P26" s="19">
        <f>SUMIFS(Selections!$T$6:$T$29,Selections!$P$6:$P$29,"2026-W42")</f>
        <v>8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(n=8).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2</v>
      </c>
      <c r="E8" s="20">
        <f>IF(D8=0,"n.a.",SUMIFS(Selections!$S$6:$S$29,Selections!$S$6:$S$29,"&gt;="&amp;B8,Selections!$S$6:$S$29,"&lt;"&amp;C8,Selections!$T$6:$T$29,1)/D8)</f>
        <v>0.672911773109177</v>
      </c>
      <c r="F8" s="20">
        <f>IF(D8=0,"n.a.",SUMIFS(Selections!$L$6:$L$29,Selections!$S$6:$S$29,"&gt;="&amp;B8,Selections!$S$6:$S$29,"&lt;"&amp;C8,Selections!$T$6:$T$29,1)/D8)</f>
        <v>1.0</v>
      </c>
      <c r="G8" s="20">
        <f>IF(D8=0,"n.a.",E8-F8)</f>
        <v>-0.32708822689082295</v>
      </c>
      <c r="H8" s="21">
        <f>IF(D8=0,"n.a.",SUMIFS(Selections!$O$6:$O$29,Selections!$S$6:$S$29,"&gt;="&amp;B8,Selections!$S$6:$S$29,"&lt;"&amp;C8,Selections!$T$6:$T$29,1)/D8)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4</v>
      </c>
      <c r="E10" s="20">
        <f>IF(D10=0,"n.a.",SUMIFS(Selections!$S$6:$S$29,Selections!$S$6:$S$29,"&gt;="&amp;B10,Selections!$S$6:$S$29,"&lt;"&amp;C10,Selections!$T$6:$T$29,1)/D10)</f>
        <v>0.8547176992047558</v>
      </c>
      <c r="F10" s="20">
        <f>IF(D10=0,"n.a.",SUMIFS(Selections!$L$6:$L$29,Selections!$S$6:$S$29,"&gt;="&amp;B10,Selections!$S$6:$S$29,"&lt;"&amp;C10,Selections!$T$6:$T$29,1)/D10)</f>
        <v>0.5</v>
      </c>
      <c r="G10" s="20">
        <f>IF(D10=0,"n.a.",E10-F10)</f>
        <v>0.3547176992047558</v>
      </c>
      <c r="H10" s="21">
        <f>IF(D10=0,"n.a.",SUMIFS(Selections!$O$6:$O$29,Selections!$S$6:$S$29,"&gt;="&amp;B10,Selections!$S$6:$S$29,"&lt;"&amp;C10,Selections!$T$6:$T$29,1)/D10)</f>
        <v>0.35693803796362084</v>
      </c>
      <c r="I10" s="18" t="inlineStr">
        <is>
          <t>Collect more scored forecasts (n=4).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2</v>
      </c>
      <c r="E11" s="20">
        <f>IF(D11=0,"n.a.",SUMIFS(Selections!$S$6:$S$29,Selections!$S$6:$S$29,"&gt;="&amp;B11,Selections!$S$6:$S$29,"&lt;"&amp;C11,Selections!$T$6:$T$29,1)/D11)</f>
        <v>0.9297203731151685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-0.07027962688483147</v>
      </c>
      <c r="H11" s="21">
        <f>IF(D11=0,"n.a.",SUMIFS(Selections!$O$6:$O$29,Selections!$S$6:$S$29,"&gt;="&amp;B11,Selections!$S$6:$S$29,"&lt;"&amp;C11,Selections!$T$6:$T$29,1)/D11)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7a6c9d44b7c20308d3ed85270f7cabc2a98df58e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4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26 more observations; 25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0.75</v>
      </c>
      <c r="H10" s="18" t="inlineStr">
        <is>
          <t>Approval review</t>
        </is>
      </c>
      <c r="I10" s="18" t="inlineStr">
        <is>
          <t>297 more paired fixtures; 5 more ISO weeks; Coverage below 80%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0.25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0.75</v>
      </c>
      <c r="H12" s="18" t="inlineStr">
        <is>
          <t>Approval review</t>
        </is>
      </c>
      <c r="I12" s="18" t="inlineStr">
        <is>
          <t>297 more paired fixtures; 5 more ISO weeks; Coverage below 80%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0.75</v>
      </c>
      <c r="H13" s="18" t="inlineStr">
        <is>
          <t>Approval review</t>
        </is>
      </c>
      <c r="I13" s="18" t="inlineStr">
        <is>
          <t>297 more paired fixtures; 5 more ISO weeks; Coverage below 80%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0.08333333333333333</v>
      </c>
      <c r="H14" s="18" t="inlineStr">
        <is>
          <t>Approval review</t>
        </is>
      </c>
      <c r="I14" s="18" t="inlineStr">
        <is>
          <t>296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8.0</v>
      </c>
      <c r="C7" s="19">
        <f>COUNTIFS(Selections!$P$6:$P$29,A7,Selections!$M$6:$M$29,"&gt;0")</f>
        <v>8.0</v>
      </c>
      <c r="D7" s="22">
        <f>IF(C7=0,"n.a.",Breakdowns!J26)</f>
        <v>1.8599999999999999</v>
      </c>
      <c r="E7" s="22">
        <f>IF(SUM($C$6:C7)=0,"n.a.",SUM($D$6:D7))</f>
        <v>0.3799999999999999</v>
      </c>
      <c r="F7" s="20">
        <f>Breakdowns!H26</f>
        <v>0.875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0.3799999999999999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2026-10-17T06:09:23.758904+00:00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5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6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5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14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13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5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5</v>
      </c>
    </row>
    <row r="32" ht="44" customHeight="1">
      <c r="A32" s="18" t="inlineStr">
        <is>
          <t>Bookmakers: 1xBet</t>
        </is>
      </c>
      <c r="B32" s="19">
        <v>5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16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16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12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11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9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9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30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30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3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4</v>
      </c>
      <c r="E60" s="20">
        <v>0.33749999999999997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4</v>
      </c>
      <c r="E61" s="20">
        <v>0.33749999999999997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4</v>
      </c>
      <c r="E63" s="20">
        <v>0.33749999999999997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4</v>
      </c>
      <c r="E64" s="20">
        <v>0.33749999999999997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4</v>
      </c>
      <c r="E66" s="20">
        <v>0.33749999999999997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4</v>
      </c>
      <c r="E67" s="20">
        <v>0.33749999999999997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12</v>
      </c>
      <c r="C77" s="20">
        <v>0.75</v>
      </c>
      <c r="D77" s="20">
        <v>0.031667</v>
      </c>
      <c r="E77" s="21">
        <v>0.199836</v>
      </c>
    </row>
    <row r="80">
      <c r="A80" s="26" t="inlineStr">
        <is>
          <t>Dependency versions</t>
        </is>
      </c>
    </row>
    <row r="81" ht="34" customHeight="1">
      <c r="A81" s="24" t="inlineStr">
        <is>
          <t>Dependency</t>
        </is>
      </c>
      <c r="B81" s="24" t="inlineStr">
        <is>
          <t>Version</t>
        </is>
      </c>
    </row>
    <row r="82" ht="44" customHeight="1">
      <c r="A82" s="18" t="inlineStr">
        <is>
          <t>python</t>
        </is>
      </c>
      <c r="B82" s="18" t="inlineStr">
        <is>
          <t>3.12.15</t>
        </is>
      </c>
    </row>
    <row r="83" ht="44" customHeight="1">
      <c r="A83" s="18" t="inlineStr">
        <is>
          <t>numpy</t>
        </is>
      </c>
      <c r="B83" s="18" t="inlineStr">
        <is>
          <t>2.5.4</t>
        </is>
      </c>
    </row>
    <row r="84" ht="44" customHeight="1">
      <c r="A84" s="18" t="inlineStr">
        <is>
          <t>pandas</t>
        </is>
      </c>
      <c r="B84" s="18" t="inlineStr">
        <is>
          <t>3.0.6</t>
        </is>
      </c>
    </row>
    <row r="85" ht="44" customHeight="1">
      <c r="A85" s="18" t="inlineStr">
        <is>
          <t>scipy</t>
        </is>
      </c>
      <c r="B85" s="18" t="inlineStr">
        <is>
          <t>1.18.1</t>
        </is>
      </c>
    </row>
    <row r="86" ht="44" customHeight="1">
      <c r="A86" s="18" t="inlineStr">
        <is>
          <t>requests</t>
        </is>
      </c>
      <c r="B86" s="18" t="inlineStr">
        <is>
          <t>2.34.2</t>
        </is>
      </c>
    </row>
    <row r="87" ht="44" customHeight="1">
      <c r="A87" s="18" t="inlineStr">
        <is>
          <t>python-dotenv</t>
        </is>
      </c>
      <c r="B87" s="18" t="inlineStr">
        <is>
          <t>1.2.4</t>
        </is>
      </c>
    </row>
    <row r="88" ht="44" customHeight="1">
      <c r="A88" s="18" t="inlineStr">
        <is>
          <t>coverage</t>
        </is>
      </c>
      <c r="B88" s="18" t="inlineStr">
        <is>
          <t>7.16.2</t>
        </is>
      </c>
    </row>
    <row r="89" ht="44" customHeight="1">
      <c r="A89" s="18" t="inlineStr">
        <is>
          <t>PyYAML</t>
        </is>
      </c>
      <c r="B89" s="18" t="inlineStr">
        <is>
          <t>6.0.3</t>
        </is>
      </c>
    </row>
    <row r="92">
      <c r="A92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0:F8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</sheetData>
  <autoFilter ref="A5:H35"/>
  <mergeCells count="2">
    <mergeCell ref="A2:H2"/>
    <mergeCell ref="A4:H4"/>
  </mergeCells>
</worksheet>
</file>