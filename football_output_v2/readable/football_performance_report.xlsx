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  <c:pt idx="49">
                  <c:v>0.42999999999999927</c:v>
                </c:pt>
                <c:pt idx="50">
                  <c:v>0.42999999999999927</c:v>
                </c:pt>
                <c:pt idx="51">
                  <c:v>0.42999999999999927</c:v>
                </c:pt>
                <c:pt idx="52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0.5426386586138614</v>
      </c>
      <c r="C17" s="18"/>
      <c r="D17" s="18" t="inlineStr">
        <is>
          <t>Over 1.5</t>
        </is>
      </c>
      <c r="E17" s="18">
        <f>COUNT(Predictions!J6:J234)</f>
        <v>101</v>
      </c>
      <c r="F17" s="20">
        <f>IF(E17=0,"n.a.",AVERAGE(Predictions!J6:J234))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COUNT(Predictions!K6:K234)</f>
        <v>101</v>
      </c>
      <c r="F18" s="20">
        <f>IF(E18=0,"n.a.",AVERAGE(Predictions!K6:K234))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COUNT(Predictions!L6:L234)</f>
        <v>101</v>
      </c>
      <c r="F19" s="20">
        <f>IF(E19=0,"n.a.",AVERAGE(Predictions!L6:L234))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101</v>
      </c>
      <c r="F20" s="20">
        <f>IF(E20=0,"n.a.",AVERAGE(Predictions!M6:M234))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2026-10-23T20:00:16.719595+00:00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79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0.42999999999999927</v>
      </c>
      <c r="G59" s="22">
        <f>$B$4+F59</f>
        <v>100.42999999999999</v>
      </c>
      <c r="H59" s="22">
        <f>MAX($B$4,$G$10:G59)</f>
        <v>102.81</v>
      </c>
      <c r="I59" s="22">
        <f>H59-G59</f>
        <v>2.3800000000000097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0.42999999999999927</v>
      </c>
      <c r="G60" s="22">
        <f>$B$4+F60</f>
        <v>100.42999999999999</v>
      </c>
      <c r="H60" s="22">
        <f>MAX($B$4,$G$10:G60)</f>
        <v>102.81</v>
      </c>
      <c r="I60" s="22">
        <f>H60-G60</f>
        <v>2.3800000000000097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0.42999999999999927</v>
      </c>
      <c r="G61" s="22">
        <f>$B$4+F61</f>
        <v>100.42999999999999</v>
      </c>
      <c r="H61" s="22">
        <f>MAX($B$4,$G$10:G61)</f>
        <v>102.81</v>
      </c>
      <c r="I61" s="22">
        <f>H61-G61</f>
        <v>2.3800000000000097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0.42999999999999927</v>
      </c>
      <c r="G62" s="22">
        <f>$B$4+F62</f>
        <v>100.42999999999999</v>
      </c>
      <c r="H62" s="22">
        <f>MAX($B$4,$G$10:G62)</f>
        <v>102.81</v>
      </c>
      <c r="I62" s="22">
        <f>H62-G62</f>
        <v>2.3800000000000097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38</v>
      </c>
      <c r="E6" s="19">
        <f>(COUNTIFS(Selections!$K$6:$K$58,"WON")+COUNTIFS(Selections!$K$6:$K$58,"HALF_WON"))</f>
        <v>28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15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0.7368421052631579</v>
      </c>
      <c r="I6" s="22">
        <f>SUM(Selections!$M$6:$M$58)</f>
        <v>38</v>
      </c>
      <c r="J6" s="22">
        <f>SUM(Selections!$N$6:$N$58)</f>
        <v>0.42999999999999927</v>
      </c>
      <c r="K6" s="20">
        <f>IF(SUM(Selections!$M$6:$M$58)=0,"n.a.",SUM(Selections!$N$6:$N$58)/SUM(Selections!$M$6:$M$58))</f>
        <v>0.01131578947368419</v>
      </c>
      <c r="L6" s="21">
        <f>IF(SUM(Selections!$T$6:$T$58)=0,"n.a.",SUM(Selections!$O$6:$O$58)/SUM(Selections!$T$6:$T$58))</f>
        <v>0.17692556179750585</v>
      </c>
      <c r="M6" s="20">
        <f>IF(SUM(Selections!$T$6:$T$58)=0,"n.a.",SUM(Selections!$S$6:$S$58)/SUM(Selections!$T$6:$T$58))</f>
        <v>0.7584947647729421</v>
      </c>
      <c r="N6" s="20">
        <f>IF(SUM(Selections!$T$6:$T$58)=0,"n.a.",(SUMIFS(Selections!$L$6:$L$58,Selections!$T$6:$T$58,1))/SUM(Selections!$T$6:$T$58))</f>
        <v>0.7368421052631579</v>
      </c>
      <c r="O6" s="20">
        <f>IF(SUM(Selections!$T$6:$T$58)=0,"n.a.",(SUM(Selections!$S$6:$S$58)-(SUMIFS(Selections!$L$6:$L$58,Selections!$T$6:$T$58,1)))/SUM(Selections!$T$6:$T$58))</f>
        <v>0.021652659509784233</v>
      </c>
      <c r="P6" s="19">
        <f>SUM(Selections!$T$6:$T$58)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E7" s="19">
        <f>(COUNTIFS(Selections!$F$6:$F$58,"STRICT",Selections!$K$6:$K$58,"WON")+COUNTIFS(Selections!$F$6:$F$58,"STRICT",Selections!$K$6:$K$58,"HALF_WON"))</f>
        <v>10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0.9090909090909091</v>
      </c>
      <c r="I7" s="22">
        <f>SUMIFS(Selections!$M$6:$M$58,Selections!$F$6:$F$58,"STRICT")</f>
        <v>11</v>
      </c>
      <c r="J7" s="22">
        <f>SUMIFS(Selections!$N$6:$N$58,Selections!$F$6:$F$58,"STRICT")</f>
        <v>3.32</v>
      </c>
      <c r="K7" s="20">
        <f>IF(SUMIFS(Selections!$M$6:$M$58,Selections!$F$6:$F$58,"STRICT")=0,"n.a.",SUMIFS(Selections!$N$6:$N$58,Selections!$F$6:$F$58,"STRICT")/SUMIFS(Selections!$M$6:$M$58,Selections!$F$6:$F$58,"STRICT"))</f>
        <v>0.3018181818181818</v>
      </c>
      <c r="L7" s="21">
        <f>IF(SUMIFS(Selections!$T$6:$T$58,Selections!$F$6:$F$58,"STRICT")=0,"n.a.",SUMIFS(Selections!$O$6:$O$58,Selections!$F$6:$F$58,"STRICT")/SUMIFS(Selections!$T$6:$T$58,Selections!$F$6:$F$58,"STRICT"))</f>
        <v>0.09620140437807416</v>
      </c>
      <c r="M7" s="20">
        <f>IF(SUMIFS(Selections!$T$6:$T$58,Selections!$F$6:$F$58,"STRICT")=0,"n.a.",SUMIFS(Selections!$S$6:$S$58,Selections!$F$6:$F$58,"STRICT")/SUMIFS(Selections!$T$6:$T$58,Selections!$F$6:$F$58,"STRICT"))</f>
        <v>0.7551745752675235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0.9090909090909091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-0.15391633382338554</v>
      </c>
      <c r="P7" s="19">
        <f>SUMIFS(Selections!$T$6:$T$58,Selections!$F$6:$F$58,"STRICT")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E9" s="19">
        <f>(COUNTIFS(Selections!$C$6:$C$58,"Bundesliga",Selections!$K$6:$K$58,"WON")+COUNTIFS(Selections!$C$6:$C$58,"Bundesliga",Selections!$K$6:$K$58,"HALF_WON"))</f>
        <v>3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3</v>
      </c>
      <c r="J9" s="22">
        <f>SUMIFS(Selections!$N$6:$N$58,Selections!$C$6:$C$58,"Bundesliga")</f>
        <v>0.74</v>
      </c>
      <c r="K9" s="20">
        <f>IF(SUMIFS(Selections!$M$6:$M$58,Selections!$C$6:$C$58,"Bundesliga")=0,"n.a.",SUMIFS(Selections!$N$6:$N$58,Selections!$C$6:$C$58,"Bundesliga")/SUMIFS(Selections!$M$6:$M$58,Selections!$C$6:$C$58,"Bundesliga"))</f>
        <v>0.24666666666666667</v>
      </c>
      <c r="L9" s="21">
        <f>IF(SUMIFS(Selections!$T$6:$T$58,Selections!$C$6:$C$58,"Bundesliga")=0,"n.a.",SUMIFS(Selections!$O$6:$O$58,Selections!$C$6:$C$58,"Bundesliga")/SUMIFS(Selections!$T$6:$T$58,Selections!$C$6:$C$58,"Bundesliga"))</f>
        <v>0.03973352985046064</v>
      </c>
      <c r="M9" s="20">
        <f>IF(SUMIFS(Selections!$T$6:$T$58,Selections!$C$6:$C$58,"Bundesliga")=0,"n.a.",SUMIFS(Selections!$S$6:$S$58,Selections!$C$6:$C$58,"Bundesliga")/SUMIFS(Selections!$T$6:$T$58,Selections!$C$6:$C$58,"Bundesliga"))</f>
        <v>0.8037750849699149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-0.1962249150300851</v>
      </c>
      <c r="P9" s="19">
        <f>SUMIFS(Selections!$T$6:$T$58,Selections!$C$6:$C$58,"Bundesliga")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7</v>
      </c>
      <c r="E10" s="19">
        <f>(COUNTIFS(Selections!$C$6:$C$58,"La Liga",Selections!$K$6:$K$58,"WON")+COUNTIFS(Selections!$C$6:$C$58,"La Liga",Selections!$K$6:$K$58,"HALF_WON"))</f>
        <v>7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4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7</v>
      </c>
      <c r="J10" s="22">
        <f>SUMIFS(Selections!$N$6:$N$58,Selections!$C$6:$C$58,"La Liga")</f>
        <v>2.3499999999999996</v>
      </c>
      <c r="K10" s="20">
        <f>IF(SUMIFS(Selections!$M$6:$M$58,Selections!$C$6:$C$58,"La Liga")=0,"n.a.",SUMIFS(Selections!$N$6:$N$58,Selections!$C$6:$C$58,"La Liga")/SUMIFS(Selections!$M$6:$M$58,Selections!$C$6:$C$58,"La Liga"))</f>
        <v>0.3357142857142857</v>
      </c>
      <c r="L10" s="21">
        <f>IF(SUMIFS(Selections!$T$6:$T$58,Selections!$C$6:$C$58,"La Liga")=0,"n.a.",SUMIFS(Selections!$O$6:$O$58,Selections!$C$6:$C$58,"La Liga")/SUMIFS(Selections!$T$6:$T$58,Selections!$C$6:$C$58,"La Liga"))</f>
        <v>0.04472528948252668</v>
      </c>
      <c r="M10" s="20">
        <f>IF(SUMIFS(Selections!$T$6:$T$58,Selections!$C$6:$C$58,"La Liga")=0,"n.a.",SUMIFS(Selections!$S$6:$S$58,Selections!$C$6:$C$58,"La Liga")/SUMIFS(Selections!$T$6:$T$58,Selections!$C$6:$C$58,"La Liga"))</f>
        <v>0.8050495168898368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-0.19495048311016316</v>
      </c>
      <c r="P10" s="19">
        <f>SUMIFS(Selections!$T$6:$T$58,Selections!$C$6:$C$58,"La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0</v>
      </c>
      <c r="E17" s="19">
        <f>(COUNTIFS(Selections!$E$6:$E$58,"Asian Handicap Away +2.00",Selections!$K$6:$K$58,"WON")+COUNTIFS(Selections!$E$6:$E$58,"Asian Handicap Away +2.00",Selections!$K$6:$K$58,"HALF_WON"))</f>
        <v>0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4</v>
      </c>
      <c r="H17" s="20" t="str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n.a.</v>
      </c>
      <c r="I17" s="22">
        <f>SUMIFS(Selections!$M$6:$M$58,Selections!$E$6:$E$58,"Asian Handicap Away +2.00")</f>
        <v>0</v>
      </c>
      <c r="J17" s="22">
        <f>SUMIFS(Selections!$N$6:$N$58,Selections!$E$6:$E$58,"Asian Handicap Away +2.00")</f>
        <v>0</v>
      </c>
      <c r="K17" s="20" t="str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n.a.</v>
      </c>
      <c r="L17" s="21" t="str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n.a.</v>
      </c>
      <c r="M17" s="20" t="str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n.a.</v>
      </c>
      <c r="N17" s="20" t="str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n.a.</v>
      </c>
      <c r="O17" s="20" t="str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n.a.</v>
      </c>
      <c r="P17" s="19">
        <f>SUMIFS(Selections!$T$6:$T$58,Selections!$E$6:$E$58,"Asian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5</v>
      </c>
      <c r="E24" s="19">
        <f>(COUNTIFS(Selections!$E$6:$E$58,"Double Chance 1X",Selections!$K$6:$K$58,"WON")+COUNTIFS(Selections!$E$6:$E$58,"Double Chance 1X",Selections!$K$6:$K$58,"HALF_WON"))</f>
        <v>4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4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</v>
      </c>
      <c r="I24" s="22">
        <f>SUMIFS(Selections!$M$6:$M$58,Selections!$E$6:$E$58,"Double Chance 1X")</f>
        <v>5</v>
      </c>
      <c r="J24" s="22">
        <f>SUMIFS(Selections!$N$6:$N$58,Selections!$E$6:$E$58,"Double Chance 1X")</f>
        <v>0.15999999999999992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0.03199999999999999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0.11188766858523982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0.7609681691910013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-0.039031830808998746</v>
      </c>
      <c r="P24" s="19">
        <f>SUMIFS(Selections!$T$6:$T$58,Selections!$E$6:$E$58,"Double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0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0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11</v>
      </c>
      <c r="H31" s="20" t="str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n.a.</v>
      </c>
      <c r="I31" s="22">
        <f>SUMIFS(Selections!$M$6:$M$58,Selections!$G$6:$G$58,"48h-zero-tolerance-ev1-common-no-loss75-v22")</f>
        <v>0</v>
      </c>
      <c r="J31" s="22">
        <f>SUMIFS(Selections!$N$6:$N$58,Selections!$G$6:$G$58,"48h-zero-tolerance-ev1-common-no-loss75-v22")</f>
        <v>0</v>
      </c>
      <c r="K31" s="20" t="str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n.a.</v>
      </c>
      <c r="L31" s="21" t="str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n.a.</v>
      </c>
      <c r="M31" s="20" t="str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n.a.</v>
      </c>
      <c r="N31" s="20" t="str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n.a.</v>
      </c>
      <c r="O31" s="20" t="str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n.a.</v>
      </c>
      <c r="P31" s="19">
        <f>SUMIFS(Selections!$T$6:$T$58,Selections!$G$6:$G$58,"48h-zero-tolerance-ev1-common-no-loss75-v22")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E40" s="19">
        <f>(COUNTIFS(Selections!$P$6:$P$58,"2026-W43",Selections!$K$6:$K$58,"WON")+COUNTIFS(Selections!$P$6:$P$58,"2026-W43",Selections!$K$6:$K$58,"HALF_WON"))</f>
        <v>7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0.5833333333333334</v>
      </c>
      <c r="I40" s="22">
        <f>SUMIFS(Selections!$M$6:$M$58,Selections!$P$6:$P$58,"2026-W43")</f>
        <v>12</v>
      </c>
      <c r="J40" s="22">
        <f>SUMIFS(Selections!$N$6:$N$58,Selections!$P$6:$P$58,"2026-W43")</f>
        <v>-2.3800000000000003</v>
      </c>
      <c r="K40" s="20">
        <f>IF(SUMIFS(Selections!$M$6:$M$58,Selections!$P$6:$P$58,"2026-W43")=0,"n.a.",SUMIFS(Selections!$N$6:$N$58,Selections!$P$6:$P$58,"2026-W43")/SUMIFS(Selections!$M$6:$M$58,Selections!$P$6:$P$58,"2026-W43"))</f>
        <v>-0.19833333333333336</v>
      </c>
      <c r="L40" s="21">
        <f>IF(SUMIFS(Selections!$T$6:$T$58,Selections!$P$6:$P$58,"2026-W43")=0,"n.a.",SUMIFS(Selections!$O$6:$O$58,Selections!$P$6:$P$58,"2026-W43")/SUMIFS(Selections!$T$6:$T$58,Selections!$P$6:$P$58,"2026-W43"))</f>
        <v>0.21142395605648476</v>
      </c>
      <c r="M40" s="20">
        <f>IF(SUMIFS(Selections!$T$6:$T$58,Selections!$P$6:$P$58,"2026-W43")=0,"n.a.",SUMIFS(Selections!$S$6:$S$58,Selections!$P$6:$P$58,"2026-W43")/SUMIFS(Selections!$T$6:$T$58,Selections!$P$6:$P$58,"2026-W43"))</f>
        <v>0.7179581897322406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0.5833333333333334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0.1346248563989072</v>
      </c>
      <c r="P40" s="19">
        <f>SUMIFS(Selections!$T$6:$T$58,Selections!$P$6:$P$58,"2026-W43")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14</v>
      </c>
      <c r="E9" s="20">
        <f>IF(D9=0,"n.a.",SUMIFS(Selections!$S$6:$S$58,Selections!$S$6:$S$58,"&gt;="&amp;B9,Selections!$S$6:$S$58,"&lt;"&amp;C9,Selections!$T$6:$T$58,1)/D9)</f>
        <v>0.7591794918954081</v>
      </c>
      <c r="F9" s="20">
        <f>IF(D9=0,"n.a.",SUMIFS(Selections!$L$6:$L$58,Selections!$S$6:$S$58,"&gt;="&amp;B9,Selections!$S$6:$S$58,"&lt;"&amp;C9,Selections!$T$6:$T$58,1)/D9)</f>
        <v>0.7142857142857143</v>
      </c>
      <c r="G9" s="20">
        <f>IF(D9=0,"n.a.",E9-F9)</f>
        <v>0.04489377760969382</v>
      </c>
      <c r="H9" s="21">
        <f>IF(D9=0,"n.a.",SUMIFS(Selections!$O$6:$O$58,Selections!$S$6:$S$58,"&gt;="&amp;B9,Selections!$S$6:$S$58,"&lt;"&amp;C9,Selections!$T$6:$T$58,1)/D9)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11</v>
      </c>
      <c r="E10" s="20">
        <f>IF(D10=0,"n.a.",SUMIFS(Selections!$S$6:$S$58,Selections!$S$6:$S$58,"&gt;="&amp;B10,Selections!$S$6:$S$58,"&lt;"&amp;C10,Selections!$T$6:$T$58,1)/D10)</f>
        <v>0.837468783985373</v>
      </c>
      <c r="F10" s="20">
        <f>IF(D10=0,"n.a.",SUMIFS(Selections!$L$6:$L$58,Selections!$S$6:$S$58,"&gt;="&amp;B10,Selections!$S$6:$S$58,"&lt;"&amp;C10,Selections!$T$6:$T$58,1)/D10)</f>
        <v>0.8181818181818182</v>
      </c>
      <c r="G10" s="20">
        <f>IF(D10=0,"n.a.",E10-F10)</f>
        <v>0.019286965803554823</v>
      </c>
      <c r="H10" s="21">
        <f>IF(D10=0,"n.a.",SUMIFS(Selections!$O$6:$O$58,Selections!$S$6:$S$58,"&gt;="&amp;B10,Selections!$S$6:$S$58,"&lt;"&amp;C10,Selections!$T$6:$T$58,1)/D10)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10a7df008090a45923c14f3c84ec260b147ea047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COUNTIFS(Selections!$P$6:$P$58,A8,Selections!$M$6:$M$58,"&gt;0")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38</v>
      </c>
      <c r="C8" s="19">
        <v>28</v>
      </c>
      <c r="D8" s="19">
        <v>10</v>
      </c>
      <c r="E8" s="19">
        <v>15</v>
      </c>
      <c r="F8" s="20">
        <v>0.736842</v>
      </c>
      <c r="G8" s="20">
        <v>0.011316</v>
      </c>
      <c r="H8" s="19">
        <v>0.43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0</v>
      </c>
      <c r="E49" s="19">
        <v>0</v>
      </c>
      <c r="F49" s="20"/>
      <c r="G49" s="20"/>
      <c r="H49" s="18"/>
      <c r="I49" s="19">
        <v>10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2026-10-23T20:00:16.719595+00:00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19</v>
      </c>
      <c r="D29" s="19">
        <v>9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44</v>
      </c>
      <c r="D30" s="19">
        <v>9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28</v>
      </c>
      <c r="C31" s="19">
        <v>16</v>
      </c>
      <c r="D31" s="19">
        <v>9</v>
      </c>
      <c r="E31" s="20">
        <v>-0.039410502940714694</v>
      </c>
      <c r="F31" s="20">
        <v>0.006211180124223503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5">
      <c r="A105" s="26" t="inlineStr">
        <is>
          <t>Dependency versions</t>
        </is>
      </c>
    </row>
    <row r="106" ht="34" customHeight="1">
      <c r="A106" s="24" t="inlineStr">
        <is>
          <t>Dependency</t>
        </is>
      </c>
      <c r="B106" s="24" t="inlineStr">
        <is>
          <t>Version</t>
        </is>
      </c>
    </row>
    <row r="107" ht="44" customHeight="1">
      <c r="A107" s="18" t="inlineStr">
        <is>
          <t>python</t>
        </is>
      </c>
      <c r="B107" s="18" t="inlineStr">
        <is>
          <t>3.12.15</t>
        </is>
      </c>
    </row>
    <row r="108" ht="44" customHeight="1">
      <c r="A108" s="18" t="inlineStr">
        <is>
          <t>numpy</t>
        </is>
      </c>
      <c r="B108" s="18" t="inlineStr">
        <is>
          <t>2.5.4</t>
        </is>
      </c>
    </row>
    <row r="109" ht="44" customHeight="1">
      <c r="A109" s="18" t="inlineStr">
        <is>
          <t>pandas</t>
        </is>
      </c>
      <c r="B109" s="18" t="inlineStr">
        <is>
          <t>3.1.0</t>
        </is>
      </c>
    </row>
    <row r="110" ht="44" customHeight="1">
      <c r="A110" s="18" t="inlineStr">
        <is>
          <t>scipy</t>
        </is>
      </c>
      <c r="B110" s="18" t="inlineStr">
        <is>
          <t>1.18.1</t>
        </is>
      </c>
    </row>
    <row r="111" ht="44" customHeight="1">
      <c r="A111" s="18" t="inlineStr">
        <is>
          <t>requests</t>
        </is>
      </c>
      <c r="B111" s="18" t="inlineStr">
        <is>
          <t>2.34.2</t>
        </is>
      </c>
    </row>
    <row r="112" ht="44" customHeight="1">
      <c r="A112" s="18" t="inlineStr">
        <is>
          <t>rapidfuzz</t>
        </is>
      </c>
      <c r="B112" s="18" t="inlineStr">
        <is>
          <t>3.14.6</t>
        </is>
      </c>
    </row>
    <row r="113" ht="44" customHeight="1">
      <c r="A113" s="18" t="inlineStr">
        <is>
          <t>python-dotenv</t>
        </is>
      </c>
      <c r="B113" s="18" t="inlineStr">
        <is>
          <t>1.2.4</t>
        </is>
      </c>
    </row>
    <row r="114" ht="44" customHeight="1">
      <c r="A114" s="18" t="inlineStr">
        <is>
          <t>coverage</t>
        </is>
      </c>
      <c r="B114" s="18" t="inlineStr">
        <is>
          <t>NOT_INSTALLED</t>
        </is>
      </c>
    </row>
    <row r="115" ht="44" customHeight="1">
      <c r="A115" s="18" t="inlineStr">
        <is>
          <t>PyYAML</t>
        </is>
      </c>
      <c r="B115" s="18" t="inlineStr">
        <is>
          <t>NOT_INSTALLED</t>
        </is>
      </c>
    </row>
    <row r="118">
      <c r="A118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5:F10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8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2026-10-23T20:00:16.719595+00:00; 821 candidates on 86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821</v>
      </c>
      <c r="D9" s="19">
        <v>86</v>
      </c>
      <c r="E9" s="20">
        <v>-0.03099087473589754</v>
      </c>
      <c r="F9" s="20">
        <v>0.29476248477466505</v>
      </c>
      <c r="G9" s="22">
        <v>-7.183457380179392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411</v>
      </c>
      <c r="D11" s="19">
        <v>80</v>
      </c>
      <c r="E11" s="20">
        <v>0.010914186500094432</v>
      </c>
      <c r="F11" s="20">
        <v>0.5620437956204379</v>
      </c>
      <c r="G11" s="22">
        <v>2.567527837362934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86</v>
      </c>
      <c r="D15" s="18"/>
      <c r="E15" s="21">
        <v>-0.1298281561492945</v>
      </c>
      <c r="F15" s="20">
        <v>0.5116279069767442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143</v>
      </c>
      <c r="D21" s="19">
        <v>66</v>
      </c>
      <c r="E21" s="20">
        <v>-0.02566223994738217</v>
      </c>
      <c r="F21" s="20">
        <v>0.3986013986013986</v>
      </c>
      <c r="G21" s="22">
        <v>-5.26884444496264</v>
      </c>
      <c r="H21" s="20">
        <v>0.025915172279537674</v>
      </c>
      <c r="I21" s="19">
        <v>109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130</v>
      </c>
      <c r="D22" s="19">
        <v>7</v>
      </c>
      <c r="E22" s="20">
        <v>-0.043530925480544935</v>
      </c>
      <c r="F22" s="20">
        <v>0.3</v>
      </c>
      <c r="G22" s="22">
        <v>-13.993532564137467</v>
      </c>
      <c r="H22" s="20">
        <v>0.000889539522922366</v>
      </c>
      <c r="I22" s="19">
        <v>130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103</v>
      </c>
      <c r="D23" s="19">
        <v>45</v>
      </c>
      <c r="E23" s="20">
        <v>-0.027156184251018945</v>
      </c>
      <c r="F23" s="20">
        <v>0.1650485436893204</v>
      </c>
      <c r="G23" s="22">
        <v>-6.396963627001548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88</v>
      </c>
      <c r="D24" s="19">
        <v>43</v>
      </c>
      <c r="E24" s="20">
        <v>-0.037115598268520296</v>
      </c>
      <c r="F24" s="20">
        <v>0.2727272727272727</v>
      </c>
      <c r="G24" s="22">
        <v>-3.978253415256236</v>
      </c>
      <c r="H24" s="20">
        <v>0.0064222025478914944</v>
      </c>
      <c r="I24" s="19">
        <v>88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32</v>
      </c>
      <c r="D26" s="19">
        <v>7</v>
      </c>
      <c r="E26" s="20">
        <v>-0.07084653453086227</v>
      </c>
      <c r="F26" s="20">
        <v>0.21875</v>
      </c>
      <c r="G26" s="22">
        <v>-4.859643384247434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-12.316953846598393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157</v>
      </c>
      <c r="D49" s="19">
        <v>48</v>
      </c>
      <c r="E49" s="20">
        <v>-0.014012521464710102</v>
      </c>
      <c r="F49" s="20">
        <v>0.45222929936305734</v>
      </c>
      <c r="G49" s="22">
        <v>-0.977157188772559</v>
      </c>
      <c r="H49" s="20">
        <v>0.016890286724917044</v>
      </c>
      <c r="I49" s="19">
        <v>33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775</v>
      </c>
      <c r="D56" s="19">
        <v>86</v>
      </c>
      <c r="E56" s="20">
        <v>-0.030769328509321632</v>
      </c>
      <c r="F56" s="20">
        <v>0.29935483870967744</v>
      </c>
      <c r="G56" s="22">
        <v>-6.732420685745598</v>
      </c>
      <c r="H56" s="20">
        <v>0.011605039919608783</v>
      </c>
      <c r="I56" s="19">
        <v>378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99</v>
      </c>
      <c r="D63" s="19">
        <v>9</v>
      </c>
      <c r="E63" s="20">
        <v>-0.03499448760367212</v>
      </c>
      <c r="F63" s="20">
        <v>0.23232323232323232</v>
      </c>
      <c r="G63" s="22">
        <v>-3.9496620259494555</v>
      </c>
      <c r="H63" s="20">
        <v>0.017634011299956853</v>
      </c>
      <c r="I63" s="19">
        <v>51</v>
      </c>
      <c r="J63" s="18" t="inlineStr">
        <is>
          <t>Small sample</t>
        </is>
      </c>
    </row>
    <row r="64" ht="30" customHeight="1">
      <c r="A64" s="18" t="inlineStr">
        <is>
          <t>UEFA Europa League</t>
        </is>
      </c>
      <c r="B64" s="18"/>
      <c r="C64" s="19">
        <v>90</v>
      </c>
      <c r="D64" s="19">
        <v>18</v>
      </c>
      <c r="E64" s="20">
        <v>-0.029265742952778517</v>
      </c>
      <c r="F64" s="20">
        <v>0.25555555555555554</v>
      </c>
      <c r="G64" s="22">
        <v>-4.225379439242074</v>
      </c>
      <c r="H64" s="20">
        <v>0.015496675340858615</v>
      </c>
      <c r="I64" s="19">
        <v>36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85</v>
      </c>
      <c r="D65" s="19">
        <v>10</v>
      </c>
      <c r="E65" s="20">
        <v>-0.03190427161945879</v>
      </c>
      <c r="F65" s="20">
        <v>0.27058823529411763</v>
      </c>
      <c r="G65" s="22">
        <v>-1.8998084081534032</v>
      </c>
      <c r="H65" s="20">
        <v>0.008412625234161482</v>
      </c>
      <c r="I65" s="19">
        <v>32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83</v>
      </c>
      <c r="D66" s="19">
        <v>9</v>
      </c>
      <c r="E66" s="20">
        <v>-0.029288084201771425</v>
      </c>
      <c r="F66" s="20">
        <v>0.30120481927710846</v>
      </c>
      <c r="G66" s="22">
        <v>-4.039343597366557</v>
      </c>
      <c r="H66" s="20">
        <v>0.006297533993312256</v>
      </c>
      <c r="I66" s="19">
        <v>41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