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2026-10-21T13:04:40.560910+00:00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38</v>
      </c>
      <c r="E6" s="19">
        <f>COUNTIFS(Selections!$K$6:$K$47,"WON")</f>
        <v>28</v>
      </c>
      <c r="F6" s="19">
        <f>COUNTIFS(Selections!$K$6:$K$47,"LOST")</f>
        <v>10</v>
      </c>
      <c r="G6" s="19">
        <f>COUNTA(Selections!$A$6:$A$47)-(COUNTIFS(Selections!$K$6:$K$47,"WON")+COUNTIFS(Selections!$K$6:$K$47,"LOST"))</f>
        <v>4</v>
      </c>
      <c r="H6" s="20">
        <f>IF((COUNTIFS(Selections!$K$6:$K$47,"WON")+COUNTIFS(Selections!$K$6:$K$47,"LOST"))=0,"n.a.",COUNTIFS(Selections!$K$6:$K$47,"WON")/(COUNTIFS(Selections!$K$6:$K$47,"WON")+COUNTIFS(Selections!$K$6:$K$47,"LOST")))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27</v>
      </c>
      <c r="E8" s="19">
        <f>COUNTIFS(Selections!$F$6:$F$47,"PROVISIONAL",Selections!$K$6:$K$47,"WON")</f>
        <v>18</v>
      </c>
      <c r="F8" s="19">
        <f>COUNTIFS(Selections!$F$6:$F$47,"PROVISIONAL",Selections!$K$6:$K$47,"LOST")</f>
        <v>9</v>
      </c>
      <c r="G8" s="19">
        <f>COUNTIFS(Selections!$F$6:$F$47,"PROVISIONAL")-(COUNTIFS(Selections!$F$6:$F$47,"PROVISIONAL",Selections!$K$6:$K$47,"WON")+COUNTIFS(Selections!$F$6:$F$47,"PROVISIONAL",Selections!$K$6:$K$47,"LOST"))</f>
        <v>2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12</v>
      </c>
      <c r="E14" s="19">
        <f>COUNTIFS(Selections!$C$6:$C$47,"UEFA Champions League",Selections!$K$6:$K$47,"WON")</f>
        <v>10</v>
      </c>
      <c r="F14" s="19">
        <f>COUNTIFS(Selections!$C$6:$C$47,"UEFA Champions League",Selections!$K$6:$K$47,"LOST")</f>
        <v>2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2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3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1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0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6</v>
      </c>
      <c r="E17" s="19">
        <f>COUNTIFS(Selections!$E$6:$E$47,"Double Chance 12",Selections!$K$6:$K$47,"WON")</f>
        <v>5</v>
      </c>
      <c r="F17" s="19">
        <f>COUNTIFS(Selections!$E$6:$E$47,"Double Chance 12",Selections!$K$6:$K$47,"LOST")</f>
        <v>1</v>
      </c>
      <c r="G17" s="19">
        <f>COUNTIFS(Selections!$E$6:$E$47,"Double Chance 12")-(COUNTIFS(Selections!$E$6:$E$47,"Double Chance 12",Selections!$K$6:$K$47,"WON")+COUNTIFS(Selections!$E$6:$E$47,"Double Chance 12",Selections!$K$6:$K$47,"LOST"))</f>
        <v>0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5</v>
      </c>
      <c r="E18" s="19">
        <f>COUNTIFS(Selections!$E$6:$E$47,"Double Chance 1X",Selections!$K$6:$K$47,"WON")</f>
        <v>4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2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6</v>
      </c>
      <c r="E19" s="19">
        <f>COUNTIFS(Selections!$E$6:$E$47,"Double Chance X2",Selections!$K$6:$K$47,"WON")</f>
        <v>4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0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7</v>
      </c>
      <c r="E21" s="19">
        <f>COUNTIFS(Selections!$E$6:$E$47,"Over 1.5",Selections!$K$6:$K$47,"WON")</f>
        <v>6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2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11</v>
      </c>
      <c r="E24" s="19">
        <f>COUNTIFS(Selections!$G$6:$G$47,"48h-top-twelve-probability-ev-no-under35-v15",Selections!$K$6:$K$47,"WON")</f>
        <v>7</v>
      </c>
      <c r="F24" s="19">
        <f>COUNTIFS(Selections!$G$6:$G$47,"48h-top-twelve-probability-ev-no-under35-v15",Selections!$K$6:$K$47,"LOST")</f>
        <v>4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12</v>
      </c>
      <c r="E33" s="19">
        <f>COUNTIFS(Selections!$P$6:$P$47,"2026-W43",Selections!$K$6:$K$47,"WON")</f>
        <v>7</v>
      </c>
      <c r="F33" s="19">
        <f>COUNTIFS(Selections!$P$6:$P$47,"2026-W43",Selections!$K$6:$K$47,"LOST")</f>
        <v>5</v>
      </c>
      <c r="G33" s="19">
        <f>COUNTIFS(Selections!$P$6:$P$47,"2026-W43")-(COUNTIFS(Selections!$P$6:$P$47,"2026-W43",Selections!$K$6:$K$47,"WON")+COUNTIFS(Selections!$P$6:$P$47,"2026-W43",Selections!$K$6:$K$47,"LOST"))</f>
        <v>1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IF(ISNUMBER(M39),M39*(I39*L39-1-U39),"")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IF(ISNUMBER(M40),M40*(I40*L40-1-U40),"")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IF(ISNUMBER(M41),M41*(I41*L41-1-U41),"")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IF(ISNUMBER(M42),M42*(I42*L42-1-U42),"")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IF(ISNUMBER(M44),M44*(I44*L44-1-U44),"")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IF(ISNUMBER(M45),M45*(I45*L45-1-U45),"")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IF(ISNUMBER(M46),M46*(I46*L46-1-U46),"")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IF(ISNUMBER(M47),M47*(I47*L47-1-U47),"")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2026-10-21T13:04:40.560910+00:00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10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10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Bookmakers: 1xBet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Upcoming kickoff count</t>
        </is>
      </c>
      <c r="B46" s="19">
        <v>10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python</t>
        </is>
      </c>
      <c r="B102" s="18" t="inlineStr">
        <is>
          <t>3.12.15</t>
        </is>
      </c>
    </row>
    <row r="103" ht="44" customHeight="1">
      <c r="A103" s="18" t="inlineStr">
        <is>
          <t>numpy</t>
        </is>
      </c>
      <c r="B103" s="18" t="inlineStr">
        <is>
          <t>2.5.4</t>
        </is>
      </c>
    </row>
    <row r="104" ht="44" customHeight="1">
      <c r="A104" s="18" t="inlineStr">
        <is>
          <t>pandas</t>
        </is>
      </c>
      <c r="B104" s="18" t="inlineStr">
        <is>
          <t>3.0.6</t>
        </is>
      </c>
    </row>
    <row r="105" ht="44" customHeight="1">
      <c r="A105" s="18" t="inlineStr">
        <is>
          <t>scipy</t>
        </is>
      </c>
      <c r="B105" s="18" t="inlineStr">
        <is>
          <t>1.18.1</t>
        </is>
      </c>
    </row>
    <row r="106" ht="44" customHeight="1">
      <c r="A106" s="18" t="inlineStr">
        <is>
          <t>requests</t>
        </is>
      </c>
      <c r="B106" s="18" t="inlineStr">
        <is>
          <t>2.34.2</t>
        </is>
      </c>
    </row>
    <row r="107" ht="44" customHeight="1">
      <c r="A107" s="18" t="inlineStr">
        <is>
          <t>rapidfuzz</t>
        </is>
      </c>
      <c r="B107" s="18" t="inlineStr">
        <is>
          <t>3.14.6</t>
        </is>
      </c>
    </row>
    <row r="108" ht="44" customHeight="1">
      <c r="A108" s="18" t="inlineStr">
        <is>
          <t>python-dotenv</t>
        </is>
      </c>
      <c r="B108" s="18" t="inlineStr">
        <is>
          <t>1.2.4</t>
        </is>
      </c>
    </row>
    <row r="109" ht="44" customHeight="1">
      <c r="A109" s="18" t="inlineStr">
        <is>
          <t>coverage</t>
        </is>
      </c>
      <c r="B109" s="18" t="inlineStr">
        <is>
          <t>7.16.2</t>
        </is>
      </c>
    </row>
    <row r="110" ht="44" customHeight="1">
      <c r="A110" s="18" t="inlineStr">
        <is>
          <t>PyYAML</t>
        </is>
      </c>
      <c r="B110" s="18" t="inlineStr">
        <is>
          <t>6.0.3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