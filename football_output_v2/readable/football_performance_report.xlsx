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0.57889896</v>
      </c>
      <c r="C17" s="1"/>
      <c r="D17" s="1" t="inlineStr">
        <is>
          <t>Over 1.5</t>
        </is>
      </c>
      <c r="E17" s="1">
        <f>COUNT(Predictions!J6:J93)</f>
        <v>20</v>
      </c>
      <c r="F17" s="9">
        <f>IF(E17=0,"n.a.",AVERAGE(Predictions!J6:J93))</f>
        <v>0.95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20</v>
      </c>
      <c r="F18" s="9">
        <f>IF(E18=0,"n.a.",AVERAGE(Predictions!K6:K93))</f>
        <v>0.6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20</v>
      </c>
      <c r="F19" s="9">
        <f>IF(E19=0,"n.a.",AVERAGE(Predictions!L6:L93))</f>
        <v>0.55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20</v>
      </c>
      <c r="F20" s="9">
        <f>IF(E20=0,"n.a.",AVERAGE(Predictions!M6:M93))</f>
        <v>0.55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2026-10-13T19:24:44Z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2026-10-13T19:24:44.792179+00:00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MODEL_BEHIND_VERIFIED_SOURCE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7</v>
      </c>
      <c r="C46">
        <v>0.571429</v>
      </c>
      <c r="D46">
        <v>-0.215714</v>
      </c>
      <c r="E46">
        <v>0.309299</v>
      </c>
    </row>
    <row r="47"/>
    <row r="48">
      <c r="A48" t="inlineStr">
        <is>
          <t>EV sensitivity floor</t>
        </is>
      </c>
      <c r="B48" t="inlineStr">
        <is>
          <t>Tier</t>
        </is>
      </c>
      <c r="C48" t="inlineStr">
        <is>
          <t>Selected</t>
        </is>
      </c>
      <c r="D48" t="inlineStr">
        <is>
          <t>Settled</t>
        </is>
      </c>
      <c r="E48" t="inlineStr">
        <is>
          <t>Net ROI</t>
        </is>
      </c>
      <c r="F48" t="inlineStr">
        <is>
          <t>Drawdown units</t>
        </is>
      </c>
    </row>
    <row r="49">
      <c r="A49">
        <v>0.015</v>
      </c>
      <c r="B49" t="inlineStr">
        <is>
          <t>ALL</t>
        </is>
      </c>
      <c r="C49">
        <v>4</v>
      </c>
      <c r="D49">
        <v>0</v>
      </c>
      <c r="E49"/>
      <c r="F49"/>
    </row>
    <row r="50">
      <c r="A50">
        <v>0.015</v>
      </c>
      <c r="B50" t="inlineStr">
        <is>
          <t>STRICT</t>
        </is>
      </c>
      <c r="C50">
        <v>4</v>
      </c>
      <c r="D50">
        <v>0</v>
      </c>
      <c r="E50"/>
      <c r="F50"/>
    </row>
    <row r="51">
      <c r="A51">
        <v>0.015</v>
      </c>
      <c r="B51" t="inlineStr">
        <is>
          <t>PROVISIONAL</t>
        </is>
      </c>
      <c r="C51">
        <v>0</v>
      </c>
      <c r="D51">
        <v>0</v>
      </c>
      <c r="E51"/>
      <c r="F51"/>
    </row>
    <row r="52">
      <c r="A52">
        <v>0.03</v>
      </c>
      <c r="B52" t="inlineStr">
        <is>
          <t>ALL</t>
        </is>
      </c>
      <c r="C52">
        <v>4</v>
      </c>
      <c r="D52">
        <v>0</v>
      </c>
      <c r="E52"/>
      <c r="F52"/>
    </row>
    <row r="53">
      <c r="A53">
        <v>0.03</v>
      </c>
      <c r="B53" t="inlineStr">
        <is>
          <t>STRICT</t>
        </is>
      </c>
      <c r="C53">
        <v>4</v>
      </c>
      <c r="D53">
        <v>0</v>
      </c>
      <c r="E53"/>
      <c r="F53"/>
    </row>
    <row r="54">
      <c r="A54">
        <v>0.03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0.05</v>
      </c>
      <c r="B55" t="inlineStr">
        <is>
          <t>ALL</t>
        </is>
      </c>
      <c r="C55">
        <v>4</v>
      </c>
      <c r="D55">
        <v>0</v>
      </c>
      <c r="E55"/>
      <c r="F55"/>
    </row>
    <row r="56">
      <c r="A56">
        <v>0.05</v>
      </c>
      <c r="B56" t="inlineStr">
        <is>
          <t>STRICT</t>
        </is>
      </c>
      <c r="C56">
        <v>3</v>
      </c>
      <c r="D56">
        <v>0</v>
      </c>
      <c r="E56"/>
      <c r="F56"/>
    </row>
    <row r="57">
      <c r="A57">
        <v>0.05</v>
      </c>
      <c r="B57" t="inlineStr">
        <is>
          <t>PROVISIONAL</t>
        </is>
      </c>
      <c r="C57">
        <v>1</v>
      </c>
      <c r="D57">
        <v>0</v>
      </c>
      <c r="E57"/>
      <c r="F57"/>
    </row>
    <row r="58"/>
    <row r="59">
      <c r="A59" t="inlineStr">
        <is>
          <t>Review dependency versions</t>
        </is>
      </c>
    </row>
    <row r="60">
      <c r="A60" t="inlineStr">
        <is>
          <t>python</t>
        </is>
      </c>
      <c r="B60" t="inlineStr">
        <is>
          <t>3.12.15</t>
        </is>
      </c>
    </row>
    <row r="61">
      <c r="A61" t="inlineStr">
        <is>
          <t>numpy</t>
        </is>
      </c>
      <c r="B61" t="inlineStr">
        <is>
          <t>2.5.4</t>
        </is>
      </c>
    </row>
    <row r="62">
      <c r="A62" t="inlineStr">
        <is>
          <t>pandas</t>
        </is>
      </c>
      <c r="B62" t="inlineStr">
        <is>
          <t>3.0.6</t>
        </is>
      </c>
    </row>
    <row r="63">
      <c r="A63" t="inlineStr">
        <is>
          <t>scipy</t>
        </is>
      </c>
      <c r="B63" t="inlineStr">
        <is>
          <t>1.18.1</t>
        </is>
      </c>
    </row>
    <row r="64">
      <c r="A64" t="inlineStr">
        <is>
          <t>requests</t>
        </is>
      </c>
      <c r="B64" t="inlineStr">
        <is>
          <t>2.34.2</t>
        </is>
      </c>
    </row>
    <row r="65">
      <c r="A65" t="inlineStr">
        <is>
          <t>python-dotenv</t>
        </is>
      </c>
      <c r="B65" t="inlineStr">
        <is>
          <t>1.2.4</t>
        </is>
      </c>
    </row>
    <row r="66">
      <c r="A66" t="inlineStr">
        <is>
          <t>coverage</t>
        </is>
      </c>
      <c r="B66" t="inlineStr">
        <is>
          <t>NOT_INSTALLED</t>
        </is>
      </c>
    </row>
    <row r="67">
      <c r="A67" t="inlineStr">
        <is>
          <t>PyYAML</t>
        </is>
      </c>
      <c r="B67" t="inlineStr">
        <is>
          <t>NOT_INSTALLED</t>
        </is>
      </c>
    </row>
    <row r="68"/>
    <row r="69">
      <c r="A69" t="inlineStr">
        <is>
          <t>Improvement is not established by fresher data or software changes. Compare paired forecasts and settled results.</t>
        </is>
      </c>
    </row>
    <row r="70">
      <c r="A70" t="inlineStr">
        <is>
          <t>Account access and executable stake sizes are not verified. Exchange targets require a commission/liquidity adapter.</t>
        </is>
      </c>
    </row>
  </sheetData>
</worksheet>
</file>