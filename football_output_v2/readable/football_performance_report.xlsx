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drawings/charts/chart1.xml" ContentType="application/vnd.openxmlformats-officedocument.drawingml.chart+xml"/>
  <ns0:Override PartName="/xl/drawings/charts/chart2.xml" ContentType="application/vnd.openxmlformats-officedocument.drawingml.chart+xml"/>
  <ns0:Override PartName="/xl/drawings/charts/chart3.xml" ContentType="application/vnd.openxmlformats-officedocument.drawingml.char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sheets/sheet7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Pipeline Health" sheetId="7" ns1:id="rIdPipelineHealth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c12b68d6b698473b" /><ns0:Relationship Type="http://schemas.openxmlformats.org/officeDocument/2006/relationships/theme" Target="/xl/theme/theme1.xml" Id="R7ebbddc5c22d4554" /><ns0:Relationship Type="http://schemas.openxmlformats.org/officeDocument/2006/relationships/sharedStrings" Target="/xl/sharedStrings.xml" Id="Rd461963173bb48e4" /><ns0:Relationship Type="http://schemas.openxmlformats.org/officeDocument/2006/relationships/worksheet" Target="/xl/worksheets/sheet1.xml" Id="Rccc920fc3bf74ea4" /><ns0:Relationship Type="http://schemas.openxmlformats.org/officeDocument/2006/relationships/worksheet" Target="/xl/worksheets/sheet2.xml" Id="R6859d2273dee43f9" /><ns0:Relationship Type="http://schemas.openxmlformats.org/officeDocument/2006/relationships/worksheet" Target="/xl/worksheets/sheet3.xml" Id="R87976848626641f2" /><ns0:Relationship Type="http://schemas.openxmlformats.org/officeDocument/2006/relationships/worksheet" Target="/xl/worksheets/sheet4.xml" Id="R6fe18dcc89cb4419" /><ns0:Relationship Type="http://schemas.openxmlformats.org/officeDocument/2006/relationships/worksheet" Target="/xl/worksheets/sheet5.xml" Id="R320e3c7a9bc644fa" /><ns0:Relationship Type="http://schemas.openxmlformats.org/officeDocument/2006/relationships/worksheet" Target="/xl/worksheets/sheet6.xml" Id="Rcc8cb310aa834b56" /><ns0:Relationship Id="rIdPipelineHealth" Type="http://schemas.openxmlformats.org/officeDocument/2006/relationships/worksheet" Target="worksheets/sheet7.xml" /></ns0: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-0.8700000000000001</c:v>
                </c:pt>
                <c:pt idx="12">
                  <c:v>-0.8700000000000001</c:v>
                </c:pt>
                <c:pt idx="13">
                  <c:v>-0.8700000000000001</c:v>
                </c:pt>
                <c:pt idx="14">
                  <c:v>-0.8700000000000001</c:v>
                </c:pt>
                <c:pt idx="15">
                  <c:v>-0.8700000000000001</c:v>
                </c:pt>
                <c:pt idx="16">
                  <c:v>-0.8700000000000001</c:v>
                </c:pt>
                <c:pt idx="17">
                  <c:v>-0.8700000000000001</c:v>
                </c:pt>
                <c:pt idx="18">
                  <c:v>-0.8700000000000001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0.9446461535133436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4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9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10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0.6666666666666666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-0.09666666666666668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-0.8700000000000001</v>
      </c>
      <c r="C14" s="1"/>
      <c r="D14" s="1" t="inlineStr">
        <is>
          <t>9 settled; 10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0.25053182411845815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0.5925925925925926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0.6023758366666667</v>
      </c>
      <c r="C17" s="1"/>
      <c r="D17" s="1" t="inlineStr">
        <is>
          <t>Over 1.5</t>
        </is>
      </c>
      <c r="E17" s="1">
        <f>COUNT(Predictions!J6:J93)</f>
        <v>27</v>
      </c>
      <c r="F17" s="9">
        <f>IF(E17=0,"n.a.",AVERAGE(Predictions!J6:J93))</f>
        <v>0.9259259259259259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0.35419734749908977</v>
      </c>
      <c r="C18" s="1"/>
      <c r="D18" s="1" t="inlineStr">
        <is>
          <t>Under 3.5</t>
        </is>
      </c>
      <c r="E18" s="1">
        <f>COUNT(Predictions!K6:K93)</f>
        <v>27</v>
      </c>
      <c r="F18" s="9">
        <f>IF(E18=0,"n.a.",AVERAGE(Predictions!K6:K93))</f>
        <v>0.5925925925925926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0.879418401317257</v>
      </c>
      <c r="C19" s="1"/>
      <c r="D19" s="1" t="inlineStr">
        <is>
          <t>BTTS Yes</t>
        </is>
      </c>
      <c r="E19" s="1">
        <f>COUNT(Predictions!L6:L93)</f>
        <v>27</v>
      </c>
      <c r="F19" s="9">
        <f>IF(E19=0,"n.a.",AVERAGE(Predictions!L6:L93))</f>
        <v>0.5185185185185185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27</v>
      </c>
      <c r="F20" s="9">
        <f>IF(E20=0,"n.a.",AVERAGE(Predictions!M6:M93))</f>
        <v>0.5185185185185185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6 wins from 9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2026-10-14T08:06:14Z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WON</t>
        </is>
      </c>
      <c r="D18" s="10">
        <f>IF(ISNUMBER(Selections!M14),Selections!M14,"")</f>
        <v>1</v>
      </c>
      <c r="E18" s="10">
        <f>IF(ISNUMBER(Selections!N14),Selections!N14,"")</f>
        <v>0.1499999999999999</v>
      </c>
      <c r="F18" s="10">
        <f>SUM($E$10:E18)</f>
        <v>-1.36</v>
      </c>
      <c r="G18" s="10">
        <f>$B$4+F18</f>
        <v>98.64</v>
      </c>
      <c r="H18" s="10">
        <f>MAX($B$4,$G$10:G18)</f>
        <v>100</v>
      </c>
      <c r="I18" s="10">
        <f>H18-G18</f>
        <v>1.3599999999999994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WON</t>
        </is>
      </c>
      <c r="D19" s="10">
        <f>IF(ISNUMBER(Selections!M15),Selections!M15,"")</f>
        <v>1</v>
      </c>
      <c r="E19" s="10">
        <f>IF(ISNUMBER(Selections!N15),Selections!N15,"")</f>
        <v>0.49</v>
      </c>
      <c r="F19" s="10">
        <f>SUM($E$10:E19)</f>
        <v>-0.8700000000000001</v>
      </c>
      <c r="G19" s="10">
        <f>$B$4+F19</f>
        <v>99.13</v>
      </c>
      <c r="H19" s="10">
        <f>MAX($B$4,$G$10:G19)</f>
        <v>100</v>
      </c>
      <c r="I19" s="10">
        <f>H19-G19</f>
        <v>0.8700000000000045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-0.8700000000000001</v>
      </c>
      <c r="G20" s="10">
        <f>$B$4+F20</f>
        <v>99.13</v>
      </c>
      <c r="H20" s="10">
        <f>MAX($B$4,$G$10:G20)</f>
        <v>100</v>
      </c>
      <c r="I20" s="10">
        <f>H20-G20</f>
        <v>0.8700000000000045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-0.8700000000000001</v>
      </c>
      <c r="G21" s="10">
        <f>$B$4+F21</f>
        <v>99.13</v>
      </c>
      <c r="H21" s="10">
        <f>MAX($B$4,$G$10:G21)</f>
        <v>100</v>
      </c>
      <c r="I21" s="10">
        <f>H21-G21</f>
        <v>0.8700000000000045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-0.8700000000000001</v>
      </c>
      <c r="G22" s="10">
        <f>$B$4+F22</f>
        <v>99.13</v>
      </c>
      <c r="H22" s="10">
        <f>MAX($B$4,$G$10:G22)</f>
        <v>100</v>
      </c>
      <c r="I22" s="10">
        <f>H22-G22</f>
        <v>0.8700000000000045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-0.8700000000000001</v>
      </c>
      <c r="G23" s="10">
        <f>$B$4+F23</f>
        <v>99.13</v>
      </c>
      <c r="H23" s="10">
        <f>MAX($B$4,$G$10:G23)</f>
        <v>100</v>
      </c>
      <c r="I23" s="10">
        <f>H23-G23</f>
        <v>0.8700000000000045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-0.8700000000000001</v>
      </c>
      <c r="G24" s="10">
        <f>$B$4+F24</f>
        <v>99.13</v>
      </c>
      <c r="H24" s="10">
        <f>MAX($B$4,$G$10:G24)</f>
        <v>100</v>
      </c>
      <c r="I24" s="10">
        <f>H24-G24</f>
        <v>0.8700000000000045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-0.8700000000000001</v>
      </c>
      <c r="G25" s="10">
        <f>$B$4+F25</f>
        <v>99.13</v>
      </c>
      <c r="H25" s="10">
        <f>MAX($B$4,$G$10:G25)</f>
        <v>100</v>
      </c>
      <c r="I25" s="10">
        <f>H25-G25</f>
        <v>0.8700000000000045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-0.8700000000000001</v>
      </c>
      <c r="G26" s="10">
        <f>$B$4+F26</f>
        <v>99.13</v>
      </c>
      <c r="H26" s="10">
        <f>MAX($B$4,$G$10:G26)</f>
        <v>100</v>
      </c>
      <c r="I26" s="10">
        <f>H26-G26</f>
        <v>0.8700000000000045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-0.8700000000000001</v>
      </c>
      <c r="G27" s="10">
        <f>$B$4+F27</f>
        <v>99.13</v>
      </c>
      <c r="H27" s="10">
        <f>MAX($B$4,$G$10:G27)</f>
        <v>100</v>
      </c>
      <c r="I27" s="10">
        <f>H27-G27</f>
        <v>0.8700000000000045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-0.8700000000000001</v>
      </c>
      <c r="G28" s="10">
        <f>$B$4+F28</f>
        <v>99.13</v>
      </c>
      <c r="H28" s="10">
        <f>MAX($B$4,$G$10:G28)</f>
        <v>100</v>
      </c>
      <c r="I28" s="10">
        <f>H28-G28</f>
        <v>0.8700000000000045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9</v>
      </c>
      <c r="E6" s="12">
        <f>COUNTIFS(Selections!$K$6:$K$24,"WON")</f>
        <v>6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10</v>
      </c>
      <c r="H6" s="13">
        <f>IF((COUNTIFS(Selections!$K$6:$K$24,"WON")+COUNTIFS(Selections!$K$6:$K$24,"LOST"))=0,"n.a.",COUNTIFS(Selections!$K$6:$K$24,"WON")/(COUNTIFS(Selections!$K$6:$K$24,"WON")+COUNTIFS(Selections!$K$6:$K$24,"LOST")))</f>
        <v>0.6666666666666666</v>
      </c>
      <c r="I6" s="15">
        <f>SUM(Selections!$M$6:$M$24)</f>
        <v>9</v>
      </c>
      <c r="J6" s="15">
        <f>SUM(Selections!$N$6:$N$24)</f>
        <v>-0.8700000000000001</v>
      </c>
      <c r="K6" s="13">
        <f>IF(SUM(Selections!$M$6:$M$24)=0,"n.a.",SUM(Selections!$N$6:$N$24)/SUM(Selections!$M$6:$M$24))</f>
        <v>-0.09666666666666668</v>
      </c>
      <c r="L6" s="14">
        <f>IF(SUM(Selections!$T$6:$T$24)=0,"n.a.",SUM(Selections!$O$6:$O$24)/SUM(Selections!$T$6:$T$24))</f>
        <v>0.25053182411845815</v>
      </c>
      <c r="M6" s="13">
        <f>IF(SUM(Selections!$T$6:$T$24)=0,"n.a.",SUM(Selections!$S$6:$S$24)/SUM(Selections!$T$6:$T$24))</f>
        <v>0.8039940028539501</v>
      </c>
      <c r="N6" s="13">
        <f>IF(SUM(Selections!$T$6:$T$24)=0,"n.a.",(SUMIFS(Selections!$L$6:$L$24,Selections!$T$6:$T$24,1))/SUM(Selections!$T$6:$T$24))</f>
        <v>0.6666666666666666</v>
      </c>
      <c r="O6" s="13">
        <f>IF(SUM(Selections!$T$6:$T$24)=0,"n.a.",(SUM(Selections!$S$6:$S$24)-(SUMIFS(Selections!$L$6:$L$24,Selections!$T$6:$T$24,1)))/SUM(Selections!$T$6:$T$24))</f>
        <v>0.13732733618728343</v>
      </c>
      <c r="P6" s="12">
        <f>SUM(Selections!$T$6:$T$24)</f>
        <v>9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(n=9).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4</v>
      </c>
      <c r="E7" s="12">
        <f>COUNTIFS(Selections!$F$6:$F$24,"STRICT",Selections!$K$6:$K$24,"WON")</f>
        <v>4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5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4</v>
      </c>
      <c r="J7" s="15">
        <f>SUMIFS(Selections!$N$6:$N$24,Selections!$F$6:$F$24,"STRICT")</f>
        <v>1.6099999999999999</v>
      </c>
      <c r="K7" s="13">
        <f>IF(SUMIFS(Selections!$M$6:$M$24,Selections!$F$6:$F$24,"STRICT")=0,"n.a.",SUMIFS(Selections!$N$6:$N$24,Selections!$F$6:$F$24,"STRICT")/SUMIFS(Selections!$M$6:$M$24,Selections!$F$6:$F$24,"STRICT"))</f>
        <v>0.40249999999999997</v>
      </c>
      <c r="L7" s="14">
        <f>IF(SUMIFS(Selections!$T$6:$T$24,Selections!$F$6:$F$24,"STRICT")=0,"n.a.",SUMIFS(Selections!$O$6:$O$24,Selections!$F$6:$F$24,"STRICT")/SUMIFS(Selections!$T$6:$T$24,Selections!$F$6:$F$24,"STRICT"))</f>
        <v>0.05954074059867185</v>
      </c>
      <c r="M7" s="13">
        <f>IF(SUMIFS(Selections!$T$6:$T$24,Selections!$F$6:$F$24,"STRICT")=0,"n.a.",SUMIFS(Selections!$S$6:$S$24,Selections!$F$6:$F$24,"STRICT")/SUMIFS(Selections!$T$6:$T$24,Selections!$F$6:$F$24,"STRICT"))</f>
        <v>0.7786491041410677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-0.2213508958589323</v>
      </c>
      <c r="P7" s="12">
        <f>SUMIFS(Selections!$T$6:$T$24,Selections!$F$6:$F$24,"STRICT")</f>
        <v>4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(n=4).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-3.0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2</v>
      </c>
      <c r="E12" s="12">
        <f>COUNTIFS(Selections!$C$6:$C$24,"UEFA Champions League",Selections!$K$6:$K$24,"WON")</f>
        <v>2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3</v>
      </c>
      <c r="H12" s="13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1.0</v>
      </c>
      <c r="I12" s="15">
        <f>SUMIFS(Selections!$M$6:$M$24,Selections!$C$6:$C$24,"UEFA Champions League")</f>
        <v>2</v>
      </c>
      <c r="J12" s="15">
        <f>SUMIFS(Selections!$N$6:$N$24,Selections!$C$6:$C$24,"UEFA Champions League")</f>
        <v>0.6399999999999999</v>
      </c>
      <c r="K12" s="13">
        <f>IF(SUMIFS(Selections!$M$6:$M$24,Selections!$C$6:$C$24,"UEFA Champions League")=0,"n.a.",SUMIFS(Selections!$N$6:$N$24,Selections!$C$6:$C$24,"UEFA Champions League")/SUMIFS(Selections!$M$6:$M$24,Selections!$C$6:$C$24,"UEFA Champions League"))</f>
        <v>0.31999999999999995</v>
      </c>
      <c r="L12" s="14">
        <f>IF(SUMIFS(Selections!$T$6:$T$24,Selections!$C$6:$C$24,"UEFA Champions League")=0,"n.a.",SUMIFS(Selections!$O$6:$O$24,Selections!$C$6:$C$24,"UEFA Champions League")/SUMIFS(Selections!$T$6:$T$24,Selections!$C$6:$C$24,"UEFA Champions League"))</f>
        <v>0.044846252190532905</v>
      </c>
      <c r="M12" s="13">
        <f>IF(SUMIFS(Selections!$T$6:$T$24,Selections!$C$6:$C$24,"UEFA Champions League")=0,"n.a.",SUMIFS(Selections!$S$6:$S$24,Selections!$C$6:$C$24,"UEFA Champions League")/SUMIFS(Selections!$T$6:$T$24,Selections!$C$6:$C$24,"UEFA Champions League"))</f>
        <v>0.8251595146393822</v>
      </c>
      <c r="N12" s="13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1.0</v>
      </c>
      <c r="O12" s="13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-0.1748404853606178</v>
      </c>
      <c r="P12" s="12">
        <f>SUMIFS(Selections!$T$6:$T$24,Selections!$C$6:$C$24,"UEFA Champions League")</f>
        <v>2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1</v>
      </c>
      <c r="E13" s="12">
        <f>COUNTIFS(Selections!$E$6:$E$24,"Both Teams to Score - Yes",Selections!$K$6:$K$24,"WON")</f>
        <v>1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0</v>
      </c>
      <c r="H13" s="13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1.0</v>
      </c>
      <c r="I13" s="15">
        <f>SUMIFS(Selections!$M$6:$M$24,Selections!$E$6:$E$24,"Both Teams to Score - Yes")</f>
        <v>1</v>
      </c>
      <c r="J13" s="15">
        <f>SUMIFS(Selections!$N$6:$N$24,Selections!$E$6:$E$24,"Both Teams to Score - Yes")</f>
        <v>0.49</v>
      </c>
      <c r="K13" s="13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0.49</v>
      </c>
      <c r="L13" s="14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0.08662845606019748</v>
      </c>
      <c r="M13" s="13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0.7056728757654207</v>
      </c>
      <c r="N13" s="13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1.0</v>
      </c>
      <c r="O13" s="13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-0.2943271242345793</v>
      </c>
      <c r="P13" s="12">
        <f>SUMIFS(Selections!$T$6:$T$24,Selections!$E$6:$E$24,"Both Teams to Score - Yes")</f>
        <v>1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3</v>
      </c>
      <c r="E15" s="12">
        <f>COUNTIFS(Selections!$E$6:$E$24,"Over 1.5",Selections!$K$6:$K$24,"WON")</f>
        <v>3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5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3</v>
      </c>
      <c r="J15" s="15">
        <f>SUMIFS(Selections!$N$6:$N$24,Selections!$E$6:$E$24,"Over 1.5")</f>
        <v>0.73</v>
      </c>
      <c r="K15" s="13">
        <f>IF(SUMIFS(Selections!$M$6:$M$24,Selections!$E$6:$E$24,"Over 1.5")=0,"n.a.",SUMIFS(Selections!$N$6:$N$24,Selections!$E$6:$E$24,"Over 1.5")/SUMIFS(Selections!$M$6:$M$24,Selections!$E$6:$E$24,"Over 1.5"))</f>
        <v>0.24333333333333332</v>
      </c>
      <c r="L15" s="14">
        <f>IF(SUMIFS(Selections!$T$6:$T$24,Selections!$E$6:$E$24,"Over 1.5")=0,"n.a.",SUMIFS(Selections!$O$6:$O$24,Selections!$E$6:$E$24,"Over 1.5")/SUMIFS(Selections!$T$6:$T$24,Selections!$E$6:$E$24,"Over 1.5"))</f>
        <v>0.020227084911165257</v>
      </c>
      <c r="M15" s="13">
        <f>IF(SUMIFS(Selections!$T$6:$T$24,Selections!$E$6:$E$24,"Over 1.5")=0,"n.a.",SUMIFS(Selections!$S$6:$S$24,Selections!$E$6:$E$24,"Over 1.5")/SUMIFS(Selections!$T$6:$T$24,Selections!$E$6:$E$24,"Over 1.5"))</f>
        <v>0.8753960821368366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-0.12460391786316338</v>
      </c>
      <c r="P15" s="12">
        <f>SUMIFS(Selections!$T$6:$T$24,Selections!$E$6:$E$24,"Over 1.5")</f>
        <v>3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(n=3).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4</v>
      </c>
      <c r="E17" s="12">
        <f>COUNTIFS(Selections!$G$6:$G$24,"72h-ucl-v3",Selections!$K$6:$K$24,"WON")</f>
        <v>3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4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0.75</v>
      </c>
      <c r="I17" s="15">
        <f>SUMIFS(Selections!$M$6:$M$24,Selections!$G$6:$G$24,"72h-ucl-v3")</f>
        <v>4</v>
      </c>
      <c r="J17" s="15">
        <f>SUMIFS(Selections!$N$6:$N$24,Selections!$G$6:$G$24,"72h-ucl-v3")</f>
        <v>-0.020000000000000018</v>
      </c>
      <c r="K17" s="13">
        <f>IF(SUMIFS(Selections!$M$6:$M$24,Selections!$G$6:$G$24,"72h-ucl-v3")=0,"n.a.",SUMIFS(Selections!$N$6:$N$24,Selections!$G$6:$G$24,"72h-ucl-v3")/SUMIFS(Selections!$M$6:$M$24,Selections!$G$6:$G$24,"72h-ucl-v3"))</f>
        <v>-0.0050000000000000044</v>
      </c>
      <c r="L17" s="14">
        <f>IF(SUMIFS(Selections!$T$6:$T$24,Selections!$G$6:$G$24,"72h-ucl-v3")=0,"n.a.",SUMIFS(Selections!$O$6:$O$24,Selections!$G$6:$G$24,"72h-ucl-v3")/SUMIFS(Selections!$T$6:$T$24,Selections!$G$6:$G$24,"72h-ucl-v3"))</f>
        <v>0.17685702320972962</v>
      </c>
      <c r="M17" s="13">
        <f>IF(SUMIFS(Selections!$T$6:$T$24,Selections!$G$6:$G$24,"72h-ucl-v3")=0,"n.a.",SUMIFS(Selections!$S$6:$S$24,Selections!$G$6:$G$24,"72h-ucl-v3")/SUMIFS(Selections!$T$6:$T$24,Selections!$G$6:$G$24,"72h-ucl-v3"))</f>
        <v>0.7968587073827849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0.75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0.04685870738278486</v>
      </c>
      <c r="P17" s="12">
        <f>SUMIFS(Selections!$T$6:$T$24,Selections!$G$6:$G$24,"72h-ucl-v3")</f>
        <v>4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(n=4).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5</v>
      </c>
      <c r="E20" s="12">
        <f>COUNTIFS(Selections!$P$6:$P$24,"2026-W42",Selections!$K$6:$K$24,"WON")</f>
        <v>4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8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0.8</v>
      </c>
      <c r="I20" s="15">
        <f>SUMIFS(Selections!$M$6:$M$24,Selections!$P$6:$P$24,"2026-W42")</f>
        <v>5</v>
      </c>
      <c r="J20" s="15">
        <f>SUMIFS(Selections!$N$6:$N$24,Selections!$P$6:$P$24,"2026-W42")</f>
        <v>0.6099999999999999</v>
      </c>
      <c r="K20" s="13">
        <f>IF(SUMIFS(Selections!$M$6:$M$24,Selections!$P$6:$P$24,"2026-W42")=0,"n.a.",SUMIFS(Selections!$N$6:$N$24,Selections!$P$6:$P$24,"2026-W42")/SUMIFS(Selections!$M$6:$M$24,Selections!$P$6:$P$24,"2026-W42"))</f>
        <v>0.12199999999999997</v>
      </c>
      <c r="L20" s="14">
        <f>IF(SUMIFS(Selections!$T$6:$T$24,Selections!$P$6:$P$24,"2026-W42")=0,"n.a.",SUMIFS(Selections!$O$6:$O$24,Selections!$P$6:$P$24,"2026-W42")/SUMIFS(Selections!$T$6:$T$24,Selections!$P$6:$P$24,"2026-W42"))</f>
        <v>0.18766448976327427</v>
      </c>
      <c r="M20" s="13">
        <f>IF(SUMIFS(Selections!$T$6:$T$24,Selections!$P$6:$P$24,"2026-W42")=0,"n.a.",SUMIFS(Selections!$S$6:$S$24,Selections!$P$6:$P$24,"2026-W42")/SUMIFS(Selections!$T$6:$T$24,Selections!$P$6:$P$24,"2026-W42"))</f>
        <v>0.7902703498074164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0.8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-0.00972965019258365</v>
      </c>
      <c r="P20" s="12">
        <f>SUMIFS(Selections!$T$6:$T$24,Selections!$P$6:$P$24,"2026-W42")</f>
        <v>5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4</v>
      </c>
      <c r="E9" s="13">
        <f>IF(D9=0,"n.a.",SUMIFS(Selections!$S$6:$S$24,Selections!$S$6:$S$24,"&gt;="&amp;B9,Selections!$S$6:$S$24,"&lt;"&amp;C9,Selections!$T$6:$T$24,1)/D9)</f>
        <v>0.7598033602744063</v>
      </c>
      <c r="F9" s="13">
        <f>IF(D9=0,"n.a.",SUMIFS(Selections!$L$6:$L$24,Selections!$S$6:$S$24,"&gt;="&amp;B9,Selections!$S$6:$S$24,"&lt;"&amp;C9,Selections!$T$6:$T$24,1)/D9)</f>
        <v>0.75</v>
      </c>
      <c r="G9" s="13">
        <f>IF(D9=0,"n.a.",E9-F9)</f>
        <v>0.009803360274406314</v>
      </c>
      <c r="H9" s="14">
        <f>IF(D9=0,"n.a.",SUMIFS(Selections!$O$6:$O$24,Selections!$S$6:$S$24,"&gt;="&amp;B9,Selections!$S$6:$S$24,"&lt;"&amp;C9,Selections!$T$6:$T$24,1)/D9)</f>
        <v>0.18645173019771322</v>
      </c>
      <c r="I9" s="1" t="inlineStr">
        <is>
          <t>Collect more scored forecasts (n=4).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1</v>
      </c>
      <c r="E11" s="13">
        <f>IF(D11=0,"n.a.",SUMIFS(Selections!$S$6:$S$24,Selections!$S$6:$S$24,"&gt;="&amp;B11,Selections!$S$6:$S$24,"&lt;"&amp;C11,Selections!$T$6:$T$24,1)/D11)</f>
        <v>0.9446461535133436</v>
      </c>
      <c r="F11" s="13">
        <f>IF(D11=0,"n.a.",SUMIFS(Selections!$L$6:$L$24,Selections!$S$6:$S$24,"&gt;="&amp;B11,Selections!$S$6:$S$24,"&lt;"&amp;C11,Selections!$T$6:$T$24,1)/D11)</f>
        <v>1.0</v>
      </c>
      <c r="G11" s="13">
        <f>IF(D11=0,"n.a.",E11-F11)</f>
        <v>-0.05535384648665642</v>
      </c>
      <c r="H11" s="14">
        <f>IF(D11=0,"n.a.",SUMIFS(Selections!$O$6:$O$24,Selections!$S$6:$S$24,"&gt;="&amp;B11,Selections!$S$6:$S$24,"&lt;"&amp;C11,Selections!$T$6:$T$24,1)/D11)</f>
        <v>0.0030640483208683256</v>
      </c>
      <c r="I11" s="1" t="inlineStr">
        <is>
          <t>Collect more scored forecasts (n=1).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 t="inlineStr">
        <is>
          <t>2-0</t>
        </is>
      </c>
      <c r="K14" s="1" t="inlineStr">
        <is>
          <t>WON</t>
        </is>
      </c>
      <c r="L14" s="1">
        <v>1</v>
      </c>
      <c r="M14" s="10">
        <f>IF(AND(ISNUMBER(L14),ISNUMBER(I14),I14&gt;1),'ROI Plan'!$B$5,"")</f>
        <v>1</v>
      </c>
      <c r="N14" s="10">
        <f>IF(ISNUMBER(M14),M14*(I14*L14-1-U14),"")</f>
        <v>0.1499999999999999</v>
      </c>
      <c r="O14" s="11">
        <f>IF(AND(ISNUMBER(L14),ISNUMBER(H14)),(H14-L14)^2,"")</f>
        <v>0.0030640483208683256</v>
      </c>
      <c r="P14" s="1" t="inlineStr">
        <is>
          <t>2026-W42</t>
        </is>
      </c>
      <c r="Q14" s="1" t="inlineStr">
        <is>
          <t>a2cdead106b513fd623cffd1e43a491685d68cc3</t>
        </is>
      </c>
      <c r="R14" s="1" t="inlineStr">
        <is>
          <t>football-data.org/v4</t>
        </is>
      </c>
      <c r="S14" s="9">
        <f>IF(AND(ISNUMBER(L14),ISNUMBER(H14)),H14,"")</f>
        <v>0.9446461535133436</v>
      </c>
      <c r="T14" s="1">
        <f>IF(AND(ISNUMBER(L14),ISNUMBER(H14)),1,0)</f>
        <v>1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 t="inlineStr">
        <is>
          <t>1-4</t>
        </is>
      </c>
      <c r="K15" s="1" t="inlineStr">
        <is>
          <t>WON</t>
        </is>
      </c>
      <c r="L15" s="1">
        <v>1</v>
      </c>
      <c r="M15" s="10">
        <f>IF(AND(ISNUMBER(L15),ISNUMBER(I15),I15&gt;1),'ROI Plan'!$B$5,"")</f>
        <v>1</v>
      </c>
      <c r="N15" s="10">
        <f>IF(ISNUMBER(M15),M15*(I15*L15-1-U15),"")</f>
        <v>0.49</v>
      </c>
      <c r="O15" s="11">
        <f>IF(AND(ISNUMBER(L15),ISNUMBER(H15)),(H15-L15)^2,"")</f>
        <v>0.08662845606019748</v>
      </c>
      <c r="P15" s="1" t="inlineStr">
        <is>
          <t>2026-W42</t>
        </is>
      </c>
      <c r="Q15" s="1" t="inlineStr">
        <is>
          <t>a2cdead106b513fd623cffd1e43a491685d68cc3</t>
        </is>
      </c>
      <c r="R15" s="1" t="inlineStr">
        <is>
          <t>football-data.org/v4</t>
        </is>
      </c>
      <c r="S15" s="9">
        <f>IF(AND(ISNUMBER(L15),ISNUMBER(H15)),H15,"")</f>
        <v>0.7056728757654207</v>
      </c>
      <c r="T15" s="1">
        <f>IF(AND(ISNUMBER(L15),ISNUMBER(H15)),1,0)</f>
        <v>1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GRADED</t>
        </is>
      </c>
      <c r="G27" s="1" t="inlineStr">
        <is>
          <t>0-2</t>
        </is>
      </c>
      <c r="H27" s="1">
        <v>1.0</v>
      </c>
      <c r="I27" s="11">
        <v>0.51245005</v>
      </c>
      <c r="J27" s="1">
        <v>1.0</v>
      </c>
      <c r="K27" s="1">
        <v>1.0</v>
      </c>
      <c r="L27" s="1">
        <v>0.0</v>
      </c>
      <c r="M27" s="1">
        <v>0.0</v>
      </c>
      <c r="N27" s="1" t="inlineStr">
        <is>
          <t>2026-W42</t>
        </is>
      </c>
      <c r="O27" s="1" t="inlineStr">
        <is>
          <t>2fd31d33722311d8e0155bb5eca6b3a310ac938b</t>
        </is>
      </c>
      <c r="P27" s="1" t="inlineStr">
        <is>
          <t>football-data.org/v4</t>
        </is>
      </c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GRADED</t>
        </is>
      </c>
      <c r="G28" s="1" t="inlineStr">
        <is>
          <t>2-0</t>
        </is>
      </c>
      <c r="H28" s="1">
        <v>0.0</v>
      </c>
      <c r="I28" s="11">
        <v>1.01421231</v>
      </c>
      <c r="J28" s="1">
        <v>0.0</v>
      </c>
      <c r="K28" s="1">
        <v>1.0</v>
      </c>
      <c r="L28" s="1">
        <v>1.0</v>
      </c>
      <c r="M28" s="1">
        <v>1.0</v>
      </c>
      <c r="N28" s="1" t="inlineStr">
        <is>
          <t>2026-W42</t>
        </is>
      </c>
      <c r="O28" s="1" t="inlineStr">
        <is>
          <t>2fd31d33722311d8e0155bb5eca6b3a310ac938b</t>
        </is>
      </c>
      <c r="P28" s="1" t="inlineStr">
        <is>
          <t>football-data.org/v4</t>
        </is>
      </c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GRADED</t>
        </is>
      </c>
      <c r="G29" s="1" t="inlineStr">
        <is>
          <t>3-0</t>
        </is>
      </c>
      <c r="H29" s="1">
        <v>1.0</v>
      </c>
      <c r="I29" s="11">
        <v>0.11601758</v>
      </c>
      <c r="J29" s="1">
        <v>1.0</v>
      </c>
      <c r="K29" s="1">
        <v>1.0</v>
      </c>
      <c r="L29" s="1">
        <v>1.0</v>
      </c>
      <c r="M29" s="1">
        <v>1.0</v>
      </c>
      <c r="N29" s="1" t="inlineStr">
        <is>
          <t>2026-W42</t>
        </is>
      </c>
      <c r="O29" s="1" t="inlineStr">
        <is>
          <t>2fd31d33722311d8e0155bb5eca6b3a310ac938b</t>
        </is>
      </c>
      <c r="P29" s="1" t="inlineStr">
        <is>
          <t>football-data.org/v4</t>
        </is>
      </c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GRADED</t>
        </is>
      </c>
      <c r="G30" s="1" t="inlineStr">
        <is>
          <t>2-0</t>
        </is>
      </c>
      <c r="H30" s="1">
        <v>1.0</v>
      </c>
      <c r="I30" s="11">
        <v>0.23569509</v>
      </c>
      <c r="J30" s="1">
        <v>1.0</v>
      </c>
      <c r="K30" s="1">
        <v>0.0</v>
      </c>
      <c r="L30" s="1">
        <v>0.0</v>
      </c>
      <c r="M30" s="1">
        <v>0.0</v>
      </c>
      <c r="N30" s="1" t="inlineStr">
        <is>
          <t>2026-W42</t>
        </is>
      </c>
      <c r="O30" s="1" t="inlineStr">
        <is>
          <t>2fd31d33722311d8e0155bb5eca6b3a310ac938b</t>
        </is>
      </c>
      <c r="P30" s="1" t="inlineStr">
        <is>
          <t>football-data.org/v4</t>
        </is>
      </c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GRADED</t>
        </is>
      </c>
      <c r="G31" s="1" t="inlineStr">
        <is>
          <t>1-4</t>
        </is>
      </c>
      <c r="H31" s="1">
        <v>1.0</v>
      </c>
      <c r="I31" s="11">
        <v>0.16902814</v>
      </c>
      <c r="J31" s="1">
        <v>1.0</v>
      </c>
      <c r="K31" s="1">
        <v>1.0</v>
      </c>
      <c r="L31" s="1">
        <v>1.0</v>
      </c>
      <c r="M31" s="1">
        <v>1.0</v>
      </c>
      <c r="N31" s="1" t="inlineStr">
        <is>
          <t>2026-W42</t>
        </is>
      </c>
      <c r="O31" s="1" t="inlineStr">
        <is>
          <t>2fd31d33722311d8e0155bb5eca6b3a310ac938b</t>
        </is>
      </c>
      <c r="P31" s="1" t="inlineStr">
        <is>
          <t>football-data.org/v4</t>
        </is>
      </c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GRADED</t>
        </is>
      </c>
      <c r="G32" s="1" t="inlineStr">
        <is>
          <t>3-4</t>
        </is>
      </c>
      <c r="H32" s="1">
        <v>0.0</v>
      </c>
      <c r="I32" s="11">
        <v>1.23745897</v>
      </c>
      <c r="J32" s="1">
        <v>1.0</v>
      </c>
      <c r="K32" s="1">
        <v>0.0</v>
      </c>
      <c r="L32" s="1">
        <v>1.0</v>
      </c>
      <c r="M32" s="1">
        <v>1.0</v>
      </c>
      <c r="N32" s="1" t="inlineStr">
        <is>
          <t>2026-W42</t>
        </is>
      </c>
      <c r="O32" s="1" t="inlineStr">
        <is>
          <t>2fd31d33722311d8e0155bb5eca6b3a310ac938b</t>
        </is>
      </c>
      <c r="P32" s="1" t="inlineStr">
        <is>
          <t>football-data.org/v4</t>
        </is>
      </c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GRADED</t>
        </is>
      </c>
      <c r="G33" s="1" t="inlineStr">
        <is>
          <t>1-0</t>
        </is>
      </c>
      <c r="H33" s="1">
        <v>1.0</v>
      </c>
      <c r="I33" s="11">
        <v>0.51235352</v>
      </c>
      <c r="J33" s="1">
        <v>0.0</v>
      </c>
      <c r="K33" s="1">
        <v>1.0</v>
      </c>
      <c r="L33" s="1">
        <v>0.0</v>
      </c>
      <c r="M33" s="1">
        <v>0.0</v>
      </c>
      <c r="N33" s="1" t="inlineStr">
        <is>
          <t>2026-W42</t>
        </is>
      </c>
      <c r="O33" s="1" t="inlineStr">
        <is>
          <t>2fd31d33722311d8e0155bb5eca6b3a310ac938b</t>
        </is>
      </c>
      <c r="P33" s="1" t="inlineStr">
        <is>
          <t>football-data.org/v4</t>
        </is>
      </c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GRADED</t>
        </is>
      </c>
      <c r="G34" s="1" t="inlineStr">
        <is>
          <t>3-3</t>
        </is>
      </c>
      <c r="H34" s="1">
        <v>0.0</v>
      </c>
      <c r="I34" s="11">
        <v>1.7396574</v>
      </c>
      <c r="J34" s="1">
        <v>1.0</v>
      </c>
      <c r="K34" s="1">
        <v>1.0</v>
      </c>
      <c r="L34" s="1">
        <v>0.0</v>
      </c>
      <c r="M34" s="1">
        <v>0.0</v>
      </c>
      <c r="N34" s="1" t="inlineStr">
        <is>
          <t>2026-W42</t>
        </is>
      </c>
      <c r="O34" s="1" t="inlineStr">
        <is>
          <t>2fd31d33722311d8e0155bb5eca6b3a310ac938b</t>
        </is>
      </c>
      <c r="P34" s="1" t="inlineStr">
        <is>
          <t>football-data.org/v4</t>
        </is>
      </c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GRADED</t>
        </is>
      </c>
      <c r="G35" s="1" t="inlineStr">
        <is>
          <t>3-1</t>
        </is>
      </c>
      <c r="H35" s="1">
        <v>0.0</v>
      </c>
      <c r="I35" s="11">
        <v>0.67595769</v>
      </c>
      <c r="J35" s="1">
        <v>1.0</v>
      </c>
      <c r="K35" s="1">
        <v>0.0</v>
      </c>
      <c r="L35" s="1">
        <v>0.0</v>
      </c>
      <c r="M35" s="1">
        <v>0.0</v>
      </c>
      <c r="N35" s="1" t="inlineStr">
        <is>
          <t>2026-W42</t>
        </is>
      </c>
      <c r="O35" s="1" t="inlineStr">
        <is>
          <t>2fd31d33722311d8e0155bb5eca6b3a310ac938b</t>
        </is>
      </c>
      <c r="P35" s="1" t="inlineStr">
        <is>
          <t>football-data.org/v4</t>
        </is>
      </c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cols>
    <col min="1" max="1" width="28" customWidth="1"/>
    <col min="2" max="2" width="30" customWidth="1"/>
    <col min="3" max="3" width="26" customWidth="1"/>
    <col min="4" max="4" width="26" customWidth="1"/>
    <col min="5" max="5" width="52" customWidth="1"/>
    <col min="6" max="6" width="26" customWidth="1"/>
  </cols>
  <sheetData>
    <row r="1">
      <c r="A1" t="inlineStr">
        <is>
          <t>Pipeline health and forward evidence</t>
        </is>
      </c>
    </row>
    <row r="2">
      <c r="A2" t="inlineStr">
        <is>
          <t>Review UTC: 2026-10-14T08:06:14.819570+00:00</t>
        </is>
      </c>
    </row>
    <row r="3">
      <c r="A3" t="inlineStr">
        <is>
          <t>Source freshness, model results and execution checks are separate evidence.</t>
        </is>
      </c>
    </row>
    <row r="6">
      <c r="A6" t="inlineStr">
        <is>
          <t>League</t>
        </is>
      </c>
      <c r="B6" t="inlineStr">
        <is>
          <t>Training end</t>
        </is>
      </c>
      <c r="C6" t="inlineStr">
        <is>
          <t>Matches</t>
        </is>
      </c>
      <c r="D6" t="inlineStr">
        <is>
          <t>Days since result</t>
        </is>
      </c>
      <c r="E6" t="inlineStr">
        <is>
          <t>Source status</t>
        </is>
      </c>
    </row>
    <row r="7">
      <c r="A7" t="inlineStr">
        <is>
          <t>Bundesliga</t>
        </is>
      </c>
      <c r="B7" t="inlineStr">
        <is>
          <t>2026-10-11</t>
        </is>
      </c>
      <c r="C7">
        <v>963</v>
      </c>
      <c r="D7">
        <v>3</v>
      </c>
      <c r="E7" t="inlineStr">
        <is>
          <t>RESULT_DATE_ONLY_NOT_COMPLETENESS_VERIFIED</t>
        </is>
      </c>
    </row>
    <row r="8">
      <c r="A8" t="inlineStr">
        <is>
          <t>EPL</t>
        </is>
      </c>
      <c r="B8" t="inlineStr">
        <is>
          <t>2026-10-12</t>
        </is>
      </c>
      <c r="C8">
        <v>1200</v>
      </c>
      <c r="D8">
        <v>2</v>
      </c>
      <c r="E8" t="inlineStr">
        <is>
          <t>RESULT_DATE_ONLY_NOT_COMPLETENESS_VERIFIED</t>
        </is>
      </c>
    </row>
    <row r="9">
      <c r="A9" t="inlineStr">
        <is>
          <t>LaLiga</t>
        </is>
      </c>
      <c r="B9" t="inlineStr">
        <is>
          <t>2026-10-12</t>
        </is>
      </c>
      <c r="C9">
        <v>1218</v>
      </c>
      <c r="D9">
        <v>2</v>
      </c>
      <c r="E9" t="inlineStr">
        <is>
          <t>RESULT_DATE_ONLY_NOT_COMPLETENESS_VERIFIED</t>
        </is>
      </c>
    </row>
    <row r="10">
      <c r="A10" t="inlineStr">
        <is>
          <t>Ligue1</t>
        </is>
      </c>
      <c r="B10" t="inlineStr">
        <is>
          <t>2026-10-11</t>
        </is>
      </c>
      <c r="C10">
        <v>972</v>
      </c>
      <c r="D10">
        <v>3</v>
      </c>
      <c r="E10" t="inlineStr">
        <is>
          <t>RESULT_DATE_ONLY_NOT_COMPLETENESS_VERIFIED</t>
        </is>
      </c>
    </row>
    <row r="11">
      <c r="A11" t="inlineStr">
        <is>
          <t>SerieA</t>
        </is>
      </c>
      <c r="B11" t="inlineStr">
        <is>
          <t>2026-10-12</t>
        </is>
      </c>
      <c r="C11">
        <v>1200</v>
      </c>
      <c r="D11">
        <v>2</v>
      </c>
      <c r="E11" t="inlineStr">
        <is>
          <t>RESULT_DATE_ONLY_NOT_COMPLETENESS_VERIFIED</t>
        </is>
      </c>
    </row>
    <row r="12">
      <c r="A12" t="inlineStr">
        <is>
          <t>UCL</t>
        </is>
      </c>
      <c r="B12" t="inlineStr">
        <is>
          <t>2026-09-10</t>
        </is>
      </c>
      <c r="C12">
        <v>521</v>
      </c>
      <c r="D12">
        <v>34</v>
      </c>
      <c r="E12" t="inlineStr">
        <is>
          <t>MODEL_BEHIND_VERIFIED_SOURCE</t>
        </is>
      </c>
    </row>
    <row r="13"/>
    <row r="14">
      <c r="A14" t="inlineStr">
        <is>
          <t>Latest stored shortlist audit</t>
        </is>
      </c>
    </row>
    <row r="15">
      <c r="A15" t="inlineStr">
        <is>
          <t>selected_quotes</t>
        </is>
      </c>
      <c r="B15">
        <v>4</v>
      </c>
    </row>
    <row r="16">
      <c r="A16" t="inlineStr">
        <is>
          <t>exchange_quotes</t>
        </is>
      </c>
      <c r="B16">
        <v>0</v>
      </c>
    </row>
    <row r="17">
      <c r="A17" t="inlineStr">
        <is>
          <t>missing_quote_age</t>
        </is>
      </c>
      <c r="B17">
        <v>0</v>
      </c>
    </row>
    <row r="18">
      <c r="A18" t="inlineStr">
        <is>
          <t>quote_age_over_24h</t>
        </is>
      </c>
      <c r="B18">
        <v>0</v>
      </c>
    </row>
    <row r="19">
      <c r="A19" t="inlineStr">
        <is>
          <t>costs_recorded</t>
        </is>
      </c>
      <c r="B19">
        <v>4</v>
      </c>
    </row>
    <row r="20">
      <c r="A20" t="inlineStr">
        <is>
          <t>bookmakers</t>
        </is>
      </c>
      <c r="B20" t="inlineStr">
        <is>
          <t>{"1xBet": 4}</t>
        </is>
      </c>
    </row>
    <row r="21">
      <c r="A21" t="inlineStr">
        <is>
          <t>account_availability</t>
        </is>
      </c>
      <c r="B21" t="inlineStr">
        <is>
          <t>NOT_VERIFIED_WITH_BOOKMAKER_ACCOUNTS</t>
        </is>
      </c>
    </row>
    <row r="22"/>
    <row r="23">
      <c r="A23" t="inlineStr">
        <is>
          <t>Snapshot</t>
        </is>
      </c>
      <c r="B23" t="inlineStr">
        <is>
          <t>Captured UTC</t>
        </is>
      </c>
      <c r="C23" t="inlineStr">
        <is>
          <t>Goal blend</t>
        </is>
      </c>
      <c r="D23" t="inlineStr">
        <is>
          <t>Market led</t>
        </is>
      </c>
      <c r="E23" t="inlineStr">
        <is>
          <t>Recency</t>
        </is>
      </c>
      <c r="F23" t="inlineStr">
        <is>
          <t>Filter sensitivity</t>
        </is>
      </c>
    </row>
    <row r="24">
      <c r="A24" t="inlineStr">
        <is>
          <t>2fd31d337223</t>
        </is>
      </c>
      <c r="B24" t="inlineStr">
        <is>
          <t>2026-10-11T06:30:30Z</t>
        </is>
      </c>
      <c r="C24" t="inlineStr">
        <is>
          <t>LEGACY_NOT_RECORDED</t>
        </is>
      </c>
      <c r="D24" t="inlineStr">
        <is>
          <t>LEGACY_NOT_RECORDED</t>
        </is>
      </c>
      <c r="E24" t="inlineStr">
        <is>
          <t>LEGACY_NOT_RECORDED</t>
        </is>
      </c>
      <c r="F24" t="inlineStr">
        <is>
          <t>LEGACY_NOT_RECORDED</t>
        </is>
      </c>
    </row>
    <row r="25">
      <c r="A25" t="inlineStr">
        <is>
          <t>bdc690a8c706</t>
        </is>
      </c>
      <c r="B25" t="inlineStr">
        <is>
          <t>2026-10-11T06:38:09Z</t>
        </is>
      </c>
      <c r="C25" t="inlineStr">
        <is>
          <t>LEGACY_NOT_RECORDED</t>
        </is>
      </c>
      <c r="D25" t="inlineStr">
        <is>
          <t>LEGACY_NOT_RECORDED</t>
        </is>
      </c>
      <c r="E25" t="inlineStr">
        <is>
          <t>LEGACY_NOT_RECORDED</t>
        </is>
      </c>
      <c r="F25" t="inlineStr">
        <is>
          <t>LEGACY_NOT_RECORDED</t>
        </is>
      </c>
    </row>
    <row r="26">
      <c r="A26" t="inlineStr">
        <is>
          <t>b9c15c09504a</t>
        </is>
      </c>
      <c r="B26" t="inlineStr">
        <is>
          <t>2026-10-11T06:44:04Z</t>
        </is>
      </c>
      <c r="C26" t="inlineStr">
        <is>
          <t>LEGACY_NOT_RECORDED</t>
        </is>
      </c>
      <c r="D26" t="inlineStr">
        <is>
          <t>LEGACY_NOT_RECORDED</t>
        </is>
      </c>
      <c r="E26" t="inlineStr">
        <is>
          <t>LEGACY_NOT_RECORDED</t>
        </is>
      </c>
      <c r="F26" t="inlineStr">
        <is>
          <t>LEGACY_NOT_RECORDED</t>
        </is>
      </c>
    </row>
    <row r="27">
      <c r="A27" t="inlineStr">
        <is>
          <t>648ca5973f8d</t>
        </is>
      </c>
      <c r="B27" t="inlineStr">
        <is>
          <t>2026-10-11T08:21:00Z</t>
        </is>
      </c>
      <c r="C27" t="inlineStr">
        <is>
          <t>LEGACY_NOT_RECORDED</t>
        </is>
      </c>
      <c r="D27" t="inlineStr">
        <is>
          <t>LEGACY_NOT_RECORDED</t>
        </is>
      </c>
      <c r="E27" t="inlineStr">
        <is>
          <t>LEGACY_NOT_RECORDED</t>
        </is>
      </c>
      <c r="F27" t="inlineStr">
        <is>
          <t>LEGACY_NOT_RECORDED</t>
        </is>
      </c>
    </row>
    <row r="28">
      <c r="A28" t="inlineStr">
        <is>
          <t>660b75e4a311</t>
        </is>
      </c>
      <c r="B28" t="inlineStr">
        <is>
          <t>2026-10-11T08:25:02Z</t>
        </is>
      </c>
      <c r="C28" t="inlineStr">
        <is>
          <t>LEGACY_NOT_RECORDED</t>
        </is>
      </c>
      <c r="D28" t="inlineStr">
        <is>
          <t>LEGACY_NOT_RECORDED</t>
        </is>
      </c>
      <c r="E28" t="inlineStr">
        <is>
          <t>LEGACY_NOT_RECORDED</t>
        </is>
      </c>
      <c r="F28" t="inlineStr">
        <is>
          <t>LEGACY_NOT_RECORDED</t>
        </is>
      </c>
    </row>
    <row r="29">
      <c r="A29" t="inlineStr">
        <is>
          <t>a2cdead106b5</t>
        </is>
      </c>
      <c r="B29" t="inlineStr">
        <is>
          <t>2026-10-11T10:46:00Z</t>
        </is>
      </c>
      <c r="C29" t="inlineStr">
        <is>
          <t>LEGACY_NOT_RECORDED</t>
        </is>
      </c>
      <c r="D29" t="inlineStr">
        <is>
          <t>LEGACY_NOT_RECORDED</t>
        </is>
      </c>
      <c r="E29" t="inlineStr">
        <is>
          <t>LEGACY_NOT_RECORDED</t>
        </is>
      </c>
      <c r="F29" t="inlineStr">
        <is>
          <t>LEGACY_NOT_RECORDED</t>
        </is>
      </c>
    </row>
    <row r="30">
      <c r="A30" t="inlineStr">
        <is>
          <t>5fb257972ff2</t>
        </is>
      </c>
      <c r="B30" t="inlineStr">
        <is>
          <t>2026-10-11T11:06:08Z</t>
        </is>
      </c>
      <c r="C30" t="inlineStr">
        <is>
          <t>LEGACY_NOT_RECORDED</t>
        </is>
      </c>
      <c r="D30" t="inlineStr">
        <is>
          <t>LEGACY_NOT_RECORDED</t>
        </is>
      </c>
      <c r="E30" t="inlineStr">
        <is>
          <t>LEGACY_NOT_RECORDED</t>
        </is>
      </c>
      <c r="F30" t="inlineStr">
        <is>
          <t>LEGACY_NOT_RECORDED</t>
        </is>
      </c>
    </row>
    <row r="31">
      <c r="A31" t="inlineStr">
        <is>
          <t>f1a72cc22d71</t>
        </is>
      </c>
      <c r="B31" t="inlineStr">
        <is>
          <t>2026-10-11T11:32:53Z</t>
        </is>
      </c>
      <c r="C31" t="inlineStr">
        <is>
          <t>LEGACY_NOT_RECORDED</t>
        </is>
      </c>
      <c r="D31" t="inlineStr">
        <is>
          <t>LEGACY_NOT_RECORDED</t>
        </is>
      </c>
      <c r="E31" t="inlineStr">
        <is>
          <t>LEGACY_NOT_RECORDED</t>
        </is>
      </c>
      <c r="F31" t="inlineStr">
        <is>
          <t>LEGACY_NOT_RECORDED</t>
        </is>
      </c>
    </row>
    <row r="32">
      <c r="A32" t="inlineStr">
        <is>
          <t>4f7af2f470a0</t>
        </is>
      </c>
      <c r="B32" t="inlineStr">
        <is>
          <t>2026-10-12T16:34:11Z</t>
        </is>
      </c>
      <c r="C32" t="inlineStr">
        <is>
          <t>LEGACY_NOT_RECORDED</t>
        </is>
      </c>
      <c r="D32" t="inlineStr">
        <is>
          <t>LEGACY_NOT_RECORDED</t>
        </is>
      </c>
      <c r="E32" t="inlineStr">
        <is>
          <t>LEGACY_NOT_RECORDED</t>
        </is>
      </c>
      <c r="F32" t="inlineStr">
        <is>
          <t>LEGACY_NOT_RECORDED</t>
        </is>
      </c>
    </row>
    <row r="33">
      <c r="A33" t="inlineStr">
        <is>
          <t>5496e9ba03ae</t>
        </is>
      </c>
      <c r="B33" t="inlineStr">
        <is>
          <t>2026-10-12T21:11:56Z</t>
        </is>
      </c>
      <c r="C33" t="inlineStr">
        <is>
          <t>LEGACY_NOT_RECORDED</t>
        </is>
      </c>
      <c r="D33" t="inlineStr">
        <is>
          <t>LEGACY_NOT_RECORDED</t>
        </is>
      </c>
      <c r="E33" t="inlineStr">
        <is>
          <t>LEGACY_NOT_RECORDED</t>
        </is>
      </c>
      <c r="F33" t="inlineStr">
        <is>
          <t>LEGACY_NOT_RECORDED</t>
        </is>
      </c>
    </row>
    <row r="34">
      <c r="A34" t="inlineStr">
        <is>
          <t>f6306ebd6d74</t>
        </is>
      </c>
      <c r="B34" t="inlineStr">
        <is>
          <t>2026-10-13T07:01:01Z</t>
        </is>
      </c>
      <c r="C34" t="inlineStr">
        <is>
          <t>LEGACY_NOT_RECORDED</t>
        </is>
      </c>
      <c r="D34" t="inlineStr">
        <is>
          <t>LEGACY_NOT_RECORDED</t>
        </is>
      </c>
      <c r="E34" t="inlineStr">
        <is>
          <t>LEGACY_NOT_RECORDED</t>
        </is>
      </c>
      <c r="F34" t="inlineStr">
        <is>
          <t>LEGACY_NOT_RECORDED</t>
        </is>
      </c>
    </row>
    <row r="35">
      <c r="A35" t="inlineStr">
        <is>
          <t>fbfe5af89d06</t>
        </is>
      </c>
      <c r="B35" t="inlineStr">
        <is>
          <t>2026-10-13T07:52:43Z</t>
        </is>
      </c>
      <c r="C35" t="inlineStr">
        <is>
          <t>LEGACY_NOT_RECORDED</t>
        </is>
      </c>
      <c r="D35" t="inlineStr">
        <is>
          <t>LEGACY_NOT_RECORDED</t>
        </is>
      </c>
      <c r="E35" t="inlineStr">
        <is>
          <t>LEGACY_NOT_RECORDED</t>
        </is>
      </c>
      <c r="F35" t="inlineStr">
        <is>
          <t>LEGACY_NOT_RECORDED</t>
        </is>
      </c>
    </row>
    <row r="36">
      <c r="A36" t="inlineStr">
        <is>
          <t>87b1676077a4</t>
        </is>
      </c>
      <c r="B36" t="inlineStr">
        <is>
          <t>2026-10-13T09:01:13Z</t>
        </is>
      </c>
      <c r="C36" t="inlineStr">
        <is>
          <t>LEGACY_NOT_RECORDED</t>
        </is>
      </c>
      <c r="D36" t="inlineStr">
        <is>
          <t>LEGACY_NOT_RECORDED</t>
        </is>
      </c>
      <c r="E36" t="inlineStr">
        <is>
          <t>LEGACY_NOT_RECORDED</t>
        </is>
      </c>
      <c r="F36" t="inlineStr">
        <is>
          <t>LEGACY_NOT_RECORDED</t>
        </is>
      </c>
    </row>
    <row r="37">
      <c r="A37" t="inlineStr">
        <is>
          <t>0dba961b0bbe</t>
        </is>
      </c>
      <c r="B37" t="inlineStr">
        <is>
          <t>2026-10-13T09:27:14Z</t>
        </is>
      </c>
      <c r="C37" t="inlineStr">
        <is>
          <t>LEGACY_NOT_RECORDED</t>
        </is>
      </c>
      <c r="D37" t="inlineStr">
        <is>
          <t>LEGACY_NOT_RECORDED</t>
        </is>
      </c>
      <c r="E37" t="inlineStr">
        <is>
          <t>LEGACY_NOT_RECORDED</t>
        </is>
      </c>
      <c r="F37" t="inlineStr">
        <is>
          <t>LEGACY_NOT_RECORDED</t>
        </is>
      </c>
    </row>
    <row r="38">
      <c r="A38" t="inlineStr">
        <is>
          <t>962a7a22cb5b</t>
        </is>
      </c>
      <c r="B38" t="inlineStr">
        <is>
          <t>2026-10-13T11:07:31Z</t>
        </is>
      </c>
      <c r="C38" t="inlineStr">
        <is>
          <t>CAPTURED</t>
        </is>
      </c>
      <c r="D38" t="inlineStr">
        <is>
          <t>CAPTURED</t>
        </is>
      </c>
      <c r="E38" t="inlineStr">
        <is>
          <t>LEGACY_NOT_RECORDED</t>
        </is>
      </c>
      <c r="F38" t="inlineStr">
        <is>
          <t>LEGACY_NOT_RECORDED</t>
        </is>
      </c>
    </row>
    <row r="39">
      <c r="A39" t="inlineStr">
        <is>
          <t>aea62120d25e</t>
        </is>
      </c>
      <c r="B39" t="inlineStr">
        <is>
          <t>2026-10-13T12:01:10Z</t>
        </is>
      </c>
      <c r="C39" t="inlineStr">
        <is>
          <t>CAPTURED</t>
        </is>
      </c>
      <c r="D39" t="inlineStr">
        <is>
          <t>CAPTURED</t>
        </is>
      </c>
      <c r="E39" t="inlineStr">
        <is>
          <t>LEGACY_NOT_RECORDED</t>
        </is>
      </c>
      <c r="F39" t="inlineStr">
        <is>
          <t>LEGACY_NOT_RECORDED</t>
        </is>
      </c>
    </row>
    <row r="40">
      <c r="A40" t="inlineStr">
        <is>
          <t>95dc22b24994</t>
        </is>
      </c>
      <c r="B40" t="inlineStr">
        <is>
          <t>2026-10-13T12:30:01Z</t>
        </is>
      </c>
      <c r="C40" t="inlineStr">
        <is>
          <t>CAPTURED</t>
        </is>
      </c>
      <c r="D40" t="inlineStr">
        <is>
          <t>CAPTURED</t>
        </is>
      </c>
      <c r="E40" t="inlineStr">
        <is>
          <t>LEGACY_NOT_RECORDED</t>
        </is>
      </c>
      <c r="F40" t="inlineStr">
        <is>
          <t>LEGACY_NOT_RECORDED</t>
        </is>
      </c>
    </row>
    <row r="41">
      <c r="A41" t="inlineStr">
        <is>
          <t>ea202e9e045b</t>
        </is>
      </c>
      <c r="B41" t="inlineStr">
        <is>
          <t>2026-10-13T12:48:34Z</t>
        </is>
      </c>
      <c r="C41" t="inlineStr">
        <is>
          <t>CAPTURED</t>
        </is>
      </c>
      <c r="D41" t="inlineStr">
        <is>
          <t>CAPTURED</t>
        </is>
      </c>
      <c r="E41" t="inlineStr">
        <is>
          <t>LEGACY_NOT_RECORDED</t>
        </is>
      </c>
      <c r="F41" t="inlineStr">
        <is>
          <t>LEGACY_NOT_RECORDED</t>
        </is>
      </c>
    </row>
    <row r="42">
      <c r="A42" t="inlineStr">
        <is>
          <t>6556638142ba</t>
        </is>
      </c>
      <c r="B42" t="inlineStr">
        <is>
          <t>2026-10-13T16:06:07Z</t>
        </is>
      </c>
      <c r="C42" t="inlineStr">
        <is>
          <t>CAPTURED</t>
        </is>
      </c>
      <c r="D42" t="inlineStr">
        <is>
          <t>CAPTURED</t>
        </is>
      </c>
      <c r="E42" t="inlineStr">
        <is>
          <t>CAPTURED</t>
        </is>
      </c>
      <c r="F42" t="inlineStr">
        <is>
          <t>LEGACY_NOT_RECORDED</t>
        </is>
      </c>
    </row>
    <row r="43">
      <c r="A43" t="inlineStr">
        <is>
          <t>010ef527d5bf</t>
        </is>
      </c>
      <c r="B43" t="inlineStr">
        <is>
          <t>2026-10-13T17:05:34Z</t>
        </is>
      </c>
      <c r="C43" t="inlineStr">
        <is>
          <t>CAPTURED</t>
        </is>
      </c>
      <c r="D43" t="inlineStr">
        <is>
          <t>CAPTURED</t>
        </is>
      </c>
      <c r="E43" t="inlineStr">
        <is>
          <t>CAPTURED</t>
        </is>
      </c>
      <c r="F43" t="inlineStr">
        <is>
          <t>CAPTURED</t>
        </is>
      </c>
    </row>
    <row r="44"/>
    <row r="45">
      <c r="A45" t="inlineStr">
        <is>
          <t>Daily observations</t>
        </is>
      </c>
      <c r="B45" t="inlineStr">
        <is>
          <t>Graded</t>
        </is>
      </c>
      <c r="C45" t="inlineStr">
        <is>
          <t>Win rate</t>
        </is>
      </c>
      <c r="D45" t="inlineStr">
        <is>
          <t>Net simulated ROI</t>
        </is>
      </c>
      <c r="E45" t="inlineStr">
        <is>
          <t>Brier</t>
        </is>
      </c>
    </row>
    <row r="46">
      <c r="A46" t="inlineStr">
        <is>
          <t>2026-10-13</t>
        </is>
      </c>
      <c r="B46">
        <v>9</v>
      </c>
      <c r="C46">
        <v>0.666667</v>
      </c>
      <c r="D46">
        <v>-0.096667</v>
      </c>
      <c r="E46">
        <v>0.250532</v>
      </c>
    </row>
    <row r="47">
      <c r="A47" t="inlineStr">
        <is>
          <t>2026-10-14</t>
        </is>
      </c>
      <c r="B47">
        <v>9</v>
      </c>
      <c r="C47">
        <v>0.666667</v>
      </c>
      <c r="D47">
        <v>-0.096667</v>
      </c>
      <c r="E47">
        <v>0.250532</v>
      </c>
    </row>
    <row r="48"/>
    <row r="49">
      <c r="A49" t="inlineStr">
        <is>
          <t>EV sensitivity floor</t>
        </is>
      </c>
      <c r="B49" t="inlineStr">
        <is>
          <t>Tier</t>
        </is>
      </c>
      <c r="C49" t="inlineStr">
        <is>
          <t>Selected</t>
        </is>
      </c>
      <c r="D49" t="inlineStr">
        <is>
          <t>Settled</t>
        </is>
      </c>
      <c r="E49" t="inlineStr">
        <is>
          <t>Net ROI</t>
        </is>
      </c>
      <c r="F49" t="inlineStr">
        <is>
          <t>Drawdown units</t>
        </is>
      </c>
    </row>
    <row r="50">
      <c r="A50">
        <v>0.015</v>
      </c>
      <c r="B50" t="inlineStr">
        <is>
          <t>ALL</t>
        </is>
      </c>
      <c r="C50">
        <v>4</v>
      </c>
      <c r="D50">
        <v>1</v>
      </c>
      <c r="E50">
        <v>0.17999999999999994</v>
      </c>
      <c r="F50">
        <v>0.0</v>
      </c>
    </row>
    <row r="51">
      <c r="A51">
        <v>0.015</v>
      </c>
      <c r="B51" t="inlineStr">
        <is>
          <t>STRICT</t>
        </is>
      </c>
      <c r="C51">
        <v>4</v>
      </c>
      <c r="D51">
        <v>1</v>
      </c>
      <c r="E51">
        <v>0.17999999999999994</v>
      </c>
      <c r="F51">
        <v>0.0</v>
      </c>
    </row>
    <row r="52">
      <c r="A52">
        <v>0.015</v>
      </c>
      <c r="B52" t="inlineStr">
        <is>
          <t>PROVISIONAL</t>
        </is>
      </c>
      <c r="C52">
        <v>0</v>
      </c>
      <c r="D52">
        <v>0</v>
      </c>
      <c r="E52"/>
      <c r="F52"/>
    </row>
    <row r="53">
      <c r="A53">
        <v>0.03</v>
      </c>
      <c r="B53" t="inlineStr">
        <is>
          <t>ALL</t>
        </is>
      </c>
      <c r="C53">
        <v>4</v>
      </c>
      <c r="D53">
        <v>1</v>
      </c>
      <c r="E53">
        <v>0.17999999999999994</v>
      </c>
      <c r="F53">
        <v>0.0</v>
      </c>
    </row>
    <row r="54">
      <c r="A54">
        <v>0.03</v>
      </c>
      <c r="B54" t="inlineStr">
        <is>
          <t>STRICT</t>
        </is>
      </c>
      <c r="C54">
        <v>4</v>
      </c>
      <c r="D54">
        <v>1</v>
      </c>
      <c r="E54">
        <v>0.17999999999999994</v>
      </c>
      <c r="F54">
        <v>0.0</v>
      </c>
    </row>
    <row r="55">
      <c r="A55">
        <v>0.03</v>
      </c>
      <c r="B55" t="inlineStr">
        <is>
          <t>PROVISIONAL</t>
        </is>
      </c>
      <c r="C55">
        <v>0</v>
      </c>
      <c r="D55">
        <v>0</v>
      </c>
      <c r="E55"/>
      <c r="F55"/>
    </row>
    <row r="56">
      <c r="A56">
        <v>0.05</v>
      </c>
      <c r="B56" t="inlineStr">
        <is>
          <t>ALL</t>
        </is>
      </c>
      <c r="C56">
        <v>4</v>
      </c>
      <c r="D56">
        <v>1</v>
      </c>
      <c r="E56">
        <v>0.17999999999999994</v>
      </c>
      <c r="F56">
        <v>0.0</v>
      </c>
    </row>
    <row r="57">
      <c r="A57">
        <v>0.05</v>
      </c>
      <c r="B57" t="inlineStr">
        <is>
          <t>STRICT</t>
        </is>
      </c>
      <c r="C57">
        <v>3</v>
      </c>
      <c r="D57">
        <v>1</v>
      </c>
      <c r="E57">
        <v>0.17999999999999994</v>
      </c>
      <c r="F57">
        <v>0.0</v>
      </c>
    </row>
    <row r="58">
      <c r="A58">
        <v>0.05</v>
      </c>
      <c r="B58" t="inlineStr">
        <is>
          <t>PROVISIONAL</t>
        </is>
      </c>
      <c r="C58">
        <v>1</v>
      </c>
      <c r="D58">
        <v>0</v>
      </c>
      <c r="E58"/>
      <c r="F58"/>
    </row>
    <row r="59"/>
    <row r="60">
      <c r="A60" t="inlineStr">
        <is>
          <t>Review dependency versions</t>
        </is>
      </c>
    </row>
    <row r="61">
      <c r="A61" t="inlineStr">
        <is>
          <t>python</t>
        </is>
      </c>
      <c r="B61" t="inlineStr">
        <is>
          <t>3.12.15</t>
        </is>
      </c>
    </row>
    <row r="62">
      <c r="A62" t="inlineStr">
        <is>
          <t>numpy</t>
        </is>
      </c>
      <c r="B62" t="inlineStr">
        <is>
          <t>2.5.4</t>
        </is>
      </c>
    </row>
    <row r="63">
      <c r="A63" t="inlineStr">
        <is>
          <t>pandas</t>
        </is>
      </c>
      <c r="B63" t="inlineStr">
        <is>
          <t>3.0.6</t>
        </is>
      </c>
    </row>
    <row r="64">
      <c r="A64" t="inlineStr">
        <is>
          <t>scipy</t>
        </is>
      </c>
      <c r="B64" t="inlineStr">
        <is>
          <t>1.18.1</t>
        </is>
      </c>
    </row>
    <row r="65">
      <c r="A65" t="inlineStr">
        <is>
          <t>requests</t>
        </is>
      </c>
      <c r="B65" t="inlineStr">
        <is>
          <t>2.34.2</t>
        </is>
      </c>
    </row>
    <row r="66">
      <c r="A66" t="inlineStr">
        <is>
          <t>python-dotenv</t>
        </is>
      </c>
      <c r="B66" t="inlineStr">
        <is>
          <t>1.2.4</t>
        </is>
      </c>
    </row>
    <row r="67">
      <c r="A67" t="inlineStr">
        <is>
          <t>coverage</t>
        </is>
      </c>
      <c r="B67" t="inlineStr">
        <is>
          <t>7.16.2</t>
        </is>
      </c>
    </row>
    <row r="68">
      <c r="A68" t="inlineStr">
        <is>
          <t>PyYAML</t>
        </is>
      </c>
      <c r="B68" t="inlineStr">
        <is>
          <t>6.0.3</t>
        </is>
      </c>
    </row>
    <row r="69"/>
    <row r="70">
      <c r="A70" t="inlineStr">
        <is>
          <t>Improvement is not established by fresher data or software changes. Compare paired forecasts and settled results.</t>
        </is>
      </c>
    </row>
    <row r="71">
      <c r="A71" t="inlineStr">
        <is>
          <t>Account access and executable stake sizes are not verified. Exchange targets require a commission/liquidity adapter.</t>
        </is>
      </c>
    </row>
  </sheetData>
</worksheet>
</file>