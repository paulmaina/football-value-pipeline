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0.631578947368421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0.5431063721052631</v>
      </c>
      <c r="C17" s="18"/>
      <c r="D17" s="18" t="inlineStr">
        <is>
          <t>Over 1.5</t>
        </is>
      </c>
      <c r="E17" s="18">
        <f>COUNT(Predictions!J6:J168)</f>
        <v>38</v>
      </c>
      <c r="F17" s="20">
        <f>IF(E17=0,"n.a.",AVERAGE(Predictions!J6:J168))</f>
        <v>0.8947368421052632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38</v>
      </c>
      <c r="F18" s="20">
        <f>IF(E18=0,"n.a.",AVERAGE(Predictions!K6:K168))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38</v>
      </c>
      <c r="F19" s="20">
        <f>IF(E19=0,"n.a.",AVERAGE(Predictions!L6:L168))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38</v>
      </c>
      <c r="F20" s="20">
        <f>IF(E20=0,"n.a.",AVERAGE(Predictions!M6:M168))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2026-10-17T08:39:50.022732+00:00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27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2026-10-16 22:22:42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0.75</v>
      </c>
      <c r="H10" s="18" t="inlineStr">
        <is>
          <t>Approval review</t>
        </is>
      </c>
      <c r="I10" s="18" t="inlineStr">
        <is>
          <t>297 more paired fixtures; 5 more ISO weeks; Coverage below 80%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0.25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0.75</v>
      </c>
      <c r="H12" s="18" t="inlineStr">
        <is>
          <t>Approval review</t>
        </is>
      </c>
      <c r="I12" s="18" t="inlineStr">
        <is>
          <t>297 more paired fixtures; 5 more ISO weeks; Coverage below 80%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0.75</v>
      </c>
      <c r="H13" s="18" t="inlineStr">
        <is>
          <t>Approval review</t>
        </is>
      </c>
      <c r="I13" s="18" t="inlineStr">
        <is>
          <t>297 more paired fixtures; 5 more ISO weeks; Coverage below 80%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0.08333333333333333</v>
      </c>
      <c r="H14" s="18" t="inlineStr">
        <is>
          <t>Approval review</t>
        </is>
      </c>
      <c r="I14" s="18" t="inlineStr">
        <is>
          <t>296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2026-10-17T08:39:50.022732+00:00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6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14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13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5</v>
      </c>
    </row>
    <row r="29" ht="44" customHeight="1">
      <c r="A29" s="18" t="inlineStr">
        <is>
          <t>Costs recorded</t>
        </is>
      </c>
      <c r="B29" s="19">
        <v>5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Quote age over 24h</t>
        </is>
      </c>
      <c r="B32" s="19">
        <v>0</v>
      </c>
    </row>
    <row r="33" ht="44" customHeight="1">
      <c r="A33" s="18" t="inlineStr">
        <is>
          <t>Selected quotes</t>
        </is>
      </c>
      <c r="B33" s="19">
        <v>5</v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16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16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12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11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9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9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30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30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3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PyYAML</t>
        </is>
      </c>
      <c r="B82" s="18" t="inlineStr">
        <is>
          <t>6.0.3</t>
        </is>
      </c>
    </row>
    <row r="83" ht="44" customHeight="1">
      <c r="A83" s="18" t="inlineStr">
        <is>
          <t>coverage</t>
        </is>
      </c>
      <c r="B83" s="18" t="inlineStr">
        <is>
          <t>7.16.2</t>
        </is>
      </c>
    </row>
    <row r="84" ht="44" customHeight="1">
      <c r="A84" s="18" t="inlineStr">
        <is>
          <t>numpy</t>
        </is>
      </c>
      <c r="B84" s="18" t="inlineStr">
        <is>
          <t>2.5.4</t>
        </is>
      </c>
    </row>
    <row r="85" ht="44" customHeight="1">
      <c r="A85" s="18" t="inlineStr">
        <is>
          <t>pandas</t>
        </is>
      </c>
      <c r="B85" s="18" t="inlineStr">
        <is>
          <t>3.0.6</t>
        </is>
      </c>
    </row>
    <row r="86" ht="44" customHeight="1">
      <c r="A86" s="18" t="inlineStr">
        <is>
          <t>python</t>
        </is>
      </c>
      <c r="B86" s="18" t="inlineStr">
        <is>
          <t>3.12.15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requests</t>
        </is>
      </c>
      <c r="B88" s="18" t="inlineStr">
        <is>
          <t>2.34.2</t>
        </is>
      </c>
    </row>
    <row r="89" ht="44" customHeight="1">
      <c r="A89" s="18" t="inlineStr">
        <is>
          <t>scipy</t>
        </is>
      </c>
      <c r="B89" s="18" t="inlineStr">
        <is>
          <t>1.18.1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</sheetData>
  <autoFilter ref="A5:H35"/>
  <mergeCells count="2">
    <mergeCell ref="A2:H2"/>
    <mergeCell ref="A4:H4"/>
  </mergeCells>
</worksheet>
</file>