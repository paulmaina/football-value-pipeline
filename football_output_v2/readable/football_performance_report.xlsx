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0.5384885859999999</v>
      </c>
      <c r="C17" s="18"/>
      <c r="D17" s="18" t="inlineStr">
        <is>
          <t>Over 1.5</t>
        </is>
      </c>
      <c r="E17" s="18">
        <f>COUNT(Predictions!J6:J168)</f>
        <v>40</v>
      </c>
      <c r="F17" s="20">
        <f>IF(E17=0,"n.a.",AVERAGE(Predictions!J6:J168))</f>
        <v>0.875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40</v>
      </c>
      <c r="F18" s="20">
        <f>IF(E18=0,"n.a.",AVERAGE(Predictions!K6:K168))</f>
        <v>0.6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40</v>
      </c>
      <c r="F19" s="20">
        <f>IF(E19=0,"n.a.",AVERAGE(Predictions!L6:L168))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40</v>
      </c>
      <c r="F20" s="20">
        <f>IF(E20=0,"n.a.",AVERAGE(Predictions!M6:M168))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2026-10-17T14:12:07.567383+00:00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40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0.8333333333333334</v>
      </c>
      <c r="H10" s="18" t="inlineStr">
        <is>
          <t>Approval review</t>
        </is>
      </c>
      <c r="I10" s="18" t="inlineStr">
        <is>
          <t>295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0.8333333333333334</v>
      </c>
      <c r="H12" s="18" t="inlineStr">
        <is>
          <t>Approval review</t>
        </is>
      </c>
      <c r="I12" s="18" t="inlineStr">
        <is>
          <t>295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0.8333333333333334</v>
      </c>
      <c r="H13" s="18" t="inlineStr">
        <is>
          <t>Approval review</t>
        </is>
      </c>
      <c r="I13" s="18" t="inlineStr">
        <is>
          <t>295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6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0.125</v>
      </c>
      <c r="H14" s="18" t="inlineStr">
        <is>
          <t>Approval review</t>
        </is>
      </c>
      <c r="I14" s="18" t="inlineStr">
        <is>
          <t>294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2026-10-17T14:12:07.567383+00:00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3</v>
      </c>
      <c r="C19" s="19">
        <v>15</v>
      </c>
      <c r="D19" s="19">
        <v>6</v>
      </c>
      <c r="E19" s="20">
        <v>-0.02658782141516854</v>
      </c>
      <c r="F19" s="20">
        <v>0.0024470197146682637</v>
      </c>
    </row>
    <row r="20" ht="44" customHeight="1">
      <c r="A20" s="18" t="inlineStr">
        <is>
          <t>pinnacle</t>
        </is>
      </c>
      <c r="B20" s="19">
        <v>4</v>
      </c>
      <c r="C20" s="19">
        <v>14</v>
      </c>
      <c r="D20" s="19">
        <v>6</v>
      </c>
      <c r="E20" s="20">
        <v>-0.016476507395834922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