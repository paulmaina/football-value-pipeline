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1.2499999999999987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0.9230769230769231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1.2499999999999993</c:v>
                </c:pt>
                <c:pt idx="50">
                  <c:v>1.2499999999999993</c:v>
                </c:pt>
                <c:pt idx="51">
                  <c:v>1.2499999999999993</c:v>
                </c:pt>
                <c:pt idx="52">
                  <c:v>1.2499999999999993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0.8379793047069647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0.8333333333333334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13</v>
      </c>
      <c r="F7" s="20">
        <f>Breakdowns!H7</f>
        <v>0.9230769230769231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0.03124999999999998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1.2499999999999991</v>
      </c>
      <c r="C14" s="18"/>
      <c r="D14" s="18" t="inlineStr">
        <is>
          <t>40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0.16974529620990392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0.5849056603773585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0.5553467134905661</v>
      </c>
      <c r="C17" s="18"/>
      <c r="D17" s="18" t="inlineStr">
        <is>
          <t>Over 1.5</t>
        </is>
      </c>
      <c r="E17" s="18">
        <f>COUNT(Predictions!J6:J234)</f>
        <v>106</v>
      </c>
      <c r="F17" s="20">
        <f>IF(E17=0,"n.a.",AVERAGE(Predictions!J6:J234))</f>
        <v>0.8113207547169812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0.598057409330299</v>
      </c>
      <c r="C18" s="18"/>
      <c r="D18" s="18" t="inlineStr">
        <is>
          <t>Under 3.5</t>
        </is>
      </c>
      <c r="E18" s="18">
        <f>COUNT(Predictions!K6:K234)</f>
        <v>106</v>
      </c>
      <c r="F18" s="20">
        <f>IF(E18=0,"n.a.",AVERAGE(Predictions!K6:K234))</f>
        <v>0.5943396226415094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0.8581303210445048</v>
      </c>
      <c r="C19" s="18"/>
      <c r="D19" s="18" t="inlineStr">
        <is>
          <t>BTTS Yes</t>
        </is>
      </c>
      <c r="E19" s="18">
        <f>COUNT(Predictions!L6:L234)</f>
        <v>106</v>
      </c>
      <c r="F19" s="20">
        <f>IF(E19=0,"n.a.",AVERAGE(Predictions!L6:L234))</f>
        <v>0.5377358490566038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106</v>
      </c>
      <c r="F20" s="20">
        <f>IF(E20=0,"n.a.",AVERAGE(Predictions!M6:M234))</f>
        <v>0.5377358490566038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30 wins from 40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retained; {"declared_rows": 134, "eligibility": "CORROBORATED_LEAGUE_PHASE_ONLY; refresh SLA and knockout 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2026-10-24T18:54:46.779729+00:00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UNVERIFIED_FIXTURE_OR_RESULT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UNVERIFIED_FIXTURE_OR_RESULT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UNVERIFIED_FIXTURE_OR_RESULT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UNVERIFIED_FIXTURE_OR_RESULT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1.2499999999999993</v>
      </c>
      <c r="G59" s="22">
        <f>$B$4+F59</f>
        <v>101.25</v>
      </c>
      <c r="H59" s="22">
        <f>MAX($B$4,$G$10:G59)</f>
        <v>102.81</v>
      </c>
      <c r="I59" s="22">
        <f>H59-G59</f>
        <v>1.5600000000000023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1.2499999999999993</v>
      </c>
      <c r="G60" s="22">
        <f>$B$4+F60</f>
        <v>101.25</v>
      </c>
      <c r="H60" s="22">
        <f>MAX($B$4,$G$10:G60)</f>
        <v>102.81</v>
      </c>
      <c r="I60" s="22">
        <f>H60-G60</f>
        <v>1.5600000000000023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1.2499999999999993</v>
      </c>
      <c r="G61" s="22">
        <f>$B$4+F61</f>
        <v>101.25</v>
      </c>
      <c r="H61" s="22">
        <f>MAX($B$4,$G$10:G61)</f>
        <v>102.81</v>
      </c>
      <c r="I61" s="22">
        <f>H61-G61</f>
        <v>1.5600000000000023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1.2499999999999993</v>
      </c>
      <c r="G62" s="22">
        <f>$B$4+F62</f>
        <v>101.25</v>
      </c>
      <c r="H62" s="22">
        <f>MAX($B$4,$G$10:G62)</f>
        <v>102.81</v>
      </c>
      <c r="I62" s="22">
        <f>H62-G62</f>
        <v>1.5600000000000023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40</v>
      </c>
      <c r="E6" s="19">
        <f>(COUNTIFS(Selections!$K$6:$K$58,"WON")+COUNTIFS(Selections!$K$6:$K$58,"HALF_WON"))</f>
        <v>30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13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</v>
      </c>
      <c r="I6" s="22">
        <f>SUM(Selections!$M$6:$M$58)</f>
        <v>40</v>
      </c>
      <c r="J6" s="22">
        <f>SUM(Selections!$N$6:$N$58)</f>
        <v>1.2499999999999991</v>
      </c>
      <c r="K6" s="20">
        <f>IF(SUM(Selections!$M$6:$M$58)=0,"n.a.",SUM(Selections!$N$6:$N$58)/SUM(Selections!$M$6:$M$58))</f>
        <v>0.03124999999999998</v>
      </c>
      <c r="L6" s="21">
        <f>IF(SUM(Selections!$T$6:$T$58)=0,"n.a.",SUM(Selections!$O$6:$O$58)/SUM(Selections!$T$6:$T$58))</f>
        <v>0.16974529620990392</v>
      </c>
      <c r="M6" s="20">
        <f>IF(SUM(Selections!$T$6:$T$58)=0,"n.a.",SUM(Selections!$S$6:$S$58)/SUM(Selections!$T$6:$T$58))</f>
        <v>0.7615255823931577</v>
      </c>
      <c r="N6" s="20">
        <f>IF(SUM(Selections!$T$6:$T$58)=0,"n.a.",(SUMIFS(Selections!$L$6:$L$58,Selections!$T$6:$T$58,1))/SUM(Selections!$T$6:$T$58))</f>
        <v>0.75</v>
      </c>
      <c r="O6" s="20">
        <f>IF(SUM(Selections!$T$6:$T$58)=0,"n.a.",(SUM(Selections!$S$6:$S$58)-(SUMIFS(Selections!$L$6:$L$58,Selections!$T$6:$T$58,1)))/SUM(Selections!$T$6:$T$58))</f>
        <v>0.011525582393157707</v>
      </c>
      <c r="P6" s="19">
        <f>SUM(Selections!$T$6:$T$58)</f>
        <v>40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E7" s="19">
        <f>(COUNTIFS(Selections!$F$6:$F$58,"STRICT",Selections!$K$6:$K$58,"WON")+COUNTIFS(Selections!$F$6:$F$58,"STRICT",Selections!$K$6:$K$58,"HALF_WON"))</f>
        <v>12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0.9230769230769231</v>
      </c>
      <c r="I7" s="22">
        <f>SUMIFS(Selections!$M$6:$M$58,Selections!$F$6:$F$58,"STRICT")</f>
        <v>13</v>
      </c>
      <c r="J7" s="22">
        <f>SUMIFS(Selections!$N$6:$N$58,Selections!$F$6:$F$58,"STRICT")</f>
        <v>4.14</v>
      </c>
      <c r="K7" s="20">
        <f>IF(SUMIFS(Selections!$M$6:$M$58,Selections!$F$6:$F$58,"STRICT")=0,"n.a.",SUMIFS(Selections!$N$6:$N$58,Selections!$F$6:$F$58,"STRICT")/SUMIFS(Selections!$M$6:$M$58,Selections!$F$6:$F$58,"STRICT"))</f>
        <v>0.31846153846153846</v>
      </c>
      <c r="L7" s="21">
        <f>IF(SUMIFS(Selections!$T$6:$T$58,Selections!$F$6:$F$58,"STRICT")=0,"n.a.",SUMIFS(Selections!$O$6:$O$58,Selections!$F$6:$F$58,"STRICT")/SUMIFS(Selections!$T$6:$T$58,Selections!$F$6:$F$58,"STRICT"))</f>
        <v>0.08652738063459625</v>
      </c>
      <c r="M7" s="20">
        <f>IF(SUMIFS(Selections!$T$6:$T$58,Selections!$F$6:$F$58,"STRICT")=0,"n.a.",SUMIFS(Selections!$S$6:$S$58,Selections!$F$6:$F$58,"STRICT")/SUMIFS(Selections!$T$6:$T$58,Selections!$F$6:$F$58,"STRICT"))</f>
        <v>0.7650109663305589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0.9230769230769231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-0.15806595674636426</v>
      </c>
      <c r="P7" s="19">
        <f>SUMIFS(Selections!$T$6:$T$58,Selections!$F$6:$F$58,"STRICT")</f>
        <v>13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(n=13).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1</v>
      </c>
      <c r="E17" s="19">
        <f>(COUNTIFS(Selections!$E$6:$E$58,"Asian Handicap Away +2.00",Selections!$K$6:$K$58,"WON")+COUNTIFS(Selections!$E$6:$E$58,"Asian Handicap Away +2.00",Selections!$K$6:$K$58,"HALF_WON"))</f>
        <v>1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3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1</v>
      </c>
      <c r="J17" s="22">
        <f>SUMIFS(Selections!$N$6:$N$58,Selections!$E$6:$E$58,"Asian Handicap Away +2.00")</f>
        <v>0.62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0.62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0.042177986277452256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0.7946272017100311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-0.2053727982899689</v>
      </c>
      <c r="P17" s="19">
        <f>SUMIFS(Selections!$T$6:$T$58,Selections!$E$6:$E$58,"Asian Handicap Away +2.00")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2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2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9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2</v>
      </c>
      <c r="J31" s="22">
        <f>SUMIFS(Selections!$N$6:$N$58,Selections!$G$6:$G$58,"48h-zero-tolerance-ev1-common-no-loss75-v22")</f>
        <v>0.82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0.03332025004546776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0.8191111171772524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-0.18088888282274762</v>
      </c>
      <c r="P31" s="19">
        <f>SUMIFS(Selections!$T$6:$T$58,Selections!$G$6:$G$58,"48h-zero-tolerance-ev1-common-no-loss75-v22")</f>
        <v>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14</v>
      </c>
      <c r="E40" s="19">
        <f>(COUNTIFS(Selections!$P$6:$P$58,"2026-W43",Selections!$K$6:$K$58,"WON")+COUNTIFS(Selections!$P$6:$P$58,"2026-W43",Selections!$K$6:$K$58,"HALF_WON"))</f>
        <v>9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10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0.6428571428571429</v>
      </c>
      <c r="I40" s="22">
        <f>SUMIFS(Selections!$M$6:$M$58,Selections!$P$6:$P$58,"2026-W43")</f>
        <v>14</v>
      </c>
      <c r="J40" s="22">
        <f>SUMIFS(Selections!$N$6:$N$58,Selections!$P$6:$P$58,"2026-W43")</f>
        <v>-1.5600000000000005</v>
      </c>
      <c r="K40" s="20">
        <f>IF(SUMIFS(Selections!$M$6:$M$58,Selections!$P$6:$P$58,"2026-W43")=0,"n.a.",SUMIFS(Selections!$N$6:$N$58,Selections!$P$6:$P$58,"2026-W43")/SUMIFS(Selections!$M$6:$M$58,Selections!$P$6:$P$58,"2026-W43"))</f>
        <v>-0.11142857142857146</v>
      </c>
      <c r="L40" s="21">
        <f>IF(SUMIFS(Selections!$T$6:$T$58,Selections!$P$6:$P$58,"2026-W43")=0,"n.a.",SUMIFS(Selections!$O$6:$O$58,Selections!$P$6:$P$58,"2026-W43")/SUMIFS(Selections!$T$6:$T$58,Selections!$P$6:$P$58,"2026-W43"))</f>
        <v>0.18598056948348232</v>
      </c>
      <c r="M40" s="20">
        <f>IF(SUMIFS(Selections!$T$6:$T$58,Selections!$P$6:$P$58,"2026-W43")=0,"n.a.",SUMIFS(Selections!$S$6:$S$58,Selections!$P$6:$P$58,"2026-W43")/SUMIFS(Selections!$T$6:$T$58,Selections!$P$6:$P$58,"2026-W43"))</f>
        <v>0.7324086079386708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0.6428571428571429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0.08955146508152789</v>
      </c>
      <c r="P40" s="19">
        <f>SUMIFS(Selections!$T$6:$T$58,Selections!$P$6:$P$58,"2026-W43")</f>
        <v>14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(n=14).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12</v>
      </c>
      <c r="E10" s="20">
        <f>IF(D10=0,"n.a.",SUMIFS(Selections!$S$6:$S$58,Selections!$S$6:$S$58,"&gt;="&amp;B10,Selections!$S$6:$S$58,"&lt;"&amp;C10,Selections!$T$6:$T$58,1)/D10)</f>
        <v>0.8379793047069647</v>
      </c>
      <c r="F10" s="20">
        <f>IF(D10=0,"n.a.",SUMIFS(Selections!$L$6:$L$58,Selections!$S$6:$S$58,"&gt;="&amp;B10,Selections!$S$6:$S$58,"&lt;"&amp;C10,Selections!$T$6:$T$58,1)/D10)</f>
        <v>0.8333333333333334</v>
      </c>
      <c r="G10" s="20">
        <f>IF(D10=0,"n.a.",E10-F10)</f>
        <v>0.004645971373631319</v>
      </c>
      <c r="H10" s="21">
        <f>IF(D10=0,"n.a.",SUMIFS(Selections!$O$6:$O$58,Selections!$S$6:$S$58,"&gt;="&amp;B10,Selections!$S$6:$S$58,"&lt;"&amp;C10,Selections!$T$6:$T$58,1)/D10)</f>
        <v>0.13875389402891505</v>
      </c>
      <c r="I10" s="18" t="inlineStr">
        <is>
          <t>Collect more scored forecasts (n=12).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UNVERIFIED_FIXTURE_OR_RESULT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UNVERIFIED_FIXTURE_OR_RESULT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UNVERIFIED_FIXTURE_OR_RESULT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UNVERIFIED_FIXTURE_OR_RESULT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UNVERIFIED_FIXTURE_OR_RESULT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UNVERIFIED_FIXTURE_OR_RESULT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UNVERIFIED_FIXTURE_OR_RESULT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UNVERIFIED_FIXTURE_OR_RESULT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UNVERIFIED_FIXTURE_OR_RESULT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UNVERIFIED_FIXTURE_OR_RESULT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UNVERIFIED_FIXTURE_OR_RESULT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UNVERIFIED_FIXTURE_OR_RESULT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UNVERIFIED_FIXTURE_OR_RESULT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UNVERIFIED_FIXTURE_OR_RESULT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UNVERIFIED_FIXTURE_OR_RESULT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UNVERIFIED_FIXTURE_OR_RESULT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UNVERIFIED_FIXTURE_OR_RESULT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UNVERIFIED_FIXTURE_OR_RESULT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UNVERIFIED_FIXTURE_OR_RESULT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UNVERIFIED_FIXTURE_OR_RESULT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0.9574468085106383</v>
      </c>
      <c r="H10" s="18" t="inlineStr">
        <is>
          <t>Approval review</t>
        </is>
      </c>
      <c r="I10" s="18" t="inlineStr">
        <is>
          <t>255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8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0.1702127659574468</v>
      </c>
      <c r="H11" s="18" t="inlineStr">
        <is>
          <t>Approval review</t>
        </is>
      </c>
      <c r="I11" s="18" t="inlineStr">
        <is>
          <t>292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0.9574468085106383</v>
      </c>
      <c r="H12" s="18" t="inlineStr">
        <is>
          <t>Approval review</t>
        </is>
      </c>
      <c r="I12" s="18" t="inlineStr">
        <is>
          <t>255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45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0.9574468085106383</v>
      </c>
      <c r="H13" s="18" t="inlineStr">
        <is>
          <t>Approval review</t>
        </is>
      </c>
      <c r="I13" s="18" t="inlineStr">
        <is>
          <t>255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14.0</v>
      </c>
      <c r="C8" s="19">
        <f>COUNTIFS(Selections!$P$6:$P$58,A8,Selections!$M$6:$M$58,"&gt;0")</f>
        <v>14.0</v>
      </c>
      <c r="D8" s="22">
        <f>IF(C8=0,"n.a.",Breakdowns!J40)</f>
        <v>-1.5600000000000005</v>
      </c>
      <c r="E8" s="22">
        <f>IF(SUM($C$6:C8)=0,"n.a.",SUM($D$6:D8))</f>
        <v>1.2499999999999987</v>
      </c>
      <c r="F8" s="20">
        <f>Breakdowns!H40</f>
        <v>0.6428571428571429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40</v>
      </c>
      <c r="C8" s="19">
        <v>30</v>
      </c>
      <c r="D8" s="19">
        <v>10</v>
      </c>
      <c r="E8" s="19">
        <v>13</v>
      </c>
      <c r="F8" s="20">
        <v>0.75</v>
      </c>
      <c r="G8" s="20">
        <v>0.03125</v>
      </c>
      <c r="H8" s="19">
        <v>1.25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1</v>
      </c>
      <c r="E49" s="19">
        <v>1</v>
      </c>
      <c r="F49" s="20">
        <v>1.0</v>
      </c>
      <c r="G49" s="20">
        <v>0.62</v>
      </c>
      <c r="H49" s="19">
        <v>0.62</v>
      </c>
      <c r="I49" s="19">
        <v>9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2026-10-24T18:54:46.779729+00:00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2026-10-23</t>
        </is>
      </c>
      <c r="C9" s="19">
        <v>1587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2026-10-23</t>
        </is>
      </c>
      <c r="C10" s="19">
        <v>1971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6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2026-10-23</t>
        </is>
      </c>
      <c r="C12" s="19">
        <v>1990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2026-10-23</t>
        </is>
      </c>
      <c r="C13" s="19">
        <v>1744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5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2026-10-23</t>
        </is>
      </c>
      <c r="C15" s="19">
        <v>1971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3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9">
      <c r="A19" s="26" t="inlineStr">
        <is>
          <t>API-Football supplementary inputs</t>
        </is>
      </c>
    </row>
    <row r="20" ht="34" customHeight="1">
      <c r="A20" s="24" t="inlineStr">
        <is>
          <t>League</t>
        </is>
      </c>
      <c r="B20" s="24" t="inlineStr">
        <is>
          <t>Source status</t>
        </is>
      </c>
      <c r="C20" s="24" t="inlineStr">
        <is>
          <t>Confirmed results</t>
        </is>
      </c>
      <c r="D20" s="24" t="inlineStr">
        <is>
          <t>Added results</t>
        </is>
      </c>
      <c r="E20" s="24" t="inlineStr">
        <is>
          <t>Conflicts held</t>
        </is>
      </c>
      <c r="F20" s="24" t="inlineStr">
        <is>
          <t>Stats observations</t>
        </is>
      </c>
    </row>
    <row r="21" ht="44" customHeight="1">
      <c r="A21" s="18" t="inlineStr">
        <is>
          <t>Bundesliga</t>
        </is>
      </c>
      <c r="B21" s="18" t="inlineStr">
        <is>
          <t>AVAILABLE</t>
        </is>
      </c>
      <c r="C21" s="19">
        <v>254</v>
      </c>
      <c r="D21" s="19">
        <v>2</v>
      </c>
      <c r="E21" s="19">
        <v>0</v>
      </c>
      <c r="F21" s="19">
        <v>31</v>
      </c>
    </row>
    <row r="22" ht="44" customHeight="1">
      <c r="A22" s="18" t="inlineStr">
        <is>
          <t>EPL</t>
        </is>
      </c>
      <c r="B22" s="18" t="inlineStr">
        <is>
          <t>AVAILABLE</t>
        </is>
      </c>
      <c r="C22" s="19">
        <v>1102</v>
      </c>
      <c r="D22" s="19">
        <v>0</v>
      </c>
      <c r="E22" s="19">
        <v>0</v>
      </c>
      <c r="F22" s="19">
        <v>99</v>
      </c>
    </row>
    <row r="23" ht="44" customHeight="1">
      <c r="A23" s="18" t="inlineStr">
        <is>
          <t>Eredivisie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LaLiga</t>
        </is>
      </c>
      <c r="B24" s="18" t="inlineStr">
        <is>
          <t>AVAILABLE</t>
        </is>
      </c>
      <c r="C24" s="19">
        <v>574</v>
      </c>
      <c r="D24" s="19">
        <v>0</v>
      </c>
      <c r="E24" s="19">
        <v>0</v>
      </c>
      <c r="F24" s="19">
        <v>53</v>
      </c>
    </row>
    <row r="25" ht="44" customHeight="1">
      <c r="A25" s="18" t="inlineStr">
        <is>
          <t>Ligue1</t>
        </is>
      </c>
      <c r="B25" s="18" t="inlineStr">
        <is>
          <t>AVAILABLE</t>
        </is>
      </c>
      <c r="C25" s="19">
        <v>752</v>
      </c>
      <c r="D25" s="19">
        <v>2</v>
      </c>
      <c r="E25" s="19">
        <v>0</v>
      </c>
      <c r="F25" s="19">
        <v>64</v>
      </c>
    </row>
    <row r="26" ht="44" customHeight="1">
      <c r="A26" s="18" t="inlineStr">
        <is>
          <t>PrimeiraLiga</t>
        </is>
      </c>
      <c r="B26" s="18" t="inlineStr">
        <is>
          <t>NOT_COLLECTED</t>
        </is>
      </c>
      <c r="C26" s="18"/>
      <c r="D26" s="18"/>
      <c r="E26" s="18"/>
      <c r="F26" s="18"/>
    </row>
    <row r="27" ht="44" customHeight="1">
      <c r="A27" s="18" t="inlineStr">
        <is>
          <t>SerieA</t>
        </is>
      </c>
      <c r="B27" s="18" t="inlineStr">
        <is>
          <t>AVAILABLE</t>
        </is>
      </c>
      <c r="C27" s="19">
        <v>918</v>
      </c>
      <c r="D27" s="19">
        <v>0</v>
      </c>
      <c r="E27" s="19">
        <v>0</v>
      </c>
      <c r="F27" s="19">
        <v>79</v>
      </c>
    </row>
    <row r="28" ht="44" customHeight="1">
      <c r="A28" s="18" t="inlineStr">
        <is>
          <t>UCL</t>
        </is>
      </c>
      <c r="B28" s="18" t="inlineStr">
        <is>
          <t>AVAILABLE</t>
        </is>
      </c>
      <c r="C28" s="19">
        <v>139</v>
      </c>
      <c r="D28" s="19">
        <v>0</v>
      </c>
      <c r="E28" s="19">
        <v>1</v>
      </c>
      <c r="F28" s="19">
        <v>12</v>
      </c>
    </row>
    <row r="31">
      <c r="A31" s="26" t="inlineStr">
        <is>
          <t>Near-close quote coverage</t>
        </is>
      </c>
    </row>
    <row r="32" ht="34" customHeight="1">
      <c r="A32" s="24" t="inlineStr">
        <is>
          <t>Bookmaker</t>
        </is>
      </c>
      <c r="B32" s="24" t="inlineStr">
        <is>
          <t>Covered selections</t>
        </is>
      </c>
      <c r="C32" s="24" t="inlineStr">
        <is>
          <t>Missing selections</t>
        </is>
      </c>
      <c r="D32" s="24" t="inlineStr">
        <is>
          <t>Pending selections</t>
        </is>
      </c>
      <c r="E32" s="24" t="inlineStr">
        <is>
          <t>Mean fair-close EV</t>
        </is>
      </c>
      <c r="F32" s="24" t="inlineStr">
        <is>
          <t>Same-book offer CLV</t>
        </is>
      </c>
    </row>
    <row r="33" ht="44" customHeight="1">
      <c r="A33" s="18" t="inlineStr">
        <is>
          <t>1xbet</t>
        </is>
      </c>
      <c r="B33" s="19">
        <v>25</v>
      </c>
      <c r="C33" s="19">
        <v>25</v>
      </c>
      <c r="D33" s="19">
        <v>3</v>
      </c>
      <c r="E33" s="20">
        <v>-0.037017674215010794</v>
      </c>
      <c r="F33" s="20">
        <v>0.009153547906679346</v>
      </c>
    </row>
    <row r="34" ht="44" customHeight="1">
      <c r="A34" s="18" t="inlineStr">
        <is>
          <t>bet365</t>
        </is>
      </c>
      <c r="B34" s="19">
        <v>0</v>
      </c>
      <c r="C34" s="19">
        <v>50</v>
      </c>
      <c r="D34" s="19">
        <v>3</v>
      </c>
      <c r="E34" s="20" t="inlineStr">
        <is>
          <t>Unavailable</t>
        </is>
      </c>
      <c r="F34" s="20" t="inlineStr">
        <is>
          <t>Unavailable</t>
        </is>
      </c>
    </row>
    <row r="35" ht="44" customHeight="1">
      <c r="A35" s="18" t="inlineStr">
        <is>
          <t>pinnacle</t>
        </is>
      </c>
      <c r="B35" s="19">
        <v>32</v>
      </c>
      <c r="C35" s="19">
        <v>18</v>
      </c>
      <c r="D35" s="19">
        <v>3</v>
      </c>
      <c r="E35" s="20">
        <v>-0.039410502940714694</v>
      </c>
      <c r="F35" s="20">
        <v>0.012462583404922789</v>
      </c>
    </row>
    <row r="38">
      <c r="A38" s="27" t="inlineStr">
        <is>
          <t>Near-close quotes: latest selections. Observed quotes are not guaranteed official closes; accepted execution is unverified.</t>
        </is>
      </c>
    </row>
    <row r="40">
      <c r="A40" s="26" t="inlineStr">
        <is>
          <t>Latest shortlist quote audit</t>
        </is>
      </c>
    </row>
    <row r="41" ht="34" customHeight="1">
      <c r="A41" s="24" t="inlineStr">
        <is>
          <t>Check</t>
        </is>
      </c>
      <c r="B41" s="24" t="inlineStr">
        <is>
          <t>Recorded value</t>
        </is>
      </c>
    </row>
    <row r="42" ht="44" customHeight="1">
      <c r="A42" s="18" t="inlineStr">
        <is>
          <t>Selected quotes</t>
        </is>
      </c>
      <c r="B42" s="19">
        <v>14</v>
      </c>
    </row>
    <row r="43" ht="44" customHeight="1">
      <c r="A43" s="18" t="inlineStr">
        <is>
          <t>Exchange quotes</t>
        </is>
      </c>
      <c r="B43" s="19">
        <v>0</v>
      </c>
    </row>
    <row r="44" ht="44" customHeight="1">
      <c r="A44" s="18" t="inlineStr">
        <is>
          <t>Missing quote age</t>
        </is>
      </c>
      <c r="B44" s="19">
        <v>0</v>
      </c>
    </row>
    <row r="45" ht="44" customHeight="1">
      <c r="A45" s="18" t="inlineStr">
        <is>
          <t>Quote age over 24h</t>
        </is>
      </c>
      <c r="B45" s="19">
        <v>0</v>
      </c>
    </row>
    <row r="46" ht="44" customHeight="1">
      <c r="A46" s="18" t="inlineStr">
        <is>
          <t>Costs recorded</t>
        </is>
      </c>
      <c r="B46" s="19">
        <v>14</v>
      </c>
    </row>
    <row r="47" ht="44" customHeight="1">
      <c r="A47" s="18" t="inlineStr">
        <is>
          <t>Bookmakers: Pinnacle</t>
        </is>
      </c>
      <c r="B47" s="19">
        <v>14</v>
      </c>
    </row>
    <row r="48" ht="44" customHeight="1">
      <c r="A48" s="18" t="inlineStr">
        <is>
          <t>Account availability</t>
        </is>
      </c>
      <c r="B48" s="18" t="inlineStr">
        <is>
          <t>Not verified with bookmaker accounts</t>
        </is>
      </c>
    </row>
    <row r="49" ht="44" customHeight="1">
      <c r="A49" s="18" t="inlineStr">
        <is>
          <t>Past kickoff count</t>
        </is>
      </c>
      <c r="B49" s="19">
        <v>2</v>
      </c>
    </row>
    <row r="50" ht="44" customHeight="1">
      <c r="A50" s="18" t="inlineStr">
        <is>
          <t>Upcoming kickoff count</t>
        </is>
      </c>
      <c r="B50" s="19">
        <v>12</v>
      </c>
    </row>
    <row r="51" ht="44" customHeight="1">
      <c r="A51" s="18" t="inlineStr">
        <is>
          <t>Unknown kickoff count</t>
        </is>
      </c>
      <c r="B51" s="19">
        <v>0</v>
      </c>
    </row>
    <row r="54">
      <c r="A54" s="26" t="inlineStr">
        <is>
          <t>Forecast capture coverage</t>
        </is>
      </c>
    </row>
    <row r="55" ht="34" customHeight="1">
      <c r="A55" s="24" t="inlineStr">
        <is>
          <t>Experiment</t>
        </is>
      </c>
      <c r="B55" s="24" t="inlineStr">
        <is>
          <t>Capture state</t>
        </is>
      </c>
      <c r="C55" s="24" t="inlineStr">
        <is>
          <t>Snapshot count</t>
        </is>
      </c>
    </row>
    <row r="56" ht="44" customHeight="1">
      <c r="A56" s="18" t="inlineStr">
        <is>
          <t>Goal-market blend</t>
        </is>
      </c>
      <c r="B56" s="18" t="inlineStr">
        <is>
          <t>Captured</t>
        </is>
      </c>
      <c r="C56" s="19">
        <v>32</v>
      </c>
    </row>
    <row r="57" ht="44" customHeight="1">
      <c r="A57" s="18" t="inlineStr">
        <is>
          <t>Goal-market blend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Market-led forecasts</t>
        </is>
      </c>
      <c r="B58" s="18" t="inlineStr">
        <is>
          <t>Captured</t>
        </is>
      </c>
      <c r="C58" s="19">
        <v>32</v>
      </c>
    </row>
    <row r="59" ht="44" customHeight="1">
      <c r="A59" s="18" t="inlineStr">
        <is>
          <t>Market-led forecasts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Recency comparison</t>
        </is>
      </c>
      <c r="B60" s="18" t="inlineStr">
        <is>
          <t>Captured</t>
        </is>
      </c>
      <c r="C60" s="19">
        <v>28</v>
      </c>
    </row>
    <row r="61" ht="44" customHeight="1">
      <c r="A61" s="18" t="inlineStr">
        <is>
          <t>Recency comparison</t>
        </is>
      </c>
      <c r="B61" s="18" t="inlineStr">
        <is>
          <t>Legacy not recorded</t>
        </is>
      </c>
      <c r="C61" s="19">
        <v>18</v>
      </c>
    </row>
    <row r="62" ht="44" customHeight="1">
      <c r="A62" s="18" t="inlineStr">
        <is>
          <t>EV filter sensitivity</t>
        </is>
      </c>
      <c r="B62" s="18" t="inlineStr">
        <is>
          <t>Captured</t>
        </is>
      </c>
      <c r="C62" s="19">
        <v>23</v>
      </c>
    </row>
    <row r="63" ht="44" customHeight="1">
      <c r="A63" s="18" t="inlineStr">
        <is>
          <t>EV filter sensitivity</t>
        </is>
      </c>
      <c r="B63" s="18" t="inlineStr">
        <is>
          <t>Legacy not recorded</t>
        </is>
      </c>
      <c r="C63" s="19">
        <v>19</v>
      </c>
    </row>
    <row r="64" ht="44" customHeight="1">
      <c r="A64" s="18" t="inlineStr">
        <is>
          <t>EV filter sensitivity</t>
        </is>
      </c>
      <c r="B64" s="18" t="inlineStr">
        <is>
          <t>Not generated</t>
        </is>
      </c>
      <c r="C64" s="19">
        <v>4</v>
      </c>
    </row>
    <row r="65" ht="44" customHeight="1">
      <c r="A65" s="18" t="inlineStr">
        <is>
          <t>85% market weight</t>
        </is>
      </c>
      <c r="B65" s="18" t="inlineStr">
        <is>
          <t>Captured</t>
        </is>
      </c>
      <c r="C65" s="19">
        <v>25</v>
      </c>
    </row>
    <row r="66" ht="44" customHeight="1">
      <c r="A66" s="18" t="inlineStr">
        <is>
          <t>85% market weight</t>
        </is>
      </c>
      <c r="B66" s="18" t="inlineStr">
        <is>
          <t>Legacy not recorded</t>
        </is>
      </c>
      <c r="C66" s="19">
        <v>20</v>
      </c>
    </row>
    <row r="67" ht="44" customHeight="1">
      <c r="A67" s="18" t="inlineStr">
        <is>
          <t>85% market weight</t>
        </is>
      </c>
      <c r="B67" s="18" t="inlineStr">
        <is>
          <t>Present but rejected</t>
        </is>
      </c>
      <c r="C67" s="19">
        <v>1</v>
      </c>
    </row>
    <row r="68" ht="44" customHeight="1">
      <c r="A68" s="18" t="inlineStr">
        <is>
          <t>Pinnacle totals anchor</t>
        </is>
      </c>
      <c r="B68" s="18" t="inlineStr">
        <is>
          <t>Captured</t>
        </is>
      </c>
      <c r="C68" s="19">
        <v>25</v>
      </c>
    </row>
    <row r="69" ht="44" customHeight="1">
      <c r="A69" s="18" t="inlineStr">
        <is>
          <t>Pinnacle totals anchor</t>
        </is>
      </c>
      <c r="B69" s="18" t="inlineStr">
        <is>
          <t>Legacy not recorded</t>
        </is>
      </c>
      <c r="C69" s="19">
        <v>21</v>
      </c>
    </row>
    <row r="70" ht="44" customHeight="1">
      <c r="A70" s="18" t="inlineStr">
        <is>
          <t>Stronger regularisation (L2=3)</t>
        </is>
      </c>
      <c r="B70" s="18" t="inlineStr">
        <is>
          <t>Legacy not recorded</t>
        </is>
      </c>
      <c r="C70" s="19">
        <v>46</v>
      </c>
    </row>
    <row r="71" ht="44" customHeight="1">
      <c r="A71" s="18" t="inlineStr">
        <is>
          <t>Fixed half-life (480 days)</t>
        </is>
      </c>
      <c r="B71" s="18" t="inlineStr">
        <is>
          <t>Legacy not recorded</t>
        </is>
      </c>
      <c r="C71" s="19">
        <v>46</v>
      </c>
    </row>
    <row r="72" ht="44" customHeight="1">
      <c r="A72" s="18" t="inlineStr">
        <is>
          <t>Probability / calibration policy</t>
        </is>
      </c>
      <c r="B72" s="18" t="inlineStr">
        <is>
          <t>Captured</t>
        </is>
      </c>
      <c r="C72" s="19">
        <v>15</v>
      </c>
    </row>
    <row r="73" ht="44" customHeight="1">
      <c r="A73" s="18" t="inlineStr">
        <is>
          <t>Probability / calibration policy</t>
        </is>
      </c>
      <c r="B73" s="18" t="inlineStr">
        <is>
          <t>Legacy not recorded</t>
        </is>
      </c>
      <c r="C73" s="19">
        <v>26</v>
      </c>
    </row>
    <row r="74" ht="44" customHeight="1">
      <c r="A74" s="18" t="inlineStr">
        <is>
          <t>Probability / calibration policy</t>
        </is>
      </c>
      <c r="B74" s="18" t="inlineStr">
        <is>
          <t>Not generated</t>
        </is>
      </c>
      <c r="C74" s="19">
        <v>4</v>
      </c>
    </row>
    <row r="75" ht="44" customHeight="1">
      <c r="A75" s="18" t="inlineStr">
        <is>
          <t>Probability / calibration policy</t>
        </is>
      </c>
      <c r="B75" s="18" t="inlineStr">
        <is>
          <t>Present but rejected</t>
        </is>
      </c>
      <c r="C75" s="19">
        <v>1</v>
      </c>
    </row>
    <row r="76" ht="44" customHeight="1">
      <c r="A76" s="18" t="inlineStr">
        <is>
          <t>Shortlist probability / EV weights</t>
        </is>
      </c>
      <c r="B76" s="18" t="inlineStr">
        <is>
          <t>Captured</t>
        </is>
      </c>
      <c r="C76" s="19">
        <v>7</v>
      </c>
    </row>
    <row r="77" ht="44" customHeight="1">
      <c r="A77" s="18" t="inlineStr">
        <is>
          <t>Shortlist probability / EV weights</t>
        </is>
      </c>
      <c r="B77" s="18" t="inlineStr">
        <is>
          <t>Legacy not recorded</t>
        </is>
      </c>
      <c r="C77" s="19">
        <v>35</v>
      </c>
    </row>
    <row r="78" ht="44" customHeight="1">
      <c r="A78" s="18" t="inlineStr">
        <is>
          <t>Shortlist probability / EV weights</t>
        </is>
      </c>
      <c r="B78" s="18" t="inlineStr">
        <is>
          <t>Not generated</t>
        </is>
      </c>
      <c r="C78" s="19">
        <v>4</v>
      </c>
    </row>
    <row r="81">
      <c r="A81" s="26" t="inlineStr">
        <is>
          <t>EV sensitivity results</t>
        </is>
      </c>
    </row>
    <row r="82" ht="34" customHeight="1">
      <c r="A82" s="24" t="inlineStr">
        <is>
          <t>EV floor</t>
        </is>
      </c>
      <c r="B82" s="24" t="inlineStr">
        <is>
          <t>Tier</t>
        </is>
      </c>
      <c r="C82" s="24" t="inlineStr">
        <is>
          <t>Selected</t>
        </is>
      </c>
      <c r="D82" s="24" t="inlineStr">
        <is>
          <t>Settled</t>
        </is>
      </c>
      <c r="E82" s="24" t="inlineStr">
        <is>
          <t>Simulated ROI</t>
        </is>
      </c>
      <c r="F82" s="24" t="inlineStr">
        <is>
          <t>Drawdown (units)</t>
        </is>
      </c>
    </row>
    <row r="83" ht="44" customHeight="1">
      <c r="A83" s="20">
        <v>0.015</v>
      </c>
      <c r="B83" s="18" t="inlineStr">
        <is>
          <t>ALL</t>
        </is>
      </c>
      <c r="C83" s="19">
        <v>9</v>
      </c>
      <c r="D83" s="19">
        <v>8</v>
      </c>
      <c r="E83" s="20">
        <v>0.1725</v>
      </c>
      <c r="F83" s="22">
        <v>1.0</v>
      </c>
    </row>
    <row r="84" ht="44" customHeight="1">
      <c r="A84" s="20">
        <v>0.015</v>
      </c>
      <c r="B84" s="18" t="inlineStr">
        <is>
          <t>STRICT</t>
        </is>
      </c>
      <c r="C84" s="19">
        <v>7</v>
      </c>
      <c r="D84" s="19">
        <v>6</v>
      </c>
      <c r="E84" s="20">
        <v>0.09833333333333331</v>
      </c>
      <c r="F84" s="22">
        <v>1.0</v>
      </c>
    </row>
    <row r="85" ht="44" customHeight="1">
      <c r="A85" s="20">
        <v>0.015</v>
      </c>
      <c r="B85" s="18" t="inlineStr">
        <is>
          <t>PROVISIONAL</t>
        </is>
      </c>
      <c r="C85" s="19">
        <v>2</v>
      </c>
      <c r="D85" s="19">
        <v>2</v>
      </c>
      <c r="E85" s="20">
        <v>0.395</v>
      </c>
      <c r="F85" s="22">
        <v>0.0</v>
      </c>
    </row>
    <row r="86" ht="44" customHeight="1">
      <c r="A86" s="20">
        <v>0.03</v>
      </c>
      <c r="B86" s="18" t="inlineStr">
        <is>
          <t>ALL</t>
        </is>
      </c>
      <c r="C86" s="19">
        <v>8</v>
      </c>
      <c r="D86" s="19">
        <v>7</v>
      </c>
      <c r="E86" s="20">
        <v>0.16285714285714284</v>
      </c>
      <c r="F86" s="22">
        <v>1.0</v>
      </c>
    </row>
    <row r="87" ht="44" customHeight="1">
      <c r="A87" s="20">
        <v>0.03</v>
      </c>
      <c r="B87" s="18" t="inlineStr">
        <is>
          <t>STRICT</t>
        </is>
      </c>
      <c r="C87" s="19">
        <v>6</v>
      </c>
      <c r="D87" s="19">
        <v>5</v>
      </c>
      <c r="E87" s="20">
        <v>0.06999999999999998</v>
      </c>
      <c r="F87" s="22">
        <v>1.0</v>
      </c>
    </row>
    <row r="88" ht="44" customHeight="1">
      <c r="A88" s="20">
        <v>0.03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0.05</v>
      </c>
      <c r="B89" s="18" t="inlineStr">
        <is>
          <t>ALL</t>
        </is>
      </c>
      <c r="C89" s="19">
        <v>7</v>
      </c>
      <c r="D89" s="19">
        <v>6</v>
      </c>
      <c r="E89" s="20">
        <v>0.14666666666666664</v>
      </c>
      <c r="F89" s="22">
        <v>1.0</v>
      </c>
    </row>
    <row r="90" ht="44" customHeight="1">
      <c r="A90" s="20">
        <v>0.05</v>
      </c>
      <c r="B90" s="18" t="inlineStr">
        <is>
          <t>STRICT</t>
        </is>
      </c>
      <c r="C90" s="19">
        <v>5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0.05</v>
      </c>
      <c r="B91" s="18" t="inlineStr">
        <is>
          <t>PROVISIONAL</t>
        </is>
      </c>
      <c r="C91" s="19">
        <v>2</v>
      </c>
      <c r="D91" s="19">
        <v>1</v>
      </c>
      <c r="E91" s="20">
        <v>0.53</v>
      </c>
      <c r="F91" s="22">
        <v>0.0</v>
      </c>
    </row>
    <row r="94">
      <c r="A94" s="26" t="inlineStr">
        <is>
          <t>Daily review observations</t>
        </is>
      </c>
    </row>
    <row r="95" ht="34" customHeight="1">
      <c r="A95" s="24" t="inlineStr">
        <is>
          <t>Review date</t>
        </is>
      </c>
      <c r="B95" s="24" t="inlineStr">
        <is>
          <t>Graded</t>
        </is>
      </c>
      <c r="C95" s="24" t="inlineStr">
        <is>
          <t>Win rate</t>
        </is>
      </c>
      <c r="D95" s="24" t="inlineStr">
        <is>
          <t>Simulated ROI</t>
        </is>
      </c>
      <c r="E95" s="24" t="inlineStr">
        <is>
          <t>Brier</t>
        </is>
      </c>
    </row>
    <row r="96" ht="44" customHeight="1">
      <c r="A96" s="18" t="inlineStr">
        <is>
          <t>2026-10-13</t>
        </is>
      </c>
      <c r="B96" s="19">
        <v>9</v>
      </c>
      <c r="C96" s="20">
        <v>0.666667</v>
      </c>
      <c r="D96" s="20">
        <v>-0.096667</v>
      </c>
      <c r="E96" s="21">
        <v>0.250532</v>
      </c>
    </row>
    <row r="97" ht="44" customHeight="1">
      <c r="A97" s="18" t="inlineStr">
        <is>
          <t>2026-10-14</t>
        </is>
      </c>
      <c r="B97" s="19">
        <v>11</v>
      </c>
      <c r="C97" s="20">
        <v>0.727273</v>
      </c>
      <c r="D97" s="20">
        <v>0.01</v>
      </c>
      <c r="E97" s="21">
        <v>0.215932</v>
      </c>
    </row>
    <row r="98" ht="44" customHeight="1">
      <c r="A98" s="18" t="inlineStr">
        <is>
          <t>2026-10-15</t>
        </is>
      </c>
      <c r="B98" s="19">
        <v>11</v>
      </c>
      <c r="C98" s="20">
        <v>0.727273</v>
      </c>
      <c r="D98" s="20">
        <v>0.01</v>
      </c>
      <c r="E98" s="21">
        <v>0.215932</v>
      </c>
    </row>
    <row r="99" ht="44" customHeight="1">
      <c r="A99" s="18" t="inlineStr">
        <is>
          <t>2026-10-16</t>
        </is>
      </c>
      <c r="B99" s="19">
        <v>12</v>
      </c>
      <c r="C99" s="20">
        <v>0.75</v>
      </c>
      <c r="D99" s="20">
        <v>0.031667</v>
      </c>
      <c r="E99" s="21">
        <v>0.199836</v>
      </c>
    </row>
    <row r="100" ht="44" customHeight="1">
      <c r="A100" s="18" t="inlineStr">
        <is>
          <t>2026-10-17</t>
        </is>
      </c>
      <c r="B100" s="19">
        <v>17</v>
      </c>
      <c r="C100" s="20">
        <v>0.764706</v>
      </c>
      <c r="D100" s="20">
        <v>0.044706</v>
      </c>
      <c r="E100" s="21">
        <v>0.178798</v>
      </c>
    </row>
    <row r="101" ht="44" customHeight="1">
      <c r="A101" s="18" t="inlineStr">
        <is>
          <t>2026-10-18</t>
        </is>
      </c>
      <c r="B101" s="19">
        <v>26</v>
      </c>
      <c r="C101" s="20">
        <v>0.807692</v>
      </c>
      <c r="D101" s="20">
        <v>0.108077</v>
      </c>
      <c r="E101" s="21">
        <v>0.161003</v>
      </c>
    </row>
    <row r="102" ht="44" customHeight="1">
      <c r="A102" s="18" t="inlineStr">
        <is>
          <t>2026-10-19</t>
        </is>
      </c>
      <c r="B102" s="19">
        <v>30</v>
      </c>
      <c r="C102" s="20">
        <v>0.733333</v>
      </c>
      <c r="D102" s="20">
        <v>0.011333</v>
      </c>
      <c r="E102" s="21">
        <v>0.175695</v>
      </c>
    </row>
    <row r="103" ht="44" customHeight="1">
      <c r="A103" s="18" t="inlineStr">
        <is>
          <t>2026-10-20</t>
        </is>
      </c>
      <c r="B103" s="19">
        <v>30</v>
      </c>
      <c r="C103" s="20">
        <v>0.733333</v>
      </c>
      <c r="D103" s="20">
        <v>0.011333</v>
      </c>
      <c r="E103" s="21">
        <v>0.175695</v>
      </c>
    </row>
    <row r="104" ht="44" customHeight="1">
      <c r="A104" s="18" t="inlineStr">
        <is>
          <t>2026-10-21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5" ht="44" customHeight="1">
      <c r="A105" s="18" t="inlineStr">
        <is>
          <t>2026-10-22</t>
        </is>
      </c>
      <c r="B105" s="19">
        <v>38</v>
      </c>
      <c r="C105" s="20">
        <v>0.736842</v>
      </c>
      <c r="D105" s="20">
        <v>0.011316</v>
      </c>
      <c r="E105" s="21">
        <v>0.176926</v>
      </c>
    </row>
    <row r="106" ht="44" customHeight="1">
      <c r="A106" s="18" t="inlineStr">
        <is>
          <t>2026-10-23</t>
        </is>
      </c>
      <c r="B106" s="19">
        <v>40</v>
      </c>
      <c r="C106" s="20">
        <v>0.75</v>
      </c>
      <c r="D106" s="20">
        <v>0.03125</v>
      </c>
      <c r="E106" s="21">
        <v>0.169745</v>
      </c>
    </row>
    <row r="107" ht="44" customHeight="1">
      <c r="A107" s="18" t="inlineStr">
        <is>
          <t>2026-10-24</t>
        </is>
      </c>
      <c r="B107" s="19">
        <v>40</v>
      </c>
      <c r="C107" s="20">
        <v>0.75</v>
      </c>
      <c r="D107" s="20">
        <v>0.03125</v>
      </c>
      <c r="E107" s="21">
        <v>0.169745</v>
      </c>
    </row>
    <row r="110">
      <c r="A110" s="26" t="inlineStr">
        <is>
          <t>Dependency versions</t>
        </is>
      </c>
    </row>
    <row r="111" ht="34" customHeight="1">
      <c r="A111" s="24" t="inlineStr">
        <is>
          <t>Dependency</t>
        </is>
      </c>
      <c r="B111" s="24" t="inlineStr">
        <is>
          <t>Version</t>
        </is>
      </c>
    </row>
    <row r="112" ht="44" customHeight="1">
      <c r="A112" s="18" t="inlineStr">
        <is>
          <t>python</t>
        </is>
      </c>
      <c r="B112" s="18" t="inlineStr">
        <is>
          <t>3.12.15</t>
        </is>
      </c>
    </row>
    <row r="113" ht="44" customHeight="1">
      <c r="A113" s="18" t="inlineStr">
        <is>
          <t>numpy</t>
        </is>
      </c>
      <c r="B113" s="18" t="inlineStr">
        <is>
          <t>2.5.4</t>
        </is>
      </c>
    </row>
    <row r="114" ht="44" customHeight="1">
      <c r="A114" s="18" t="inlineStr">
        <is>
          <t>pandas</t>
        </is>
      </c>
      <c r="B114" s="18" t="inlineStr">
        <is>
          <t>3.1.0</t>
        </is>
      </c>
    </row>
    <row r="115" ht="44" customHeight="1">
      <c r="A115" s="18" t="inlineStr">
        <is>
          <t>scipy</t>
        </is>
      </c>
      <c r="B115" s="18" t="inlineStr">
        <is>
          <t>1.18.1</t>
        </is>
      </c>
    </row>
    <row r="116" ht="44" customHeight="1">
      <c r="A116" s="18" t="inlineStr">
        <is>
          <t>requests</t>
        </is>
      </c>
      <c r="B116" s="18" t="inlineStr">
        <is>
          <t>2.34.2</t>
        </is>
      </c>
    </row>
    <row r="117" ht="44" customHeight="1">
      <c r="A117" s="18" t="inlineStr">
        <is>
          <t>rapidfuzz</t>
        </is>
      </c>
      <c r="B117" s="18" t="inlineStr">
        <is>
          <t>3.14.6</t>
        </is>
      </c>
    </row>
    <row r="118" ht="44" customHeight="1">
      <c r="A118" s="18" t="inlineStr">
        <is>
          <t>python-dotenv</t>
        </is>
      </c>
      <c r="B118" s="18" t="inlineStr">
        <is>
          <t>1.2.4</t>
        </is>
      </c>
    </row>
    <row r="119" ht="44" customHeight="1">
      <c r="A119" s="18" t="inlineStr">
        <is>
          <t>coverage</t>
        </is>
      </c>
      <c r="B119" s="18" t="inlineStr">
        <is>
          <t>NOT_INSTALLED</t>
        </is>
      </c>
    </row>
    <row r="120" ht="44" customHeight="1">
      <c r="A120" s="18" t="inlineStr">
        <is>
          <t>PyYAML</t>
        </is>
      </c>
      <c r="B120" s="18" t="inlineStr">
        <is>
          <t>NOT_INSTALLED</t>
        </is>
      </c>
    </row>
    <row r="123">
      <c r="A12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9:F19"/>
    <mergeCell ref="A31:F31"/>
    <mergeCell ref="A38:F38"/>
    <mergeCell ref="A40:F40"/>
    <mergeCell ref="A54:F54"/>
    <mergeCell ref="A81:F81"/>
    <mergeCell ref="A94:F94"/>
    <mergeCell ref="A110:F11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hyperlinks>
    <hyperlink ref="A12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2026-10-24T18:54:46.779729+00:00; 1136 candidates on 108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1136</v>
      </c>
      <c r="D9" s="19">
        <v>108</v>
      </c>
      <c r="E9" s="20">
        <v>-0.032882521078279</v>
      </c>
      <c r="F9" s="20">
        <v>0.28080985915492956</v>
      </c>
      <c r="G9" s="22">
        <v>-9.927200287118824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54</v>
      </c>
      <c r="D10" s="19">
        <v>42</v>
      </c>
      <c r="E10" s="20">
        <v>-0.032504486242752595</v>
      </c>
      <c r="F10" s="20">
        <v>0.2222222222222222</v>
      </c>
      <c r="G10" s="22">
        <v>-3.2506905427144397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639</v>
      </c>
      <c r="D11" s="19">
        <v>102</v>
      </c>
      <c r="E11" s="20">
        <v>0.007566229799038125</v>
      </c>
      <c r="F11" s="20">
        <v>0.539906103286385</v>
      </c>
      <c r="G11" s="22">
        <v>2.361917393016774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108</v>
      </c>
      <c r="D15" s="18"/>
      <c r="E15" s="21">
        <v>-0.12348471555151387</v>
      </c>
      <c r="F15" s="20">
        <v>0.5833333333333334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240</v>
      </c>
      <c r="D20" s="19">
        <v>13</v>
      </c>
      <c r="E20" s="20">
        <v>-0.042061749845207635</v>
      </c>
      <c r="F20" s="20">
        <v>0.2625</v>
      </c>
      <c r="G20" s="22">
        <v>-22.61310952882397</v>
      </c>
      <c r="H20" s="20">
        <v>-0.0015214601047093795</v>
      </c>
      <c r="I20" s="19">
        <v>240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199</v>
      </c>
      <c r="D21" s="19">
        <v>85</v>
      </c>
      <c r="E21" s="20">
        <v>-0.02527695848178401</v>
      </c>
      <c r="F21" s="20">
        <v>0.39195979899497485</v>
      </c>
      <c r="G21" s="22">
        <v>-5.8556099393084935</v>
      </c>
      <c r="H21" s="20">
        <v>0.027913528559348828</v>
      </c>
      <c r="I21" s="19">
        <v>148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160</v>
      </c>
      <c r="D23" s="19">
        <v>64</v>
      </c>
      <c r="E23" s="20">
        <v>-0.030864774521662447</v>
      </c>
      <c r="F23" s="20">
        <v>0.15</v>
      </c>
      <c r="G23" s="22">
        <v>-10.479724552645271</v>
      </c>
      <c r="H23" s="20">
        <v>-0.010557658831947977</v>
      </c>
      <c r="I23" s="19">
        <v>28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151</v>
      </c>
      <c r="D24" s="19">
        <v>65</v>
      </c>
      <c r="E24" s="20">
        <v>-0.03937277773655021</v>
      </c>
      <c r="F24" s="20">
        <v>0.271523178807947</v>
      </c>
      <c r="G24" s="22">
        <v>-6.216884074825597</v>
      </c>
      <c r="H24" s="20">
        <v>0.0016239522033998277</v>
      </c>
      <c r="I24" s="19">
        <v>151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60</v>
      </c>
      <c r="D25" s="19">
        <v>13</v>
      </c>
      <c r="E25" s="20">
        <v>-0.05879656589185669</v>
      </c>
      <c r="F25" s="20">
        <v>0.25</v>
      </c>
      <c r="G25" s="22">
        <v>-5.670352018969304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Pinnacle</t>
        </is>
      </c>
      <c r="C35" s="19">
        <v>5</v>
      </c>
      <c r="D35" s="19">
        <v>5</v>
      </c>
      <c r="E35" s="20">
        <v>-0.059028995790368466</v>
      </c>
      <c r="F35" s="20">
        <v>0.0</v>
      </c>
      <c r="G35" s="22">
        <v>-3.5623095932682296</v>
      </c>
      <c r="H35" s="20">
        <v>-0.03859740329833063</v>
      </c>
      <c r="I35" s="19">
        <v>5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576</v>
      </c>
      <c r="D48" s="19">
        <v>87</v>
      </c>
      <c r="E48" s="20">
        <v>-0.037625696870607926</v>
      </c>
      <c r="F48" s="20">
        <v>0.24479166666666666</v>
      </c>
      <c r="G48" s="22">
        <v>-13.774551068700008</v>
      </c>
      <c r="H48" s="20">
        <v>0.008103075764116641</v>
      </c>
      <c r="I48" s="19">
        <v>359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270</v>
      </c>
      <c r="D49" s="19">
        <v>29</v>
      </c>
      <c r="E49" s="20">
        <v>-0.03512940266384144</v>
      </c>
      <c r="F49" s="20">
        <v>0.23703703703703705</v>
      </c>
      <c r="G49" s="22">
        <v>-8.12319533802188</v>
      </c>
      <c r="H49" s="20">
        <v>0.005085522844813241</v>
      </c>
      <c r="I49" s="19">
        <v>171</v>
      </c>
      <c r="J49" s="18" t="inlineStr">
        <is>
          <t>Small sample</t>
        </is>
      </c>
    </row>
    <row r="50" ht="30" customHeight="1">
      <c r="A50" s="18" t="inlineStr">
        <is>
          <t>48h+</t>
        </is>
      </c>
      <c r="B50" s="18"/>
      <c r="C50" s="19">
        <v>232</v>
      </c>
      <c r="D50" s="19">
        <v>67</v>
      </c>
      <c r="E50" s="20">
        <v>-0.019208739857568234</v>
      </c>
      <c r="F50" s="20">
        <v>0.4224137931034483</v>
      </c>
      <c r="G50" s="22">
        <v>-1.867721485895306</v>
      </c>
      <c r="H50" s="20">
        <v>0.020289969578707115</v>
      </c>
      <c r="I50" s="19">
        <v>91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58</v>
      </c>
      <c r="D51" s="19">
        <v>23</v>
      </c>
      <c r="E51" s="20">
        <v>-0.030013382435547468</v>
      </c>
      <c r="F51" s="20">
        <v>0.27586206896551724</v>
      </c>
      <c r="G51" s="22">
        <v>-1.30445201925399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1082</v>
      </c>
      <c r="D56" s="19">
        <v>108</v>
      </c>
      <c r="E56" s="20">
        <v>-0.03290138788153077</v>
      </c>
      <c r="F56" s="20">
        <v>0.28373382624768945</v>
      </c>
      <c r="G56" s="22">
        <v>-9.427178060104238</v>
      </c>
      <c r="H56" s="20">
        <v>0.007977547422886588</v>
      </c>
      <c r="I56" s="19">
        <v>598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54</v>
      </c>
      <c r="D57" s="19">
        <v>42</v>
      </c>
      <c r="E57" s="20">
        <v>-0.032504486242752595</v>
      </c>
      <c r="F57" s="20">
        <v>0.2222222222222222</v>
      </c>
      <c r="G57" s="22">
        <v>-3.2506905427144397</v>
      </c>
      <c r="H57" s="20">
        <v>0.0015670117731507646</v>
      </c>
      <c r="I57" s="19">
        <v>41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197</v>
      </c>
      <c r="D63" s="19">
        <v>15</v>
      </c>
      <c r="E63" s="20">
        <v>-0.034390350632241204</v>
      </c>
      <c r="F63" s="20">
        <v>0.27411167512690354</v>
      </c>
      <c r="G63" s="22">
        <v>-6.060923613314705</v>
      </c>
      <c r="H63" s="20">
        <v>0.012018633102277706</v>
      </c>
      <c r="I63" s="19">
        <v>118</v>
      </c>
      <c r="J63" s="18" t="inlineStr">
        <is>
          <t>Small sample</t>
        </is>
      </c>
    </row>
    <row r="64" ht="30" customHeight="1">
      <c r="A64" s="18" t="inlineStr">
        <is>
          <t>Serie A</t>
        </is>
      </c>
      <c r="B64" s="18"/>
      <c r="C64" s="19">
        <v>157</v>
      </c>
      <c r="D64" s="19">
        <v>13</v>
      </c>
      <c r="E64" s="20">
        <v>-0.029038235787885894</v>
      </c>
      <c r="F64" s="20">
        <v>0.29936305732484075</v>
      </c>
      <c r="G64" s="22">
        <v>-2.551161323696456</v>
      </c>
      <c r="H64" s="20">
        <v>0.005404771251576232</v>
      </c>
      <c r="I64" s="19">
        <v>93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144</v>
      </c>
      <c r="D65" s="19">
        <v>14</v>
      </c>
      <c r="E65" s="20">
        <v>-0.03548431906835178</v>
      </c>
      <c r="F65" s="20">
        <v>0.2222222222222222</v>
      </c>
      <c r="G65" s="22">
        <v>-3.3131380676886337</v>
      </c>
      <c r="H65" s="20">
        <v>0.0032433455115894265</v>
      </c>
      <c r="I65" s="19">
        <v>74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139</v>
      </c>
      <c r="D66" s="19">
        <v>13</v>
      </c>
      <c r="E66" s="20">
        <v>-0.03393764836042092</v>
      </c>
      <c r="F66" s="20">
        <v>0.2302158273381295</v>
      </c>
      <c r="G66" s="22">
        <v>-5.330479324454057</v>
      </c>
      <c r="H66" s="20">
        <v>0.0017028694539846562</v>
      </c>
      <c r="I66" s="19">
        <v>83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75</v>
      </c>
      <c r="D68" s="19">
        <v>9</v>
      </c>
      <c r="E68" s="20">
        <v>-0.01906295515099016</v>
      </c>
      <c r="F68" s="20">
        <v>0.3466666666666667</v>
      </c>
      <c r="G68" s="22">
        <v>-1.21914265864722</v>
      </c>
      <c r="H68" s="20">
        <v>0.04459034625980546</v>
      </c>
      <c r="I68" s="19">
        <v>34</v>
      </c>
      <c r="J68" s="18" t="inlineStr">
        <is>
          <t>Small sample</t>
        </is>
      </c>
    </row>
    <row r="69" ht="30" customHeight="1">
      <c r="A69" s="18" t="inlineStr">
        <is>
          <t>Eredivisie</t>
        </is>
      </c>
      <c r="B69" s="18"/>
      <c r="C69" s="19">
        <v>4</v>
      </c>
      <c r="D69" s="19">
        <v>2</v>
      </c>
      <c r="E69" s="20">
        <v>-0.03796802327278015</v>
      </c>
      <c r="F69" s="20">
        <v>0.0</v>
      </c>
      <c r="G69" s="22">
        <v>-13.73202576414083</v>
      </c>
      <c r="H69" s="20">
        <v>-0.008161604922794025</v>
      </c>
      <c r="I69" s="19">
        <v>4</v>
      </c>
      <c r="J69" s="18" t="inlineStr">
        <is>
          <t>Small sample</t>
        </is>
      </c>
    </row>
    <row r="70" ht="30" customHeight="1">
      <c r="A70" s="18" t="inlineStr">
        <is>
          <t>Primeira Liga</t>
        </is>
      </c>
      <c r="B70" s="18"/>
      <c r="C70" s="19">
        <v>3</v>
      </c>
      <c r="D70" s="19">
        <v>1</v>
      </c>
      <c r="E70" s="20">
        <v>-0.013262523386397477</v>
      </c>
      <c r="F70" s="20">
        <v>0.3333333333333333</v>
      </c>
      <c r="G70" s="22"/>
      <c r="H70" s="20">
        <v>0.01452149887708202</v>
      </c>
      <c r="I70" s="19">
        <v>3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