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Plan'!$A$10:$A$29</c:f>
              <c:strCache>
                <c:ptCount val="20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2026-10-17T14:00:00+00:00</c:v>
                </c:pt>
                <c:pt idx="15">
                  <c:v>2026-10-17T14:00:00+00:00</c:v>
                </c:pt>
                <c:pt idx="16">
                  <c:v>2026-10-18T12:00:00+00:00</c:v>
                </c:pt>
                <c:pt idx="17">
                  <c:v>2026-10-18T16:30:00+00:00</c:v>
                </c:pt>
                <c:pt idx="18">
                  <c:v>2026-10-18T19:00:00+00:00</c:v>
                </c:pt>
                <c:pt idx="19">
                  <c:v>2026-10-19T19:00:00+00:00</c:v>
                </c:pt>
              </c:strCache>
            </c:strRef>
          </c:cat>
          <c:val>
            <c:numRef>
              <c:f>'ROI Plan'!$F$10:$F$29</c:f>
              <c:numCache>
                <c:formatCode>General</c:formatCode>
                <c:ptCount val="20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9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5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20</v>
      </c>
      <c r="C7" s="1"/>
      <c r="D7" s="1" t="str">
        <v>STRICT</v>
      </c>
      <c r="E7" s="12">
        <f>Breakdowns!D7</f>
        <v>4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9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11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0.6666666666666666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-0.09666666666666668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-0.8700000000000001</v>
      </c>
      <c r="C14" s="1"/>
      <c r="D14" s="1" t="inlineStr">
        <is>
          <t>9 settled; 11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0.25053182411845815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IF(COUNT(Predictions!H6:H98)=0,"n.a.",AVERAGE(Predictions!H6:H98))</f>
        <v>0.5925925925925926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IF(COUNT(Predictions!I6:I98)=0,"n.a.",AVERAGE(Predictions!I6:I98))</f>
        <v>0.6023758366666667</v>
      </c>
      <c r="C17" s="1"/>
      <c r="D17" s="1" t="inlineStr">
        <is>
          <t>Over 1.5</t>
        </is>
      </c>
      <c r="E17" s="1">
        <f>COUNT(Predictions!J6:J98)</f>
        <v>27</v>
      </c>
      <c r="F17" s="9">
        <f>IF(E17=0,"n.a.",AVERAGE(Predictions!J6:J98))</f>
        <v>0.9259259259259259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0.35419734749908977</v>
      </c>
      <c r="C18" s="1"/>
      <c r="D18" s="1" t="inlineStr">
        <is>
          <t>Under 3.5</t>
        </is>
      </c>
      <c r="E18" s="1">
        <f>COUNT(Predictions!K6:K98)</f>
        <v>27</v>
      </c>
      <c r="F18" s="9">
        <f>IF(E18=0,"n.a.",AVERAGE(Predictions!K6:K98))</f>
        <v>0.5925925925925926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0.879418401317257</v>
      </c>
      <c r="C19" s="1"/>
      <c r="D19" s="1" t="inlineStr">
        <is>
          <t>BTTS Yes</t>
        </is>
      </c>
      <c r="E19" s="1">
        <f>COUNT(Predictions!L6:L98)</f>
        <v>27</v>
      </c>
      <c r="F19" s="9">
        <f>IF(E19=0,"n.a.",AVERAGE(Predictions!L6:L98))</f>
        <v>0.5185185185185185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COUNT(Predictions!M6:M98)</f>
        <v>27</v>
      </c>
      <c r="F20" s="9">
        <f>IF(E20=0,"n.a.",AVERAGE(Predictions!M6:M98))</f>
        <v>0.5185185185185185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6 wins from 9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2026-10-14T11:27:05Z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WON</t>
        </is>
      </c>
      <c r="D18" s="10">
        <f>IF(ISNUMBER(Selections!M14),Selections!M14,"")</f>
        <v>1</v>
      </c>
      <c r="E18" s="10">
        <f>IF(ISNUMBER(Selections!N14),Selections!N14,"")</f>
        <v>0.1499999999999999</v>
      </c>
      <c r="F18" s="10">
        <f>SUM($E$10:E18)</f>
        <v>-1.36</v>
      </c>
      <c r="G18" s="10">
        <f>$B$4+F18</f>
        <v>98.64</v>
      </c>
      <c r="H18" s="10">
        <f>MAX($B$4,$G$10:G18)</f>
        <v>100</v>
      </c>
      <c r="I18" s="10">
        <f>H18-G18</f>
        <v>1.3599999999999994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WON</t>
        </is>
      </c>
      <c r="D19" s="10">
        <f>IF(ISNUMBER(Selections!M15),Selections!M15,"")</f>
        <v>1</v>
      </c>
      <c r="E19" s="10">
        <f>IF(ISNUMBER(Selections!N15),Selections!N15,"")</f>
        <v>0.49</v>
      </c>
      <c r="F19" s="10">
        <f>SUM($E$10:E19)</f>
        <v>-0.8700000000000001</v>
      </c>
      <c r="G19" s="10">
        <f>$B$4+F19</f>
        <v>99.13</v>
      </c>
      <c r="H19" s="10">
        <f>MAX($B$4,$G$10:G19)</f>
        <v>100</v>
      </c>
      <c r="I19" s="10">
        <f>H19-G19</f>
        <v>0.8700000000000045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-0.8700000000000001</v>
      </c>
      <c r="G20" s="10">
        <f>$B$4+F20</f>
        <v>99.13</v>
      </c>
      <c r="H20" s="10">
        <f>MAX($B$4,$G$10:G20)</f>
        <v>100</v>
      </c>
      <c r="I20" s="10">
        <f>H20-G20</f>
        <v>0.8700000000000045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-0.8700000000000001</v>
      </c>
      <c r="G21" s="10">
        <f>$B$4+F21</f>
        <v>99.13</v>
      </c>
      <c r="H21" s="10">
        <f>MAX($B$4,$G$10:G21)</f>
        <v>100</v>
      </c>
      <c r="I21" s="10">
        <f>H21-G21</f>
        <v>0.8700000000000045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-0.8700000000000001</v>
      </c>
      <c r="G22" s="10">
        <f>$B$4+F22</f>
        <v>99.13</v>
      </c>
      <c r="H22" s="10">
        <f>MAX($B$4,$G$10:G22)</f>
        <v>100</v>
      </c>
      <c r="I22" s="10">
        <f>H22-G22</f>
        <v>0.8700000000000045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2026-10-16T19:00:00+00:00</t>
        </is>
      </c>
      <c r="B23" s="1" t="inlineStr">
        <is>
          <t>Deportivo La Coruña vs Levante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-0.8700000000000001</v>
      </c>
      <c r="G23" s="10">
        <f>$B$4+F23</f>
        <v>99.13</v>
      </c>
      <c r="H23" s="10">
        <f>MAX($B$4,$G$10:G23)</f>
        <v>100</v>
      </c>
      <c r="I23" s="10">
        <f>H23-G23</f>
        <v>0.8700000000000045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Fulham vs Hull City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-0.8700000000000001</v>
      </c>
      <c r="G24" s="10">
        <f>$B$4+F24</f>
        <v>99.13</v>
      </c>
      <c r="H24" s="10">
        <f>MAX($B$4,$G$10:G24)</f>
        <v>100</v>
      </c>
      <c r="I24" s="10">
        <f>H24-G24</f>
        <v>0.8700000000000045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2026-10-17T14:00:00+00:00</t>
        </is>
      </c>
      <c r="B25" s="1" t="inlineStr">
        <is>
          <t>Manchester City vs Ipswich Town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-0.8700000000000001</v>
      </c>
      <c r="G25" s="10">
        <f>$B$4+F25</f>
        <v>99.13</v>
      </c>
      <c r="H25" s="10">
        <f>MAX($B$4,$G$10:G25)</f>
        <v>100</v>
      </c>
      <c r="I25" s="10">
        <f>H25-G25</f>
        <v>0.8700000000000045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2026-10-18T12:00:00+00:00</t>
        </is>
      </c>
      <c r="B26" s="1" t="inlineStr">
        <is>
          <t>CA Osasuna vs Real Racing Club de Santander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-0.8700000000000001</v>
      </c>
      <c r="G26" s="10">
        <f>$B$4+F26</f>
        <v>99.13</v>
      </c>
      <c r="H26" s="10">
        <f>MAX($B$4,$G$10:G26)</f>
        <v>100</v>
      </c>
      <c r="I26" s="10">
        <f>H26-G26</f>
        <v>0.8700000000000045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2026-10-18T16:30:00+00:00</t>
        </is>
      </c>
      <c r="B27" s="1" t="inlineStr">
        <is>
          <t>Málaga vs Real Sociedad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-0.8700000000000001</v>
      </c>
      <c r="G27" s="10">
        <f>$B$4+F27</f>
        <v>99.13</v>
      </c>
      <c r="H27" s="10">
        <f>MAX($B$4,$G$10:G27)</f>
        <v>100</v>
      </c>
      <c r="I27" s="10">
        <f>H27-G27</f>
        <v>0.8700000000000045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2026-10-18T19:00:00+00:00</t>
        </is>
      </c>
      <c r="B28" s="1" t="inlineStr">
        <is>
          <t>Real Madrid vs Sevilla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-0.8700000000000001</v>
      </c>
      <c r="G28" s="10">
        <f>$B$4+F28</f>
        <v>99.13</v>
      </c>
      <c r="H28" s="10">
        <f>MAX($B$4,$G$10:G28)</f>
        <v>100</v>
      </c>
      <c r="I28" s="10">
        <f>H28-G28</f>
        <v>0.8700000000000045</v>
      </c>
      <c r="J28" s="1" t="inlineStr">
        <is>
          <t>2026-W42</t>
        </is>
      </c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2026-10-19T19:00:00+00:00</t>
        </is>
      </c>
      <c r="B29" s="1" t="inlineStr">
        <is>
          <t>Tottenham Hotspur vs Coventry City</t>
        </is>
      </c>
      <c r="C29" s="1" t="inlineStr">
        <is>
          <t>PENDING_KICKOFF_OR_FINAL_SCORE</t>
        </is>
      </c>
      <c r="D29" s="10" t="str">
        <f>IF(ISNUMBER(Selections!M25),Selections!M25,"")</f>
        <v/>
      </c>
      <c r="E29" s="10" t="str">
        <f>IF(ISNUMBER(Selections!N25),Selections!N25,"")</f>
        <v/>
      </c>
      <c r="F29" s="10">
        <f>SUM($E$10:E29)</f>
        <v>-0.8700000000000001</v>
      </c>
      <c r="G29" s="10">
        <f>$B$4+F29</f>
        <v>99.13</v>
      </c>
      <c r="H29" s="10">
        <f>MAX($B$4,$G$10:G29)</f>
        <v>100</v>
      </c>
      <c r="I29" s="10">
        <f>H29-G29</f>
        <v>0.8700000000000045</v>
      </c>
      <c r="J29" s="1" t="inlineStr">
        <is>
          <t>2026-W43</t>
        </is>
      </c>
      <c r="K29" s="1"/>
      <c r="L29" s="1"/>
      <c r="M29" s="1"/>
      <c r="N29" s="1"/>
      <c r="O29" s="1"/>
      <c r="P29" s="1"/>
      <c r="Q29" s="1"/>
      <c r="R29" s="1"/>
    </row>
  </sheetData>
  <conditionalFormatting sqref="E10:E29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COUNTA(Selections!$A$6:$A$25)</f>
        <v>20</v>
      </c>
      <c r="D6" s="12">
        <f>(COUNTIFS(Selections!$K$6:$K$25,"WON")+COUNTIFS(Selections!$K$6:$K$25,"LOST"))</f>
        <v>9</v>
      </c>
      <c r="E6" s="12">
        <f>COUNTIFS(Selections!$K$6:$K$25,"WON")</f>
        <v>6</v>
      </c>
      <c r="F6" s="12">
        <f>COUNTIFS(Selections!$K$6:$K$25,"LOST")</f>
        <v>3</v>
      </c>
      <c r="G6" s="12">
        <f>COUNTA(Selections!$A$6:$A$25)-(COUNTIFS(Selections!$K$6:$K$25,"WON")+COUNTIFS(Selections!$K$6:$K$25,"LOST"))</f>
        <v>11</v>
      </c>
      <c r="H6" s="13">
        <f>IF((COUNTIFS(Selections!$K$6:$K$25,"WON")+COUNTIFS(Selections!$K$6:$K$25,"LOST"))=0,"n.a.",COUNTIFS(Selections!$K$6:$K$25,"WON")/(COUNTIFS(Selections!$K$6:$K$25,"WON")+COUNTIFS(Selections!$K$6:$K$25,"LOST")))</f>
        <v>0.6666666666666666</v>
      </c>
      <c r="I6" s="15">
        <f>SUM(Selections!$M$6:$M$25)</f>
        <v>9</v>
      </c>
      <c r="J6" s="15">
        <f>SUM(Selections!$N$6:$N$25)</f>
        <v>-0.8700000000000001</v>
      </c>
      <c r="K6" s="13">
        <f>IF(SUM(Selections!$M$6:$M$25)=0,"n.a.",SUM(Selections!$N$6:$N$25)/SUM(Selections!$M$6:$M$25))</f>
        <v>-0.09666666666666668</v>
      </c>
      <c r="L6" s="14">
        <f>IF(SUM(Selections!$T$6:$T$25)=0,"n.a.",SUM(Selections!$O$6:$O$25)/SUM(Selections!$T$6:$T$25))</f>
        <v>0.25053182411845815</v>
      </c>
      <c r="M6" s="13">
        <f>IF(SUM(Selections!$T$6:$T$25)=0,"n.a.",SUM(Selections!$S$6:$S$25)/SUM(Selections!$T$6:$T$25))</f>
        <v>0.8039940028539501</v>
      </c>
      <c r="N6" s="13">
        <f>IF(SUM(Selections!$T$6:$T$25)=0,"n.a.",(SUMIFS(Selections!$L$6:$L$25,Selections!$T$6:$T$25,1))/SUM(Selections!$T$6:$T$25))</f>
        <v>0.6666666666666666</v>
      </c>
      <c r="O6" s="13">
        <f>IF(SUM(Selections!$T$6:$T$25)=0,"n.a.",(SUM(Selections!$S$6:$S$25)-(SUMIFS(Selections!$L$6:$L$25,Selections!$T$6:$T$25,1)))/SUM(Selections!$T$6:$T$25))</f>
        <v>0.13732733618728343</v>
      </c>
      <c r="P6" s="12">
        <f>SUM(Selections!$T$6:$T$25)</f>
        <v>9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COUNTIFS(Selections!$F$6:$F$25,"STRICT")</f>
        <v>10</v>
      </c>
      <c r="D7" s="12">
        <f>(COUNTIFS(Selections!$F$6:$F$25,"STRICT",Selections!$K$6:$K$25,"WON")+COUNTIFS(Selections!$F$6:$F$25,"STRICT",Selections!$K$6:$K$25,"LOST"))</f>
        <v>4</v>
      </c>
      <c r="E7" s="12">
        <f>COUNTIFS(Selections!$F$6:$F$25,"STRICT",Selections!$K$6:$K$25,"WON")</f>
        <v>4</v>
      </c>
      <c r="F7" s="12">
        <f>COUNTIFS(Selections!$F$6:$F$25,"STRICT",Selections!$K$6:$K$25,"LOST")</f>
        <v>0</v>
      </c>
      <c r="G7" s="12">
        <f>COUNTIFS(Selections!$F$6:$F$25,"STRICT")-(COUNTIFS(Selections!$F$6:$F$25,"STRICT",Selections!$K$6:$K$25,"WON")+COUNTIFS(Selections!$F$6:$F$25,"STRICT",Selections!$K$6:$K$25,"LOST"))</f>
        <v>6</v>
      </c>
      <c r="H7" s="13">
        <f>IF((COUNTIFS(Selections!$F$6:$F$25,"STRICT",Selections!$K$6:$K$25,"WON")+COUNTIFS(Selections!$F$6:$F$25,"STRICT",Selections!$K$6:$K$25,"LOST"))=0,"n.a.",COUNTIFS(Selections!$F$6:$F$25,"STRICT",Selections!$K$6:$K$25,"WON")/(COUNTIFS(Selections!$F$6:$F$25,"STRICT",Selections!$K$6:$K$25,"WON")+COUNTIFS(Selections!$F$6:$F$25,"STRICT",Selections!$K$6:$K$25,"LOST")))</f>
        <v>1.0</v>
      </c>
      <c r="I7" s="15">
        <f>SUMIFS(Selections!$M$6:$M$25,Selections!$F$6:$F$25,"STRICT")</f>
        <v>4</v>
      </c>
      <c r="J7" s="15">
        <f>SUMIFS(Selections!$N$6:$N$25,Selections!$F$6:$F$25,"STRICT")</f>
        <v>1.6099999999999999</v>
      </c>
      <c r="K7" s="13">
        <f>IF(SUMIFS(Selections!$M$6:$M$25,Selections!$F$6:$F$25,"STRICT")=0,"n.a.",SUMIFS(Selections!$N$6:$N$25,Selections!$F$6:$F$25,"STRICT")/SUMIFS(Selections!$M$6:$M$25,Selections!$F$6:$F$25,"STRICT"))</f>
        <v>0.40249999999999997</v>
      </c>
      <c r="L7" s="14">
        <f>IF(SUMIFS(Selections!$T$6:$T$25,Selections!$F$6:$F$25,"STRICT")=0,"n.a.",SUMIFS(Selections!$O$6:$O$25,Selections!$F$6:$F$25,"STRICT")/SUMIFS(Selections!$T$6:$T$25,Selections!$F$6:$F$25,"STRICT"))</f>
        <v>0.05954074059867185</v>
      </c>
      <c r="M7" s="13">
        <f>IF(SUMIFS(Selections!$T$6:$T$25,Selections!$F$6:$F$25,"STRICT")=0,"n.a.",SUMIFS(Selections!$S$6:$S$25,Selections!$F$6:$F$25,"STRICT")/SUMIFS(Selections!$T$6:$T$25,Selections!$F$6:$F$25,"STRICT"))</f>
        <v>0.7786491041410677</v>
      </c>
      <c r="N7" s="13">
        <f>IF(SUMIFS(Selections!$T$6:$T$25,Selections!$F$6:$F$25,"STRICT")=0,"n.a.",(SUMIFS(Selections!$L$6:$L$25,Selections!$F$6:$F$25,"STRICT",Selections!$T$6:$T$25,1))/SUMIFS(Selections!$T$6:$T$25,Selections!$F$6:$F$25,"STRICT"))</f>
        <v>1.0</v>
      </c>
      <c r="O7" s="13">
        <f>IF(SUMIFS(Selections!$T$6:$T$25,Selections!$F$6:$F$25,"STRICT")=0,"n.a.",(SUMIFS(Selections!$S$6:$S$25,Selections!$F$6:$F$25,"STRICT")-(SUMIFS(Selections!$L$6:$L$25,Selections!$F$6:$F$25,"STRICT",Selections!$T$6:$T$25,1)))/SUMIFS(Selections!$T$6:$T$25,Selections!$F$6:$F$25,"STRICT"))</f>
        <v>-0.2213508958589323</v>
      </c>
      <c r="P7" s="12">
        <f>SUMIFS(Selections!$T$6:$T$25,Selections!$F$6:$F$25,"STRICT")</f>
        <v>4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COUNTIFS(Selections!$F$6:$F$25,"PROVISIONAL")</f>
        <v>10</v>
      </c>
      <c r="D8" s="12">
        <f>(COUNTIFS(Selections!$F$6:$F$25,"PROVISIONAL",Selections!$K$6:$K$25,"WON")+COUNTIFS(Selections!$F$6:$F$25,"PROVISIONAL",Selections!$K$6:$K$25,"LOST"))</f>
        <v>5</v>
      </c>
      <c r="E8" s="12">
        <f>COUNTIFS(Selections!$F$6:$F$25,"PROVISIONAL",Selections!$K$6:$K$25,"WON")</f>
        <v>2</v>
      </c>
      <c r="F8" s="12">
        <f>COUNTIFS(Selections!$F$6:$F$25,"PROVISIONAL",Selections!$K$6:$K$25,"LOST")</f>
        <v>3</v>
      </c>
      <c r="G8" s="12">
        <f>COUNTIFS(Selections!$F$6:$F$25,"PROVISIONAL")-(COUNTIFS(Selections!$F$6:$F$25,"PROVISIONAL",Selections!$K$6:$K$25,"WON")+COUNTIFS(Selections!$F$6:$F$25,"PROVISIONAL",Selections!$K$6:$K$25,"LOST"))</f>
        <v>5</v>
      </c>
      <c r="H8" s="13">
        <f>IF((COUNTIFS(Selections!$F$6:$F$25,"PROVISIONAL",Selections!$K$6:$K$25,"WON")+COUNTIFS(Selections!$F$6:$F$25,"PROVISIONAL",Selections!$K$6:$K$25,"LOST"))=0,"n.a.",COUNTIFS(Selections!$F$6:$F$25,"PROVISIONAL",Selections!$K$6:$K$25,"WON")/(COUNTIFS(Selections!$F$6:$F$25,"PROVISIONAL",Selections!$K$6:$K$25,"WON")+COUNTIFS(Selections!$F$6:$F$25,"PROVISIONAL",Selections!$K$6:$K$25,"LOST")))</f>
        <v>0.4</v>
      </c>
      <c r="I8" s="15">
        <f>SUMIFS(Selections!$M$6:$M$25,Selections!$F$6:$F$25,"PROVISIONAL")</f>
        <v>5</v>
      </c>
      <c r="J8" s="15">
        <f>SUMIFS(Selections!$N$6:$N$25,Selections!$F$6:$F$25,"PROVISIONAL")</f>
        <v>-2.48</v>
      </c>
      <c r="K8" s="13">
        <f>IF(SUMIFS(Selections!$M$6:$M$25,Selections!$F$6:$F$25,"PROVISIONAL")=0,"n.a.",SUMIFS(Selections!$N$6:$N$25,Selections!$F$6:$F$25,"PROVISIONAL")/SUMIFS(Selections!$M$6:$M$25,Selections!$F$6:$F$25,"PROVISIONAL"))</f>
        <v>-0.496</v>
      </c>
      <c r="L8" s="14">
        <f>IF(SUMIFS(Selections!$T$6:$T$25,Selections!$F$6:$F$25,"PROVISIONAL")=0,"n.a.",SUMIFS(Selections!$O$6:$O$25,Selections!$F$6:$F$25,"PROVISIONAL")/SUMIFS(Selections!$T$6:$T$25,Selections!$F$6:$F$25,"PROVISIONAL"))</f>
        <v>0.40332469093428713</v>
      </c>
      <c r="M8" s="13">
        <f>IF(SUMIFS(Selections!$T$6:$T$25,Selections!$F$6:$F$25,"PROVISIONAL")=0,"n.a.",SUMIFS(Selections!$S$6:$S$25,Selections!$F$6:$F$25,"PROVISIONAL")/SUMIFS(Selections!$T$6:$T$25,Selections!$F$6:$F$25,"PROVISIONAL"))</f>
        <v>0.824269921824256</v>
      </c>
      <c r="N8" s="13">
        <f>IF(SUMIFS(Selections!$T$6:$T$25,Selections!$F$6:$F$25,"PROVISIONAL")=0,"n.a.",(SUMIFS(Selections!$L$6:$L$25,Selections!$F$6:$F$25,"PROVISIONAL",Selections!$T$6:$T$25,1))/SUMIFS(Selections!$T$6:$T$25,Selections!$F$6:$F$25,"PROVISIONAL"))</f>
        <v>0.4</v>
      </c>
      <c r="O8" s="13">
        <f>IF(SUMIFS(Selections!$T$6:$T$25,Selections!$F$6:$F$25,"PROVISIONAL")=0,"n.a.",(SUMIFS(Selections!$S$6:$S$25,Selections!$F$6:$F$25,"PROVISIONAL")-(SUMIFS(Selections!$L$6:$L$25,Selections!$F$6:$F$25,"PROVISIONAL",Selections!$T$6:$T$25,1)))/SUMIFS(Selections!$T$6:$T$25,Selections!$F$6:$F$25,"PROVISIONAL"))</f>
        <v>0.42426992182425594</v>
      </c>
      <c r="P8" s="12">
        <f>SUMIFS(Selections!$T$6:$T$25,Selections!$F$6:$F$25,"PROVISIONAL")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COUNTIFS(Selections!$C$6:$C$25,"La Liga")</f>
        <v>7</v>
      </c>
      <c r="D9" s="12">
        <f>(COUNTIFS(Selections!$C$6:$C$25,"La Liga",Selections!$K$6:$K$25,"WON")+COUNTIFS(Selections!$C$6:$C$25,"La Liga",Selections!$K$6:$K$25,"LOST"))</f>
        <v>2</v>
      </c>
      <c r="E9" s="12">
        <f>COUNTIFS(Selections!$C$6:$C$25,"La Liga",Selections!$K$6:$K$25,"WON")</f>
        <v>2</v>
      </c>
      <c r="F9" s="12">
        <f>COUNTIFS(Selections!$C$6:$C$25,"La Liga",Selections!$K$6:$K$25,"LOST")</f>
        <v>0</v>
      </c>
      <c r="G9" s="12">
        <f>COUNTIFS(Selections!$C$6:$C$25,"La Liga")-(COUNTIFS(Selections!$C$6:$C$25,"La Liga",Selections!$K$6:$K$25,"WON")+COUNTIFS(Selections!$C$6:$C$25,"La Liga",Selections!$K$6:$K$25,"LOST"))</f>
        <v>5</v>
      </c>
      <c r="H9" s="13">
        <f>IF((COUNTIFS(Selections!$C$6:$C$25,"La Liga",Selections!$K$6:$K$25,"WON")+COUNTIFS(Selections!$C$6:$C$25,"La Liga",Selections!$K$6:$K$25,"LOST"))=0,"n.a.",COUNTIFS(Selections!$C$6:$C$25,"La Liga",Selections!$K$6:$K$25,"WON")/(COUNTIFS(Selections!$C$6:$C$25,"La Liga",Selections!$K$6:$K$25,"WON")+COUNTIFS(Selections!$C$6:$C$25,"La Liga",Selections!$K$6:$K$25,"LOST")))</f>
        <v>1.0</v>
      </c>
      <c r="I9" s="15">
        <f>SUMIFS(Selections!$M$6:$M$25,Selections!$C$6:$C$25,"La Liga")</f>
        <v>2</v>
      </c>
      <c r="J9" s="15">
        <f>SUMIFS(Selections!$N$6:$N$25,Selections!$C$6:$C$25,"La Liga")</f>
        <v>0.5800000000000001</v>
      </c>
      <c r="K9" s="13">
        <f>IF(SUMIFS(Selections!$M$6:$M$25,Selections!$C$6:$C$25,"La Liga")=0,"n.a.",SUMIFS(Selections!$N$6:$N$25,Selections!$C$6:$C$25,"La Liga")/SUMIFS(Selections!$M$6:$M$25,Selections!$C$6:$C$25,"La Liga"))</f>
        <v>0.29000000000000004</v>
      </c>
      <c r="L9" s="14">
        <f>IF(SUMIFS(Selections!$T$6:$T$25,Selections!$C$6:$C$25,"La Liga")=0,"n.a.",SUMIFS(Selections!$O$6:$O$25,Selections!$C$6:$C$25,"La Liga")/SUMIFS(Selections!$T$6:$T$25,Selections!$C$6:$C$25,"La Liga"))</f>
        <v>0.028808603206313725</v>
      </c>
      <c r="M9" s="13">
        <f>IF(SUMIFS(Selections!$T$6:$T$25,Selections!$C$6:$C$25,"La Liga")=0,"n.a.",SUMIFS(Selections!$S$6:$S$25,Selections!$C$6:$C$25,"La Liga")/SUMIFS(Selections!$T$6:$T$25,Selections!$C$6:$C$25,"La Liga"))</f>
        <v>0.8407710464485831</v>
      </c>
      <c r="N9" s="13">
        <f>IF(SUMIFS(Selections!$T$6:$T$25,Selections!$C$6:$C$25,"La Liga")=0,"n.a.",(SUMIFS(Selections!$L$6:$L$25,Selections!$C$6:$C$25,"La Liga",Selections!$T$6:$T$25,1))/SUMIFS(Selections!$T$6:$T$25,Selections!$C$6:$C$25,"La Liga"))</f>
        <v>1.0</v>
      </c>
      <c r="O9" s="13">
        <f>IF(SUMIFS(Selections!$T$6:$T$25,Selections!$C$6:$C$25,"La Liga")=0,"n.a.",(SUMIFS(Selections!$S$6:$S$25,Selections!$C$6:$C$25,"La Liga")-(SUMIFS(Selections!$L$6:$L$25,Selections!$C$6:$C$25,"La Liga",Selections!$T$6:$T$25,1)))/SUMIFS(Selections!$T$6:$T$25,Selections!$C$6:$C$25,"La Liga"))</f>
        <v>-0.15922895355141686</v>
      </c>
      <c r="P9" s="12">
        <f>SUMIFS(Selections!$T$6:$T$25,Selections!$C$6:$C$25,"La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COUNTIFS(Selections!$C$6:$C$25,"Premier League")</f>
        <v>6</v>
      </c>
      <c r="D10" s="12">
        <f>(COUNTIFS(Selections!$C$6:$C$25,"Premier League",Selections!$K$6:$K$25,"WON")+COUNTIFS(Selections!$C$6:$C$25,"Premier League",Selections!$K$6:$K$25,"LOST"))</f>
        <v>3</v>
      </c>
      <c r="E10" s="12">
        <f>COUNTIFS(Selections!$C$6:$C$25,"Premier League",Selections!$K$6:$K$25,"WON")</f>
        <v>0</v>
      </c>
      <c r="F10" s="12">
        <f>COUNTIFS(Selections!$C$6:$C$25,"Premier League",Selections!$K$6:$K$25,"LOST")</f>
        <v>3</v>
      </c>
      <c r="G10" s="12">
        <f>COUNTIFS(Selections!$C$6:$C$25,"Premier League")-(COUNTIFS(Selections!$C$6:$C$25,"Premier League",Selections!$K$6:$K$25,"WON")+COUNTIFS(Selections!$C$6:$C$25,"Premier League",Selections!$K$6:$K$25,"LOST"))</f>
        <v>3</v>
      </c>
      <c r="H10" s="13">
        <f>IF((COUNTIFS(Selections!$C$6:$C$25,"Premier League",Selections!$K$6:$K$25,"WON")+COUNTIFS(Selections!$C$6:$C$25,"Premier League",Selections!$K$6:$K$25,"LOST"))=0,"n.a.",COUNTIFS(Selections!$C$6:$C$25,"Premier League",Selections!$K$6:$K$25,"WON")/(COUNTIFS(Selections!$C$6:$C$25,"Premier League",Selections!$K$6:$K$25,"WON")+COUNTIFS(Selections!$C$6:$C$25,"Premier League",Selections!$K$6:$K$25,"LOST")))</f>
        <v>0.0</v>
      </c>
      <c r="I10" s="15">
        <f>SUMIFS(Selections!$M$6:$M$25,Selections!$C$6:$C$25,"Premier League")</f>
        <v>3</v>
      </c>
      <c r="J10" s="15">
        <f>SUMIFS(Selections!$N$6:$N$25,Selections!$C$6:$C$25,"Premier League")</f>
        <v>-3.0</v>
      </c>
      <c r="K10" s="13">
        <f>IF(SUMIFS(Selections!$M$6:$M$25,Selections!$C$6:$C$25,"Premier League")=0,"n.a.",SUMIFS(Selections!$N$6:$N$25,Selections!$C$6:$C$25,"Premier League")/SUMIFS(Selections!$M$6:$M$25,Selections!$C$6:$C$25,"Premier League"))</f>
        <v>-1.0</v>
      </c>
      <c r="L10" s="14">
        <f>IF(SUMIFS(Selections!$T$6:$T$25,Selections!$C$6:$C$25,"Premier League")=0,"n.a.",SUMIFS(Selections!$O$6:$O$25,Selections!$C$6:$C$25,"Premier League")/SUMIFS(Selections!$T$6:$T$25,Selections!$C$6:$C$25,"Premier League"))</f>
        <v>0.6550299989350173</v>
      </c>
      <c r="M10" s="13">
        <f>IF(SUMIFS(Selections!$T$6:$T$25,Selections!$C$6:$C$25,"Premier League")=0,"n.a.",SUMIFS(Selections!$S$6:$S$25,Selections!$C$6:$C$25,"Premier League")/SUMIFS(Selections!$T$6:$T$25,Selections!$C$6:$C$25,"Premier League"))</f>
        <v>0.8084589103334122</v>
      </c>
      <c r="N10" s="13">
        <f>IF(SUMIFS(Selections!$T$6:$T$25,Selections!$C$6:$C$25,"Premier League")=0,"n.a.",(SUMIFS(Selections!$L$6:$L$25,Selections!$C$6:$C$25,"Premier League",Selections!$T$6:$T$25,1))/SUMIFS(Selections!$T$6:$T$25,Selections!$C$6:$C$25,"Premier League"))</f>
        <v>0.0</v>
      </c>
      <c r="O10" s="13">
        <f>IF(SUMIFS(Selections!$T$6:$T$25,Selections!$C$6:$C$25,"Premier League")=0,"n.a.",(SUMIFS(Selections!$S$6:$S$25,Selections!$C$6:$C$25,"Premier League")-(SUMIFS(Selections!$L$6:$L$25,Selections!$C$6:$C$25,"Premier League",Selections!$T$6:$T$25,1)))/SUMIFS(Selections!$T$6:$T$25,Selections!$C$6:$C$25,"Premier League"))</f>
        <v>0.8084589103334122</v>
      </c>
      <c r="P10" s="12">
        <f>SUMIFS(Selections!$T$6:$T$25,Selections!$C$6:$C$25,"Premier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COUNTIFS(Selections!$C$6:$C$25,"Serie A")</f>
        <v>2</v>
      </c>
      <c r="D11" s="12">
        <f>(COUNTIFS(Selections!$C$6:$C$25,"Serie A",Selections!$K$6:$K$25,"WON")+COUNTIFS(Selections!$C$6:$C$25,"Serie A",Selections!$K$6:$K$25,"LOST"))</f>
        <v>2</v>
      </c>
      <c r="E11" s="12">
        <f>COUNTIFS(Selections!$C$6:$C$25,"Serie A",Selections!$K$6:$K$25,"WON")</f>
        <v>2</v>
      </c>
      <c r="F11" s="12">
        <f>COUNTIFS(Selections!$C$6:$C$25,"Serie A",Selections!$K$6:$K$25,"LOST")</f>
        <v>0</v>
      </c>
      <c r="G11" s="12">
        <f>COUNTIFS(Selections!$C$6:$C$25,"Serie A")-(COUNTIFS(Selections!$C$6:$C$25,"Serie A",Selections!$K$6:$K$25,"WON")+COUNTIFS(Selections!$C$6:$C$25,"Serie A",Selections!$K$6:$K$25,"LOST"))</f>
        <v>0</v>
      </c>
      <c r="H11" s="13">
        <f>IF((COUNTIFS(Selections!$C$6:$C$25,"Serie A",Selections!$K$6:$K$25,"WON")+COUNTIFS(Selections!$C$6:$C$25,"Serie A",Selections!$K$6:$K$25,"LOST"))=0,"n.a.",COUNTIFS(Selections!$C$6:$C$25,"Serie A",Selections!$K$6:$K$25,"WON")/(COUNTIFS(Selections!$C$6:$C$25,"Serie A",Selections!$K$6:$K$25,"WON")+COUNTIFS(Selections!$C$6:$C$25,"Serie A",Selections!$K$6:$K$25,"LOST")))</f>
        <v>1.0</v>
      </c>
      <c r="I11" s="15">
        <f>SUMIFS(Selections!$M$6:$M$25,Selections!$C$6:$C$25,"Serie A")</f>
        <v>2</v>
      </c>
      <c r="J11" s="15">
        <f>SUMIFS(Selections!$N$6:$N$25,Selections!$C$6:$C$25,"Serie A")</f>
        <v>0.9099999999999999</v>
      </c>
      <c r="K11" s="13">
        <f>IF(SUMIFS(Selections!$M$6:$M$25,Selections!$C$6:$C$25,"Serie A")=0,"n.a.",SUMIFS(Selections!$N$6:$N$25,Selections!$C$6:$C$25,"Serie A")/SUMIFS(Selections!$M$6:$M$25,Selections!$C$6:$C$25,"Serie A"))</f>
        <v>0.45499999999999996</v>
      </c>
      <c r="L11" s="14">
        <f>IF(SUMIFS(Selections!$T$6:$T$25,Selections!$C$6:$C$25,"Serie A")=0,"n.a.",SUMIFS(Selections!$O$6:$O$25,Selections!$C$6:$C$25,"Serie A")/SUMIFS(Selections!$T$6:$T$25,Selections!$C$6:$C$25,"Serie A"))</f>
        <v>0.07119335473368883</v>
      </c>
      <c r="M11" s="13">
        <f>IF(SUMIFS(Selections!$T$6:$T$25,Selections!$C$6:$C$25,"Serie A")=0,"n.a.",SUMIFS(Selections!$S$6:$S$25,Selections!$C$6:$C$25,"Serie A")/SUMIFS(Selections!$T$6:$T$25,Selections!$C$6:$C$25,"Serie A"))</f>
        <v>0.7393540862546915</v>
      </c>
      <c r="N11" s="13">
        <f>IF(SUMIFS(Selections!$T$6:$T$25,Selections!$C$6:$C$25,"Serie A")=0,"n.a.",(SUMIFS(Selections!$L$6:$L$25,Selections!$C$6:$C$25,"Serie A",Selections!$T$6:$T$25,1))/SUMIFS(Selections!$T$6:$T$25,Selections!$C$6:$C$25,"Serie A"))</f>
        <v>1.0</v>
      </c>
      <c r="O11" s="13">
        <f>IF(SUMIFS(Selections!$T$6:$T$25,Selections!$C$6:$C$25,"Serie A")=0,"n.a.",(SUMIFS(Selections!$S$6:$S$25,Selections!$C$6:$C$25,"Serie A")-(SUMIFS(Selections!$L$6:$L$25,Selections!$C$6:$C$25,"Serie A",Selections!$T$6:$T$25,1)))/SUMIFS(Selections!$T$6:$T$25,Selections!$C$6:$C$25,"Serie A"))</f>
        <v>-0.26064591374530854</v>
      </c>
      <c r="P11" s="12">
        <f>SUMIFS(Selections!$T$6:$T$25,Selections!$C$6:$C$25,"Serie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COUNTIFS(Selections!$C$6:$C$25,"UEFA Champions League")</f>
        <v>5</v>
      </c>
      <c r="D12" s="12">
        <f>(COUNTIFS(Selections!$C$6:$C$25,"UEFA Champions League",Selections!$K$6:$K$25,"WON")+COUNTIFS(Selections!$C$6:$C$25,"UEFA Champions League",Selections!$K$6:$K$25,"LOST"))</f>
        <v>2</v>
      </c>
      <c r="E12" s="12">
        <f>COUNTIFS(Selections!$C$6:$C$25,"UEFA Champions League",Selections!$K$6:$K$25,"WON")</f>
        <v>2</v>
      </c>
      <c r="F12" s="12">
        <f>COUNTIFS(Selections!$C$6:$C$25,"UEFA Champions League",Selections!$K$6:$K$25,"LOST")</f>
        <v>0</v>
      </c>
      <c r="G12" s="12">
        <f>COUNTIFS(Selections!$C$6:$C$25,"UEFA Champions League")-(COUNTIFS(Selections!$C$6:$C$25,"UEFA Champions League",Selections!$K$6:$K$25,"WON")+COUNTIFS(Selections!$C$6:$C$25,"UEFA Champions League",Selections!$K$6:$K$25,"LOST"))</f>
        <v>3</v>
      </c>
      <c r="H12" s="13">
        <f>IF((COUNTIFS(Selections!$C$6:$C$25,"UEFA Champions League",Selections!$K$6:$K$25,"WON")+COUNTIFS(Selections!$C$6:$C$25,"UEFA Champions League",Selections!$K$6:$K$25,"LOST"))=0,"n.a.",COUNTIFS(Selections!$C$6:$C$25,"UEFA Champions League",Selections!$K$6:$K$25,"WON")/(COUNTIFS(Selections!$C$6:$C$25,"UEFA Champions League",Selections!$K$6:$K$25,"WON")+COUNTIFS(Selections!$C$6:$C$25,"UEFA Champions League",Selections!$K$6:$K$25,"LOST")))</f>
        <v>1.0</v>
      </c>
      <c r="I12" s="15">
        <f>SUMIFS(Selections!$M$6:$M$25,Selections!$C$6:$C$25,"UEFA Champions League")</f>
        <v>2</v>
      </c>
      <c r="J12" s="15">
        <f>SUMIFS(Selections!$N$6:$N$25,Selections!$C$6:$C$25,"UEFA Champions League")</f>
        <v>0.6399999999999999</v>
      </c>
      <c r="K12" s="13">
        <f>IF(SUMIFS(Selections!$M$6:$M$25,Selections!$C$6:$C$25,"UEFA Champions League")=0,"n.a.",SUMIFS(Selections!$N$6:$N$25,Selections!$C$6:$C$25,"UEFA Champions League")/SUMIFS(Selections!$M$6:$M$25,Selections!$C$6:$C$25,"UEFA Champions League"))</f>
        <v>0.31999999999999995</v>
      </c>
      <c r="L12" s="14">
        <f>IF(SUMIFS(Selections!$T$6:$T$25,Selections!$C$6:$C$25,"UEFA Champions League")=0,"n.a.",SUMIFS(Selections!$O$6:$O$25,Selections!$C$6:$C$25,"UEFA Champions League")/SUMIFS(Selections!$T$6:$T$25,Selections!$C$6:$C$25,"UEFA Champions League"))</f>
        <v>0.044846252190532905</v>
      </c>
      <c r="M12" s="13">
        <f>IF(SUMIFS(Selections!$T$6:$T$25,Selections!$C$6:$C$25,"UEFA Champions League")=0,"n.a.",SUMIFS(Selections!$S$6:$S$25,Selections!$C$6:$C$25,"UEFA Champions League")/SUMIFS(Selections!$T$6:$T$25,Selections!$C$6:$C$25,"UEFA Champions League"))</f>
        <v>0.8251595146393822</v>
      </c>
      <c r="N12" s="13">
        <f>IF(SUMIFS(Selections!$T$6:$T$25,Selections!$C$6:$C$25,"UEFA Champions League")=0,"n.a.",(SUMIFS(Selections!$L$6:$L$25,Selections!$C$6:$C$25,"UEFA Champions League",Selections!$T$6:$T$25,1))/SUMIFS(Selections!$T$6:$T$25,Selections!$C$6:$C$25,"UEFA Champions League"))</f>
        <v>1.0</v>
      </c>
      <c r="O12" s="13">
        <f>IF(SUMIFS(Selections!$T$6:$T$25,Selections!$C$6:$C$25,"UEFA Champions League")=0,"n.a.",(SUMIFS(Selections!$S$6:$S$25,Selections!$C$6:$C$25,"UEFA Champions League")-(SUMIFS(Selections!$L$6:$L$25,Selections!$C$6:$C$25,"UEFA Champions League",Selections!$T$6:$T$25,1)))/SUMIFS(Selections!$T$6:$T$25,Selections!$C$6:$C$25,"UEFA Champions League"))</f>
        <v>-0.1748404853606178</v>
      </c>
      <c r="P12" s="12">
        <f>SUMIFS(Selections!$T$6:$T$25,Selections!$C$6:$C$25,"UEFA Champions League")</f>
        <v>2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COUNTIFS(Selections!$E$6:$E$25,"Both Teams to Score - Yes")</f>
        <v>1</v>
      </c>
      <c r="D13" s="12">
        <f>(COUNTIFS(Selections!$E$6:$E$25,"Both Teams to Score - Yes",Selections!$K$6:$K$25,"WON")+COUNTIFS(Selections!$E$6:$E$25,"Both Teams to Score - Yes",Selections!$K$6:$K$25,"LOST"))</f>
        <v>1</v>
      </c>
      <c r="E13" s="12">
        <f>COUNTIFS(Selections!$E$6:$E$25,"Both Teams to Score - Yes",Selections!$K$6:$K$25,"WON")</f>
        <v>1</v>
      </c>
      <c r="F13" s="12">
        <f>COUNTIFS(Selections!$E$6:$E$25,"Both Teams to Score - Yes",Selections!$K$6:$K$25,"LOST")</f>
        <v>0</v>
      </c>
      <c r="G13" s="12">
        <f>COUNTIFS(Selections!$E$6:$E$25,"Both Teams to Score - Yes")-(COUNTIFS(Selections!$E$6:$E$25,"Both Teams to Score - Yes",Selections!$K$6:$K$25,"WON")+COUNTIFS(Selections!$E$6:$E$25,"Both Teams to Score - Yes",Selections!$K$6:$K$25,"LOST"))</f>
        <v>0</v>
      </c>
      <c r="H13" s="13">
        <f>IF((COUNTIFS(Selections!$E$6:$E$25,"Both Teams to Score - Yes",Selections!$K$6:$K$25,"WON")+COUNTIFS(Selections!$E$6:$E$25,"Both Teams to Score - Yes",Selections!$K$6:$K$25,"LOST"))=0,"n.a.",COUNTIFS(Selections!$E$6:$E$25,"Both Teams to Score - Yes",Selections!$K$6:$K$25,"WON")/(COUNTIFS(Selections!$E$6:$E$25,"Both Teams to Score - Yes",Selections!$K$6:$K$25,"WON")+COUNTIFS(Selections!$E$6:$E$25,"Both Teams to Score - Yes",Selections!$K$6:$K$25,"LOST")))</f>
        <v>1.0</v>
      </c>
      <c r="I13" s="15">
        <f>SUMIFS(Selections!$M$6:$M$25,Selections!$E$6:$E$25,"Both Teams to Score - Yes")</f>
        <v>1</v>
      </c>
      <c r="J13" s="15">
        <f>SUMIFS(Selections!$N$6:$N$25,Selections!$E$6:$E$25,"Both Teams to Score - Yes")</f>
        <v>0.49</v>
      </c>
      <c r="K13" s="13">
        <f>IF(SUMIFS(Selections!$M$6:$M$25,Selections!$E$6:$E$25,"Both Teams to Score - Yes")=0,"n.a.",SUMIFS(Selections!$N$6:$N$25,Selections!$E$6:$E$25,"Both Teams to Score - Yes")/SUMIFS(Selections!$M$6:$M$25,Selections!$E$6:$E$25,"Both Teams to Score - Yes"))</f>
        <v>0.49</v>
      </c>
      <c r="L13" s="14">
        <f>IF(SUMIFS(Selections!$T$6:$T$25,Selections!$E$6:$E$25,"Both Teams to Score - Yes")=0,"n.a.",SUMIFS(Selections!$O$6:$O$25,Selections!$E$6:$E$25,"Both Teams to Score - Yes")/SUMIFS(Selections!$T$6:$T$25,Selections!$E$6:$E$25,"Both Teams to Score - Yes"))</f>
        <v>0.08662845606019748</v>
      </c>
      <c r="M13" s="13">
        <f>IF(SUMIFS(Selections!$T$6:$T$25,Selections!$E$6:$E$25,"Both Teams to Score - Yes")=0,"n.a.",SUMIFS(Selections!$S$6:$S$25,Selections!$E$6:$E$25,"Both Teams to Score - Yes")/SUMIFS(Selections!$T$6:$T$25,Selections!$E$6:$E$25,"Both Teams to Score - Yes"))</f>
        <v>0.7056728757654207</v>
      </c>
      <c r="N13" s="13">
        <f>IF(SUMIFS(Selections!$T$6:$T$25,Selections!$E$6:$E$25,"Both Teams to Score - Yes")=0,"n.a.",(SUMIFS(Selections!$L$6:$L$25,Selections!$E$6:$E$25,"Both Teams to Score - Yes",Selections!$T$6:$T$25,1))/SUMIFS(Selections!$T$6:$T$25,Selections!$E$6:$E$25,"Both Teams to Score - Yes"))</f>
        <v>1.0</v>
      </c>
      <c r="O13" s="13">
        <f>IF(SUMIFS(Selections!$T$6:$T$25,Selections!$E$6:$E$25,"Both Teams to Score - Yes")=0,"n.a.",(SUMIFS(Selections!$S$6:$S$25,Selections!$E$6:$E$25,"Both Teams to Score - Yes")-(SUMIFS(Selections!$L$6:$L$25,Selections!$E$6:$E$25,"Both Teams to Score - Yes",Selections!$T$6:$T$25,1)))/SUMIFS(Selections!$T$6:$T$25,Selections!$E$6:$E$25,"Both Teams to Score - Yes"))</f>
        <v>-0.2943271242345793</v>
      </c>
      <c r="P13" s="12">
        <f>SUMIFS(Selections!$T$6:$T$25,Selections!$E$6:$E$25,"Both Teams to Score - Yes")</f>
        <v>1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COUNTIFS(Selections!$E$6:$E$25,"Home win")</f>
        <v>4</v>
      </c>
      <c r="D14" s="12">
        <f>(COUNTIFS(Selections!$E$6:$E$25,"Home win",Selections!$K$6:$K$25,"WON")+COUNTIFS(Selections!$E$6:$E$25,"Home win",Selections!$K$6:$K$25,"LOST"))</f>
        <v>1</v>
      </c>
      <c r="E14" s="12">
        <f>COUNTIFS(Selections!$E$6:$E$25,"Home win",Selections!$K$6:$K$25,"WON")</f>
        <v>1</v>
      </c>
      <c r="F14" s="12">
        <f>COUNTIFS(Selections!$E$6:$E$25,"Home win",Selections!$K$6:$K$25,"LOST")</f>
        <v>0</v>
      </c>
      <c r="G14" s="12">
        <f>COUNTIFS(Selections!$E$6:$E$25,"Home win")-(COUNTIFS(Selections!$E$6:$E$25,"Home win",Selections!$K$6:$K$25,"WON")+COUNTIFS(Selections!$E$6:$E$25,"Home win",Selections!$K$6:$K$25,"LOST"))</f>
        <v>3</v>
      </c>
      <c r="H14" s="13">
        <f>IF((COUNTIFS(Selections!$E$6:$E$25,"Home win",Selections!$K$6:$K$25,"WON")+COUNTIFS(Selections!$E$6:$E$25,"Home win",Selections!$K$6:$K$25,"LOST"))=0,"n.a.",COUNTIFS(Selections!$E$6:$E$25,"Home win",Selections!$K$6:$K$25,"WON")/(COUNTIFS(Selections!$E$6:$E$25,"Home win",Selections!$K$6:$K$25,"WON")+COUNTIFS(Selections!$E$6:$E$25,"Home win",Selections!$K$6:$K$25,"LOST")))</f>
        <v>1.0</v>
      </c>
      <c r="I14" s="15">
        <f>SUMIFS(Selections!$M$6:$M$25,Selections!$E$6:$E$25,"Home win")</f>
        <v>1</v>
      </c>
      <c r="J14" s="15">
        <f>SUMIFS(Selections!$N$6:$N$25,Selections!$E$6:$E$25,"Home win")</f>
        <v>0.6299999999999999</v>
      </c>
      <c r="K14" s="13">
        <f>IF(SUMIFS(Selections!$M$6:$M$25,Selections!$E$6:$E$25,"Home win")=0,"n.a.",SUMIFS(Selections!$N$6:$N$25,Selections!$E$6:$E$25,"Home win")/SUMIFS(Selections!$M$6:$M$25,Selections!$E$6:$E$25,"Home win"))</f>
        <v>0.6299999999999999</v>
      </c>
      <c r="L14" s="14">
        <f>IF(SUMIFS(Selections!$T$6:$T$25,Selections!$E$6:$E$25,"Home win")=0,"n.a.",SUMIFS(Selections!$O$6:$O$25,Selections!$E$6:$E$25,"Home win")/SUMIFS(Selections!$T$6:$T$25,Selections!$E$6:$E$25,"Home win"))</f>
        <v>0.10094383319457502</v>
      </c>
      <c r="M14" s="13">
        <f>IF(SUMIFS(Selections!$T$6:$T$25,Selections!$E$6:$E$25,"Home win")=0,"n.a.",SUMIFS(Selections!$S$6:$S$25,Selections!$E$6:$E$25,"Home win")/SUMIFS(Selections!$T$6:$T$25,Selections!$E$6:$E$25,"Home win"))</f>
        <v>0.6822834074295536</v>
      </c>
      <c r="N14" s="13">
        <f>IF(SUMIFS(Selections!$T$6:$T$25,Selections!$E$6:$E$25,"Home win")=0,"n.a.",(SUMIFS(Selections!$L$6:$L$25,Selections!$E$6:$E$25,"Home win",Selections!$T$6:$T$25,1))/SUMIFS(Selections!$T$6:$T$25,Selections!$E$6:$E$25,"Home win"))</f>
        <v>1.0</v>
      </c>
      <c r="O14" s="13">
        <f>IF(SUMIFS(Selections!$T$6:$T$25,Selections!$E$6:$E$25,"Home win")=0,"n.a.",(SUMIFS(Selections!$S$6:$S$25,Selections!$E$6:$E$25,"Home win")-(SUMIFS(Selections!$L$6:$L$25,Selections!$E$6:$E$25,"Home win",Selections!$T$6:$T$25,1)))/SUMIFS(Selections!$T$6:$T$25,Selections!$E$6:$E$25,"Home win"))</f>
        <v>-0.3177165925704464</v>
      </c>
      <c r="P14" s="12">
        <f>SUMIFS(Selections!$T$6:$T$25,Selections!$E$6:$E$25,"Home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COUNTIFS(Selections!$E$6:$E$25,"Over 1.5")</f>
        <v>9</v>
      </c>
      <c r="D15" s="12">
        <f>(COUNTIFS(Selections!$E$6:$E$25,"Over 1.5",Selections!$K$6:$K$25,"WON")+COUNTIFS(Selections!$E$6:$E$25,"Over 1.5",Selections!$K$6:$K$25,"LOST"))</f>
        <v>3</v>
      </c>
      <c r="E15" s="12">
        <f>COUNTIFS(Selections!$E$6:$E$25,"Over 1.5",Selections!$K$6:$K$25,"WON")</f>
        <v>3</v>
      </c>
      <c r="F15" s="12">
        <f>COUNTIFS(Selections!$E$6:$E$25,"Over 1.5",Selections!$K$6:$K$25,"LOST")</f>
        <v>0</v>
      </c>
      <c r="G15" s="12">
        <f>COUNTIFS(Selections!$E$6:$E$25,"Over 1.5")-(COUNTIFS(Selections!$E$6:$E$25,"Over 1.5",Selections!$K$6:$K$25,"WON")+COUNTIFS(Selections!$E$6:$E$25,"Over 1.5",Selections!$K$6:$K$25,"LOST"))</f>
        <v>6</v>
      </c>
      <c r="H15" s="13">
        <f>IF((COUNTIFS(Selections!$E$6:$E$25,"Over 1.5",Selections!$K$6:$K$25,"WON")+COUNTIFS(Selections!$E$6:$E$25,"Over 1.5",Selections!$K$6:$K$25,"LOST"))=0,"n.a.",COUNTIFS(Selections!$E$6:$E$25,"Over 1.5",Selections!$K$6:$K$25,"WON")/(COUNTIFS(Selections!$E$6:$E$25,"Over 1.5",Selections!$K$6:$K$25,"WON")+COUNTIFS(Selections!$E$6:$E$25,"Over 1.5",Selections!$K$6:$K$25,"LOST")))</f>
        <v>1.0</v>
      </c>
      <c r="I15" s="15">
        <f>SUMIFS(Selections!$M$6:$M$25,Selections!$E$6:$E$25,"Over 1.5")</f>
        <v>3</v>
      </c>
      <c r="J15" s="15">
        <f>SUMIFS(Selections!$N$6:$N$25,Selections!$E$6:$E$25,"Over 1.5")</f>
        <v>0.73</v>
      </c>
      <c r="K15" s="13">
        <f>IF(SUMIFS(Selections!$M$6:$M$25,Selections!$E$6:$E$25,"Over 1.5")=0,"n.a.",SUMIFS(Selections!$N$6:$N$25,Selections!$E$6:$E$25,"Over 1.5")/SUMIFS(Selections!$M$6:$M$25,Selections!$E$6:$E$25,"Over 1.5"))</f>
        <v>0.24333333333333332</v>
      </c>
      <c r="L15" s="14">
        <f>IF(SUMIFS(Selections!$T$6:$T$25,Selections!$E$6:$E$25,"Over 1.5")=0,"n.a.",SUMIFS(Selections!$O$6:$O$25,Selections!$E$6:$E$25,"Over 1.5")/SUMIFS(Selections!$T$6:$T$25,Selections!$E$6:$E$25,"Over 1.5"))</f>
        <v>0.020227084911165257</v>
      </c>
      <c r="M15" s="13">
        <f>IF(SUMIFS(Selections!$T$6:$T$25,Selections!$E$6:$E$25,"Over 1.5")=0,"n.a.",SUMIFS(Selections!$S$6:$S$25,Selections!$E$6:$E$25,"Over 1.5")/SUMIFS(Selections!$T$6:$T$25,Selections!$E$6:$E$25,"Over 1.5"))</f>
        <v>0.8753960821368366</v>
      </c>
      <c r="N15" s="13">
        <f>IF(SUMIFS(Selections!$T$6:$T$25,Selections!$E$6:$E$25,"Over 1.5")=0,"n.a.",(SUMIFS(Selections!$L$6:$L$25,Selections!$E$6:$E$25,"Over 1.5",Selections!$T$6:$T$25,1))/SUMIFS(Selections!$T$6:$T$25,Selections!$E$6:$E$25,"Over 1.5"))</f>
        <v>1.0</v>
      </c>
      <c r="O15" s="13">
        <f>IF(SUMIFS(Selections!$T$6:$T$25,Selections!$E$6:$E$25,"Over 1.5")=0,"n.a.",(SUMIFS(Selections!$S$6:$S$25,Selections!$E$6:$E$25,"Over 1.5")-(SUMIFS(Selections!$L$6:$L$25,Selections!$E$6:$E$25,"Over 1.5",Selections!$T$6:$T$25,1)))/SUMIFS(Selections!$T$6:$T$25,Selections!$E$6:$E$25,"Over 1.5"))</f>
        <v>-0.12460391786316338</v>
      </c>
      <c r="P15" s="12">
        <f>SUMIFS(Selections!$T$6:$T$25,Selections!$E$6:$E$25,"Over 1.5")</f>
        <v>3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(n=3).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COUNTIFS(Selections!$E$6:$E$25,"Under 3.5")</f>
        <v>6</v>
      </c>
      <c r="D16" s="12">
        <f>(COUNTIFS(Selections!$E$6:$E$25,"Under 3.5",Selections!$K$6:$K$25,"WON")+COUNTIFS(Selections!$E$6:$E$25,"Under 3.5",Selections!$K$6:$K$25,"LOST"))</f>
        <v>4</v>
      </c>
      <c r="E16" s="12">
        <f>COUNTIFS(Selections!$E$6:$E$25,"Under 3.5",Selections!$K$6:$K$25,"WON")</f>
        <v>1</v>
      </c>
      <c r="F16" s="12">
        <f>COUNTIFS(Selections!$E$6:$E$25,"Under 3.5",Selections!$K$6:$K$25,"LOST")</f>
        <v>3</v>
      </c>
      <c r="G16" s="12">
        <f>COUNTIFS(Selections!$E$6:$E$25,"Under 3.5")-(COUNTIFS(Selections!$E$6:$E$25,"Under 3.5",Selections!$K$6:$K$25,"WON")+COUNTIFS(Selections!$E$6:$E$25,"Under 3.5",Selections!$K$6:$K$25,"LOST"))</f>
        <v>2</v>
      </c>
      <c r="H16" s="13">
        <f>IF((COUNTIFS(Selections!$E$6:$E$25,"Under 3.5",Selections!$K$6:$K$25,"WON")+COUNTIFS(Selections!$E$6:$E$25,"Under 3.5",Selections!$K$6:$K$25,"LOST"))=0,"n.a.",COUNTIFS(Selections!$E$6:$E$25,"Under 3.5",Selections!$K$6:$K$25,"WON")/(COUNTIFS(Selections!$E$6:$E$25,"Under 3.5",Selections!$K$6:$K$25,"WON")+COUNTIFS(Selections!$E$6:$E$25,"Under 3.5",Selections!$K$6:$K$25,"LOST")))</f>
        <v>0.25</v>
      </c>
      <c r="I16" s="15">
        <f>SUMIFS(Selections!$M$6:$M$25,Selections!$E$6:$E$25,"Under 3.5")</f>
        <v>4</v>
      </c>
      <c r="J16" s="15">
        <f>SUMIFS(Selections!$N$6:$N$25,Selections!$E$6:$E$25,"Under 3.5")</f>
        <v>-2.7199999999999998</v>
      </c>
      <c r="K16" s="13">
        <f>IF(SUMIFS(Selections!$M$6:$M$25,Selections!$E$6:$E$25,"Under 3.5")=0,"n.a.",SUMIFS(Selections!$N$6:$N$25,Selections!$E$6:$E$25,"Under 3.5")/SUMIFS(Selections!$M$6:$M$25,Selections!$E$6:$E$25,"Under 3.5"))</f>
        <v>-0.6799999999999999</v>
      </c>
      <c r="L16" s="14">
        <f>IF(SUMIFS(Selections!$T$6:$T$25,Selections!$E$6:$E$25,"Under 3.5")=0,"n.a.",SUMIFS(Selections!$O$6:$O$25,Selections!$E$6:$E$25,"Under 3.5")/SUMIFS(Selections!$T$6:$T$25,Selections!$E$6:$E$25,"Under 3.5"))</f>
        <v>0.5016332182694637</v>
      </c>
      <c r="M16" s="13">
        <f>IF(SUMIFS(Selections!$T$6:$T$25,Selections!$E$6:$E$25,"Under 3.5")=0,"n.a.",SUMIFS(Selections!$S$6:$S$25,Selections!$E$6:$E$25,"Under 3.5")/SUMIFS(Selections!$T$6:$T$25,Selections!$E$6:$E$25,"Under 3.5"))</f>
        <v>0.8054503740200165</v>
      </c>
      <c r="N16" s="13">
        <f>IF(SUMIFS(Selections!$T$6:$T$25,Selections!$E$6:$E$25,"Under 3.5")=0,"n.a.",(SUMIFS(Selections!$L$6:$L$25,Selections!$E$6:$E$25,"Under 3.5",Selections!$T$6:$T$25,1))/SUMIFS(Selections!$T$6:$T$25,Selections!$E$6:$E$25,"Under 3.5"))</f>
        <v>0.25</v>
      </c>
      <c r="O16" s="13">
        <f>IF(SUMIFS(Selections!$T$6:$T$25,Selections!$E$6:$E$25,"Under 3.5")=0,"n.a.",(SUMIFS(Selections!$S$6:$S$25,Selections!$E$6:$E$25,"Under 3.5")-(SUMIFS(Selections!$L$6:$L$25,Selections!$E$6:$E$25,"Under 3.5",Selections!$T$6:$T$25,1)))/SUMIFS(Selections!$T$6:$T$25,Selections!$E$6:$E$25,"Under 3.5"))</f>
        <v>0.5554503740200165</v>
      </c>
      <c r="P16" s="12">
        <f>SUMIFS(Selections!$T$6:$T$25,Selections!$E$6:$E$25,"Under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72h-all-markets-net-ev15-execution-v7</t>
        </is>
      </c>
      <c r="C17" s="12">
        <f>COUNTIFS(Selections!$G$6:$G$25,"72h-all-markets-net-ev15-execution-v7")</f>
        <v>1</v>
      </c>
      <c r="D17" s="12">
        <f>(COUNTIFS(Selections!$G$6:$G$25,"72h-all-markets-net-ev15-execution-v7",Selections!$K$6:$K$25,"WON")+COUNTIFS(Selections!$G$6:$G$25,"72h-all-markets-net-ev15-execution-v7",Selections!$K$6:$K$25,"LOST"))</f>
        <v>0</v>
      </c>
      <c r="E17" s="12">
        <f>COUNTIFS(Selections!$G$6:$G$25,"72h-all-markets-net-ev15-execution-v7",Selections!$K$6:$K$25,"WON")</f>
        <v>0</v>
      </c>
      <c r="F17" s="12">
        <f>COUNTIFS(Selections!$G$6:$G$25,"72h-all-markets-net-ev15-execution-v7",Selections!$K$6:$K$25,"LOST")</f>
        <v>0</v>
      </c>
      <c r="G17" s="12">
        <f>COUNTIFS(Selections!$G$6:$G$25,"72h-all-markets-net-ev15-execution-v7")-(COUNTIFS(Selections!$G$6:$G$25,"72h-all-markets-net-ev15-execution-v7",Selections!$K$6:$K$25,"WON")+COUNTIFS(Selections!$G$6:$G$25,"72h-all-markets-net-ev15-execution-v7",Selections!$K$6:$K$25,"LOST"))</f>
        <v>1</v>
      </c>
      <c r="H17" s="13" t="str">
        <f>IF((COUNTIFS(Selections!$G$6:$G$25,"72h-all-markets-net-ev15-execution-v7",Selections!$K$6:$K$25,"WON")+COUNTIFS(Selections!$G$6:$G$25,"72h-all-markets-net-ev15-execution-v7",Selections!$K$6:$K$25,"LOST"))=0,"n.a.",COUNTIFS(Selections!$G$6:$G$25,"72h-all-markets-net-ev15-execution-v7",Selections!$K$6:$K$25,"WON")/(COUNTIFS(Selections!$G$6:$G$25,"72h-all-markets-net-ev15-execution-v7",Selections!$K$6:$K$25,"WON")+COUNTIFS(Selections!$G$6:$G$25,"72h-all-markets-net-ev15-execution-v7",Selections!$K$6:$K$25,"LOST")))</f>
        <v>n.a.</v>
      </c>
      <c r="I17" s="15">
        <f>SUMIFS(Selections!$M$6:$M$25,Selections!$G$6:$G$25,"72h-all-markets-net-ev15-execution-v7")</f>
        <v>0</v>
      </c>
      <c r="J17" s="15">
        <f>SUMIFS(Selections!$N$6:$N$25,Selections!$G$6:$G$25,"72h-all-markets-net-ev15-execution-v7")</f>
        <v>0</v>
      </c>
      <c r="K17" s="13" t="str">
        <f>IF(SUMIFS(Selections!$M$6:$M$25,Selections!$G$6:$G$25,"72h-all-markets-net-ev15-execution-v7")=0,"n.a.",SUMIFS(Selections!$N$6:$N$25,Selections!$G$6:$G$25,"72h-all-markets-net-ev15-execution-v7")/SUMIFS(Selections!$M$6:$M$25,Selections!$G$6:$G$25,"72h-all-markets-net-ev15-execution-v7"))</f>
        <v>n.a.</v>
      </c>
      <c r="L17" s="14" t="str">
        <f>IF(SUMIFS(Selections!$T$6:$T$25,Selections!$G$6:$G$25,"72h-all-markets-net-ev15-execution-v7")=0,"n.a.",SUMIFS(Selections!$O$6:$O$25,Selections!$G$6:$G$25,"72h-all-markets-net-ev15-execution-v7")/SUMIFS(Selections!$T$6:$T$25,Selections!$G$6:$G$25,"72h-all-markets-net-ev15-execution-v7"))</f>
        <v>n.a.</v>
      </c>
      <c r="M17" s="13" t="str">
        <f>IF(SUMIFS(Selections!$T$6:$T$25,Selections!$G$6:$G$25,"72h-all-markets-net-ev15-execution-v7")=0,"n.a.",SUMIFS(Selections!$S$6:$S$25,Selections!$G$6:$G$25,"72h-all-markets-net-ev15-execution-v7")/SUMIFS(Selections!$T$6:$T$25,Selections!$G$6:$G$25,"72h-all-markets-net-ev15-execution-v7"))</f>
        <v>n.a.</v>
      </c>
      <c r="N17" s="13" t="str">
        <f>IF(SUMIFS(Selections!$T$6:$T$25,Selections!$G$6:$G$25,"72h-all-markets-net-ev15-execution-v7")=0,"n.a.",(SUMIFS(Selections!$L$6:$L$25,Selections!$G$6:$G$25,"72h-all-markets-net-ev15-execution-v7",Selections!$T$6:$T$25,1))/SUMIFS(Selections!$T$6:$T$25,Selections!$G$6:$G$25,"72h-all-markets-net-ev15-execution-v7"))</f>
        <v>n.a.</v>
      </c>
      <c r="O17" s="13" t="str">
        <f>IF(SUMIFS(Selections!$T$6:$T$25,Selections!$G$6:$G$25,"72h-all-markets-net-ev15-execution-v7")=0,"n.a.",(SUMIFS(Selections!$S$6:$S$25,Selections!$G$6:$G$25,"72h-all-markets-net-ev15-execution-v7")-(SUMIFS(Selections!$L$6:$L$25,Selections!$G$6:$G$25,"72h-all-markets-net-ev15-execution-v7",Selections!$T$6:$T$25,1)))/SUMIFS(Selections!$T$6:$T$25,Selections!$G$6:$G$25,"72h-all-markets-net-ev15-execution-v7"))</f>
        <v>n.a.</v>
      </c>
      <c r="P17" s="12">
        <f>SUMIFS(Selections!$T$6:$T$25,Selections!$G$6:$G$25,"72h-all-markets-net-ev15-execution-v7")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Policy</t>
        </is>
      </c>
      <c r="B18" s="1" t="inlineStr">
        <is>
          <t>72h-ucl-v3</t>
        </is>
      </c>
      <c r="C18" s="12">
        <f>COUNTIFS(Selections!$G$6:$G$25,"72h-ucl-v3")</f>
        <v>8</v>
      </c>
      <c r="D18" s="12">
        <f>(COUNTIFS(Selections!$G$6:$G$25,"72h-ucl-v3",Selections!$K$6:$K$25,"WON")+COUNTIFS(Selections!$G$6:$G$25,"72h-ucl-v3",Selections!$K$6:$K$25,"LOST"))</f>
        <v>4</v>
      </c>
      <c r="E18" s="12">
        <f>COUNTIFS(Selections!$G$6:$G$25,"72h-ucl-v3",Selections!$K$6:$K$25,"WON")</f>
        <v>3</v>
      </c>
      <c r="F18" s="12">
        <f>COUNTIFS(Selections!$G$6:$G$25,"72h-ucl-v3",Selections!$K$6:$K$25,"LOST")</f>
        <v>1</v>
      </c>
      <c r="G18" s="12">
        <f>COUNTIFS(Selections!$G$6:$G$25,"72h-ucl-v3")-(COUNTIFS(Selections!$G$6:$G$25,"72h-ucl-v3",Selections!$K$6:$K$25,"WON")+COUNTIFS(Selections!$G$6:$G$25,"72h-ucl-v3",Selections!$K$6:$K$25,"LOST"))</f>
        <v>4</v>
      </c>
      <c r="H18" s="13">
        <f>IF((COUNTIFS(Selections!$G$6:$G$25,"72h-ucl-v3",Selections!$K$6:$K$25,"WON")+COUNTIFS(Selections!$G$6:$G$25,"72h-ucl-v3",Selections!$K$6:$K$25,"LOST"))=0,"n.a.",COUNTIFS(Selections!$G$6:$G$25,"72h-ucl-v3",Selections!$K$6:$K$25,"WON")/(COUNTIFS(Selections!$G$6:$G$25,"72h-ucl-v3",Selections!$K$6:$K$25,"WON")+COUNTIFS(Selections!$G$6:$G$25,"72h-ucl-v3",Selections!$K$6:$K$25,"LOST")))</f>
        <v>0.75</v>
      </c>
      <c r="I18" s="15">
        <f>SUMIFS(Selections!$M$6:$M$25,Selections!$G$6:$G$25,"72h-ucl-v3")</f>
        <v>4</v>
      </c>
      <c r="J18" s="15">
        <f>SUMIFS(Selections!$N$6:$N$25,Selections!$G$6:$G$25,"72h-ucl-v3")</f>
        <v>-0.020000000000000018</v>
      </c>
      <c r="K18" s="13">
        <f>IF(SUMIFS(Selections!$M$6:$M$25,Selections!$G$6:$G$25,"72h-ucl-v3")=0,"n.a.",SUMIFS(Selections!$N$6:$N$25,Selections!$G$6:$G$25,"72h-ucl-v3")/SUMIFS(Selections!$M$6:$M$25,Selections!$G$6:$G$25,"72h-ucl-v3"))</f>
        <v>-0.0050000000000000044</v>
      </c>
      <c r="L18" s="14">
        <f>IF(SUMIFS(Selections!$T$6:$T$25,Selections!$G$6:$G$25,"72h-ucl-v3")=0,"n.a.",SUMIFS(Selections!$O$6:$O$25,Selections!$G$6:$G$25,"72h-ucl-v3")/SUMIFS(Selections!$T$6:$T$25,Selections!$G$6:$G$25,"72h-ucl-v3"))</f>
        <v>0.17685702320972962</v>
      </c>
      <c r="M18" s="13">
        <f>IF(SUMIFS(Selections!$T$6:$T$25,Selections!$G$6:$G$25,"72h-ucl-v3")=0,"n.a.",SUMIFS(Selections!$S$6:$S$25,Selections!$G$6:$G$25,"72h-ucl-v3")/SUMIFS(Selections!$T$6:$T$25,Selections!$G$6:$G$25,"72h-ucl-v3"))</f>
        <v>0.7968587073827849</v>
      </c>
      <c r="N18" s="13">
        <f>IF(SUMIFS(Selections!$T$6:$T$25,Selections!$G$6:$G$25,"72h-ucl-v3")=0,"n.a.",(SUMIFS(Selections!$L$6:$L$25,Selections!$G$6:$G$25,"72h-ucl-v3",Selections!$T$6:$T$25,1))/SUMIFS(Selections!$T$6:$T$25,Selections!$G$6:$G$25,"72h-ucl-v3"))</f>
        <v>0.75</v>
      </c>
      <c r="O18" s="13">
        <f>IF(SUMIFS(Selections!$T$6:$T$25,Selections!$G$6:$G$25,"72h-ucl-v3")=0,"n.a.",(SUMIFS(Selections!$S$6:$S$25,Selections!$G$6:$G$25,"72h-ucl-v3")-(SUMIFS(Selections!$L$6:$L$25,Selections!$G$6:$G$25,"72h-ucl-v3",Selections!$T$6:$T$25,1)))/SUMIFS(Selections!$T$6:$T$25,Selections!$G$6:$G$25,"72h-ucl-v3"))</f>
        <v>0.04685870738278486</v>
      </c>
      <c r="P18" s="12">
        <f>SUMIFS(Selections!$T$6:$T$25,Selections!$G$6:$G$25,"72h-ucl-v3")</f>
        <v>4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"/>
    </row>
    <row r="19" ht="22" customHeight="1">
      <c r="A19" s="1" t="inlineStr">
        <is>
          <t>Policy</t>
        </is>
      </c>
      <c r="B19" s="1" t="inlineStr">
        <is>
          <t>legacy/unspecified</t>
        </is>
      </c>
      <c r="C19" s="12">
        <f>COUNTIFS(Selections!$G$6:$G$25,"legacy/unspecified")</f>
        <v>11</v>
      </c>
      <c r="D19" s="12">
        <f>(COUNTIFS(Selections!$G$6:$G$25,"legacy/unspecified",Selections!$K$6:$K$25,"WON")+COUNTIFS(Selections!$G$6:$G$25,"legacy/unspecified",Selections!$K$6:$K$25,"LOST"))</f>
        <v>5</v>
      </c>
      <c r="E19" s="12">
        <f>COUNTIFS(Selections!$G$6:$G$25,"legacy/unspecified",Selections!$K$6:$K$25,"WON")</f>
        <v>3</v>
      </c>
      <c r="F19" s="12">
        <f>COUNTIFS(Selections!$G$6:$G$25,"legacy/unspecified",Selections!$K$6:$K$25,"LOST")</f>
        <v>2</v>
      </c>
      <c r="G19" s="12">
        <f>COUNTIFS(Selections!$G$6:$G$25,"legacy/unspecified")-(COUNTIFS(Selections!$G$6:$G$25,"legacy/unspecified",Selections!$K$6:$K$25,"WON")+COUNTIFS(Selections!$G$6:$G$25,"legacy/unspecified",Selections!$K$6:$K$25,"LOST"))</f>
        <v>6</v>
      </c>
      <c r="H19" s="13">
        <f>IF((COUNTIFS(Selections!$G$6:$G$25,"legacy/unspecified",Selections!$K$6:$K$25,"WON")+COUNTIFS(Selections!$G$6:$G$25,"legacy/unspecified",Selections!$K$6:$K$25,"LOST"))=0,"n.a.",COUNTIFS(Selections!$G$6:$G$25,"legacy/unspecified",Selections!$K$6:$K$25,"WON")/(COUNTIFS(Selections!$G$6:$G$25,"legacy/unspecified",Selections!$K$6:$K$25,"WON")+COUNTIFS(Selections!$G$6:$G$25,"legacy/unspecified",Selections!$K$6:$K$25,"LOST")))</f>
        <v>0.6</v>
      </c>
      <c r="I19" s="15">
        <f>SUMIFS(Selections!$M$6:$M$25,Selections!$G$6:$G$25,"legacy/unspecified")</f>
        <v>5</v>
      </c>
      <c r="J19" s="15">
        <f>SUMIFS(Selections!$N$6:$N$25,Selections!$G$6:$G$25,"legacy/unspecified")</f>
        <v>-0.8500000000000001</v>
      </c>
      <c r="K19" s="13">
        <f>IF(SUMIFS(Selections!$M$6:$M$25,Selections!$G$6:$G$25,"legacy/unspecified")=0,"n.a.",SUMIFS(Selections!$N$6:$N$25,Selections!$G$6:$G$25,"legacy/unspecified")/SUMIFS(Selections!$M$6:$M$25,Selections!$G$6:$G$25,"legacy/unspecified"))</f>
        <v>-0.17</v>
      </c>
      <c r="L19" s="14">
        <f>IF(SUMIFS(Selections!$T$6:$T$25,Selections!$G$6:$G$25,"legacy/unspecified")=0,"n.a.",SUMIFS(Selections!$O$6:$O$25,Selections!$G$6:$G$25,"legacy/unspecified")/SUMIFS(Selections!$T$6:$T$25,Selections!$G$6:$G$25,"legacy/unspecified"))</f>
        <v>0.30947166484544086</v>
      </c>
      <c r="M19" s="13">
        <f>IF(SUMIFS(Selections!$T$6:$T$25,Selections!$G$6:$G$25,"legacy/unspecified")=0,"n.a.",SUMIFS(Selections!$S$6:$S$25,Selections!$G$6:$G$25,"legacy/unspecified")/SUMIFS(Selections!$T$6:$T$25,Selections!$G$6:$G$25,"legacy/unspecified"))</f>
        <v>0.8097022392308822</v>
      </c>
      <c r="N19" s="13">
        <f>IF(SUMIFS(Selections!$T$6:$T$25,Selections!$G$6:$G$25,"legacy/unspecified")=0,"n.a.",(SUMIFS(Selections!$L$6:$L$25,Selections!$G$6:$G$25,"legacy/unspecified",Selections!$T$6:$T$25,1))/SUMIFS(Selections!$T$6:$T$25,Selections!$G$6:$G$25,"legacy/unspecified"))</f>
        <v>0.6</v>
      </c>
      <c r="O19" s="13">
        <f>IF(SUMIFS(Selections!$T$6:$T$25,Selections!$G$6:$G$25,"legacy/unspecified")=0,"n.a.",(SUMIFS(Selections!$S$6:$S$25,Selections!$G$6:$G$25,"legacy/unspecified")-(SUMIFS(Selections!$L$6:$L$25,Selections!$G$6:$G$25,"legacy/unspecified",Selections!$T$6:$T$25,1)))/SUMIFS(Selections!$T$6:$T$25,Selections!$G$6:$G$25,"legacy/unspecified"))</f>
        <v>0.20970223923088227</v>
      </c>
      <c r="P19" s="12">
        <f>SUMIFS(Selections!$T$6:$T$25,Selections!$G$6:$G$25,"legacy/unspecified")</f>
        <v>5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"/>
    </row>
    <row r="20" ht="22" customHeight="1">
      <c r="A20" s="1" t="inlineStr">
        <is>
          <t>Week</t>
        </is>
      </c>
      <c r="B20" s="1" t="inlineStr">
        <is>
          <t>2026-W41</t>
        </is>
      </c>
      <c r="C20" s="12">
        <f>COUNTIFS(Selections!$P$6:$P$25,"2026-W41")</f>
        <v>5</v>
      </c>
      <c r="D20" s="12">
        <f>(COUNTIFS(Selections!$P$6:$P$25,"2026-W41",Selections!$K$6:$K$25,"WON")+COUNTIFS(Selections!$P$6:$P$25,"2026-W41",Selections!$K$6:$K$25,"LOST"))</f>
        <v>4</v>
      </c>
      <c r="E20" s="12">
        <f>COUNTIFS(Selections!$P$6:$P$25,"2026-W41",Selections!$K$6:$K$25,"WON")</f>
        <v>2</v>
      </c>
      <c r="F20" s="12">
        <f>COUNTIFS(Selections!$P$6:$P$25,"2026-W41",Selections!$K$6:$K$25,"LOST")</f>
        <v>2</v>
      </c>
      <c r="G20" s="12">
        <f>COUNTIFS(Selections!$P$6:$P$25,"2026-W41")-(COUNTIFS(Selections!$P$6:$P$25,"2026-W41",Selections!$K$6:$K$25,"WON")+COUNTIFS(Selections!$P$6:$P$25,"2026-W41",Selections!$K$6:$K$25,"LOST"))</f>
        <v>1</v>
      </c>
      <c r="H20" s="13">
        <f>IF((COUNTIFS(Selections!$P$6:$P$25,"2026-W41",Selections!$K$6:$K$25,"WON")+COUNTIFS(Selections!$P$6:$P$25,"2026-W41",Selections!$K$6:$K$25,"LOST"))=0,"n.a.",COUNTIFS(Selections!$P$6:$P$25,"2026-W41",Selections!$K$6:$K$25,"WON")/(COUNTIFS(Selections!$P$6:$P$25,"2026-W41",Selections!$K$6:$K$25,"WON")+COUNTIFS(Selections!$P$6:$P$25,"2026-W41",Selections!$K$6:$K$25,"LOST")))</f>
        <v>0.5</v>
      </c>
      <c r="I20" s="15">
        <f>SUMIFS(Selections!$M$6:$M$25,Selections!$P$6:$P$25,"2026-W41")</f>
        <v>4</v>
      </c>
      <c r="J20" s="15">
        <f>SUMIFS(Selections!$N$6:$N$25,Selections!$P$6:$P$25,"2026-W41")</f>
        <v>-1.48</v>
      </c>
      <c r="K20" s="13">
        <f>IF(SUMIFS(Selections!$M$6:$M$25,Selections!$P$6:$P$25,"2026-W41")=0,"n.a.",SUMIFS(Selections!$N$6:$N$25,Selections!$P$6:$P$25,"2026-W41")/SUMIFS(Selections!$M$6:$M$25,Selections!$P$6:$P$25,"2026-W41"))</f>
        <v>-0.37</v>
      </c>
      <c r="L20" s="14">
        <f>IF(SUMIFS(Selections!$T$6:$T$25,Selections!$P$6:$P$25,"2026-W41")=0,"n.a.",SUMIFS(Selections!$O$6:$O$25,Selections!$P$6:$P$25,"2026-W41")/SUMIFS(Selections!$T$6:$T$25,Selections!$P$6:$P$25,"2026-W41"))</f>
        <v>0.32911599206243786</v>
      </c>
      <c r="M20" s="13">
        <f>IF(SUMIFS(Selections!$T$6:$T$25,Selections!$P$6:$P$25,"2026-W41")=0,"n.a.",SUMIFS(Selections!$S$6:$S$25,Selections!$P$6:$P$25,"2026-W41")/SUMIFS(Selections!$T$6:$T$25,Selections!$P$6:$P$25,"2026-W41"))</f>
        <v>0.8211485691621172</v>
      </c>
      <c r="N20" s="13">
        <f>IF(SUMIFS(Selections!$T$6:$T$25,Selections!$P$6:$P$25,"2026-W41")=0,"n.a.",(SUMIFS(Selections!$L$6:$L$25,Selections!$P$6:$P$25,"2026-W41",Selections!$T$6:$T$25,1))/SUMIFS(Selections!$T$6:$T$25,Selections!$P$6:$P$25,"2026-W41"))</f>
        <v>0.5</v>
      </c>
      <c r="O20" s="13">
        <f>IF(SUMIFS(Selections!$T$6:$T$25,Selections!$P$6:$P$25,"2026-W41")=0,"n.a.",(SUMIFS(Selections!$S$6:$S$25,Selections!$P$6:$P$25,"2026-W41")-(SUMIFS(Selections!$L$6:$L$25,Selections!$P$6:$P$25,"2026-W41",Selections!$T$6:$T$25,1)))/SUMIFS(Selections!$T$6:$T$25,Selections!$P$6:$P$25,"2026-W41"))</f>
        <v>0.3211485691621172</v>
      </c>
      <c r="P20" s="12">
        <f>SUMIFS(Selections!$T$6:$T$25,Selections!$P$6:$P$25,"2026-W41")</f>
        <v>4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"/>
    </row>
    <row r="21" ht="22" customHeight="1">
      <c r="A21" s="1" t="inlineStr">
        <is>
          <t>Week</t>
        </is>
      </c>
      <c r="B21" s="1" t="inlineStr">
        <is>
          <t>2026-W42</t>
        </is>
      </c>
      <c r="C21" s="12">
        <f>COUNTIFS(Selections!$P$6:$P$25,"2026-W42")</f>
        <v>14</v>
      </c>
      <c r="D21" s="12">
        <f>(COUNTIFS(Selections!$P$6:$P$25,"2026-W42",Selections!$K$6:$K$25,"WON")+COUNTIFS(Selections!$P$6:$P$25,"2026-W42",Selections!$K$6:$K$25,"LOST"))</f>
        <v>5</v>
      </c>
      <c r="E21" s="12">
        <f>COUNTIFS(Selections!$P$6:$P$25,"2026-W42",Selections!$K$6:$K$25,"WON")</f>
        <v>4</v>
      </c>
      <c r="F21" s="12">
        <f>COUNTIFS(Selections!$P$6:$P$25,"2026-W42",Selections!$K$6:$K$25,"LOST")</f>
        <v>1</v>
      </c>
      <c r="G21" s="12">
        <f>COUNTIFS(Selections!$P$6:$P$25,"2026-W42")-(COUNTIFS(Selections!$P$6:$P$25,"2026-W42",Selections!$K$6:$K$25,"WON")+COUNTIFS(Selections!$P$6:$P$25,"2026-W42",Selections!$K$6:$K$25,"LOST"))</f>
        <v>9</v>
      </c>
      <c r="H21" s="13">
        <f>IF((COUNTIFS(Selections!$P$6:$P$25,"2026-W42",Selections!$K$6:$K$25,"WON")+COUNTIFS(Selections!$P$6:$P$25,"2026-W42",Selections!$K$6:$K$25,"LOST"))=0,"n.a.",COUNTIFS(Selections!$P$6:$P$25,"2026-W42",Selections!$K$6:$K$25,"WON")/(COUNTIFS(Selections!$P$6:$P$25,"2026-W42",Selections!$K$6:$K$25,"WON")+COUNTIFS(Selections!$P$6:$P$25,"2026-W42",Selections!$K$6:$K$25,"LOST")))</f>
        <v>0.8</v>
      </c>
      <c r="I21" s="15">
        <f>SUMIFS(Selections!$M$6:$M$25,Selections!$P$6:$P$25,"2026-W42")</f>
        <v>5</v>
      </c>
      <c r="J21" s="15">
        <f>SUMIFS(Selections!$N$6:$N$25,Selections!$P$6:$P$25,"2026-W42")</f>
        <v>0.6099999999999999</v>
      </c>
      <c r="K21" s="13">
        <f>IF(SUMIFS(Selections!$M$6:$M$25,Selections!$P$6:$P$25,"2026-W42")=0,"n.a.",SUMIFS(Selections!$N$6:$N$25,Selections!$P$6:$P$25,"2026-W42")/SUMIFS(Selections!$M$6:$M$25,Selections!$P$6:$P$25,"2026-W42"))</f>
        <v>0.12199999999999997</v>
      </c>
      <c r="L21" s="14">
        <f>IF(SUMIFS(Selections!$T$6:$T$25,Selections!$P$6:$P$25,"2026-W42")=0,"n.a.",SUMIFS(Selections!$O$6:$O$25,Selections!$P$6:$P$25,"2026-W42")/SUMIFS(Selections!$T$6:$T$25,Selections!$P$6:$P$25,"2026-W42"))</f>
        <v>0.18766448976327427</v>
      </c>
      <c r="M21" s="13">
        <f>IF(SUMIFS(Selections!$T$6:$T$25,Selections!$P$6:$P$25,"2026-W42")=0,"n.a.",SUMIFS(Selections!$S$6:$S$25,Selections!$P$6:$P$25,"2026-W42")/SUMIFS(Selections!$T$6:$T$25,Selections!$P$6:$P$25,"2026-W42"))</f>
        <v>0.7902703498074164</v>
      </c>
      <c r="N21" s="13">
        <f>IF(SUMIFS(Selections!$T$6:$T$25,Selections!$P$6:$P$25,"2026-W42")=0,"n.a.",(SUMIFS(Selections!$L$6:$L$25,Selections!$P$6:$P$25,"2026-W42",Selections!$T$6:$T$25,1))/SUMIFS(Selections!$T$6:$T$25,Selections!$P$6:$P$25,"2026-W42"))</f>
        <v>0.8</v>
      </c>
      <c r="O21" s="13">
        <f>IF(SUMIFS(Selections!$T$6:$T$25,Selections!$P$6:$P$25,"2026-W42")=0,"n.a.",(SUMIFS(Selections!$S$6:$S$25,Selections!$P$6:$P$25,"2026-W42")-(SUMIFS(Selections!$L$6:$L$25,Selections!$P$6:$P$25,"2026-W42",Selections!$T$6:$T$25,1)))/SUMIFS(Selections!$T$6:$T$25,Selections!$P$6:$P$25,"2026-W42"))</f>
        <v>-0.00972965019258365</v>
      </c>
      <c r="P21" s="12">
        <f>SUMIFS(Selections!$T$6:$T$25,Selections!$P$6:$P$25,"2026-W42")</f>
        <v>5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"/>
    </row>
    <row r="22" ht="22" customHeight="1">
      <c r="A22" s="1" t="inlineStr">
        <is>
          <t>Week</t>
        </is>
      </c>
      <c r="B22" s="1" t="inlineStr">
        <is>
          <t>2026-W43</t>
        </is>
      </c>
      <c r="C22" s="12">
        <f>COUNTIFS(Selections!$P$6:$P$25,"2026-W43")</f>
        <v>1</v>
      </c>
      <c r="D22" s="12">
        <f>(COUNTIFS(Selections!$P$6:$P$25,"2026-W43",Selections!$K$6:$K$25,"WON")+COUNTIFS(Selections!$P$6:$P$25,"2026-W43",Selections!$K$6:$K$25,"LOST"))</f>
        <v>0</v>
      </c>
      <c r="E22" s="12">
        <f>COUNTIFS(Selections!$P$6:$P$25,"2026-W43",Selections!$K$6:$K$25,"WON")</f>
        <v>0</v>
      </c>
      <c r="F22" s="12">
        <f>COUNTIFS(Selections!$P$6:$P$25,"2026-W43",Selections!$K$6:$K$25,"LOST")</f>
        <v>0</v>
      </c>
      <c r="G22" s="12">
        <f>COUNTIFS(Selections!$P$6:$P$25,"2026-W43")-(COUNTIFS(Selections!$P$6:$P$25,"2026-W43",Selections!$K$6:$K$25,"WON")+COUNTIFS(Selections!$P$6:$P$25,"2026-W43",Selections!$K$6:$K$25,"LOST"))</f>
        <v>1</v>
      </c>
      <c r="H22" s="13" t="str">
        <f>IF((COUNTIFS(Selections!$P$6:$P$25,"2026-W43",Selections!$K$6:$K$25,"WON")+COUNTIFS(Selections!$P$6:$P$25,"2026-W43",Selections!$K$6:$K$25,"LOST"))=0,"n.a.",COUNTIFS(Selections!$P$6:$P$25,"2026-W43",Selections!$K$6:$K$25,"WON")/(COUNTIFS(Selections!$P$6:$P$25,"2026-W43",Selections!$K$6:$K$25,"WON")+COUNTIFS(Selections!$P$6:$P$25,"2026-W43",Selections!$K$6:$K$25,"LOST")))</f>
        <v>n.a.</v>
      </c>
      <c r="I22" s="15">
        <f>SUMIFS(Selections!$M$6:$M$25,Selections!$P$6:$P$25,"2026-W43")</f>
        <v>0</v>
      </c>
      <c r="J22" s="15">
        <f>SUMIFS(Selections!$N$6:$N$25,Selections!$P$6:$P$25,"2026-W43")</f>
        <v>0</v>
      </c>
      <c r="K22" s="13" t="str">
        <f>IF(SUMIFS(Selections!$M$6:$M$25,Selections!$P$6:$P$25,"2026-W43")=0,"n.a.",SUMIFS(Selections!$N$6:$N$25,Selections!$P$6:$P$25,"2026-W43")/SUMIFS(Selections!$M$6:$M$25,Selections!$P$6:$P$25,"2026-W43"))</f>
        <v>n.a.</v>
      </c>
      <c r="L22" s="14" t="str">
        <f>IF(SUMIFS(Selections!$T$6:$T$25,Selections!$P$6:$P$25,"2026-W43")=0,"n.a.",SUMIFS(Selections!$O$6:$O$25,Selections!$P$6:$P$25,"2026-W43")/SUMIFS(Selections!$T$6:$T$25,Selections!$P$6:$P$25,"2026-W43"))</f>
        <v>n.a.</v>
      </c>
      <c r="M22" s="13" t="str">
        <f>IF(SUMIFS(Selections!$T$6:$T$25,Selections!$P$6:$P$25,"2026-W43")=0,"n.a.",SUMIFS(Selections!$S$6:$S$25,Selections!$P$6:$P$25,"2026-W43")/SUMIFS(Selections!$T$6:$T$25,Selections!$P$6:$P$25,"2026-W43"))</f>
        <v>n.a.</v>
      </c>
      <c r="N22" s="13" t="str">
        <f>IF(SUMIFS(Selections!$T$6:$T$25,Selections!$P$6:$P$25,"2026-W43")=0,"n.a.",(SUMIFS(Selections!$L$6:$L$25,Selections!$P$6:$P$25,"2026-W43",Selections!$T$6:$T$25,1))/SUMIFS(Selections!$T$6:$T$25,Selections!$P$6:$P$25,"2026-W43"))</f>
        <v>n.a.</v>
      </c>
      <c r="O22" s="13" t="str">
        <f>IF(SUMIFS(Selections!$T$6:$T$25,Selections!$P$6:$P$25,"2026-W43")=0,"n.a.",(SUMIFS(Selections!$S$6:$S$25,Selections!$P$6:$P$25,"2026-W43")-(SUMIFS(Selections!$L$6:$L$25,Selections!$P$6:$P$25,"2026-W43",Selections!$T$6:$T$25,1)))/SUMIFS(Selections!$T$6:$T$25,Selections!$P$6:$P$25,"2026-W43"))</f>
        <v>n.a.</v>
      </c>
      <c r="P22" s="12">
        <f>SUMIFS(Selections!$T$6:$T$25,Selections!$P$6:$P$25,"2026-W43")</f>
        <v>0</v>
      </c>
      <c r="Q22" s="1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"/>
    </row>
  </sheetData>
  <conditionalFormatting sqref="K6:K2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COUNTIFS(Selections!$S$6:$S$25,"&gt;="&amp;B6,Selections!$S$6:$S$25,"&lt;"&amp;C6,Selections!$T$6:$T$25,1)</f>
        <v>0</v>
      </c>
      <c r="E6" s="13" t="str">
        <f>IF(D6=0,"n.a.",SUMIFS(Selections!$S$6:$S$25,Selections!$S$6:$S$25,"&gt;="&amp;B6,Selections!$S$6:$S$25,"&lt;"&amp;C6,Selections!$T$6:$T$25,1)/D6)</f>
        <v>n.a.</v>
      </c>
      <c r="F6" s="13" t="str">
        <f>IF(D6=0,"n.a.",SUMIFS(Selections!$L$6:$L$25,Selections!$S$6:$S$25,"&gt;="&amp;B6,Selections!$S$6:$S$25,"&lt;"&amp;C6,Selections!$T$6:$T$25,1)/D6)</f>
        <v>n.a.</v>
      </c>
      <c r="G6" s="13" t="str">
        <f>IF(D6=0,"n.a.",E6-F6)</f>
        <v>n.a.</v>
      </c>
      <c r="H6" s="14" t="str">
        <f>IF(D6=0,"n.a.",SUMIFS(Selections!$O$6:$O$25,Selections!$S$6:$S$25,"&gt;="&amp;B6,Selections!$S$6:$S$25,"&lt;"&amp;C6,Selections!$T$6:$T$25,1)/D6)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COUNTIFS(Selections!$S$6:$S$25,"&gt;="&amp;B7,Selections!$S$6:$S$25,"&lt;"&amp;C7,Selections!$T$6:$T$25,1)</f>
        <v>0</v>
      </c>
      <c r="E7" s="13" t="str">
        <f>IF(D7=0,"n.a.",SUMIFS(Selections!$S$6:$S$25,Selections!$S$6:$S$25,"&gt;="&amp;B7,Selections!$S$6:$S$25,"&lt;"&amp;C7,Selections!$T$6:$T$25,1)/D7)</f>
        <v>n.a.</v>
      </c>
      <c r="F7" s="13" t="str">
        <f>IF(D7=0,"n.a.",SUMIFS(Selections!$L$6:$L$25,Selections!$S$6:$S$25,"&gt;="&amp;B7,Selections!$S$6:$S$25,"&lt;"&amp;C7,Selections!$T$6:$T$25,1)/D7)</f>
        <v>n.a.</v>
      </c>
      <c r="G7" s="13" t="str">
        <f>IF(D7=0,"n.a.",E7-F7)</f>
        <v>n.a.</v>
      </c>
      <c r="H7" s="14" t="str">
        <f>IF(D7=0,"n.a.",SUMIFS(Selections!$O$6:$O$25,Selections!$S$6:$S$25,"&gt;="&amp;B7,Selections!$S$6:$S$25,"&lt;"&amp;C7,Selections!$T$6:$T$25,1)/D7)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COUNTIFS(Selections!$S$6:$S$25,"&gt;="&amp;B8,Selections!$S$6:$S$25,"&lt;"&amp;C8,Selections!$T$6:$T$25,1)</f>
        <v>1</v>
      </c>
      <c r="E8" s="13">
        <f>IF(D8=0,"n.a.",SUMIFS(Selections!$S$6:$S$25,Selections!$S$6:$S$25,"&gt;="&amp;B8,Selections!$S$6:$S$25,"&lt;"&amp;C8,Selections!$T$6:$T$25,1)/D8)</f>
        <v>0.6822834074295536</v>
      </c>
      <c r="F8" s="13">
        <f>IF(D8=0,"n.a.",SUMIFS(Selections!$L$6:$L$25,Selections!$S$6:$S$25,"&gt;="&amp;B8,Selections!$S$6:$S$25,"&lt;"&amp;C8,Selections!$T$6:$T$25,1)/D8)</f>
        <v>1.0</v>
      </c>
      <c r="G8" s="13">
        <f>IF(D8=0,"n.a.",E8-F8)</f>
        <v>-0.3177165925704464</v>
      </c>
      <c r="H8" s="14">
        <f>IF(D8=0,"n.a.",SUMIFS(Selections!$O$6:$O$25,Selections!$S$6:$S$25,"&gt;="&amp;B8,Selections!$S$6:$S$25,"&lt;"&amp;C8,Selections!$T$6:$T$25,1)/D8)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COUNTIFS(Selections!$S$6:$S$25,"&gt;="&amp;B9,Selections!$S$6:$S$25,"&lt;"&amp;C9,Selections!$T$6:$T$25,1)</f>
        <v>4</v>
      </c>
      <c r="E9" s="13">
        <f>IF(D9=0,"n.a.",SUMIFS(Selections!$S$6:$S$25,Selections!$S$6:$S$25,"&gt;="&amp;B9,Selections!$S$6:$S$25,"&lt;"&amp;C9,Selections!$T$6:$T$25,1)/D9)</f>
        <v>0.7598033602744063</v>
      </c>
      <c r="F9" s="13">
        <f>IF(D9=0,"n.a.",SUMIFS(Selections!$L$6:$L$25,Selections!$S$6:$S$25,"&gt;="&amp;B9,Selections!$S$6:$S$25,"&lt;"&amp;C9,Selections!$T$6:$T$25,1)/D9)</f>
        <v>0.75</v>
      </c>
      <c r="G9" s="13">
        <f>IF(D9=0,"n.a.",E9-F9)</f>
        <v>0.009803360274406314</v>
      </c>
      <c r="H9" s="14">
        <f>IF(D9=0,"n.a.",SUMIFS(Selections!$O$6:$O$25,Selections!$S$6:$S$25,"&gt;="&amp;B9,Selections!$S$6:$S$25,"&lt;"&amp;C9,Selections!$T$6:$T$25,1)/D9)</f>
        <v>0.18645173019771322</v>
      </c>
      <c r="I9" s="1" t="inlineStr">
        <is>
          <t>Collect more scored forecasts (n=4).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COUNTIFS(Selections!$S$6:$S$25,"&gt;="&amp;B10,Selections!$S$6:$S$25,"&lt;"&amp;C10,Selections!$T$6:$T$25,1)</f>
        <v>3</v>
      </c>
      <c r="E10" s="13">
        <f>IF(D10=0,"n.a.",SUMIFS(Selections!$S$6:$S$25,Selections!$S$6:$S$25,"&gt;="&amp;B10,Selections!$S$6:$S$25,"&lt;"&amp;C10,Selections!$T$6:$T$25,1)/D10)</f>
        <v>0.8566010078816761</v>
      </c>
      <c r="F10" s="13">
        <f>IF(D10=0,"n.a.",SUMIFS(Selections!$L$6:$L$25,Selections!$S$6:$S$25,"&gt;="&amp;B10,Selections!$S$6:$S$25,"&lt;"&amp;C10,Selections!$T$6:$T$25,1)/D10)</f>
        <v>0.3333333333333333</v>
      </c>
      <c r="G10" s="13">
        <f>IF(D10=0,"n.a.",E10-F10)</f>
        <v>0.5232676745483429</v>
      </c>
      <c r="H10" s="14">
        <f>IF(D10=0,"n.a.",SUMIFS(Selections!$O$6:$O$25,Selections!$S$6:$S$25,"&gt;="&amp;B10,Selections!$S$6:$S$25,"&lt;"&amp;C10,Selections!$T$6:$T$25,1)/D10)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COUNTIFS(Selections!$S$6:$S$25,"&gt;="&amp;B11,Selections!$S$6:$S$25,"&lt;"&amp;C11,Selections!$T$6:$T$25,1)</f>
        <v>1</v>
      </c>
      <c r="E11" s="13">
        <f>IF(D11=0,"n.a.",SUMIFS(Selections!$S$6:$S$25,Selections!$S$6:$S$25,"&gt;="&amp;B11,Selections!$S$6:$S$25,"&lt;"&amp;C11,Selections!$T$6:$T$25,1)/D11)</f>
        <v>0.9446461535133436</v>
      </c>
      <c r="F11" s="13">
        <f>IF(D11=0,"n.a.",SUMIFS(Selections!$L$6:$L$25,Selections!$S$6:$S$25,"&gt;="&amp;B11,Selections!$S$6:$S$25,"&lt;"&amp;C11,Selections!$T$6:$T$25,1)/D11)</f>
        <v>1.0</v>
      </c>
      <c r="G11" s="13">
        <f>IF(D11=0,"n.a.",E11-F11)</f>
        <v>-0.05535384648665642</v>
      </c>
      <c r="H11" s="14">
        <f>IF(D11=0,"n.a.",SUMIFS(Selections!$O$6:$O$25,Selections!$S$6:$S$25,"&gt;="&amp;B11,Selections!$S$6:$S$25,"&lt;"&amp;C11,Selections!$T$6:$T$25,1)/D11)</f>
        <v>0.0030640483208683256</v>
      </c>
      <c r="I11" s="1" t="inlineStr">
        <is>
          <t>Collect more scored forecasts (n=1).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 t="inlineStr">
        <is>
          <t>2-0</t>
        </is>
      </c>
      <c r="K14" s="1" t="inlineStr">
        <is>
          <t>WON</t>
        </is>
      </c>
      <c r="L14" s="1">
        <v>1</v>
      </c>
      <c r="M14" s="10">
        <f>IF(AND(ISNUMBER(L14),ISNUMBER(I14),I14&gt;1),'ROI Plan'!$B$5,"")</f>
        <v>1</v>
      </c>
      <c r="N14" s="10">
        <f>IF(ISNUMBER(M14),M14*(I14*L14-1-U14),"")</f>
        <v>0.1499999999999999</v>
      </c>
      <c r="O14" s="11">
        <f>IF(AND(ISNUMBER(L14),ISNUMBER(H14)),(H14-L14)^2,"")</f>
        <v>0.0030640483208683256</v>
      </c>
      <c r="P14" s="1" t="inlineStr">
        <is>
          <t>2026-W42</t>
        </is>
      </c>
      <c r="Q14" s="1" t="inlineStr">
        <is>
          <t>a2cdead106b513fd623cffd1e43a491685d68cc3</t>
        </is>
      </c>
      <c r="R14" s="1" t="inlineStr">
        <is>
          <t>football-data.org/v4</t>
        </is>
      </c>
      <c r="S14" s="9">
        <f>IF(AND(ISNUMBER(L14),ISNUMBER(H14)),H14,"")</f>
        <v>0.9446461535133436</v>
      </c>
      <c r="T14" s="1">
        <f>IF(AND(ISNUMBER(L14),ISNUMBER(H14)),1,0)</f>
        <v>1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 t="inlineStr">
        <is>
          <t>1-4</t>
        </is>
      </c>
      <c r="K15" s="1" t="inlineStr">
        <is>
          <t>WON</t>
        </is>
      </c>
      <c r="L15" s="1">
        <v>1</v>
      </c>
      <c r="M15" s="10">
        <f>IF(AND(ISNUMBER(L15),ISNUMBER(I15),I15&gt;1),'ROI Plan'!$B$5,"")</f>
        <v>1</v>
      </c>
      <c r="N15" s="10">
        <f>IF(ISNUMBER(M15),M15*(I15*L15-1-U15),"")</f>
        <v>0.49</v>
      </c>
      <c r="O15" s="11">
        <f>IF(AND(ISNUMBER(L15),ISNUMBER(H15)),(H15-L15)^2,"")</f>
        <v>0.08662845606019748</v>
      </c>
      <c r="P15" s="1" t="inlineStr">
        <is>
          <t>2026-W42</t>
        </is>
      </c>
      <c r="Q15" s="1" t="inlineStr">
        <is>
          <t>a2cdead106b513fd623cffd1e43a491685d68cc3</t>
        </is>
      </c>
      <c r="R15" s="1" t="inlineStr">
        <is>
          <t>football-data.org/v4</t>
        </is>
      </c>
      <c r="S15" s="9">
        <f>IF(AND(ISNUMBER(L15),ISNUMBER(H15)),H15,"")</f>
        <v>0.7056728757654207</v>
      </c>
      <c r="T15" s="1">
        <f>IF(AND(ISNUMBER(L15),ISNUMBER(H15)),1,0)</f>
        <v>1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La Liga|deportivo la coruna|levante|2026-10-16</t>
        </is>
      </c>
      <c r="B19" s="8">
        <v>46311.791666666664</v>
      </c>
      <c r="C19" s="1" t="inlineStr">
        <is>
          <t>La Liga</t>
        </is>
      </c>
      <c r="D19" s="1" t="inlineStr">
        <is>
          <t>Deportivo La Coruña vs Levante</t>
        </is>
      </c>
      <c r="E19" s="1" t="inlineStr">
        <is>
          <t>Over 1.5</t>
        </is>
      </c>
      <c r="F19" s="1" t="inlineStr">
        <is>
          <t>STRICT</t>
        </is>
      </c>
      <c r="G19" s="1" t="inlineStr">
        <is>
          <t>72h-all-markets-net-ev15-execution-v7</t>
        </is>
      </c>
      <c r="H19" s="9">
        <v>0.8490677731739953</v>
      </c>
      <c r="I19" s="10">
        <v>1.27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d3f12df5a2a20809c3ac84f9a31766ba965813e3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League|fulham|hull city|2026-10-17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Fulham vs Hull City</t>
        </is>
      </c>
      <c r="E20" s="1" t="inlineStr">
        <is>
          <t>Under 3.5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0.8021994552742411</v>
      </c>
      <c r="I20" s="10">
        <v>1.42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Premier League|man city|ipswich town|2026-10-17</t>
        </is>
      </c>
      <c r="B21" s="8">
        <v>46312.583333333336</v>
      </c>
      <c r="C21" s="1" t="inlineStr">
        <is>
          <t>Premier League</t>
        </is>
      </c>
      <c r="D21" s="1" t="inlineStr">
        <is>
          <t>Manchester City vs Ipswich Town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0.9163621198072895</v>
      </c>
      <c r="I21" s="10">
        <v>1.11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Liga|ca osasuna|real racing santander|2026-10-18</t>
        </is>
      </c>
      <c r="B22" s="8">
        <v>46313.5</v>
      </c>
      <c r="C22" s="1" t="inlineStr">
        <is>
          <t>La Liga</t>
        </is>
      </c>
      <c r="D22" s="1" t="inlineStr">
        <is>
          <t>CA Osasuna vs Real Racing Club de Santander</t>
        </is>
      </c>
      <c r="E22" s="1" t="inlineStr">
        <is>
          <t>Over 1.5</t>
        </is>
      </c>
      <c r="F22" s="1" t="inlineStr">
        <is>
          <t>PROVISIONAL</t>
        </is>
      </c>
      <c r="G22" s="1" t="inlineStr">
        <is>
          <t>legacy/unspecified</t>
        </is>
      </c>
      <c r="H22" s="9">
        <v>0.9202632648998413</v>
      </c>
      <c r="I22" s="10">
        <v>1.22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Liga|malaga|real sociedad|2026-10-18</t>
        </is>
      </c>
      <c r="B23" s="8">
        <v>46313.6875</v>
      </c>
      <c r="C23" s="1" t="inlineStr">
        <is>
          <t>La Liga</t>
        </is>
      </c>
      <c r="D23" s="1" t="inlineStr">
        <is>
          <t>Málaga vs Real Sociedad</t>
        </is>
      </c>
      <c r="E23" s="1" t="inlineStr">
        <is>
          <t>Under 3.5</t>
        </is>
      </c>
      <c r="F23" s="1" t="inlineStr">
        <is>
          <t>STRICT</t>
        </is>
      </c>
      <c r="G23" s="1" t="inlineStr">
        <is>
          <t>legacy/unspecified</t>
        </is>
      </c>
      <c r="H23" s="9">
        <v>0.8261247842244344</v>
      </c>
      <c r="I23" s="10">
        <v>1.41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La Liga|real madrid|sevilla|2026-10-18</t>
        </is>
      </c>
      <c r="B24" s="8">
        <v>46313.791666666664</v>
      </c>
      <c r="C24" s="1" t="inlineStr">
        <is>
          <t>La Liga</t>
        </is>
      </c>
      <c r="D24" s="1" t="inlineStr">
        <is>
          <t>Real Madrid vs Sevilla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0.78842217536022</v>
      </c>
      <c r="I24" s="10">
        <v>1.3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2026-W42</t>
        </is>
      </c>
      <c r="Q24" s="1" t="inlineStr">
        <is>
          <t>bdc690a8c70643c93f1595d53c067b7d91325270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  <row r="25" ht="22" customHeight="1">
      <c r="A25" s="1" t="inlineStr">
        <is>
          <t>Premier League|tottenham|coventry city|2026-10-19</t>
        </is>
      </c>
      <c r="B25" s="8">
        <v>46314.791666666664</v>
      </c>
      <c r="C25" s="1" t="inlineStr">
        <is>
          <t>Premier League</t>
        </is>
      </c>
      <c r="D25" s="1" t="inlineStr">
        <is>
          <t>Tottenham Hotspur vs Coventry City</t>
        </is>
      </c>
      <c r="E25" s="1" t="inlineStr">
        <is>
          <t>Home win</t>
        </is>
      </c>
      <c r="F25" s="1" t="inlineStr">
        <is>
          <t>PROVISIONAL</t>
        </is>
      </c>
      <c r="G25" s="1" t="inlineStr">
        <is>
          <t>legacy/unspecified</t>
        </is>
      </c>
      <c r="H25" s="9">
        <v>0.6624411929150106</v>
      </c>
      <c r="I25" s="10">
        <v>1.54</v>
      </c>
      <c r="J25" s="1"/>
      <c r="K25" s="1" t="inlineStr">
        <is>
          <t>PENDING_KICKOFF_OR_FINAL_SCORE</t>
        </is>
      </c>
      <c r="L25" s="1"/>
      <c r="M25" s="10" t="str">
        <f>IF(AND(ISNUMBER(L25),ISNUMBER(I25),I25&gt;1),'ROI Plan'!$B$5,"")</f>
        <v/>
      </c>
      <c r="N25" s="10" t="str">
        <f>IF(ISNUMBER(M25),M25*(I25*L25-1-U25),"")</f>
        <v/>
      </c>
      <c r="O25" s="11">
        <f>IF(AND(ISNUMBER(L25),ISNUMBER(H25)),(H25-L25)^2,"")</f>
      </c>
      <c r="P25" s="1" t="inlineStr">
        <is>
          <t>2026-W43</t>
        </is>
      </c>
      <c r="Q25" s="1" t="inlineStr">
        <is>
          <t>b9c15c09504aaf57de5ad0957adb91c0e9b37243</t>
        </is>
      </c>
      <c r="R25" s="1"/>
      <c r="S25" s="9">
        <f>IF(AND(ISNUMBER(L25),ISNUMBER(H25)),H25,"")</f>
      </c>
      <c r="T25" s="1">
        <f>IF(AND(ISNUMBER(L25),ISNUMBER(H25)),1,0)</f>
        <v>0</v>
      </c>
      <c r="U25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GRADED</t>
        </is>
      </c>
      <c r="G27" s="1" t="inlineStr">
        <is>
          <t>0-2</t>
        </is>
      </c>
      <c r="H27" s="1">
        <v>1.0</v>
      </c>
      <c r="I27" s="11">
        <v>0.51245005</v>
      </c>
      <c r="J27" s="1">
        <v>1.0</v>
      </c>
      <c r="K27" s="1">
        <v>1.0</v>
      </c>
      <c r="L27" s="1">
        <v>0.0</v>
      </c>
      <c r="M27" s="1">
        <v>0.0</v>
      </c>
      <c r="N27" s="1" t="inlineStr">
        <is>
          <t>2026-W42</t>
        </is>
      </c>
      <c r="O27" s="1" t="inlineStr">
        <is>
          <t>2fd31d33722311d8e0155bb5eca6b3a310ac938b</t>
        </is>
      </c>
      <c r="P27" s="1" t="inlineStr">
        <is>
          <t>football-data.org/v4</t>
        </is>
      </c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GRADED</t>
        </is>
      </c>
      <c r="G28" s="1" t="inlineStr">
        <is>
          <t>2-0</t>
        </is>
      </c>
      <c r="H28" s="1">
        <v>0.0</v>
      </c>
      <c r="I28" s="11">
        <v>1.01421231</v>
      </c>
      <c r="J28" s="1">
        <v>0.0</v>
      </c>
      <c r="K28" s="1">
        <v>1.0</v>
      </c>
      <c r="L28" s="1">
        <v>1.0</v>
      </c>
      <c r="M28" s="1">
        <v>1.0</v>
      </c>
      <c r="N28" s="1" t="inlineStr">
        <is>
          <t>2026-W42</t>
        </is>
      </c>
      <c r="O28" s="1" t="inlineStr">
        <is>
          <t>2fd31d33722311d8e0155bb5eca6b3a310ac938b</t>
        </is>
      </c>
      <c r="P28" s="1" t="inlineStr">
        <is>
          <t>football-data.org/v4</t>
        </is>
      </c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GRADED</t>
        </is>
      </c>
      <c r="G29" s="1" t="inlineStr">
        <is>
          <t>3-0</t>
        </is>
      </c>
      <c r="H29" s="1">
        <v>1.0</v>
      </c>
      <c r="I29" s="11">
        <v>0.11601758</v>
      </c>
      <c r="J29" s="1">
        <v>1.0</v>
      </c>
      <c r="K29" s="1">
        <v>1.0</v>
      </c>
      <c r="L29" s="1">
        <v>1.0</v>
      </c>
      <c r="M29" s="1">
        <v>1.0</v>
      </c>
      <c r="N29" s="1" t="inlineStr">
        <is>
          <t>2026-W42</t>
        </is>
      </c>
      <c r="O29" s="1" t="inlineStr">
        <is>
          <t>2fd31d33722311d8e0155bb5eca6b3a310ac938b</t>
        </is>
      </c>
      <c r="P29" s="1" t="inlineStr">
        <is>
          <t>football-data.org/v4</t>
        </is>
      </c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GRADED</t>
        </is>
      </c>
      <c r="G30" s="1" t="inlineStr">
        <is>
          <t>2-0</t>
        </is>
      </c>
      <c r="H30" s="1">
        <v>1.0</v>
      </c>
      <c r="I30" s="11">
        <v>0.23569509</v>
      </c>
      <c r="J30" s="1">
        <v>1.0</v>
      </c>
      <c r="K30" s="1">
        <v>0.0</v>
      </c>
      <c r="L30" s="1">
        <v>0.0</v>
      </c>
      <c r="M30" s="1">
        <v>0.0</v>
      </c>
      <c r="N30" s="1" t="inlineStr">
        <is>
          <t>2026-W42</t>
        </is>
      </c>
      <c r="O30" s="1" t="inlineStr">
        <is>
          <t>2fd31d33722311d8e0155bb5eca6b3a310ac938b</t>
        </is>
      </c>
      <c r="P30" s="1" t="inlineStr">
        <is>
          <t>football-data.org/v4</t>
        </is>
      </c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GRADED</t>
        </is>
      </c>
      <c r="G31" s="1" t="inlineStr">
        <is>
          <t>1-4</t>
        </is>
      </c>
      <c r="H31" s="1">
        <v>1.0</v>
      </c>
      <c r="I31" s="11">
        <v>0.16902814</v>
      </c>
      <c r="J31" s="1">
        <v>1.0</v>
      </c>
      <c r="K31" s="1">
        <v>1.0</v>
      </c>
      <c r="L31" s="1">
        <v>1.0</v>
      </c>
      <c r="M31" s="1">
        <v>1.0</v>
      </c>
      <c r="N31" s="1" t="inlineStr">
        <is>
          <t>2026-W42</t>
        </is>
      </c>
      <c r="O31" s="1" t="inlineStr">
        <is>
          <t>2fd31d33722311d8e0155bb5eca6b3a310ac938b</t>
        </is>
      </c>
      <c r="P31" s="1" t="inlineStr">
        <is>
          <t>football-data.org/v4</t>
        </is>
      </c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GRADED</t>
        </is>
      </c>
      <c r="G32" s="1" t="inlineStr">
        <is>
          <t>3-4</t>
        </is>
      </c>
      <c r="H32" s="1">
        <v>0.0</v>
      </c>
      <c r="I32" s="11">
        <v>1.23745897</v>
      </c>
      <c r="J32" s="1">
        <v>1.0</v>
      </c>
      <c r="K32" s="1">
        <v>0.0</v>
      </c>
      <c r="L32" s="1">
        <v>1.0</v>
      </c>
      <c r="M32" s="1">
        <v>1.0</v>
      </c>
      <c r="N32" s="1" t="inlineStr">
        <is>
          <t>2026-W42</t>
        </is>
      </c>
      <c r="O32" s="1" t="inlineStr">
        <is>
          <t>2fd31d33722311d8e0155bb5eca6b3a310ac938b</t>
        </is>
      </c>
      <c r="P32" s="1" t="inlineStr">
        <is>
          <t>football-data.org/v4</t>
        </is>
      </c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GRADED</t>
        </is>
      </c>
      <c r="G33" s="1" t="inlineStr">
        <is>
          <t>1-0</t>
        </is>
      </c>
      <c r="H33" s="1">
        <v>1.0</v>
      </c>
      <c r="I33" s="11">
        <v>0.51235352</v>
      </c>
      <c r="J33" s="1">
        <v>0.0</v>
      </c>
      <c r="K33" s="1">
        <v>1.0</v>
      </c>
      <c r="L33" s="1">
        <v>0.0</v>
      </c>
      <c r="M33" s="1">
        <v>0.0</v>
      </c>
      <c r="N33" s="1" t="inlineStr">
        <is>
          <t>2026-W42</t>
        </is>
      </c>
      <c r="O33" s="1" t="inlineStr">
        <is>
          <t>2fd31d33722311d8e0155bb5eca6b3a310ac938b</t>
        </is>
      </c>
      <c r="P33" s="1" t="inlineStr">
        <is>
          <t>football-data.org/v4</t>
        </is>
      </c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GRADED</t>
        </is>
      </c>
      <c r="G34" s="1" t="inlineStr">
        <is>
          <t>3-3</t>
        </is>
      </c>
      <c r="H34" s="1">
        <v>0.0</v>
      </c>
      <c r="I34" s="11">
        <v>1.7396574</v>
      </c>
      <c r="J34" s="1">
        <v>1.0</v>
      </c>
      <c r="K34" s="1">
        <v>1.0</v>
      </c>
      <c r="L34" s="1">
        <v>0.0</v>
      </c>
      <c r="M34" s="1">
        <v>0.0</v>
      </c>
      <c r="N34" s="1" t="inlineStr">
        <is>
          <t>2026-W42</t>
        </is>
      </c>
      <c r="O34" s="1" t="inlineStr">
        <is>
          <t>2fd31d33722311d8e0155bb5eca6b3a310ac938b</t>
        </is>
      </c>
      <c r="P34" s="1" t="inlineStr">
        <is>
          <t>football-data.org/v4</t>
        </is>
      </c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GRADED</t>
        </is>
      </c>
      <c r="G35" s="1" t="inlineStr">
        <is>
          <t>3-1</t>
        </is>
      </c>
      <c r="H35" s="1">
        <v>0.0</v>
      </c>
      <c r="I35" s="11">
        <v>0.67595769</v>
      </c>
      <c r="J35" s="1">
        <v>1.0</v>
      </c>
      <c r="K35" s="1">
        <v>0.0</v>
      </c>
      <c r="L35" s="1">
        <v>0.0</v>
      </c>
      <c r="M35" s="1">
        <v>0.0</v>
      </c>
      <c r="N35" s="1" t="inlineStr">
        <is>
          <t>2026-W42</t>
        </is>
      </c>
      <c r="O35" s="1" t="inlineStr">
        <is>
          <t>2fd31d33722311d8e0155bb5eca6b3a310ac938b</t>
        </is>
      </c>
      <c r="P35" s="1" t="inlineStr">
        <is>
          <t>football-data.org/v4</t>
        </is>
      </c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  <row r="94" ht="22" customHeight="1">
      <c r="A94" s="1" t="inlineStr">
        <is>
          <t>Bundesliga|vfb stuttgart|m gladbach|2026-10-23</t>
        </is>
      </c>
      <c r="B94" s="8">
        <v>46318.770833333336</v>
      </c>
      <c r="C94" s="1" t="inlineStr">
        <is>
          <t>Bundesliga</t>
        </is>
      </c>
      <c r="D94" s="1" t="inlineStr">
        <is>
          <t>VfB Stuttgart vs Borussia Monchengladbach</t>
        </is>
      </c>
      <c r="E94" s="1" t="inlineStr">
        <is>
          <t>72h-all-markets-net-ev15-execution-v7</t>
        </is>
      </c>
      <c r="F94" s="1" t="inlineStr">
        <is>
          <t>PENDING_KICKOFF_OR_FINAL_SCORE</t>
        </is>
      </c>
      <c r="G94" s="1"/>
      <c r="H94" s="1"/>
      <c r="I94" s="11"/>
      <c r="J94" s="1"/>
      <c r="K94" s="1"/>
      <c r="L94" s="1"/>
      <c r="M94" s="1"/>
      <c r="N94" s="1" t="inlineStr">
        <is>
          <t>2026-W43</t>
        </is>
      </c>
      <c r="O94" s="1" t="inlineStr">
        <is>
          <t>d3f12df5a2a20809c3ac84f9a31766ba965813e3</t>
        </is>
      </c>
      <c r="P94" s="1"/>
      <c r="Q94" s="1"/>
      <c r="R94" s="1"/>
    </row>
    <row r="95" ht="22" customHeight="1">
      <c r="A95" s="1" t="inlineStr">
        <is>
          <t>Ligue 1|brest|nice|2026-10-23</t>
        </is>
      </c>
      <c r="B95" s="8">
        <v>46318.78125</v>
      </c>
      <c r="C95" s="1" t="inlineStr">
        <is>
          <t>Ligue 1</t>
        </is>
      </c>
      <c r="D95" s="1" t="inlineStr">
        <is>
          <t>Brest vs Nice</t>
        </is>
      </c>
      <c r="E95" s="1" t="inlineStr">
        <is>
          <t>72h-all-markets-net-ev15-execution-v7</t>
        </is>
      </c>
      <c r="F95" s="1" t="inlineStr">
        <is>
          <t>PENDING_KICKOFF_OR_FINAL_SCORE</t>
        </is>
      </c>
      <c r="G95" s="1"/>
      <c r="H95" s="1"/>
      <c r="I95" s="11"/>
      <c r="J95" s="1"/>
      <c r="K95" s="1"/>
      <c r="L95" s="1"/>
      <c r="M95" s="1"/>
      <c r="N95" s="1" t="inlineStr">
        <is>
          <t>2026-W43</t>
        </is>
      </c>
      <c r="O95" s="1" t="inlineStr">
        <is>
          <t>d3f12df5a2a20809c3ac84f9a31766ba965813e3</t>
        </is>
      </c>
      <c r="P95" s="1"/>
      <c r="Q95" s="1"/>
      <c r="R95" s="1"/>
    </row>
    <row r="96" ht="22" customHeight="1">
      <c r="A96" s="1" t="inlineStr">
        <is>
          <t>Serie A|torino|monza|2026-10-23</t>
        </is>
      </c>
      <c r="B96" s="8">
        <v>46318.78125</v>
      </c>
      <c r="C96" s="1" t="inlineStr">
        <is>
          <t>Serie A</t>
        </is>
      </c>
      <c r="D96" s="1" t="inlineStr">
        <is>
          <t>Torino vs Monza</t>
        </is>
      </c>
      <c r="E96" s="1" t="inlineStr">
        <is>
          <t>72h-all-markets-net-ev15-execution-v7</t>
        </is>
      </c>
      <c r="F96" s="1" t="inlineStr">
        <is>
          <t>PENDING_KICKOFF_OR_FINAL_SCORE</t>
        </is>
      </c>
      <c r="G96" s="1"/>
      <c r="H96" s="1"/>
      <c r="I96" s="11"/>
      <c r="J96" s="1"/>
      <c r="K96" s="1"/>
      <c r="L96" s="1"/>
      <c r="M96" s="1"/>
      <c r="N96" s="1" t="inlineStr">
        <is>
          <t>2026-W43</t>
        </is>
      </c>
      <c r="O96" s="1" t="inlineStr">
        <is>
          <t>d3f12df5a2a20809c3ac84f9a31766ba965813e3</t>
        </is>
      </c>
      <c r="P96" s="1"/>
      <c r="Q96" s="1"/>
      <c r="R96" s="1"/>
    </row>
    <row r="97" ht="22" customHeight="1">
      <c r="A97" s="1" t="inlineStr">
        <is>
          <t>La Liga|alaves|malaga|2026-10-23</t>
        </is>
      </c>
      <c r="B97" s="8">
        <v>46318.791666666664</v>
      </c>
      <c r="C97" s="1" t="inlineStr">
        <is>
          <t>La Liga</t>
        </is>
      </c>
      <c r="D97" s="1" t="inlineStr">
        <is>
          <t>Alavés vs Málaga</t>
        </is>
      </c>
      <c r="E97" s="1" t="inlineStr">
        <is>
          <t>72h-all-markets-net-ev15-execution-v7</t>
        </is>
      </c>
      <c r="F97" s="1" t="inlineStr">
        <is>
          <t>PENDING_KICKOFF_OR_FINAL_SCORE</t>
        </is>
      </c>
      <c r="G97" s="1"/>
      <c r="H97" s="1"/>
      <c r="I97" s="11"/>
      <c r="J97" s="1"/>
      <c r="K97" s="1"/>
      <c r="L97" s="1"/>
      <c r="M97" s="1"/>
      <c r="N97" s="1" t="inlineStr">
        <is>
          <t>2026-W43</t>
        </is>
      </c>
      <c r="O97" s="1" t="inlineStr">
        <is>
          <t>d3f12df5a2a20809c3ac84f9a31766ba965813e3</t>
        </is>
      </c>
      <c r="P97" s="1"/>
      <c r="Q97" s="1"/>
      <c r="R97" s="1"/>
    </row>
    <row r="98" ht="22" customHeight="1">
      <c r="A98" s="1" t="inlineStr">
        <is>
          <t>Premier League|ipswich town|nott m forest|2026-10-23</t>
        </is>
      </c>
      <c r="B98" s="8">
        <v>46318.791666666664</v>
      </c>
      <c r="C98" s="1" t="inlineStr">
        <is>
          <t>Premier League</t>
        </is>
      </c>
      <c r="D98" s="1" t="inlineStr">
        <is>
          <t>Ipswich Town vs Nottingham Forest</t>
        </is>
      </c>
      <c r="E98" s="1" t="inlineStr">
        <is>
          <t>72h-all-markets-net-ev15-execution-v7</t>
        </is>
      </c>
      <c r="F98" s="1" t="inlineStr">
        <is>
          <t>PENDING_KICKOFF_OR_FINAL_SCORE</t>
        </is>
      </c>
      <c r="G98" s="1"/>
      <c r="H98" s="1"/>
      <c r="I98" s="11"/>
      <c r="J98" s="1"/>
      <c r="K98" s="1"/>
      <c r="L98" s="1"/>
      <c r="M98" s="1"/>
      <c r="N98" s="1" t="inlineStr">
        <is>
          <t>2026-W43</t>
        </is>
      </c>
      <c r="O98" s="1" t="inlineStr">
        <is>
          <t>d3f12df5a2a20809c3ac84f9a31766ba965813e3</t>
        </is>
      </c>
      <c r="P98" s="1"/>
      <c r="Q98" s="1"/>
      <c r="R98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  <col min="6" max="6" width="26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2026-10-14T11:27:05.226373+00:00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3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2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2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3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2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2026-10-13</t>
        </is>
      </c>
      <c r="C12">
        <v>530</v>
      </c>
      <c r="D12">
        <v>1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  <c r="E23" t="inlineStr">
        <is>
          <t>Recency</t>
        </is>
      </c>
      <c r="F23" t="inlineStr">
        <is>
          <t>Filter sensitivity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  <c r="E24" t="inlineStr">
        <is>
          <t>LEGACY_NOT_RECORDED</t>
        </is>
      </c>
      <c r="F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  <c r="E25" t="inlineStr">
        <is>
          <t>LEGACY_NOT_RECORDED</t>
        </is>
      </c>
      <c r="F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  <c r="E26" t="inlineStr">
        <is>
          <t>LEGACY_NOT_RECORDED</t>
        </is>
      </c>
      <c r="F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  <c r="E27" t="inlineStr">
        <is>
          <t>LEGACY_NOT_RECORDED</t>
        </is>
      </c>
      <c r="F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  <c r="E28" t="inlineStr">
        <is>
          <t>LEGACY_NOT_RECORDED</t>
        </is>
      </c>
      <c r="F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  <c r="E29" t="inlineStr">
        <is>
          <t>LEGACY_NOT_RECORDED</t>
        </is>
      </c>
      <c r="F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  <c r="E30" t="inlineStr">
        <is>
          <t>LEGACY_NOT_RECORDED</t>
        </is>
      </c>
      <c r="F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  <c r="E31" t="inlineStr">
        <is>
          <t>LEGACY_NOT_RECORDED</t>
        </is>
      </c>
      <c r="F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  <c r="E32" t="inlineStr">
        <is>
          <t>LEGACY_NOT_RECORDED</t>
        </is>
      </c>
      <c r="F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  <c r="E33" t="inlineStr">
        <is>
          <t>LEGACY_NOT_RECORDED</t>
        </is>
      </c>
      <c r="F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  <c r="E34" t="inlineStr">
        <is>
          <t>LEGACY_NOT_RECORDED</t>
        </is>
      </c>
      <c r="F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  <c r="E35" t="inlineStr">
        <is>
          <t>LEGACY_NOT_RECORDED</t>
        </is>
      </c>
      <c r="F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  <c r="E36" t="inlineStr">
        <is>
          <t>LEGACY_NOT_RECORDED</t>
        </is>
      </c>
      <c r="F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  <c r="E37" t="inlineStr">
        <is>
          <t>LEGACY_NOT_RECORDED</t>
        </is>
      </c>
      <c r="F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  <c r="E38" t="inlineStr">
        <is>
          <t>LEGACY_NOT_RECORDED</t>
        </is>
      </c>
      <c r="F38" t="inlineStr">
        <is>
          <t>LEGACY_NOT_RECORDED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  <c r="E39" t="inlineStr">
        <is>
          <t>LEGACY_NOT_RECORDED</t>
        </is>
      </c>
      <c r="F39" t="inlineStr">
        <is>
          <t>LEGACY_NOT_RECORDED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  <c r="E40" t="inlineStr">
        <is>
          <t>LEGACY_NOT_RECORDED</t>
        </is>
      </c>
      <c r="F40" t="inlineStr">
        <is>
          <t>LEGACY_NOT_RECORDED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  <c r="E41" t="inlineStr">
        <is>
          <t>LEGACY_NOT_RECORDED</t>
        </is>
      </c>
      <c r="F41" t="inlineStr">
        <is>
          <t>LEGACY_NOT_RECORDED</t>
        </is>
      </c>
    </row>
    <row r="42">
      <c r="A42" t="inlineStr">
        <is>
          <t>6556638142ba</t>
        </is>
      </c>
      <c r="B42" t="inlineStr">
        <is>
          <t>2026-10-13T16:06:07Z</t>
        </is>
      </c>
      <c r="C42" t="inlineStr">
        <is>
          <t>CAPTURED</t>
        </is>
      </c>
      <c r="D42" t="inlineStr">
        <is>
          <t>CAPTURED</t>
        </is>
      </c>
      <c r="E42" t="inlineStr">
        <is>
          <t>CAPTURED</t>
        </is>
      </c>
      <c r="F42" t="inlineStr">
        <is>
          <t>LEGACY_NOT_RECORDED</t>
        </is>
      </c>
    </row>
    <row r="43">
      <c r="A43" t="inlineStr">
        <is>
          <t>010ef527d5bf</t>
        </is>
      </c>
      <c r="B43" t="inlineStr">
        <is>
          <t>2026-10-13T17:05:34Z</t>
        </is>
      </c>
      <c r="C43" t="inlineStr">
        <is>
          <t>CAPTURED</t>
        </is>
      </c>
      <c r="D43" t="inlineStr">
        <is>
          <t>CAPTURED</t>
        </is>
      </c>
      <c r="E43" t="inlineStr">
        <is>
          <t>CAPTURED</t>
        </is>
      </c>
      <c r="F43" t="inlineStr">
        <is>
          <t>CAPTURED</t>
        </is>
      </c>
    </row>
    <row r="44">
      <c r="A44" t="inlineStr">
        <is>
          <t>d3f12df5a2a2</t>
        </is>
      </c>
      <c r="B44" t="inlineStr">
        <is>
          <t>2026-10-14T09:52:36Z</t>
        </is>
      </c>
      <c r="C44" t="inlineStr">
        <is>
          <t>CAPTURED</t>
        </is>
      </c>
      <c r="D44" t="inlineStr">
        <is>
          <t>CAPTURED</t>
        </is>
      </c>
      <c r="E44" t="inlineStr">
        <is>
          <t>CAPTURED</t>
        </is>
      </c>
      <c r="F44" t="inlineStr">
        <is>
          <t>CAPTURED</t>
        </is>
      </c>
    </row>
    <row r="45">
      <c r="A45" t="inlineStr">
        <is>
          <t>e5dcb5f67050</t>
        </is>
      </c>
      <c r="B45" t="inlineStr">
        <is>
          <t>2026-10-14T11:27:03Z</t>
        </is>
      </c>
      <c r="C45" t="inlineStr">
        <is>
          <t>CAPTURED</t>
        </is>
      </c>
      <c r="D45" t="inlineStr">
        <is>
          <t>CAPTURED</t>
        </is>
      </c>
      <c r="E45" t="inlineStr">
        <is>
          <t>CAPTURED</t>
        </is>
      </c>
      <c r="F45" t="inlineStr">
        <is>
          <t>CAPTURED</t>
        </is>
      </c>
    </row>
    <row r="46"/>
    <row r="47">
      <c r="A47" t="inlineStr">
        <is>
          <t>Daily observations</t>
        </is>
      </c>
      <c r="B47" t="inlineStr">
        <is>
          <t>Graded</t>
        </is>
      </c>
      <c r="C47" t="inlineStr">
        <is>
          <t>Win rate</t>
        </is>
      </c>
      <c r="D47" t="inlineStr">
        <is>
          <t>Net simulated ROI</t>
        </is>
      </c>
      <c r="E47" t="inlineStr">
        <is>
          <t>Brier</t>
        </is>
      </c>
    </row>
    <row r="48">
      <c r="A48" t="inlineStr">
        <is>
          <t>2026-10-13</t>
        </is>
      </c>
      <c r="B48">
        <v>9</v>
      </c>
      <c r="C48">
        <v>0.666667</v>
      </c>
      <c r="D48">
        <v>-0.096667</v>
      </c>
      <c r="E48">
        <v>0.250532</v>
      </c>
    </row>
    <row r="49">
      <c r="A49" t="inlineStr">
        <is>
          <t>2026-10-14</t>
        </is>
      </c>
      <c r="B49">
        <v>9</v>
      </c>
      <c r="C49">
        <v>0.666667</v>
      </c>
      <c r="D49">
        <v>-0.096667</v>
      </c>
      <c r="E49">
        <v>0.250532</v>
      </c>
    </row>
    <row r="50"/>
    <row r="51">
      <c r="A51" t="inlineStr">
        <is>
          <t>EV sensitivity floor</t>
        </is>
      </c>
      <c r="B51" t="inlineStr">
        <is>
          <t>Tier</t>
        </is>
      </c>
      <c r="C51" t="inlineStr">
        <is>
          <t>Selected</t>
        </is>
      </c>
      <c r="D51" t="inlineStr">
        <is>
          <t>Settled</t>
        </is>
      </c>
      <c r="E51" t="inlineStr">
        <is>
          <t>Net ROI</t>
        </is>
      </c>
      <c r="F51" t="inlineStr">
        <is>
          <t>Drawdown units</t>
        </is>
      </c>
    </row>
    <row r="52">
      <c r="A52">
        <v>0.015</v>
      </c>
      <c r="B52" t="inlineStr">
        <is>
          <t>ALL</t>
        </is>
      </c>
      <c r="C52">
        <v>5</v>
      </c>
      <c r="D52">
        <v>1</v>
      </c>
      <c r="E52">
        <v>0.17999999999999994</v>
      </c>
      <c r="F52">
        <v>0.0</v>
      </c>
    </row>
    <row r="53">
      <c r="A53">
        <v>0.015</v>
      </c>
      <c r="B53" t="inlineStr">
        <is>
          <t>STRICT</t>
        </is>
      </c>
      <c r="C53">
        <v>5</v>
      </c>
      <c r="D53">
        <v>1</v>
      </c>
      <c r="E53">
        <v>0.17999999999999994</v>
      </c>
      <c r="F53">
        <v>0.0</v>
      </c>
    </row>
    <row r="54">
      <c r="A54">
        <v>0.015</v>
      </c>
      <c r="B54" t="inlineStr">
        <is>
          <t>PROVISIONAL</t>
        </is>
      </c>
      <c r="C54">
        <v>0</v>
      </c>
      <c r="D54">
        <v>0</v>
      </c>
      <c r="E54"/>
      <c r="F54"/>
    </row>
    <row r="55">
      <c r="A55">
        <v>0.03</v>
      </c>
      <c r="B55" t="inlineStr">
        <is>
          <t>ALL</t>
        </is>
      </c>
      <c r="C55">
        <v>5</v>
      </c>
      <c r="D55">
        <v>1</v>
      </c>
      <c r="E55">
        <v>0.17999999999999994</v>
      </c>
      <c r="F55">
        <v>0.0</v>
      </c>
    </row>
    <row r="56">
      <c r="A56">
        <v>0.03</v>
      </c>
      <c r="B56" t="inlineStr">
        <is>
          <t>STRICT</t>
        </is>
      </c>
      <c r="C56">
        <v>5</v>
      </c>
      <c r="D56">
        <v>1</v>
      </c>
      <c r="E56">
        <v>0.17999999999999994</v>
      </c>
      <c r="F56">
        <v>0.0</v>
      </c>
    </row>
    <row r="57">
      <c r="A57">
        <v>0.03</v>
      </c>
      <c r="B57" t="inlineStr">
        <is>
          <t>PROVISIONAL</t>
        </is>
      </c>
      <c r="C57">
        <v>0</v>
      </c>
      <c r="D57">
        <v>0</v>
      </c>
      <c r="E57"/>
      <c r="F57"/>
    </row>
    <row r="58">
      <c r="A58">
        <v>0.05</v>
      </c>
      <c r="B58" t="inlineStr">
        <is>
          <t>ALL</t>
        </is>
      </c>
      <c r="C58">
        <v>5</v>
      </c>
      <c r="D58">
        <v>1</v>
      </c>
      <c r="E58">
        <v>0.17999999999999994</v>
      </c>
      <c r="F58">
        <v>0.0</v>
      </c>
    </row>
    <row r="59">
      <c r="A59">
        <v>0.05</v>
      </c>
      <c r="B59" t="inlineStr">
        <is>
          <t>STRICT</t>
        </is>
      </c>
      <c r="C59">
        <v>4</v>
      </c>
      <c r="D59">
        <v>1</v>
      </c>
      <c r="E59">
        <v>0.17999999999999994</v>
      </c>
      <c r="F59">
        <v>0.0</v>
      </c>
    </row>
    <row r="60">
      <c r="A60">
        <v>0.05</v>
      </c>
      <c r="B60" t="inlineStr">
        <is>
          <t>PROVISIONAL</t>
        </is>
      </c>
      <c r="C60">
        <v>1</v>
      </c>
      <c r="D60">
        <v>0</v>
      </c>
      <c r="E60"/>
      <c r="F60"/>
    </row>
    <row r="61"/>
    <row r="62">
      <c r="A62" t="inlineStr">
        <is>
          <t>Experiment review queue</t>
        </is>
      </c>
      <c r="B62" t="inlineStr">
        <is>
          <t>Status</t>
        </is>
      </c>
      <c r="C62" t="inlineStr">
        <is>
          <t>Settled evidence</t>
        </is>
      </c>
      <c r="D62" t="inlineStr">
        <is>
          <t>First-look or approval</t>
        </is>
      </c>
    </row>
    <row r="63">
      <c r="A63" t="inlineStr">
        <is>
          <t>goal_blend_experiment</t>
        </is>
      </c>
      <c r="B63" t="inlineStr">
        <is>
          <t>COLLECT_MORE_DATA</t>
        </is>
      </c>
      <c r="C63">
        <v>27</v>
      </c>
      <c r="D63" t="inlineStr">
        <is>
          <t>FIRST_LOOK_ONLY_NO_PROMOTION</t>
        </is>
      </c>
    </row>
    <row r="64">
      <c r="A64" t="inlineStr">
        <is>
          <t>market_led_experiment</t>
        </is>
      </c>
      <c r="B64" t="inlineStr">
        <is>
          <t>COLLECT_MORE_DATA</t>
        </is>
      </c>
      <c r="C64">
        <v>18</v>
      </c>
      <c r="D64" t="inlineStr">
        <is>
          <t>FIRST_LOOK_ONLY_NO_PROMOTION</t>
        </is>
      </c>
    </row>
    <row r="65">
      <c r="A65" t="inlineStr">
        <is>
          <t>recency_experiment</t>
        </is>
      </c>
      <c r="B65" t="inlineStr">
        <is>
          <t>COLLECT_MORE_DATA</t>
        </is>
      </c>
      <c r="C65">
        <v>16</v>
      </c>
      <c r="D65" t="inlineStr">
        <is>
          <t>FIRST_LOOK_ONLY_NO_PROMOTION</t>
        </is>
      </c>
    </row>
    <row r="66">
      <c r="A66" t="inlineStr">
        <is>
          <t>filter_sensitivity_experiment</t>
        </is>
      </c>
      <c r="B66" t="inlineStr">
        <is>
          <t>COLLECT_MORE_DATA</t>
        </is>
      </c>
      <c r="C66">
        <v>1</v>
      </c>
      <c r="D66" t="inlineStr">
        <is>
          <t>FIRST_LOOK_ONLY_NO_PROMOTION</t>
        </is>
      </c>
    </row>
    <row r="67">
      <c r="A67" t="inlineStr">
        <is>
          <t>benchmark_forward_experiment</t>
        </is>
      </c>
      <c r="B67" t="inlineStr">
        <is>
          <t>COLLECT_MORE_DATA</t>
        </is>
      </c>
      <c r="C67">
        <v>0</v>
      </c>
      <c r="D67" t="inlineStr">
        <is>
          <t>FORECASTING_REVIEW_APPROVAL_REQUIRED</t>
        </is>
      </c>
    </row>
    <row r="68">
      <c r="A68" t="inlineStr">
        <is>
          <t>totals_anchor_experiment</t>
        </is>
      </c>
      <c r="B68" t="inlineStr">
        <is>
          <t>COLLECT_MORE_DATA</t>
        </is>
      </c>
      <c r="C68">
        <v>0</v>
      </c>
      <c r="D68" t="inlineStr">
        <is>
          <t>FORECASTING_REVIEW_APPROVAL_REQUIRED</t>
        </is>
      </c>
    </row>
    <row r="69"/>
    <row r="70">
      <c r="A70" t="inlineStr">
        <is>
          <t>Closing bookmaker</t>
        </is>
      </c>
      <c r="B70" t="inlineStr">
        <is>
          <t>Covered selections</t>
        </is>
      </c>
      <c r="C70" t="inlineStr">
        <is>
          <t>Missing selections</t>
        </is>
      </c>
      <c r="D70" t="inlineStr">
        <is>
          <t>Pending selections</t>
        </is>
      </c>
      <c r="E70" t="inlineStr">
        <is>
          <t>Mean fair-close EV</t>
        </is>
      </c>
      <c r="F70" t="inlineStr">
        <is>
          <t>Same-book offer CLV</t>
        </is>
      </c>
    </row>
    <row r="71">
      <c r="A71" t="inlineStr">
        <is>
          <t>1xbet</t>
        </is>
      </c>
      <c r="B71">
        <v>0</v>
      </c>
      <c r="C71">
        <v>10</v>
      </c>
      <c r="D71">
        <v>10</v>
      </c>
      <c r="E71"/>
      <c r="F71"/>
    </row>
    <row r="72">
      <c r="A72" t="inlineStr">
        <is>
          <t>pinnacle</t>
        </is>
      </c>
      <c r="B72">
        <v>0</v>
      </c>
      <c r="C72">
        <v>10</v>
      </c>
      <c r="D72">
        <v>10</v>
      </c>
      <c r="E72"/>
      <c r="F72"/>
    </row>
    <row r="73">
      <c r="A73" t="inlineStr">
        <is>
          <t>Locally observed near-close quotes; official closing odds and accepted execution are unverified.</t>
        </is>
      </c>
    </row>
    <row r="74"/>
    <row r="75">
      <c r="A75" t="inlineStr">
        <is>
          <t>Review dependency versions</t>
        </is>
      </c>
    </row>
    <row r="76">
      <c r="A76" t="inlineStr">
        <is>
          <t>python</t>
        </is>
      </c>
      <c r="B76" t="inlineStr">
        <is>
          <t>3.12.15</t>
        </is>
      </c>
    </row>
    <row r="77">
      <c r="A77" t="inlineStr">
        <is>
          <t>numpy</t>
        </is>
      </c>
      <c r="B77" t="inlineStr">
        <is>
          <t>2.5.4</t>
        </is>
      </c>
    </row>
    <row r="78">
      <c r="A78" t="inlineStr">
        <is>
          <t>pandas</t>
        </is>
      </c>
      <c r="B78" t="inlineStr">
        <is>
          <t>3.0.6</t>
        </is>
      </c>
    </row>
    <row r="79">
      <c r="A79" t="inlineStr">
        <is>
          <t>scipy</t>
        </is>
      </c>
      <c r="B79" t="inlineStr">
        <is>
          <t>1.18.1</t>
        </is>
      </c>
    </row>
    <row r="80">
      <c r="A80" t="inlineStr">
        <is>
          <t>requests</t>
        </is>
      </c>
      <c r="B80" t="inlineStr">
        <is>
          <t>2.34.2</t>
        </is>
      </c>
    </row>
    <row r="81">
      <c r="A81" t="inlineStr">
        <is>
          <t>python-dotenv</t>
        </is>
      </c>
      <c r="B81" t="inlineStr">
        <is>
          <t>1.2.4</t>
        </is>
      </c>
    </row>
    <row r="82">
      <c r="A82" t="inlineStr">
        <is>
          <t>coverage</t>
        </is>
      </c>
      <c r="B82" t="inlineStr">
        <is>
          <t>7.16.2</t>
        </is>
      </c>
    </row>
    <row r="83">
      <c r="A83" t="inlineStr">
        <is>
          <t>PyYAML</t>
        </is>
      </c>
      <c r="B83" t="inlineStr">
        <is>
          <t>6.0.3</t>
        </is>
      </c>
    </row>
    <row r="84"/>
    <row r="85">
      <c r="A85" t="inlineStr">
        <is>
          <t>Improvement is not established by fresher data or software changes. Compare paired forecasts and settled results.</t>
        </is>
      </c>
    </row>
    <row r="86">
      <c r="A86" t="inlineStr">
        <is>
          <t>Account access and executable stake sizes are not verified. Exchange targets require a commission/liquidity adapter.</t>
        </is>
      </c>
    </row>
  </sheetData>
</worksheet>
</file>