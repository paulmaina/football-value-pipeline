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Plan'!$A$10:$A$58</c:f>
              <c:strCache>
                <c:ptCount val="4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</c:strCache>
            </c:strRef>
          </c:cat>
          <c:val>
            <c:numRef>
              <c:f>'ROI Plan'!$F$10:$F$58</c:f>
              <c:numCache>
                <c:formatCode>General</c:formatCode>
                <c:ptCount val="4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  <c:pt idx="44">
                  <c:v>0.42999999999999927</c:v>
                </c:pt>
                <c:pt idx="45">
                  <c:v>0.42999999999999927</c:v>
                </c:pt>
                <c:pt idx="46">
                  <c:v>0.42999999999999927</c:v>
                </c:pt>
                <c:pt idx="47">
                  <c:v>0.42999999999999927</c:v>
                </c:pt>
                <c:pt idx="48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4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2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49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IF(COUNT(Predictions!H6:H226)=0,"n.a.",AVERAGE(Predictions!H6:H226))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IF(COUNT(Predictions!I6:I226)=0,"n.a.",AVERAGE(Predictions!I6:I226))</f>
        <v>0.5426386586138614</v>
      </c>
      <c r="C17" s="18"/>
      <c r="D17" s="18" t="inlineStr">
        <is>
          <t>Over 1.5</t>
        </is>
      </c>
      <c r="E17" s="18">
        <f>COUNT(Predictions!J6:J226)</f>
        <v>101</v>
      </c>
      <c r="F17" s="20">
        <f>IF(E17=0,"n.a.",AVERAGE(Predictions!J6:J226))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COUNT(Predictions!K6:K226)</f>
        <v>101</v>
      </c>
      <c r="F18" s="20">
        <f>IF(E18=0,"n.a.",AVERAGE(Predictions!K6:K226))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COUNT(Predictions!L6:L226)</f>
        <v>101</v>
      </c>
      <c r="F19" s="20">
        <f>IF(E19=0,"n.a.",AVERAGE(Predictions!L6:L226))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COUNT(Predictions!M6:M226)</f>
        <v>101</v>
      </c>
      <c r="F20" s="20">
        <f>IF(E20=0,"n.a.",AVERAGE(Predictions!M6:M226))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2026-10-23T14:14:16.230906+00:00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10:23:48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0.42999999999999927</v>
      </c>
      <c r="G54" s="22">
        <f>$B$4+F54</f>
        <v>100.42999999999999</v>
      </c>
      <c r="H54" s="22">
        <f>MAX($B$4,$G$10:G54)</f>
        <v>102.81</v>
      </c>
      <c r="I54" s="22">
        <f>H54-G54</f>
        <v>2.3800000000000097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0.42999999999999927</v>
      </c>
      <c r="G55" s="22">
        <f>$B$4+F55</f>
        <v>100.42999999999999</v>
      </c>
      <c r="H55" s="22">
        <f>MAX($B$4,$G$10:G55)</f>
        <v>102.81</v>
      </c>
      <c r="I55" s="22">
        <f>H55-G55</f>
        <v>2.3800000000000097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0.42999999999999927</v>
      </c>
      <c r="G56" s="22">
        <f>$B$4+F56</f>
        <v>100.42999999999999</v>
      </c>
      <c r="H56" s="22">
        <f>MAX($B$4,$G$10:G56)</f>
        <v>102.81</v>
      </c>
      <c r="I56" s="22">
        <f>H56-G56</f>
        <v>2.3800000000000097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0.42999999999999927</v>
      </c>
      <c r="G57" s="22">
        <f>$B$4+F57</f>
        <v>100.42999999999999</v>
      </c>
      <c r="H57" s="22">
        <f>MAX($B$4,$G$10:G57)</f>
        <v>102.81</v>
      </c>
      <c r="I57" s="22">
        <f>H57-G57</f>
        <v>2.3800000000000097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0.42999999999999927</v>
      </c>
      <c r="G58" s="22">
        <f>$B$4+F58</f>
        <v>100.42999999999999</v>
      </c>
      <c r="H58" s="22">
        <f>MAX($B$4,$G$10:G58)</f>
        <v>102.81</v>
      </c>
      <c r="I58" s="22">
        <f>H58-G58</f>
        <v>2.3800000000000097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</sheetData>
  <mergeCells count="1">
    <mergeCell ref="A2:J2"/>
  </mergeCells>
  <conditionalFormatting sqref="E10:E5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COUNTA(Selections!$A$6:$A$54)</f>
        <v>49</v>
      </c>
      <c r="D6" s="19">
        <f>((COUNTIFS(Selections!$K$6:$K$54,"WON")+COUNTIFS(Selections!$K$6:$K$54,"HALF_WON"))+(COUNTIFS(Selections!$K$6:$K$54,"LOST")+COUNTIFS(Selections!$K$6:$K$54,"HALF_LOST"))+COUNTIFS(Selections!$K$6:$K$54,"REFUNDED"))</f>
        <v>38</v>
      </c>
      <c r="E6" s="19">
        <f>(COUNTIFS(Selections!$K$6:$K$54,"WON")+COUNTIFS(Selections!$K$6:$K$54,"HALF_WON"))</f>
        <v>28</v>
      </c>
      <c r="F6" s="19">
        <f>(COUNTIFS(Selections!$K$6:$K$54,"LOST")+COUNTIFS(Selections!$K$6:$K$54,"HALF_LOST"))</f>
        <v>10</v>
      </c>
      <c r="G6" s="19">
        <f>COUNTA(Selections!$A$6:$A$54)-((COUNTIFS(Selections!$K$6:$K$54,"WON")+COUNTIFS(Selections!$K$6:$K$54,"HALF_WON"))+(COUNTIFS(Selections!$K$6:$K$54,"LOST")+COUNTIFS(Selections!$K$6:$K$54,"HALF_LOST"))+COUNTIFS(Selections!$K$6:$K$54,"REFUNDED"))</f>
        <v>11</v>
      </c>
      <c r="H6" s="20">
        <f>IF(((COUNTIFS(Selections!$K$6:$K$54,"WON")+COUNTIFS(Selections!$K$6:$K$54,"HALF_WON"))+(COUNTIFS(Selections!$K$6:$K$54,"LOST")+COUNTIFS(Selections!$K$6:$K$54,"HALF_LOST"))+COUNTIFS(Selections!$K$6:$K$54,"REFUNDED"))=0,"n.a.",(COUNTIFS(Selections!$K$6:$K$54,"WON")+COUNTIFS(Selections!$K$6:$K$54,"HALF_WON"))/((COUNTIFS(Selections!$K$6:$K$54,"WON")+COUNTIFS(Selections!$K$6:$K$54,"HALF_WON"))+(COUNTIFS(Selections!$K$6:$K$54,"LOST")+COUNTIFS(Selections!$K$6:$K$54,"HALF_LOST"))+COUNTIFS(Selections!$K$6:$K$54,"REFUNDED")))</f>
        <v>0.7368421052631579</v>
      </c>
      <c r="I6" s="22">
        <f>SUM(Selections!$M$6:$M$54)</f>
        <v>38</v>
      </c>
      <c r="J6" s="22">
        <f>SUM(Selections!$N$6:$N$54)</f>
        <v>0.42999999999999927</v>
      </c>
      <c r="K6" s="20">
        <f>IF(SUM(Selections!$M$6:$M$54)=0,"n.a.",SUM(Selections!$N$6:$N$54)/SUM(Selections!$M$6:$M$54))</f>
        <v>0.01131578947368419</v>
      </c>
      <c r="L6" s="21">
        <f>IF(SUM(Selections!$T$6:$T$54)=0,"n.a.",SUM(Selections!$O$6:$O$54)/SUM(Selections!$T$6:$T$54))</f>
        <v>0.17692556179750585</v>
      </c>
      <c r="M6" s="20">
        <f>IF(SUM(Selections!$T$6:$T$54)=0,"n.a.",SUM(Selections!$S$6:$S$54)/SUM(Selections!$T$6:$T$54))</f>
        <v>0.7584947647729421</v>
      </c>
      <c r="N6" s="20">
        <f>IF(SUM(Selections!$T$6:$T$54)=0,"n.a.",(SUMIFS(Selections!$L$6:$L$54,Selections!$T$6:$T$54,1))/SUM(Selections!$T$6:$T$54))</f>
        <v>0.7368421052631579</v>
      </c>
      <c r="O6" s="20">
        <f>IF(SUM(Selections!$T$6:$T$54)=0,"n.a.",(SUM(Selections!$S$6:$S$54)-(SUMIFS(Selections!$L$6:$L$54,Selections!$T$6:$T$54,1)))/SUM(Selections!$T$6:$T$54))</f>
        <v>0.021652659509784233</v>
      </c>
      <c r="P6" s="19">
        <f>SUM(Selections!$T$6:$T$54)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COUNTIFS(Selections!$F$6:$F$54,"STRICT")</f>
        <v>20</v>
      </c>
      <c r="D7" s="19">
        <f>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</f>
        <v>11</v>
      </c>
      <c r="E7" s="19">
        <f>(COUNTIFS(Selections!$F$6:$F$54,"STRICT",Selections!$K$6:$K$54,"WON")+COUNTIFS(Selections!$F$6:$F$54,"STRICT",Selections!$K$6:$K$54,"HALF_WON"))</f>
        <v>10</v>
      </c>
      <c r="F7" s="19">
        <f>(COUNTIFS(Selections!$F$6:$F$54,"STRICT",Selections!$K$6:$K$54,"LOST")+COUNTIFS(Selections!$F$6:$F$54,"STRICT",Selections!$K$6:$K$54,"HALF_LOST"))</f>
        <v>1</v>
      </c>
      <c r="G7" s="19">
        <f>COUNTIFS(Selections!$F$6:$F$54,"STRICT")-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</f>
        <v>9</v>
      </c>
      <c r="H7" s="20">
        <f>IF(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=0,"n.a.",(COUNTIFS(Selections!$F$6:$F$54,"STRICT",Selections!$K$6:$K$54,"WON")+COUNTIFS(Selections!$F$6:$F$54,"STRICT",Selections!$K$6:$K$54,"HALF_WON"))/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)</f>
        <v>0.9090909090909091</v>
      </c>
      <c r="I7" s="22">
        <f>SUMIFS(Selections!$M$6:$M$54,Selections!$F$6:$F$54,"STRICT")</f>
        <v>11</v>
      </c>
      <c r="J7" s="22">
        <f>SUMIFS(Selections!$N$6:$N$54,Selections!$F$6:$F$54,"STRICT")</f>
        <v>3.32</v>
      </c>
      <c r="K7" s="20">
        <f>IF(SUMIFS(Selections!$M$6:$M$54,Selections!$F$6:$F$54,"STRICT")=0,"n.a.",SUMIFS(Selections!$N$6:$N$54,Selections!$F$6:$F$54,"STRICT")/SUMIFS(Selections!$M$6:$M$54,Selections!$F$6:$F$54,"STRICT"))</f>
        <v>0.3018181818181818</v>
      </c>
      <c r="L7" s="21">
        <f>IF(SUMIFS(Selections!$T$6:$T$54,Selections!$F$6:$F$54,"STRICT")=0,"n.a.",SUMIFS(Selections!$O$6:$O$54,Selections!$F$6:$F$54,"STRICT")/SUMIFS(Selections!$T$6:$T$54,Selections!$F$6:$F$54,"STRICT"))</f>
        <v>0.09620140437807416</v>
      </c>
      <c r="M7" s="20">
        <f>IF(SUMIFS(Selections!$T$6:$T$54,Selections!$F$6:$F$54,"STRICT")=0,"n.a.",SUMIFS(Selections!$S$6:$S$54,Selections!$F$6:$F$54,"STRICT")/SUMIFS(Selections!$T$6:$T$54,Selections!$F$6:$F$54,"STRICT"))</f>
        <v>0.7551745752675235</v>
      </c>
      <c r="N7" s="20">
        <f>IF(SUMIFS(Selections!$T$6:$T$54,Selections!$F$6:$F$54,"STRICT")=0,"n.a.",(SUMIFS(Selections!$L$6:$L$54,Selections!$F$6:$F$54,"STRICT",Selections!$T$6:$T$54,1))/SUMIFS(Selections!$T$6:$T$54,Selections!$F$6:$F$54,"STRICT"))</f>
        <v>0.9090909090909091</v>
      </c>
      <c r="O7" s="20">
        <f>IF(SUMIFS(Selections!$T$6:$T$54,Selections!$F$6:$F$54,"STRICT")=0,"n.a.",(SUMIFS(Selections!$S$6:$S$54,Selections!$F$6:$F$54,"STRICT")-(SUMIFS(Selections!$L$6:$L$54,Selections!$F$6:$F$54,"STRICT",Selections!$T$6:$T$54,1)))/SUMIFS(Selections!$T$6:$T$54,Selections!$F$6:$F$54,"STRICT"))</f>
        <v>-0.15391633382338554</v>
      </c>
      <c r="P7" s="19">
        <f>SUMIFS(Selections!$T$6:$T$54,Selections!$F$6:$F$54,"STRICT")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COUNTIFS(Selections!$F$6:$F$54,"PROVISIONAL")</f>
        <v>29</v>
      </c>
      <c r="D8" s="19">
        <f>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</f>
        <v>27</v>
      </c>
      <c r="E8" s="19">
        <f>(COUNTIFS(Selections!$F$6:$F$54,"PROVISIONAL",Selections!$K$6:$K$54,"WON")+COUNTIFS(Selections!$F$6:$F$54,"PROVISIONAL",Selections!$K$6:$K$54,"HALF_WON"))</f>
        <v>18</v>
      </c>
      <c r="F8" s="19">
        <f>(COUNTIFS(Selections!$F$6:$F$54,"PROVISIONAL",Selections!$K$6:$K$54,"LOST")+COUNTIFS(Selections!$F$6:$F$54,"PROVISIONAL",Selections!$K$6:$K$54,"HALF_LOST"))</f>
        <v>9</v>
      </c>
      <c r="G8" s="19">
        <f>COUNTIFS(Selections!$F$6:$F$54,"PROVISIONAL")-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</f>
        <v>2</v>
      </c>
      <c r="H8" s="20">
        <f>IF(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=0,"n.a.",(COUNTIFS(Selections!$F$6:$F$54,"PROVISIONAL",Selections!$K$6:$K$54,"WON")+COUNTIFS(Selections!$F$6:$F$54,"PROVISIONAL",Selections!$K$6:$K$54,"HALF_WON"))/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)</f>
        <v>0.6666666666666666</v>
      </c>
      <c r="I8" s="22">
        <f>SUMIFS(Selections!$M$6:$M$54,Selections!$F$6:$F$54,"PROVISIONAL")</f>
        <v>27</v>
      </c>
      <c r="J8" s="22">
        <f>SUMIFS(Selections!$N$6:$N$54,Selections!$F$6:$F$54,"PROVISIONAL")</f>
        <v>-2.8900000000000006</v>
      </c>
      <c r="K8" s="20">
        <f>IF(SUMIFS(Selections!$M$6:$M$54,Selections!$F$6:$F$54,"PROVISIONAL")=0,"n.a.",SUMIFS(Selections!$N$6:$N$54,Selections!$F$6:$F$54,"PROVISIONAL")/SUMIFS(Selections!$M$6:$M$54,Selections!$F$6:$F$54,"PROVISIONAL"))</f>
        <v>-0.10703703703703706</v>
      </c>
      <c r="L8" s="21">
        <f>IF(SUMIFS(Selections!$T$6:$T$54,Selections!$F$6:$F$54,"PROVISIONAL")=0,"n.a.",SUMIFS(Selections!$O$6:$O$54,Selections!$F$6:$F$54,"PROVISIONAL")/SUMIFS(Selections!$T$6:$T$54,Selections!$F$6:$F$54,"PROVISIONAL"))</f>
        <v>0.20981318148690395</v>
      </c>
      <c r="M8" s="20">
        <f>IF(SUMIFS(Selections!$T$6:$T$54,Selections!$F$6:$F$54,"PROVISIONAL")=0,"n.a.",SUMIFS(Selections!$S$6:$S$54,Selections!$F$6:$F$54,"PROVISIONAL")/SUMIFS(Selections!$T$6:$T$54,Selections!$F$6:$F$54,"PROVISIONAL"))</f>
        <v>0.7598474345714459</v>
      </c>
      <c r="N8" s="20">
        <f>IF(SUMIFS(Selections!$T$6:$T$54,Selections!$F$6:$F$54,"PROVISIONAL")=0,"n.a.",(SUMIFS(Selections!$L$6:$L$54,Selections!$F$6:$F$54,"PROVISIONAL",Selections!$T$6:$T$54,1))/SUMIFS(Selections!$T$6:$T$54,Selections!$F$6:$F$54,"PROVISIONAL"))</f>
        <v>0.6666666666666666</v>
      </c>
      <c r="O8" s="20">
        <f>IF(SUMIFS(Selections!$T$6:$T$54,Selections!$F$6:$F$54,"PROVISIONAL")=0,"n.a.",(SUMIFS(Selections!$S$6:$S$54,Selections!$F$6:$F$54,"PROVISIONAL")-(SUMIFS(Selections!$L$6:$L$54,Selections!$F$6:$F$54,"PROVISIONAL",Selections!$T$6:$T$54,1)))/SUMIFS(Selections!$T$6:$T$54,Selections!$F$6:$F$54,"PROVISIONAL"))</f>
        <v>0.09318076790477925</v>
      </c>
      <c r="P8" s="19">
        <f>SUMIFS(Selections!$T$6:$T$54,Selections!$F$6:$F$54,"PROVISIONAL")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COUNTIFS(Selections!$C$6:$C$54,"Bundesliga")</f>
        <v>6</v>
      </c>
      <c r="D9" s="19">
        <f>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</f>
        <v>3</v>
      </c>
      <c r="E9" s="19">
        <f>(COUNTIFS(Selections!$C$6:$C$54,"Bundesliga",Selections!$K$6:$K$54,"WON")+COUNTIFS(Selections!$C$6:$C$54,"Bundesliga",Selections!$K$6:$K$54,"HALF_WON"))</f>
        <v>3</v>
      </c>
      <c r="F9" s="19">
        <f>(COUNTIFS(Selections!$C$6:$C$54,"Bundesliga",Selections!$K$6:$K$54,"LOST")+COUNTIFS(Selections!$C$6:$C$54,"Bundesliga",Selections!$K$6:$K$54,"HALF_LOST"))</f>
        <v>0</v>
      </c>
      <c r="G9" s="19">
        <f>COUNTIFS(Selections!$C$6:$C$54,"Bundesliga")-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</f>
        <v>3</v>
      </c>
      <c r="H9" s="20">
        <f>IF(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=0,"n.a.",(COUNTIFS(Selections!$C$6:$C$54,"Bundesliga",Selections!$K$6:$K$54,"WON")+COUNTIFS(Selections!$C$6:$C$54,"Bundesliga",Selections!$K$6:$K$54,"HALF_WON"))/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)</f>
        <v>1.0</v>
      </c>
      <c r="I9" s="22">
        <f>SUMIFS(Selections!$M$6:$M$54,Selections!$C$6:$C$54,"Bundesliga")</f>
        <v>3</v>
      </c>
      <c r="J9" s="22">
        <f>SUMIFS(Selections!$N$6:$N$54,Selections!$C$6:$C$54,"Bundesliga")</f>
        <v>0.74</v>
      </c>
      <c r="K9" s="20">
        <f>IF(SUMIFS(Selections!$M$6:$M$54,Selections!$C$6:$C$54,"Bundesliga")=0,"n.a.",SUMIFS(Selections!$N$6:$N$54,Selections!$C$6:$C$54,"Bundesliga")/SUMIFS(Selections!$M$6:$M$54,Selections!$C$6:$C$54,"Bundesliga"))</f>
        <v>0.24666666666666667</v>
      </c>
      <c r="L9" s="21">
        <f>IF(SUMIFS(Selections!$T$6:$T$54,Selections!$C$6:$C$54,"Bundesliga")=0,"n.a.",SUMIFS(Selections!$O$6:$O$54,Selections!$C$6:$C$54,"Bundesliga")/SUMIFS(Selections!$T$6:$T$54,Selections!$C$6:$C$54,"Bundesliga"))</f>
        <v>0.03973352985046064</v>
      </c>
      <c r="M9" s="20">
        <f>IF(SUMIFS(Selections!$T$6:$T$54,Selections!$C$6:$C$54,"Bundesliga")=0,"n.a.",SUMIFS(Selections!$S$6:$S$54,Selections!$C$6:$C$54,"Bundesliga")/SUMIFS(Selections!$T$6:$T$54,Selections!$C$6:$C$54,"Bundesliga"))</f>
        <v>0.8037750849699149</v>
      </c>
      <c r="N9" s="20">
        <f>IF(SUMIFS(Selections!$T$6:$T$54,Selections!$C$6:$C$54,"Bundesliga")=0,"n.a.",(SUMIFS(Selections!$L$6:$L$54,Selections!$C$6:$C$54,"Bundesliga",Selections!$T$6:$T$54,1))/SUMIFS(Selections!$T$6:$T$54,Selections!$C$6:$C$54,"Bundesliga"))</f>
        <v>1.0</v>
      </c>
      <c r="O9" s="20">
        <f>IF(SUMIFS(Selections!$T$6:$T$54,Selections!$C$6:$C$54,"Bundesliga")=0,"n.a.",(SUMIFS(Selections!$S$6:$S$54,Selections!$C$6:$C$54,"Bundesliga")-(SUMIFS(Selections!$L$6:$L$54,Selections!$C$6:$C$54,"Bundesliga",Selections!$T$6:$T$54,1)))/SUMIFS(Selections!$T$6:$T$54,Selections!$C$6:$C$54,"Bundesliga"))</f>
        <v>-0.1962249150300851</v>
      </c>
      <c r="P9" s="19">
        <f>SUMIFS(Selections!$T$6:$T$54,Selections!$C$6:$C$54,"Bundesliga")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COUNTIFS(Selections!$C$6:$C$54,"La Liga")</f>
        <v>10</v>
      </c>
      <c r="D10" s="19">
        <f>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</f>
        <v>7</v>
      </c>
      <c r="E10" s="19">
        <f>(COUNTIFS(Selections!$C$6:$C$54,"La Liga",Selections!$K$6:$K$54,"WON")+COUNTIFS(Selections!$C$6:$C$54,"La Liga",Selections!$K$6:$K$54,"HALF_WON"))</f>
        <v>7</v>
      </c>
      <c r="F10" s="19">
        <f>(COUNTIFS(Selections!$C$6:$C$54,"La Liga",Selections!$K$6:$K$54,"LOST")+COUNTIFS(Selections!$C$6:$C$54,"La Liga",Selections!$K$6:$K$54,"HALF_LOST"))</f>
        <v>0</v>
      </c>
      <c r="G10" s="19">
        <f>COUNTIFS(Selections!$C$6:$C$54,"La Liga")-((COUNTIFS(Selections!$C$6:$C$54,"La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</f>
        <v>3</v>
      </c>
      <c r="H10" s="20">
        <f>IF(((COUNTIFS(Selections!$C$6:$C$54,"La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Liga",Selections!$K$6:$K$54,"REFUNDED"))=0,"n.a.",(COUNTIFS(Selections!$C$6:$C$54,"La Liga",Selections!$K$6:$K$54,"WON")+COUNTIFS(Selections!$C$6:$C$54,"La Liga",Selections!$K$6:$K$54,"HALF_WON"))/((COUNTIFS(Selections!$C$6:$C$54,"La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Liga",Selections!$K$6:$K$54,"REFUNDED")))</f>
        <v>1.0</v>
      </c>
      <c r="I10" s="22">
        <f>SUMIFS(Selections!$M$6:$M$54,Selections!$C$6:$C$54,"La Liga")</f>
        <v>7</v>
      </c>
      <c r="J10" s="22">
        <f>SUMIFS(Selections!$N$6:$N$54,Selections!$C$6:$C$54,"La Liga")</f>
        <v>2.3499999999999996</v>
      </c>
      <c r="K10" s="20">
        <f>IF(SUMIFS(Selections!$M$6:$M$54,Selections!$C$6:$C$54,"La Liga")=0,"n.a.",SUMIFS(Selections!$N$6:$N$54,Selections!$C$6:$C$54,"La Liga")/SUMIFS(Selections!$M$6:$M$54,Selections!$C$6:$C$54,"La Liga"))</f>
        <v>0.3357142857142857</v>
      </c>
      <c r="L10" s="21">
        <f>IF(SUMIFS(Selections!$T$6:$T$54,Selections!$C$6:$C$54,"La Liga")=0,"n.a.",SUMIFS(Selections!$O$6:$O$54,Selections!$C$6:$C$54,"La Liga")/SUMIFS(Selections!$T$6:$T$54,Selections!$C$6:$C$54,"La Liga"))</f>
        <v>0.04472528948252668</v>
      </c>
      <c r="M10" s="20">
        <f>IF(SUMIFS(Selections!$T$6:$T$54,Selections!$C$6:$C$54,"La Liga")=0,"n.a.",SUMIFS(Selections!$S$6:$S$54,Selections!$C$6:$C$54,"La Liga")/SUMIFS(Selections!$T$6:$T$54,Selections!$C$6:$C$54,"La Liga"))</f>
        <v>0.8050495168898368</v>
      </c>
      <c r="N10" s="20">
        <f>IF(SUMIFS(Selections!$T$6:$T$54,Selections!$C$6:$C$54,"La Liga")=0,"n.a.",(SUMIFS(Selections!$L$6:$L$54,Selections!$C$6:$C$54,"La Liga",Selections!$T$6:$T$54,1))/SUMIFS(Selections!$T$6:$T$54,Selections!$C$6:$C$54,"La Liga"))</f>
        <v>1.0</v>
      </c>
      <c r="O10" s="20">
        <f>IF(SUMIFS(Selections!$T$6:$T$54,Selections!$C$6:$C$54,"La Liga")=0,"n.a.",(SUMIFS(Selections!$S$6:$S$54,Selections!$C$6:$C$54,"La Liga")-(SUMIFS(Selections!$L$6:$L$54,Selections!$C$6:$C$54,"La Liga",Selections!$T$6:$T$54,1)))/SUMIFS(Selections!$T$6:$T$54,Selections!$C$6:$C$54,"La Liga"))</f>
        <v>-0.19495048311016316</v>
      </c>
      <c r="P10" s="19">
        <f>SUMIFS(Selections!$T$6:$T$54,Selections!$C$6:$C$54,"La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COUNTIFS(Selections!$C$6:$C$54,"Ligue 1")</f>
        <v>3</v>
      </c>
      <c r="D11" s="19">
        <f>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</f>
        <v>2</v>
      </c>
      <c r="E11" s="19">
        <f>(COUNTIFS(Selections!$C$6:$C$54,"Ligue 1",Selections!$K$6:$K$54,"WON")+COUNTIFS(Selections!$C$6:$C$54,"Ligue 1",Selections!$K$6:$K$54,"HALF_WON"))</f>
        <v>1</v>
      </c>
      <c r="F11" s="19">
        <f>(COUNTIFS(Selections!$C$6:$C$54,"Ligue 1",Selections!$K$6:$K$54,"LOST")+COUNTIFS(Selections!$C$6:$C$54,"Ligue 1",Selections!$K$6:$K$54,"HALF_LOST"))</f>
        <v>1</v>
      </c>
      <c r="G11" s="19">
        <f>COUNTIFS(Selections!$C$6:$C$54,"Ligue 1")-((COUNTIFS(Selections!$C$6:$C$54,"Ligue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</f>
        <v>1</v>
      </c>
      <c r="H11" s="20">
        <f>IF(((COUNTIFS(Selections!$C$6:$C$54,"Ligue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1",Selections!$K$6:$K$54,"REFUNDED"))=0,"n.a.",(COUNTIFS(Selections!$C$6:$C$54,"Ligue 1",Selections!$K$6:$K$54,"WON")+COUNTIFS(Selections!$C$6:$C$54,"Ligue 1",Selections!$K$6:$K$54,"HALF_WON"))/((COUNTIFS(Selections!$C$6:$C$54,"Ligue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1",Selections!$K$6:$K$54,"REFUNDED")))</f>
        <v>0.5</v>
      </c>
      <c r="I11" s="22">
        <f>SUMIFS(Selections!$M$6:$M$54,Selections!$C$6:$C$54,"Ligue 1")</f>
        <v>2</v>
      </c>
      <c r="J11" s="22">
        <f>SUMIFS(Selections!$N$6:$N$54,Selections!$C$6:$C$54,"Ligue 1")</f>
        <v>-0.33000000000000007</v>
      </c>
      <c r="K11" s="20">
        <f>IF(SUMIFS(Selections!$M$6:$M$54,Selections!$C$6:$C$54,"Ligue 1")=0,"n.a.",SUMIFS(Selections!$N$6:$N$54,Selections!$C$6:$C$54,"Ligue 1")/SUMIFS(Selections!$M$6:$M$54,Selections!$C$6:$C$54,"Ligue 1"))</f>
        <v>-0.16500000000000004</v>
      </c>
      <c r="L11" s="21">
        <f>IF(SUMIFS(Selections!$T$6:$T$54,Selections!$C$6:$C$54,"Ligue 1")=0,"n.a.",SUMIFS(Selections!$O$6:$O$54,Selections!$C$6:$C$54,"Ligue 1")/SUMIFS(Selections!$T$6:$T$54,Selections!$C$6:$C$54,"Ligue 1"))</f>
        <v>0.37925018842161284</v>
      </c>
      <c r="M11" s="20">
        <f>IF(SUMIFS(Selections!$T$6:$T$54,Selections!$C$6:$C$54,"Ligue 1")=0,"n.a.",SUMIFS(Selections!$S$6:$S$54,Selections!$C$6:$C$54,"Ligue 1")/SUMIFS(Selections!$T$6:$T$54,Selections!$C$6:$C$54,"Ligue 1"))</f>
        <v>0.6960953243674277</v>
      </c>
      <c r="N11" s="20">
        <f>IF(SUMIFS(Selections!$T$6:$T$54,Selections!$C$6:$C$54,"Ligue 1")=0,"n.a.",(SUMIFS(Selections!$L$6:$L$54,Selections!$C$6:$C$54,"Ligue 1",Selections!$T$6:$T$54,1))/SUMIFS(Selections!$T$6:$T$54,Selections!$C$6:$C$54,"Ligue 1"))</f>
        <v>0.5</v>
      </c>
      <c r="O11" s="20">
        <f>IF(SUMIFS(Selections!$T$6:$T$54,Selections!$C$6:$C$54,"Ligue 1")=0,"n.a.",(SUMIFS(Selections!$S$6:$S$54,Selections!$C$6:$C$54,"Ligue 1")-(SUMIFS(Selections!$L$6:$L$54,Selections!$C$6:$C$54,"Ligue 1",Selections!$T$6:$T$54,1)))/SUMIFS(Selections!$T$6:$T$54,Selections!$C$6:$C$54,"Ligue 1"))</f>
        <v>0.19609532436742771</v>
      </c>
      <c r="P11" s="19">
        <f>SUMIFS(Selections!$T$6:$T$54,Selections!$C$6:$C$54,"Ligue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COUNTIFS(Selections!$C$6:$C$54,"Premier League")</f>
        <v>8</v>
      </c>
      <c r="D12" s="19">
        <f>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</f>
        <v>7</v>
      </c>
      <c r="E12" s="19">
        <f>(COUNTIFS(Selections!$C$6:$C$54,"Premier League",Selections!$K$6:$K$54,"WON")+COUNTIFS(Selections!$C$6:$C$54,"Premier League",Selections!$K$6:$K$54,"HALF_WON"))</f>
        <v>3</v>
      </c>
      <c r="F12" s="19">
        <f>(COUNTIFS(Selections!$C$6:$C$54,"Premier League",Selections!$K$6:$K$54,"LOST")+COUNTIFS(Selections!$C$6:$C$54,"Premier League",Selections!$K$6:$K$54,"HALF_LOST"))</f>
        <v>4</v>
      </c>
      <c r="G12" s="19">
        <f>COUNTIFS(Selections!$C$6:$C$54,"Premier League")-((COUNTIFS(Selections!$C$6:$C$54,"Premier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</f>
        <v>1</v>
      </c>
      <c r="H12" s="20">
        <f>IF(((COUNTIFS(Selections!$C$6:$C$54,"Premier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League",Selections!$K$6:$K$54,"REFUNDED"))=0,"n.a.",(COUNTIFS(Selections!$C$6:$C$54,"Premier League",Selections!$K$6:$K$54,"WON")+COUNTIFS(Selections!$C$6:$C$54,"Premier League",Selections!$K$6:$K$54,"HALF_WON"))/((COUNTIFS(Selections!$C$6:$C$54,"Premier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League",Selections!$K$6:$K$54,"REFUNDED")))</f>
        <v>0.42857142857142855</v>
      </c>
      <c r="I12" s="22">
        <f>SUMIFS(Selections!$M$6:$M$54,Selections!$C$6:$C$54,"Premier League")</f>
        <v>7</v>
      </c>
      <c r="J12" s="22">
        <f>SUMIFS(Selections!$N$6:$N$54,Selections!$C$6:$C$54,"Premier League")</f>
        <v>-3.14</v>
      </c>
      <c r="K12" s="20">
        <f>IF(SUMIFS(Selections!$M$6:$M$54,Selections!$C$6:$C$54,"Premier League")=0,"n.a.",SUMIFS(Selections!$N$6:$N$54,Selections!$C$6:$C$54,"Premier League")/SUMIFS(Selections!$M$6:$M$54,Selections!$C$6:$C$54,"Premier League"))</f>
        <v>-0.44857142857142857</v>
      </c>
      <c r="L12" s="21">
        <f>IF(SUMIFS(Selections!$T$6:$T$54,Selections!$C$6:$C$54,"Premier League")=0,"n.a.",SUMIFS(Selections!$O$6:$O$54,Selections!$C$6:$C$54,"Premier League")/SUMIFS(Selections!$T$6:$T$54,Selections!$C$6:$C$54,"Premier League"))</f>
        <v>0.3247119097385153</v>
      </c>
      <c r="M12" s="20">
        <f>IF(SUMIFS(Selections!$T$6:$T$54,Selections!$C$6:$C$54,"Premier League")=0,"n.a.",SUMIFS(Selections!$S$6:$S$54,Selections!$C$6:$C$54,"Premier League")/SUMIFS(Selections!$T$6:$T$54,Selections!$C$6:$C$54,"Premier League"))</f>
        <v>0.7617010574917773</v>
      </c>
      <c r="N12" s="20">
        <f>IF(SUMIFS(Selections!$T$6:$T$54,Selections!$C$6:$C$54,"Premier League")=0,"n.a.",(SUMIFS(Selections!$L$6:$L$54,Selections!$C$6:$C$54,"Premier League",Selections!$T$6:$T$54,1))/SUMIFS(Selections!$T$6:$T$54,Selections!$C$6:$C$54,"Premier League"))</f>
        <v>0.42857142857142855</v>
      </c>
      <c r="O12" s="20">
        <f>IF(SUMIFS(Selections!$T$6:$T$54,Selections!$C$6:$C$54,"Premier League")=0,"n.a.",(SUMIFS(Selections!$S$6:$S$54,Selections!$C$6:$C$54,"Premier League")-(SUMIFS(Selections!$L$6:$L$54,Selections!$C$6:$C$54,"Premier League",Selections!$T$6:$T$54,1)))/SUMIFS(Selections!$T$6:$T$54,Selections!$C$6:$C$54,"Premier League"))</f>
        <v>0.33312962892034875</v>
      </c>
      <c r="P12" s="19">
        <f>SUMIFS(Selections!$T$6:$T$54,Selections!$C$6:$C$54,"Premier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COUNTIFS(Selections!$C$6:$C$54,"Serie A")</f>
        <v>8</v>
      </c>
      <c r="D13" s="19">
        <f>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</f>
        <v>7</v>
      </c>
      <c r="E13" s="19">
        <f>(COUNTIFS(Selections!$C$6:$C$54,"Serie A",Selections!$K$6:$K$54,"WON")+COUNTIFS(Selections!$C$6:$C$54,"Serie A",Selections!$K$6:$K$54,"HALF_WON"))</f>
        <v>4</v>
      </c>
      <c r="F13" s="19">
        <f>(COUNTIFS(Selections!$C$6:$C$54,"Serie A",Selections!$K$6:$K$54,"LOST")+COUNTIFS(Selections!$C$6:$C$54,"Serie A",Selections!$K$6:$K$54,"HALF_LOST"))</f>
        <v>3</v>
      </c>
      <c r="G13" s="19">
        <f>COUNTIFS(Selections!$C$6:$C$54,"Serie A")-((COUNTIFS(Selections!$C$6:$C$54,"Serie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</f>
        <v>1</v>
      </c>
      <c r="H13" s="20">
        <f>IF(((COUNTIFS(Selections!$C$6:$C$54,"Serie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A",Selections!$K$6:$K$54,"REFUNDED"))=0,"n.a.",(COUNTIFS(Selections!$C$6:$C$54,"Serie A",Selections!$K$6:$K$54,"WON")+COUNTIFS(Selections!$C$6:$C$54,"Serie A",Selections!$K$6:$K$54,"HALF_WON"))/((COUNTIFS(Selections!$C$6:$C$54,"Serie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A",Selections!$K$6:$K$54,"REFUNDED")))</f>
        <v>0.5714285714285714</v>
      </c>
      <c r="I13" s="22">
        <f>SUMIFS(Selections!$M$6:$M$54,Selections!$C$6:$C$54,"Serie A")</f>
        <v>7</v>
      </c>
      <c r="J13" s="22">
        <f>SUMIFS(Selections!$N$6:$N$54,Selections!$C$6:$C$54,"Serie A")</f>
        <v>-1.2</v>
      </c>
      <c r="K13" s="20">
        <f>IF(SUMIFS(Selections!$M$6:$M$54,Selections!$C$6:$C$54,"Serie A")=0,"n.a.",SUMIFS(Selections!$N$6:$N$54,Selections!$C$6:$C$54,"Serie A")/SUMIFS(Selections!$M$6:$M$54,Selections!$C$6:$C$54,"Serie A"))</f>
        <v>-0.17142857142857143</v>
      </c>
      <c r="L13" s="21">
        <f>IF(SUMIFS(Selections!$T$6:$T$54,Selections!$C$6:$C$54,"Serie A")=0,"n.a.",SUMIFS(Selections!$O$6:$O$54,Selections!$C$6:$C$54,"Serie A")/SUMIFS(Selections!$T$6:$T$54,Selections!$C$6:$C$54,"Serie A"))</f>
        <v>0.21823672177191275</v>
      </c>
      <c r="M13" s="20">
        <f>IF(SUMIFS(Selections!$T$6:$T$54,Selections!$C$6:$C$54,"Serie A")=0,"n.a.",SUMIFS(Selections!$S$6:$S$54,Selections!$C$6:$C$54,"Serie A")/SUMIFS(Selections!$T$6:$T$54,Selections!$C$6:$C$54,"Serie A"))</f>
        <v>0.6825380697167371</v>
      </c>
      <c r="N13" s="20">
        <f>IF(SUMIFS(Selections!$T$6:$T$54,Selections!$C$6:$C$54,"Serie A")=0,"n.a.",(SUMIFS(Selections!$L$6:$L$54,Selections!$C$6:$C$54,"Serie A",Selections!$T$6:$T$54,1))/SUMIFS(Selections!$T$6:$T$54,Selections!$C$6:$C$54,"Serie A"))</f>
        <v>0.5714285714285714</v>
      </c>
      <c r="O13" s="20">
        <f>IF(SUMIFS(Selections!$T$6:$T$54,Selections!$C$6:$C$54,"Serie A")=0,"n.a.",(SUMIFS(Selections!$S$6:$S$54,Selections!$C$6:$C$54,"Serie A")-(SUMIFS(Selections!$L$6:$L$54,Selections!$C$6:$C$54,"Serie A",Selections!$T$6:$T$54,1)))/SUMIFS(Selections!$T$6:$T$54,Selections!$C$6:$C$54,"Serie A"))</f>
        <v>0.11110949828816574</v>
      </c>
      <c r="P13" s="19">
        <f>SUMIFS(Selections!$T$6:$T$54,Selections!$C$6:$C$54,"Serie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COUNTIFS(Selections!$C$6:$C$54,"UEFA Champions League")</f>
        <v>14</v>
      </c>
      <c r="D14" s="19">
        <f>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</f>
        <v>12</v>
      </c>
      <c r="E14" s="19">
        <f>(COUNTIFS(Selections!$C$6:$C$54,"UEFA Champions League",Selections!$K$6:$K$54,"WON")+COUNTIFS(Selections!$C$6:$C$54,"UEFA Champions League",Selections!$K$6:$K$54,"HALF_WON"))</f>
        <v>10</v>
      </c>
      <c r="F14" s="19">
        <f>(COUNTIFS(Selections!$C$6:$C$54,"UEFA Champions League",Selections!$K$6:$K$54,"LOST")+COUNTIFS(Selections!$C$6:$C$54,"UEFA Champions League",Selections!$K$6:$K$54,"HALF_LOST"))</f>
        <v>2</v>
      </c>
      <c r="G14" s="19">
        <f>COUNTIFS(Selections!$C$6:$C$54,"UEFA Champions League")-((COUNTIFS(Selections!$C$6:$C$54,"UEFA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</f>
        <v>2</v>
      </c>
      <c r="H14" s="20">
        <f>IF(((COUNTIFS(Selections!$C$6:$C$54,"UEFA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League",Selections!$K$6:$K$54,"REFUNDED"))=0,"n.a.",(COUNTIFS(Selections!$C$6:$C$54,"UEFA Champions League",Selections!$K$6:$K$54,"WON")+COUNTIFS(Selections!$C$6:$C$54,"UEFA Champions League",Selections!$K$6:$K$54,"HALF_WON"))/((COUNTIFS(Selections!$C$6:$C$54,"UEFA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League",Selections!$K$6:$K$54,"REFUNDED")))</f>
        <v>0.8333333333333334</v>
      </c>
      <c r="I14" s="22">
        <f>SUMIFS(Selections!$M$6:$M$54,Selections!$C$6:$C$54,"UEFA Champions League")</f>
        <v>12</v>
      </c>
      <c r="J14" s="22">
        <f>SUMIFS(Selections!$N$6:$N$54,Selections!$C$6:$C$54,"UEFA Champions League")</f>
        <v>2.01</v>
      </c>
      <c r="K14" s="20">
        <f>IF(SUMIFS(Selections!$M$6:$M$54,Selections!$C$6:$C$54,"UEFA Champions League")=0,"n.a.",SUMIFS(Selections!$N$6:$N$54,Selections!$C$6:$C$54,"UEFA Champions League")/SUMIFS(Selections!$M$6:$M$54,Selections!$C$6:$C$54,"UEFA Champions League"))</f>
        <v>0.16749999999999998</v>
      </c>
      <c r="L14" s="21">
        <f>IF(SUMIFS(Selections!$T$6:$T$54,Selections!$C$6:$C$54,"UEFA Champions League")=0,"n.a.",SUMIFS(Selections!$O$6:$O$54,Selections!$C$6:$C$54,"UEFA Champions League")/SUMIFS(Selections!$T$6:$T$54,Selections!$C$6:$C$54,"UEFA Champions League"))</f>
        <v>0.14431274457999424</v>
      </c>
      <c r="M14" s="20">
        <f>IF(SUMIFS(Selections!$T$6:$T$54,Selections!$C$6:$C$54,"UEFA Champions League")=0,"n.a.",SUMIFS(Selections!$S$6:$S$54,Selections!$C$6:$C$54,"UEFA Champions League")/SUMIFS(Selections!$T$6:$T$54,Selections!$C$6:$C$54,"UEFA Champions League"))</f>
        <v>0.7728553874198951</v>
      </c>
      <c r="N14" s="20">
        <f>IF(SUMIFS(Selections!$T$6:$T$54,Selections!$C$6:$C$54,"UEFA Champions League")=0,"n.a.",(SUMIFS(Selections!$L$6:$L$54,Selections!$C$6:$C$54,"UEFA Champions League",Selections!$T$6:$T$54,1))/SUMIFS(Selections!$T$6:$T$54,Selections!$C$6:$C$54,"UEFA Champions League"))</f>
        <v>0.8333333333333334</v>
      </c>
      <c r="O14" s="20">
        <f>IF(SUMIFS(Selections!$T$6:$T$54,Selections!$C$6:$C$54,"UEFA Champions League")=0,"n.a.",(SUMIFS(Selections!$S$6:$S$54,Selections!$C$6:$C$54,"UEFA Champions League")-(SUMIFS(Selections!$L$6:$L$54,Selections!$C$6:$C$54,"UEFA Champions League",Selections!$T$6:$T$54,1)))/SUMIFS(Selections!$T$6:$T$54,Selections!$C$6:$C$54,"UEFA Champions League"))</f>
        <v>-0.06047794591343825</v>
      </c>
      <c r="P14" s="19">
        <f>SUMIFS(Selections!$T$6:$T$54,Selections!$C$6:$C$54,"UEFA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COUNTIFS(Selections!$E$6:$E$54,"Asian Handicap Away +1.00")</f>
        <v>1</v>
      </c>
      <c r="D15" s="19">
        <f>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</f>
        <v>0</v>
      </c>
      <c r="E15" s="19">
        <f>(COUNTIFS(Selections!$E$6:$E$54,"Asian Handicap Away +1.00",Selections!$K$6:$K$54,"WON")+COUNTIFS(Selections!$E$6:$E$54,"Asian Handicap Away +1.00",Selections!$K$6:$K$54,"HALF_WON"))</f>
        <v>0</v>
      </c>
      <c r="F15" s="19">
        <f>(COUNTIFS(Selections!$E$6:$E$54,"Asian Handicap Away +1.00",Selections!$K$6:$K$54,"LOST")+COUNTIFS(Selections!$E$6:$E$54,"Asian Handicap Away +1.00",Selections!$K$6:$K$54,"HALF_LOST"))</f>
        <v>0</v>
      </c>
      <c r="G15" s="19">
        <f>COUNTIFS(Selections!$E$6:$E$54,"Asian Handicap Away +1.00")-((COUNTIFS(Selections!$E$6:$E$54,"Asian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</f>
        <v>1</v>
      </c>
      <c r="H15" s="20" t="str">
        <f>IF(((COUNTIFS(Selections!$E$6:$E$54,"Asian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+1.00",Selections!$K$6:$K$54,"REFUNDED"))=0,"n.a.",(COUNTIFS(Selections!$E$6:$E$54,"Asian Handicap Away +1.00",Selections!$K$6:$K$54,"WON")+COUNTIFS(Selections!$E$6:$E$54,"Asian Handicap Away +1.00",Selections!$K$6:$K$54,"HALF_WON"))/((COUNTIFS(Selections!$E$6:$E$54,"Asian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+1.00",Selections!$K$6:$K$54,"REFUNDED")))</f>
        <v>n.a.</v>
      </c>
      <c r="I15" s="22">
        <f>SUMIFS(Selections!$M$6:$M$54,Selections!$E$6:$E$54,"Asian Handicap Away +1.00")</f>
        <v>0</v>
      </c>
      <c r="J15" s="22">
        <f>SUMIFS(Selections!$N$6:$N$54,Selections!$E$6:$E$54,"Asian Handicap Away +1.00")</f>
        <v>0</v>
      </c>
      <c r="K15" s="20" t="str">
        <f>IF(SUMIFS(Selections!$M$6:$M$54,Selections!$E$6:$E$54,"Asian Handicap Away +1.00")=0,"n.a.",SUMIFS(Selections!$N$6:$N$54,Selections!$E$6:$E$54,"Asian Handicap Away +1.00")/SUMIFS(Selections!$M$6:$M$54,Selections!$E$6:$E$54,"Asian Handicap Away +1.00"))</f>
        <v>n.a.</v>
      </c>
      <c r="L15" s="21" t="str">
        <f>IF(SUMIFS(Selections!$T$6:$T$54,Selections!$E$6:$E$54,"Asian Handicap Away +1.00")=0,"n.a.",SUMIFS(Selections!$O$6:$O$54,Selections!$E$6:$E$54,"Asian Handicap Away +1.00")/SUMIFS(Selections!$T$6:$T$54,Selections!$E$6:$E$54,"Asian Handicap Away +1.00"))</f>
        <v>n.a.</v>
      </c>
      <c r="M15" s="20" t="str">
        <f>IF(SUMIFS(Selections!$T$6:$T$54,Selections!$E$6:$E$54,"Asian Handicap Away +1.00")=0,"n.a.",SUMIFS(Selections!$S$6:$S$54,Selections!$E$6:$E$54,"Asian Handicap Away +1.00")/SUMIFS(Selections!$T$6:$T$54,Selections!$E$6:$E$54,"Asian Handicap Away +1.00"))</f>
        <v>n.a.</v>
      </c>
      <c r="N15" s="20" t="str">
        <f>IF(SUMIFS(Selections!$T$6:$T$54,Selections!$E$6:$E$54,"Asian Handicap Away +1.00")=0,"n.a.",(SUMIFS(Selections!$L$6:$L$54,Selections!$E$6:$E$54,"Asian Handicap Away +1.00",Selections!$T$6:$T$54,1))/SUMIFS(Selections!$T$6:$T$54,Selections!$E$6:$E$54,"Asian Handicap Away +1.00"))</f>
        <v>n.a.</v>
      </c>
      <c r="O15" s="20" t="str">
        <f>IF(SUMIFS(Selections!$T$6:$T$54,Selections!$E$6:$E$54,"Asian Handicap Away +1.00")=0,"n.a.",(SUMIFS(Selections!$S$6:$S$54,Selections!$E$6:$E$54,"Asian Handicap Away +1.00")-(SUMIFS(Selections!$L$6:$L$54,Selections!$E$6:$E$54,"Asian Handicap Away +1.00",Selections!$T$6:$T$54,1)))/SUMIFS(Selections!$T$6:$T$54,Selections!$E$6:$E$54,"Asian Handicap Away +1.00"))</f>
        <v>n.a.</v>
      </c>
      <c r="P15" s="19">
        <f>SUMIFS(Selections!$T$6:$T$54,Selections!$E$6:$E$54,"Asian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COUNTIFS(Selections!$E$6:$E$54,"Asian Handicap Away +1.25")</f>
        <v>1</v>
      </c>
      <c r="D16" s="19">
        <f>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</f>
        <v>0</v>
      </c>
      <c r="E16" s="19">
        <f>(COUNTIFS(Selections!$E$6:$E$54,"Asian Handicap Away +1.25",Selections!$K$6:$K$54,"WON")+COUNTIFS(Selections!$E$6:$E$54,"Asian Handicap Away +1.25",Selections!$K$6:$K$54,"HALF_WON"))</f>
        <v>0</v>
      </c>
      <c r="F16" s="19">
        <f>(COUNTIFS(Selections!$E$6:$E$54,"Asian Handicap Away +1.25",Selections!$K$6:$K$54,"LOST")+COUNTIFS(Selections!$E$6:$E$54,"Asian Handicap Away +1.25",Selections!$K$6:$K$54,"HALF_LOST"))</f>
        <v>0</v>
      </c>
      <c r="G16" s="19">
        <f>COUNTIFS(Selections!$E$6:$E$54,"Asian Handicap Away +1.25")-((COUNTIFS(Selections!$E$6:$E$54,"Asian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</f>
        <v>1</v>
      </c>
      <c r="H16" s="20" t="str">
        <f>IF(((COUNTIFS(Selections!$E$6:$E$54,"Asian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+1.25",Selections!$K$6:$K$54,"REFUNDED"))=0,"n.a.",(COUNTIFS(Selections!$E$6:$E$54,"Asian Handicap Away +1.25",Selections!$K$6:$K$54,"WON")+COUNTIFS(Selections!$E$6:$E$54,"Asian Handicap Away +1.25",Selections!$K$6:$K$54,"HALF_WON"))/((COUNTIFS(Selections!$E$6:$E$54,"Asian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+1.25",Selections!$K$6:$K$54,"REFUNDED")))</f>
        <v>n.a.</v>
      </c>
      <c r="I16" s="22">
        <f>SUMIFS(Selections!$M$6:$M$54,Selections!$E$6:$E$54,"Asian Handicap Away +1.25")</f>
        <v>0</v>
      </c>
      <c r="J16" s="22">
        <f>SUMIFS(Selections!$N$6:$N$54,Selections!$E$6:$E$54,"Asian Handicap Away +1.25")</f>
        <v>0</v>
      </c>
      <c r="K16" s="20" t="str">
        <f>IF(SUMIFS(Selections!$M$6:$M$54,Selections!$E$6:$E$54,"Asian Handicap Away +1.25")=0,"n.a.",SUMIFS(Selections!$N$6:$N$54,Selections!$E$6:$E$54,"Asian Handicap Away +1.25")/SUMIFS(Selections!$M$6:$M$54,Selections!$E$6:$E$54,"Asian Handicap Away +1.25"))</f>
        <v>n.a.</v>
      </c>
      <c r="L16" s="21" t="str">
        <f>IF(SUMIFS(Selections!$T$6:$T$54,Selections!$E$6:$E$54,"Asian Handicap Away +1.25")=0,"n.a.",SUMIFS(Selections!$O$6:$O$54,Selections!$E$6:$E$54,"Asian Handicap Away +1.25")/SUMIFS(Selections!$T$6:$T$54,Selections!$E$6:$E$54,"Asian Handicap Away +1.25"))</f>
        <v>n.a.</v>
      </c>
      <c r="M16" s="20" t="str">
        <f>IF(SUMIFS(Selections!$T$6:$T$54,Selections!$E$6:$E$54,"Asian Handicap Away +1.25")=0,"n.a.",SUMIFS(Selections!$S$6:$S$54,Selections!$E$6:$E$54,"Asian Handicap Away +1.25")/SUMIFS(Selections!$T$6:$T$54,Selections!$E$6:$E$54,"Asian Handicap Away +1.25"))</f>
        <v>n.a.</v>
      </c>
      <c r="N16" s="20" t="str">
        <f>IF(SUMIFS(Selections!$T$6:$T$54,Selections!$E$6:$E$54,"Asian Handicap Away +1.25")=0,"n.a.",(SUMIFS(Selections!$L$6:$L$54,Selections!$E$6:$E$54,"Asian Handicap Away +1.25",Selections!$T$6:$T$54,1))/SUMIFS(Selections!$T$6:$T$54,Selections!$E$6:$E$54,"Asian Handicap Away +1.25"))</f>
        <v>n.a.</v>
      </c>
      <c r="O16" s="20" t="str">
        <f>IF(SUMIFS(Selections!$T$6:$T$54,Selections!$E$6:$E$54,"Asian Handicap Away +1.25")=0,"n.a.",(SUMIFS(Selections!$S$6:$S$54,Selections!$E$6:$E$54,"Asian Handicap Away +1.25")-(SUMIFS(Selections!$L$6:$L$54,Selections!$E$6:$E$54,"Asian Handicap Away +1.25",Selections!$T$6:$T$54,1)))/SUMIFS(Selections!$T$6:$T$54,Selections!$E$6:$E$54,"Asian Handicap Away +1.25"))</f>
        <v>n.a.</v>
      </c>
      <c r="P16" s="19">
        <f>SUMIFS(Selections!$T$6:$T$54,Selections!$E$6:$E$54,"Asian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COUNTIFS(Selections!$E$6:$E$54,"Asian Handicap Away +2.00")</f>
        <v>1</v>
      </c>
      <c r="D17" s="19">
        <f>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</f>
        <v>0</v>
      </c>
      <c r="E17" s="19">
        <f>(COUNTIFS(Selections!$E$6:$E$54,"Asian Handicap Away +2.00",Selections!$K$6:$K$54,"WON")+COUNTIFS(Selections!$E$6:$E$54,"Asian Handicap Away +2.00",Selections!$K$6:$K$54,"HALF_WON"))</f>
        <v>0</v>
      </c>
      <c r="F17" s="19">
        <f>(COUNTIFS(Selections!$E$6:$E$54,"Asian Handicap Away +2.00",Selections!$K$6:$K$54,"LOST")+COUNTIFS(Selections!$E$6:$E$54,"Asian Handicap Away +2.00",Selections!$K$6:$K$54,"HALF_LOST"))</f>
        <v>0</v>
      </c>
      <c r="G17" s="19">
        <f>COUNTIFS(Selections!$E$6:$E$54,"Asian Handicap Away +2.00")-((COUNTIFS(Selections!$E$6:$E$54,"Asian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</f>
        <v>1</v>
      </c>
      <c r="H17" s="20" t="str">
        <f>IF(((COUNTIFS(Selections!$E$6:$E$54,"Asian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+2.00",Selections!$K$6:$K$54,"REFUNDED"))=0,"n.a.",(COUNTIFS(Selections!$E$6:$E$54,"Asian Handicap Away +2.00",Selections!$K$6:$K$54,"WON")+COUNTIFS(Selections!$E$6:$E$54,"Asian Handicap Away +2.00",Selections!$K$6:$K$54,"HALF_WON"))/((COUNTIFS(Selections!$E$6:$E$54,"Asian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+2.00",Selections!$K$6:$K$54,"REFUNDED")))</f>
        <v>n.a.</v>
      </c>
      <c r="I17" s="22">
        <f>SUMIFS(Selections!$M$6:$M$54,Selections!$E$6:$E$54,"Asian Handicap Away +2.00")</f>
        <v>0</v>
      </c>
      <c r="J17" s="22">
        <f>SUMIFS(Selections!$N$6:$N$54,Selections!$E$6:$E$54,"Asian Handicap Away +2.00")</f>
        <v>0</v>
      </c>
      <c r="K17" s="20" t="str">
        <f>IF(SUMIFS(Selections!$M$6:$M$54,Selections!$E$6:$E$54,"Asian Handicap Away +2.00")=0,"n.a.",SUMIFS(Selections!$N$6:$N$54,Selections!$E$6:$E$54,"Asian Handicap Away +2.00")/SUMIFS(Selections!$M$6:$M$54,Selections!$E$6:$E$54,"Asian Handicap Away +2.00"))</f>
        <v>n.a.</v>
      </c>
      <c r="L17" s="21" t="str">
        <f>IF(SUMIFS(Selections!$T$6:$T$54,Selections!$E$6:$E$54,"Asian Handicap Away +2.00")=0,"n.a.",SUMIFS(Selections!$O$6:$O$54,Selections!$E$6:$E$54,"Asian Handicap Away +2.00")/SUMIFS(Selections!$T$6:$T$54,Selections!$E$6:$E$54,"Asian Handicap Away +2.00"))</f>
        <v>n.a.</v>
      </c>
      <c r="M17" s="20" t="str">
        <f>IF(SUMIFS(Selections!$T$6:$T$54,Selections!$E$6:$E$54,"Asian Handicap Away +2.00")=0,"n.a.",SUMIFS(Selections!$S$6:$S$54,Selections!$E$6:$E$54,"Asian Handicap Away +2.00")/SUMIFS(Selections!$T$6:$T$54,Selections!$E$6:$E$54,"Asian Handicap Away +2.00"))</f>
        <v>n.a.</v>
      </c>
      <c r="N17" s="20" t="str">
        <f>IF(SUMIFS(Selections!$T$6:$T$54,Selections!$E$6:$E$54,"Asian Handicap Away +2.00")=0,"n.a.",(SUMIFS(Selections!$L$6:$L$54,Selections!$E$6:$E$54,"Asian Handicap Away +2.00",Selections!$T$6:$T$54,1))/SUMIFS(Selections!$T$6:$T$54,Selections!$E$6:$E$54,"Asian Handicap Away +2.00"))</f>
        <v>n.a.</v>
      </c>
      <c r="O17" s="20" t="str">
        <f>IF(SUMIFS(Selections!$T$6:$T$54,Selections!$E$6:$E$54,"Asian Handicap Away +2.00")=0,"n.a.",(SUMIFS(Selections!$S$6:$S$54,Selections!$E$6:$E$54,"Asian Handicap Away +2.00")-(SUMIFS(Selections!$L$6:$L$54,Selections!$E$6:$E$54,"Asian Handicap Away +2.00",Selections!$T$6:$T$54,1)))/SUMIFS(Selections!$T$6:$T$54,Selections!$E$6:$E$54,"Asian Handicap Away +2.00"))</f>
        <v>n.a.</v>
      </c>
      <c r="P17" s="19">
        <f>SUMIFS(Selections!$T$6:$T$54,Selections!$E$6:$E$54,"Asian Handicap Away +2.00")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COUNTIFS(Selections!$E$6:$E$54,"Asian Handicap Away +2.25")</f>
        <v>1</v>
      </c>
      <c r="D18" s="19">
        <f>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</f>
        <v>0</v>
      </c>
      <c r="E18" s="19">
        <f>(COUNTIFS(Selections!$E$6:$E$54,"Asian Handicap Away +2.25",Selections!$K$6:$K$54,"WON")+COUNTIFS(Selections!$E$6:$E$54,"Asian Handicap Away +2.25",Selections!$K$6:$K$54,"HALF_WON"))</f>
        <v>0</v>
      </c>
      <c r="F18" s="19">
        <f>(COUNTIFS(Selections!$E$6:$E$54,"Asian Handicap Away +2.25",Selections!$K$6:$K$54,"LOST")+COUNTIFS(Selections!$E$6:$E$54,"Asian Handicap Away +2.25",Selections!$K$6:$K$54,"HALF_LOST"))</f>
        <v>0</v>
      </c>
      <c r="G18" s="19">
        <f>COUNTIFS(Selections!$E$6:$E$54,"Asian Handicap Away +2.25")-((COUNTIFS(Selections!$E$6:$E$54,"Asian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</f>
        <v>1</v>
      </c>
      <c r="H18" s="20" t="str">
        <f>IF(((COUNTIFS(Selections!$E$6:$E$54,"Asian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+2.25",Selections!$K$6:$K$54,"REFUNDED"))=0,"n.a.",(COUNTIFS(Selections!$E$6:$E$54,"Asian Handicap Away +2.25",Selections!$K$6:$K$54,"WON")+COUNTIFS(Selections!$E$6:$E$54,"Asian Handicap Away +2.25",Selections!$K$6:$K$54,"HALF_WON"))/((COUNTIFS(Selections!$E$6:$E$54,"Asian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+2.25",Selections!$K$6:$K$54,"REFUNDED")))</f>
        <v>n.a.</v>
      </c>
      <c r="I18" s="22">
        <f>SUMIFS(Selections!$M$6:$M$54,Selections!$E$6:$E$54,"Asian Handicap Away +2.25")</f>
        <v>0</v>
      </c>
      <c r="J18" s="22">
        <f>SUMIFS(Selections!$N$6:$N$54,Selections!$E$6:$E$54,"Asian Handicap Away +2.25")</f>
        <v>0</v>
      </c>
      <c r="K18" s="20" t="str">
        <f>IF(SUMIFS(Selections!$M$6:$M$54,Selections!$E$6:$E$54,"Asian Handicap Away +2.25")=0,"n.a.",SUMIFS(Selections!$N$6:$N$54,Selections!$E$6:$E$54,"Asian Handicap Away +2.25")/SUMIFS(Selections!$M$6:$M$54,Selections!$E$6:$E$54,"Asian Handicap Away +2.25"))</f>
        <v>n.a.</v>
      </c>
      <c r="L18" s="21" t="str">
        <f>IF(SUMIFS(Selections!$T$6:$T$54,Selections!$E$6:$E$54,"Asian Handicap Away +2.25")=0,"n.a.",SUMIFS(Selections!$O$6:$O$54,Selections!$E$6:$E$54,"Asian Handicap Away +2.25")/SUMIFS(Selections!$T$6:$T$54,Selections!$E$6:$E$54,"Asian Handicap Away +2.25"))</f>
        <v>n.a.</v>
      </c>
      <c r="M18" s="20" t="str">
        <f>IF(SUMIFS(Selections!$T$6:$T$54,Selections!$E$6:$E$54,"Asian Handicap Away +2.25")=0,"n.a.",SUMIFS(Selections!$S$6:$S$54,Selections!$E$6:$E$54,"Asian Handicap Away +2.25")/SUMIFS(Selections!$T$6:$T$54,Selections!$E$6:$E$54,"Asian Handicap Away +2.25"))</f>
        <v>n.a.</v>
      </c>
      <c r="N18" s="20" t="str">
        <f>IF(SUMIFS(Selections!$T$6:$T$54,Selections!$E$6:$E$54,"Asian Handicap Away +2.25")=0,"n.a.",(SUMIFS(Selections!$L$6:$L$54,Selections!$E$6:$E$54,"Asian Handicap Away +2.25",Selections!$T$6:$T$54,1))/SUMIFS(Selections!$T$6:$T$54,Selections!$E$6:$E$54,"Asian Handicap Away +2.25"))</f>
        <v>n.a.</v>
      </c>
      <c r="O18" s="20" t="str">
        <f>IF(SUMIFS(Selections!$T$6:$T$54,Selections!$E$6:$E$54,"Asian Handicap Away +2.25")=0,"n.a.",(SUMIFS(Selections!$S$6:$S$54,Selections!$E$6:$E$54,"Asian Handicap Away +2.25")-(SUMIFS(Selections!$L$6:$L$54,Selections!$E$6:$E$54,"Asian Handicap Away +2.25",Selections!$T$6:$T$54,1)))/SUMIFS(Selections!$T$6:$T$54,Selections!$E$6:$E$54,"Asian Handicap Away +2.25"))</f>
        <v>n.a.</v>
      </c>
      <c r="P18" s="19">
        <f>SUMIFS(Selections!$T$6:$T$54,Selections!$E$6:$E$54,"Asian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+3.00</t>
        </is>
      </c>
      <c r="C19" s="19">
        <f>COUNTIFS(Selections!$E$6:$E$54,"Asian Handicap Away +3.00")</f>
        <v>1</v>
      </c>
      <c r="D19" s="19">
        <f>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</f>
        <v>0</v>
      </c>
      <c r="E19" s="19">
        <f>(COUNTIFS(Selections!$E$6:$E$54,"Asian Handicap Away +3.00",Selections!$K$6:$K$54,"WON")+COUNTIFS(Selections!$E$6:$E$54,"Asian Handicap Away +3.00",Selections!$K$6:$K$54,"HALF_WON"))</f>
        <v>0</v>
      </c>
      <c r="F19" s="19">
        <f>(COUNTIFS(Selections!$E$6:$E$54,"Asian Handicap Away +3.00",Selections!$K$6:$K$54,"LOST")+COUNTIFS(Selections!$E$6:$E$54,"Asian Handicap Away +3.00",Selections!$K$6:$K$54,"HALF_LOST"))</f>
        <v>0</v>
      </c>
      <c r="G19" s="19">
        <f>COUNTIFS(Selections!$E$6:$E$54,"Asian Handicap Away +3.00")-((COUNTIFS(Selections!$E$6:$E$54,"Asian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</f>
        <v>1</v>
      </c>
      <c r="H19" s="20" t="str">
        <f>IF(((COUNTIFS(Selections!$E$6:$E$54,"Asian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+3.00",Selections!$K$6:$K$54,"REFUNDED"))=0,"n.a.",(COUNTIFS(Selections!$E$6:$E$54,"Asian Handicap Away +3.00",Selections!$K$6:$K$54,"WON")+COUNTIFS(Selections!$E$6:$E$54,"Asian Handicap Away +3.00",Selections!$K$6:$K$54,"HALF_WON"))/((COUNTIFS(Selections!$E$6:$E$54,"Asian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+3.00",Selections!$K$6:$K$54,"REFUNDED")))</f>
        <v>n.a.</v>
      </c>
      <c r="I19" s="22">
        <f>SUMIFS(Selections!$M$6:$M$54,Selections!$E$6:$E$54,"Asian Handicap Away +3.00")</f>
        <v>0</v>
      </c>
      <c r="J19" s="22">
        <f>SUMIFS(Selections!$N$6:$N$54,Selections!$E$6:$E$54,"Asian Handicap Away +3.00")</f>
        <v>0</v>
      </c>
      <c r="K19" s="20" t="str">
        <f>IF(SUMIFS(Selections!$M$6:$M$54,Selections!$E$6:$E$54,"Asian Handicap Away +3.00")=0,"n.a.",SUMIFS(Selections!$N$6:$N$54,Selections!$E$6:$E$54,"Asian Handicap Away +3.00")/SUMIFS(Selections!$M$6:$M$54,Selections!$E$6:$E$54,"Asian Handicap Away +3.00"))</f>
        <v>n.a.</v>
      </c>
      <c r="L19" s="21" t="str">
        <f>IF(SUMIFS(Selections!$T$6:$T$54,Selections!$E$6:$E$54,"Asian Handicap Away +3.00")=0,"n.a.",SUMIFS(Selections!$O$6:$O$54,Selections!$E$6:$E$54,"Asian Handicap Away +3.00")/SUMIFS(Selections!$T$6:$T$54,Selections!$E$6:$E$54,"Asian Handicap Away +3.00"))</f>
        <v>n.a.</v>
      </c>
      <c r="M19" s="20" t="str">
        <f>IF(SUMIFS(Selections!$T$6:$T$54,Selections!$E$6:$E$54,"Asian Handicap Away +3.00")=0,"n.a.",SUMIFS(Selections!$S$6:$S$54,Selections!$E$6:$E$54,"Asian Handicap Away +3.00")/SUMIFS(Selections!$T$6:$T$54,Selections!$E$6:$E$54,"Asian Handicap Away +3.00"))</f>
        <v>n.a.</v>
      </c>
      <c r="N19" s="20" t="str">
        <f>IF(SUMIFS(Selections!$T$6:$T$54,Selections!$E$6:$E$54,"Asian Handicap Away +3.00")=0,"n.a.",(SUMIFS(Selections!$L$6:$L$54,Selections!$E$6:$E$54,"Asian Handicap Away +3.00",Selections!$T$6:$T$54,1))/SUMIFS(Selections!$T$6:$T$54,Selections!$E$6:$E$54,"Asian Handicap Away +3.00"))</f>
        <v>n.a.</v>
      </c>
      <c r="O19" s="20" t="str">
        <f>IF(SUMIFS(Selections!$T$6:$T$54,Selections!$E$6:$E$54,"Asian Handicap Away +3.00")=0,"n.a.",(SUMIFS(Selections!$S$6:$S$54,Selections!$E$6:$E$54,"Asian Handicap Away +3.00")-(SUMIFS(Selections!$L$6:$L$54,Selections!$E$6:$E$54,"Asian Handicap Away +3.00",Selections!$T$6:$T$54,1)))/SUMIFS(Selections!$T$6:$T$54,Selections!$E$6:$E$54,"Asian Handicap Away +3.00"))</f>
        <v>n.a.</v>
      </c>
      <c r="P19" s="19">
        <f>SUMIFS(Selections!$T$6:$T$54,Selections!$E$6:$E$54,"Asian Handicap Away +3.00")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+2.00</t>
        </is>
      </c>
      <c r="C20" s="19">
        <f>COUNTIFS(Selections!$E$6:$E$54,"Asian Handicap Home +2.00")</f>
        <v>1</v>
      </c>
      <c r="D20" s="19">
        <f>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</f>
        <v>0</v>
      </c>
      <c r="E20" s="19">
        <f>(COUNTIFS(Selections!$E$6:$E$54,"Asian Handicap Home +2.00",Selections!$K$6:$K$54,"WON")+COUNTIFS(Selections!$E$6:$E$54,"Asian Handicap Home +2.00",Selections!$K$6:$K$54,"HALF_WON"))</f>
        <v>0</v>
      </c>
      <c r="F20" s="19">
        <f>(COUNTIFS(Selections!$E$6:$E$54,"Asian Handicap Home +2.00",Selections!$K$6:$K$54,"LOST")+COUNTIFS(Selections!$E$6:$E$54,"Asian Handicap Home +2.00",Selections!$K$6:$K$54,"HALF_LOST"))</f>
        <v>0</v>
      </c>
      <c r="G20" s="19">
        <f>COUNTIFS(Selections!$E$6:$E$54,"Asian Handicap Home +2.00")-((COUNTIFS(Selections!$E$6:$E$54,"Asian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</f>
        <v>1</v>
      </c>
      <c r="H20" s="20" t="str">
        <f>IF(((COUNTIFS(Selections!$E$6:$E$54,"Asian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+2.00",Selections!$K$6:$K$54,"REFUNDED"))=0,"n.a.",(COUNTIFS(Selections!$E$6:$E$54,"Asian Handicap Home +2.00",Selections!$K$6:$K$54,"WON")+COUNTIFS(Selections!$E$6:$E$54,"Asian Handicap Home +2.00",Selections!$K$6:$K$54,"HALF_WON"))/((COUNTIFS(Selections!$E$6:$E$54,"Asian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+2.00",Selections!$K$6:$K$54,"REFUNDED")))</f>
        <v>n.a.</v>
      </c>
      <c r="I20" s="22">
        <f>SUMIFS(Selections!$M$6:$M$54,Selections!$E$6:$E$54,"Asian Handicap Home +2.00")</f>
        <v>0</v>
      </c>
      <c r="J20" s="22">
        <f>SUMIFS(Selections!$N$6:$N$54,Selections!$E$6:$E$54,"Asian Handicap Home +2.00")</f>
        <v>0</v>
      </c>
      <c r="K20" s="20" t="str">
        <f>IF(SUMIFS(Selections!$M$6:$M$54,Selections!$E$6:$E$54,"Asian Handicap Home +2.00")=0,"n.a.",SUMIFS(Selections!$N$6:$N$54,Selections!$E$6:$E$54,"Asian Handicap Home +2.00")/SUMIFS(Selections!$M$6:$M$54,Selections!$E$6:$E$54,"Asian Handicap Home +2.00"))</f>
        <v>n.a.</v>
      </c>
      <c r="L20" s="21" t="str">
        <f>IF(SUMIFS(Selections!$T$6:$T$54,Selections!$E$6:$E$54,"Asian Handicap Home +2.00")=0,"n.a.",SUMIFS(Selections!$O$6:$O$54,Selections!$E$6:$E$54,"Asian Handicap Home +2.00")/SUMIFS(Selections!$T$6:$T$54,Selections!$E$6:$E$54,"Asian Handicap Home +2.00"))</f>
        <v>n.a.</v>
      </c>
      <c r="M20" s="20" t="str">
        <f>IF(SUMIFS(Selections!$T$6:$T$54,Selections!$E$6:$E$54,"Asian Handicap Home +2.00")=0,"n.a.",SUMIFS(Selections!$S$6:$S$54,Selections!$E$6:$E$54,"Asian Handicap Home +2.00")/SUMIFS(Selections!$T$6:$T$54,Selections!$E$6:$E$54,"Asian Handicap Home +2.00"))</f>
        <v>n.a.</v>
      </c>
      <c r="N20" s="20" t="str">
        <f>IF(SUMIFS(Selections!$T$6:$T$54,Selections!$E$6:$E$54,"Asian Handicap Home +2.00")=0,"n.a.",(SUMIFS(Selections!$L$6:$L$54,Selections!$E$6:$E$54,"Asian Handicap Home +2.00",Selections!$T$6:$T$54,1))/SUMIFS(Selections!$T$6:$T$54,Selections!$E$6:$E$54,"Asian Handicap Home +2.00"))</f>
        <v>n.a.</v>
      </c>
      <c r="O20" s="20" t="str">
        <f>IF(SUMIFS(Selections!$T$6:$T$54,Selections!$E$6:$E$54,"Asian Handicap Home +2.00")=0,"n.a.",(SUMIFS(Selections!$S$6:$S$54,Selections!$E$6:$E$54,"Asian Handicap Home +2.00")-(SUMIFS(Selections!$L$6:$L$54,Selections!$E$6:$E$54,"Asian Handicap Home +2.00",Selections!$T$6:$T$54,1)))/SUMIFS(Selections!$T$6:$T$54,Selections!$E$6:$E$54,"Asian Handicap Home +2.00"))</f>
        <v>n.a.</v>
      </c>
      <c r="P20" s="19">
        <f>SUMIFS(Selections!$T$6:$T$54,Selections!$E$6:$E$54,"Asian Handicap Home +2.00")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COUNTIFS(Selections!$E$6:$E$54,"Away win")</f>
        <v>1</v>
      </c>
      <c r="D21" s="19">
        <f>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</f>
        <v>1</v>
      </c>
      <c r="E21" s="19">
        <f>(COUNTIFS(Selections!$E$6:$E$54,"Away win",Selections!$K$6:$K$54,"WON")+COUNTIFS(Selections!$E$6:$E$54,"Away win",Selections!$K$6:$K$54,"HALF_WON"))</f>
        <v>0</v>
      </c>
      <c r="F21" s="19">
        <f>(COUNTIFS(Selections!$E$6:$E$54,"Away win",Selections!$K$6:$K$54,"LOST")+COUNTIFS(Selections!$E$6:$E$54,"Away win",Selections!$K$6:$K$54,"HALF_LOST"))</f>
        <v>1</v>
      </c>
      <c r="G21" s="19">
        <f>COUNTIFS(Selections!$E$6:$E$54,"Away win")-((COUNTIFS(Selections!$E$6:$E$54,"Away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</f>
        <v>0</v>
      </c>
      <c r="H21" s="20">
        <f>IF(((COUNTIFS(Selections!$E$6:$E$54,"Away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win",Selections!$K$6:$K$54,"REFUNDED"))=0,"n.a.",(COUNTIFS(Selections!$E$6:$E$54,"Away win",Selections!$K$6:$K$54,"WON")+COUNTIFS(Selections!$E$6:$E$54,"Away win",Selections!$K$6:$K$54,"HALF_WON"))/((COUNTIFS(Selections!$E$6:$E$54,"Away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win",Selections!$K$6:$K$54,"REFUNDED")))</f>
        <v>0.0</v>
      </c>
      <c r="I21" s="22">
        <f>SUMIFS(Selections!$M$6:$M$54,Selections!$E$6:$E$54,"Away win")</f>
        <v>1</v>
      </c>
      <c r="J21" s="22">
        <f>SUMIFS(Selections!$N$6:$N$54,Selections!$E$6:$E$54,"Away win")</f>
        <v>-1.0</v>
      </c>
      <c r="K21" s="20">
        <f>IF(SUMIFS(Selections!$M$6:$M$54,Selections!$E$6:$E$54,"Away win")=0,"n.a.",SUMIFS(Selections!$N$6:$N$54,Selections!$E$6:$E$54,"Away win")/SUMIFS(Selections!$M$6:$M$54,Selections!$E$6:$E$54,"Away win"))</f>
        <v>-1.0</v>
      </c>
      <c r="L21" s="21">
        <f>IF(SUMIFS(Selections!$T$6:$T$54,Selections!$E$6:$E$54,"Away win")=0,"n.a.",SUMIFS(Selections!$O$6:$O$54,Selections!$E$6:$E$54,"Away win")/SUMIFS(Selections!$T$6:$T$54,Selections!$E$6:$E$54,"Away win"))</f>
        <v>0.4253283778022773</v>
      </c>
      <c r="M21" s="20">
        <f>IF(SUMIFS(Selections!$T$6:$T$54,Selections!$E$6:$E$54,"Away win")=0,"n.a.",SUMIFS(Selections!$S$6:$S$54,Selections!$E$6:$E$54,"Away win")/SUMIFS(Selections!$T$6:$T$54,Selections!$E$6:$E$54,"Away win"))</f>
        <v>0.6521720461674797</v>
      </c>
      <c r="N21" s="20">
        <f>IF(SUMIFS(Selections!$T$6:$T$54,Selections!$E$6:$E$54,"Away win")=0,"n.a.",(SUMIFS(Selections!$L$6:$L$54,Selections!$E$6:$E$54,"Away win",Selections!$T$6:$T$54,1))/SUMIFS(Selections!$T$6:$T$54,Selections!$E$6:$E$54,"Away win"))</f>
        <v>0.0</v>
      </c>
      <c r="O21" s="20">
        <f>IF(SUMIFS(Selections!$T$6:$T$54,Selections!$E$6:$E$54,"Away win")=0,"n.a.",(SUMIFS(Selections!$S$6:$S$54,Selections!$E$6:$E$54,"Away win")-(SUMIFS(Selections!$L$6:$L$54,Selections!$E$6:$E$54,"Away win",Selections!$T$6:$T$54,1)))/SUMIFS(Selections!$T$6:$T$54,Selections!$E$6:$E$54,"Away win"))</f>
        <v>0.6521720461674797</v>
      </c>
      <c r="P21" s="19">
        <f>SUMIFS(Selections!$T$6:$T$54,Selections!$E$6:$E$54,"Away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COUNTIFS(Selections!$E$6:$E$54,"Both Teams to Score - Yes")</f>
        <v>3</v>
      </c>
      <c r="D22" s="19">
        <f>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</f>
        <v>3</v>
      </c>
      <c r="E22" s="19">
        <f>(COUNTIFS(Selections!$E$6:$E$54,"Both Teams to Score - Yes",Selections!$K$6:$K$54,"WON")+COUNTIFS(Selections!$E$6:$E$54,"Both Teams to Score - Yes",Selections!$K$6:$K$54,"HALF_WON"))</f>
        <v>2</v>
      </c>
      <c r="F22" s="19">
        <f>(COUNTIFS(Selections!$E$6:$E$54,"Both Teams to Score - Yes",Selections!$K$6:$K$54,"LOST")+COUNTIFS(Selections!$E$6:$E$54,"Both Teams to Score - Yes",Selections!$K$6:$K$54,"HALF_LOST"))</f>
        <v>1</v>
      </c>
      <c r="G22" s="19">
        <f>COUNTIFS(Selections!$E$6:$E$54,"Both Teams to Score - Yes")-((COUNTIFS(Selections!$E$6:$E$54,"Both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</f>
        <v>0</v>
      </c>
      <c r="H22" s="20">
        <f>IF(((COUNTIFS(Selections!$E$6:$E$54,"Both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Yes",Selections!$K$6:$K$54,"REFUNDED"))=0,"n.a.",(COUNTIFS(Selections!$E$6:$E$54,"Both Teams to Score - Yes",Selections!$K$6:$K$54,"WON")+COUNTIFS(Selections!$E$6:$E$54,"Both Teams to Score - Yes",Selections!$K$6:$K$54,"HALF_WON"))/((COUNTIFS(Selections!$E$6:$E$54,"Both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Yes",Selections!$K$6:$K$54,"REFUNDED")))</f>
        <v>0.6666666666666666</v>
      </c>
      <c r="I22" s="22">
        <f>SUMIFS(Selections!$M$6:$M$54,Selections!$E$6:$E$54,"Both Teams to Score - Yes")</f>
        <v>3</v>
      </c>
      <c r="J22" s="22">
        <f>SUMIFS(Selections!$N$6:$N$54,Selections!$E$6:$E$54,"Both Teams to Score - Yes")</f>
        <v>0.020000000000000018</v>
      </c>
      <c r="K22" s="20">
        <f>IF(SUMIFS(Selections!$M$6:$M$54,Selections!$E$6:$E$54,"Both Teams to Score - Yes")=0,"n.a.",SUMIFS(Selections!$N$6:$N$54,Selections!$E$6:$E$54,"Both Teams to Score - Yes")/SUMIFS(Selections!$M$6:$M$54,Selections!$E$6:$E$54,"Both Teams to Score - Yes"))</f>
        <v>0.006666666666666672</v>
      </c>
      <c r="L22" s="21">
        <f>IF(SUMIFS(Selections!$T$6:$T$54,Selections!$E$6:$E$54,"Both Teams to Score - Yes")=0,"n.a.",SUMIFS(Selections!$O$6:$O$54,Selections!$E$6:$E$54,"Both Teams to Score - Yes")/SUMIFS(Selections!$T$6:$T$54,Selections!$E$6:$E$54,"Both Teams to Score - Yes"))</f>
        <v>0.2227178753914428</v>
      </c>
      <c r="M22" s="20">
        <f>IF(SUMIFS(Selections!$T$6:$T$54,Selections!$E$6:$E$54,"Both Teams to Score - Yes")=0,"n.a.",SUMIFS(Selections!$S$6:$S$54,Selections!$E$6:$E$54,"Both Teams to Score - Yes")/SUMIFS(Selections!$T$6:$T$54,Selections!$E$6:$E$54,"Both Teams to Score - Yes"))</f>
        <v>0.7130523653970714</v>
      </c>
      <c r="N22" s="20">
        <f>IF(SUMIFS(Selections!$T$6:$T$54,Selections!$E$6:$E$54,"Both Teams to Score - Yes")=0,"n.a.",(SUMIFS(Selections!$L$6:$L$54,Selections!$E$6:$E$54,"Both Teams to Score - Yes",Selections!$T$6:$T$54,1))/SUMIFS(Selections!$T$6:$T$54,Selections!$E$6:$E$54,"Both Teams to Score - Yes"))</f>
        <v>0.6666666666666666</v>
      </c>
      <c r="O22" s="20">
        <f>IF(SUMIFS(Selections!$T$6:$T$54,Selections!$E$6:$E$54,"Both Teams to Score - Yes")=0,"n.a.",(SUMIFS(Selections!$S$6:$S$54,Selections!$E$6:$E$54,"Both Teams to Score - Yes")-(SUMIFS(Selections!$L$6:$L$54,Selections!$E$6:$E$54,"Both Teams to Score - Yes",Selections!$T$6:$T$54,1)))/SUMIFS(Selections!$T$6:$T$54,Selections!$E$6:$E$54,"Both Teams to Score - Yes"))</f>
        <v>0.04638569873040477</v>
      </c>
      <c r="P22" s="19">
        <f>SUMIFS(Selections!$T$6:$T$54,Selections!$E$6:$E$54,"Both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COUNTIFS(Selections!$E$6:$E$54,"Double Chance 12")</f>
        <v>6</v>
      </c>
      <c r="D23" s="19">
        <f>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</f>
        <v>6</v>
      </c>
      <c r="E23" s="19">
        <f>(COUNTIFS(Selections!$E$6:$E$54,"Double Chance 12",Selections!$K$6:$K$54,"WON")+COUNTIFS(Selections!$E$6:$E$54,"Double Chance 12",Selections!$K$6:$K$54,"HALF_WON"))</f>
        <v>5</v>
      </c>
      <c r="F23" s="19">
        <f>(COUNTIFS(Selections!$E$6:$E$54,"Double Chance 12",Selections!$K$6:$K$54,"LOST")+COUNTIFS(Selections!$E$6:$E$54,"Double Chance 12",Selections!$K$6:$K$54,"HALF_LOST"))</f>
        <v>1</v>
      </c>
      <c r="G23" s="19">
        <f>COUNTIFS(Selections!$E$6:$E$54,"Double Chance 12")-((COUNTIFS(Selections!$E$6:$E$54,"Double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</f>
        <v>0</v>
      </c>
      <c r="H23" s="20">
        <f>IF(((COUNTIFS(Selections!$E$6:$E$54,"Double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12",Selections!$K$6:$K$54,"REFUNDED"))=0,"n.a.",(COUNTIFS(Selections!$E$6:$E$54,"Double Chance 12",Selections!$K$6:$K$54,"WON")+COUNTIFS(Selections!$E$6:$E$54,"Double Chance 12",Selections!$K$6:$K$54,"HALF_WON"))/((COUNTIFS(Selections!$E$6:$E$54,"Double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12",Selections!$K$6:$K$54,"REFUNDED")))</f>
        <v>0.8333333333333334</v>
      </c>
      <c r="I23" s="22">
        <f>SUMIFS(Selections!$M$6:$M$54,Selections!$E$6:$E$54,"Double Chance 12")</f>
        <v>6</v>
      </c>
      <c r="J23" s="22">
        <f>SUMIFS(Selections!$N$6:$N$54,Selections!$E$6:$E$54,"Double Chance 12")</f>
        <v>0.15999999999999992</v>
      </c>
      <c r="K23" s="20">
        <f>IF(SUMIFS(Selections!$M$6:$M$54,Selections!$E$6:$E$54,"Double Chance 12")=0,"n.a.",SUMIFS(Selections!$N$6:$N$54,Selections!$E$6:$E$54,"Double Chance 12")/SUMIFS(Selections!$M$6:$M$54,Selections!$E$6:$E$54,"Double Chance 12"))</f>
        <v>0.026666666666666655</v>
      </c>
      <c r="L23" s="21">
        <f>IF(SUMIFS(Selections!$T$6:$T$54,Selections!$E$6:$E$54,"Double Chance 12")=0,"n.a.",SUMIFS(Selections!$O$6:$O$54,Selections!$E$6:$E$54,"Double Chance 12")/SUMIFS(Selections!$T$6:$T$54,Selections!$E$6:$E$54,"Double Chance 12"))</f>
        <v>0.14009739195753312</v>
      </c>
      <c r="M23" s="20">
        <f>IF(SUMIFS(Selections!$T$6:$T$54,Selections!$E$6:$E$54,"Double Chance 12")=0,"n.a.",SUMIFS(Selections!$S$6:$S$54,Selections!$E$6:$E$54,"Double Chance 12")/SUMIFS(Selections!$T$6:$T$54,Selections!$E$6:$E$54,"Double Chance 12"))</f>
        <v>0.7831522470696245</v>
      </c>
      <c r="N23" s="20">
        <f>IF(SUMIFS(Selections!$T$6:$T$54,Selections!$E$6:$E$54,"Double Chance 12")=0,"n.a.",(SUMIFS(Selections!$L$6:$L$54,Selections!$E$6:$E$54,"Double Chance 12",Selections!$T$6:$T$54,1))/SUMIFS(Selections!$T$6:$T$54,Selections!$E$6:$E$54,"Double Chance 12"))</f>
        <v>0.8333333333333334</v>
      </c>
      <c r="O23" s="20">
        <f>IF(SUMIFS(Selections!$T$6:$T$54,Selections!$E$6:$E$54,"Double Chance 12")=0,"n.a.",(SUMIFS(Selections!$S$6:$S$54,Selections!$E$6:$E$54,"Double Chance 12")-(SUMIFS(Selections!$L$6:$L$54,Selections!$E$6:$E$54,"Double Chance 12",Selections!$T$6:$T$54,1)))/SUMIFS(Selections!$T$6:$T$54,Selections!$E$6:$E$54,"Double Chance 12"))</f>
        <v>-0.050181086263708874</v>
      </c>
      <c r="P23" s="19">
        <f>SUMIFS(Selections!$T$6:$T$54,Selections!$E$6:$E$54,"Double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COUNTIFS(Selections!$E$6:$E$54,"Double Chance 1X")</f>
        <v>8</v>
      </c>
      <c r="D24" s="19">
        <f>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</f>
        <v>5</v>
      </c>
      <c r="E24" s="19">
        <f>(COUNTIFS(Selections!$E$6:$E$54,"Double Chance 1X",Selections!$K$6:$K$54,"WON")+COUNTIFS(Selections!$E$6:$E$54,"Double Chance 1X",Selections!$K$6:$K$54,"HALF_WON"))</f>
        <v>4</v>
      </c>
      <c r="F24" s="19">
        <f>(COUNTIFS(Selections!$E$6:$E$54,"Double Chance 1X",Selections!$K$6:$K$54,"LOST")+COUNTIFS(Selections!$E$6:$E$54,"Double Chance 1X",Selections!$K$6:$K$54,"HALF_LOST"))</f>
        <v>1</v>
      </c>
      <c r="G24" s="19">
        <f>COUNTIFS(Selections!$E$6:$E$54,"Double Chance 1X")-((COUNTIFS(Selections!$E$6:$E$54,"Double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</f>
        <v>3</v>
      </c>
      <c r="H24" s="20">
        <f>IF(((COUNTIFS(Selections!$E$6:$E$54,"Double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1X",Selections!$K$6:$K$54,"REFUNDED"))=0,"n.a.",(COUNTIFS(Selections!$E$6:$E$54,"Double Chance 1X",Selections!$K$6:$K$54,"WON")+COUNTIFS(Selections!$E$6:$E$54,"Double Chance 1X",Selections!$K$6:$K$54,"HALF_WON"))/((COUNTIFS(Selections!$E$6:$E$54,"Double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1X",Selections!$K$6:$K$54,"REFUNDED")))</f>
        <v>0.8</v>
      </c>
      <c r="I24" s="22">
        <f>SUMIFS(Selections!$M$6:$M$54,Selections!$E$6:$E$54,"Double Chance 1X")</f>
        <v>5</v>
      </c>
      <c r="J24" s="22">
        <f>SUMIFS(Selections!$N$6:$N$54,Selections!$E$6:$E$54,"Double Chance 1X")</f>
        <v>0.15999999999999992</v>
      </c>
      <c r="K24" s="20">
        <f>IF(SUMIFS(Selections!$M$6:$M$54,Selections!$E$6:$E$54,"Double Chance 1X")=0,"n.a.",SUMIFS(Selections!$N$6:$N$54,Selections!$E$6:$E$54,"Double Chance 1X")/SUMIFS(Selections!$M$6:$M$54,Selections!$E$6:$E$54,"Double Chance 1X"))</f>
        <v>0.03199999999999999</v>
      </c>
      <c r="L24" s="21">
        <f>IF(SUMIFS(Selections!$T$6:$T$54,Selections!$E$6:$E$54,"Double Chance 1X")=0,"n.a.",SUMIFS(Selections!$O$6:$O$54,Selections!$E$6:$E$54,"Double Chance 1X")/SUMIFS(Selections!$T$6:$T$54,Selections!$E$6:$E$54,"Double Chance 1X"))</f>
        <v>0.11188766858523982</v>
      </c>
      <c r="M24" s="20">
        <f>IF(SUMIFS(Selections!$T$6:$T$54,Selections!$E$6:$E$54,"Double Chance 1X")=0,"n.a.",SUMIFS(Selections!$S$6:$S$54,Selections!$E$6:$E$54,"Double Chance 1X")/SUMIFS(Selections!$T$6:$T$54,Selections!$E$6:$E$54,"Double Chance 1X"))</f>
        <v>0.7609681691910013</v>
      </c>
      <c r="N24" s="20">
        <f>IF(SUMIFS(Selections!$T$6:$T$54,Selections!$E$6:$E$54,"Double Chance 1X")=0,"n.a.",(SUMIFS(Selections!$L$6:$L$54,Selections!$E$6:$E$54,"Double Chance 1X",Selections!$T$6:$T$54,1))/SUMIFS(Selections!$T$6:$T$54,Selections!$E$6:$E$54,"Double Chance 1X"))</f>
        <v>0.8</v>
      </c>
      <c r="O24" s="20">
        <f>IF(SUMIFS(Selections!$T$6:$T$54,Selections!$E$6:$E$54,"Double Chance 1X")=0,"n.a.",(SUMIFS(Selections!$S$6:$S$54,Selections!$E$6:$E$54,"Double Chance 1X")-(SUMIFS(Selections!$L$6:$L$54,Selections!$E$6:$E$54,"Double Chance 1X",Selections!$T$6:$T$54,1)))/SUMIFS(Selections!$T$6:$T$54,Selections!$E$6:$E$54,"Double Chance 1X"))</f>
        <v>-0.039031830808998746</v>
      </c>
      <c r="P24" s="19">
        <f>SUMIFS(Selections!$T$6:$T$54,Selections!$E$6:$E$54,"Double Chance 1X")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COUNTIFS(Selections!$E$6:$E$54,"Double Chance X2")</f>
        <v>6</v>
      </c>
      <c r="D25" s="19">
        <f>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</f>
        <v>6</v>
      </c>
      <c r="E25" s="19">
        <f>(COUNTIFS(Selections!$E$6:$E$54,"Double Chance X2",Selections!$K$6:$K$54,"WON")+COUNTIFS(Selections!$E$6:$E$54,"Double Chance X2",Selections!$K$6:$K$54,"HALF_WON"))</f>
        <v>4</v>
      </c>
      <c r="F25" s="19">
        <f>(COUNTIFS(Selections!$E$6:$E$54,"Double Chance X2",Selections!$K$6:$K$54,"LOST")+COUNTIFS(Selections!$E$6:$E$54,"Double Chance X2",Selections!$K$6:$K$54,"HALF_LOST"))</f>
        <v>2</v>
      </c>
      <c r="G25" s="19">
        <f>COUNTIFS(Selections!$E$6:$E$54,"Double Chance X2")-((COUNTIFS(Selections!$E$6:$E$54,"Double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</f>
        <v>0</v>
      </c>
      <c r="H25" s="20">
        <f>IF(((COUNTIFS(Selections!$E$6:$E$54,"Double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X2",Selections!$K$6:$K$54,"REFUNDED"))=0,"n.a.",(COUNTIFS(Selections!$E$6:$E$54,"Double Chance X2",Selections!$K$6:$K$54,"WON")+COUNTIFS(Selections!$E$6:$E$54,"Double Chance X2",Selections!$K$6:$K$54,"HALF_WON"))/((COUNTIFS(Selections!$E$6:$E$54,"Double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X2",Selections!$K$6:$K$54,"REFUNDED")))</f>
        <v>0.6666666666666666</v>
      </c>
      <c r="I25" s="22">
        <f>SUMIFS(Selections!$M$6:$M$54,Selections!$E$6:$E$54,"Double Chance X2")</f>
        <v>6</v>
      </c>
      <c r="J25" s="22">
        <f>SUMIFS(Selections!$N$6:$N$54,Selections!$E$6:$E$54,"Double Chance X2")</f>
        <v>0.48999999999999955</v>
      </c>
      <c r="K25" s="20">
        <f>IF(SUMIFS(Selections!$M$6:$M$54,Selections!$E$6:$E$54,"Double Chance X2")=0,"n.a.",SUMIFS(Selections!$N$6:$N$54,Selections!$E$6:$E$54,"Double Chance X2")/SUMIFS(Selections!$M$6:$M$54,Selections!$E$6:$E$54,"Double Chance X2"))</f>
        <v>0.0816666666666666</v>
      </c>
      <c r="L25" s="21">
        <f>IF(SUMIFS(Selections!$T$6:$T$54,Selections!$E$6:$E$54,"Double Chance X2")=0,"n.a.",SUMIFS(Selections!$O$6:$O$54,Selections!$E$6:$E$54,"Double Chance X2")/SUMIFS(Selections!$T$6:$T$54,Selections!$E$6:$E$54,"Double Chance X2"))</f>
        <v>0.17653423559167636</v>
      </c>
      <c r="M25" s="20">
        <f>IF(SUMIFS(Selections!$T$6:$T$54,Selections!$E$6:$E$54,"Double Chance X2")=0,"n.a.",SUMIFS(Selections!$S$6:$S$54,Selections!$E$6:$E$54,"Double Chance X2")/SUMIFS(Selections!$T$6:$T$54,Selections!$E$6:$E$54,"Double Chance X2"))</f>
        <v>0.6361239193244564</v>
      </c>
      <c r="N25" s="20">
        <f>IF(SUMIFS(Selections!$T$6:$T$54,Selections!$E$6:$E$54,"Double Chance X2")=0,"n.a.",(SUMIFS(Selections!$L$6:$L$54,Selections!$E$6:$E$54,"Double Chance X2",Selections!$T$6:$T$54,1))/SUMIFS(Selections!$T$6:$T$54,Selections!$E$6:$E$54,"Double Chance X2"))</f>
        <v>0.6666666666666666</v>
      </c>
      <c r="O25" s="20">
        <f>IF(SUMIFS(Selections!$T$6:$T$54,Selections!$E$6:$E$54,"Double Chance X2")=0,"n.a.",(SUMIFS(Selections!$S$6:$S$54,Selections!$E$6:$E$54,"Double Chance X2")-(SUMIFS(Selections!$L$6:$L$54,Selections!$E$6:$E$54,"Double Chance X2",Selections!$T$6:$T$54,1)))/SUMIFS(Selections!$T$6:$T$54,Selections!$E$6:$E$54,"Double Chance X2"))</f>
        <v>-0.030542747342210186</v>
      </c>
      <c r="P25" s="19">
        <f>SUMIFS(Selections!$T$6:$T$54,Selections!$E$6:$E$54,"Double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COUNTIFS(Selections!$E$6:$E$54,"Home win")</f>
        <v>5</v>
      </c>
      <c r="D26" s="19">
        <f>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</f>
        <v>5</v>
      </c>
      <c r="E26" s="19">
        <f>(COUNTIFS(Selections!$E$6:$E$54,"Home win",Selections!$K$6:$K$54,"WON")+COUNTIFS(Selections!$E$6:$E$54,"Home win",Selections!$K$6:$K$54,"HALF_WON"))</f>
        <v>5</v>
      </c>
      <c r="F26" s="19">
        <f>(COUNTIFS(Selections!$E$6:$E$54,"Home win",Selections!$K$6:$K$54,"LOST")+COUNTIFS(Selections!$E$6:$E$54,"Home win",Selections!$K$6:$K$54,"HALF_LOST"))</f>
        <v>0</v>
      </c>
      <c r="G26" s="19">
        <f>COUNTIFS(Selections!$E$6:$E$54,"Home win")-((COUNTIFS(Selections!$E$6:$E$54,"Home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</f>
        <v>0</v>
      </c>
      <c r="H26" s="20">
        <f>IF(((COUNTIFS(Selections!$E$6:$E$54,"Home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win",Selections!$K$6:$K$54,"REFUNDED"))=0,"n.a.",(COUNTIFS(Selections!$E$6:$E$54,"Home win",Selections!$K$6:$K$54,"WON")+COUNTIFS(Selections!$E$6:$E$54,"Home win",Selections!$K$6:$K$54,"HALF_WON"))/((COUNTIFS(Selections!$E$6:$E$54,"Home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win",Selections!$K$6:$K$54,"REFUNDED")))</f>
        <v>1.0</v>
      </c>
      <c r="I26" s="22">
        <f>SUMIFS(Selections!$M$6:$M$54,Selections!$E$6:$E$54,"Home win")</f>
        <v>5</v>
      </c>
      <c r="J26" s="22">
        <f>SUMIFS(Selections!$N$6:$N$54,Selections!$E$6:$E$54,"Home win")</f>
        <v>2.5300000000000002</v>
      </c>
      <c r="K26" s="20">
        <f>IF(SUMIFS(Selections!$M$6:$M$54,Selections!$E$6:$E$54,"Home win")=0,"n.a.",SUMIFS(Selections!$N$6:$N$54,Selections!$E$6:$E$54,"Home win")/SUMIFS(Selections!$M$6:$M$54,Selections!$E$6:$E$54,"Home win"))</f>
        <v>0.506</v>
      </c>
      <c r="L26" s="21">
        <f>IF(SUMIFS(Selections!$T$6:$T$54,Selections!$E$6:$E$54,"Home win")=0,"n.a.",SUMIFS(Selections!$O$6:$O$54,Selections!$E$6:$E$54,"Home win")/SUMIFS(Selections!$T$6:$T$54,Selections!$E$6:$E$54,"Home win"))</f>
        <v>0.08395111444229483</v>
      </c>
      <c r="M26" s="20">
        <f>IF(SUMIFS(Selections!$T$6:$T$54,Selections!$E$6:$E$54,"Home win")=0,"n.a.",SUMIFS(Selections!$S$6:$S$54,Selections!$E$6:$E$54,"Home win")/SUMIFS(Selections!$T$6:$T$54,Selections!$E$6:$E$54,"Home win"))</f>
        <v>0.717377401189973</v>
      </c>
      <c r="N26" s="20">
        <f>IF(SUMIFS(Selections!$T$6:$T$54,Selections!$E$6:$E$54,"Home win")=0,"n.a.",(SUMIFS(Selections!$L$6:$L$54,Selections!$E$6:$E$54,"Home win",Selections!$T$6:$T$54,1))/SUMIFS(Selections!$T$6:$T$54,Selections!$E$6:$E$54,"Home win"))</f>
        <v>1.0</v>
      </c>
      <c r="O26" s="20">
        <f>IF(SUMIFS(Selections!$T$6:$T$54,Selections!$E$6:$E$54,"Home win")=0,"n.a.",(SUMIFS(Selections!$S$6:$S$54,Selections!$E$6:$E$54,"Home win")-(SUMIFS(Selections!$L$6:$L$54,Selections!$E$6:$E$54,"Home win",Selections!$T$6:$T$54,1)))/SUMIFS(Selections!$T$6:$T$54,Selections!$E$6:$E$54,"Home win"))</f>
        <v>-0.28262259881002705</v>
      </c>
      <c r="P26" s="19">
        <f>SUMIFS(Selections!$T$6:$T$54,Selections!$E$6:$E$54,"Home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COUNTIFS(Selections!$E$6:$E$54,"Over 1.5")</f>
        <v>9</v>
      </c>
      <c r="D27" s="19">
        <f>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</f>
        <v>7</v>
      </c>
      <c r="E27" s="19">
        <f>(COUNTIFS(Selections!$E$6:$E$54,"Over 1.5",Selections!$K$6:$K$54,"WON")+COUNTIFS(Selections!$E$6:$E$54,"Over 1.5",Selections!$K$6:$K$54,"HALF_WON"))</f>
        <v>6</v>
      </c>
      <c r="F27" s="19">
        <f>(COUNTIFS(Selections!$E$6:$E$54,"Over 1.5",Selections!$K$6:$K$54,"LOST")+COUNTIFS(Selections!$E$6:$E$54,"Over 1.5",Selections!$K$6:$K$54,"HALF_LOST"))</f>
        <v>1</v>
      </c>
      <c r="G27" s="19">
        <f>COUNTIFS(Selections!$E$6:$E$54,"Over 1.5")-((COUNTIFS(Selections!$E$6:$E$54,"Over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</f>
        <v>2</v>
      </c>
      <c r="H27" s="20">
        <f>IF(((COUNTIFS(Selections!$E$6:$E$54,"Over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1.5",Selections!$K$6:$K$54,"REFUNDED"))=0,"n.a.",(COUNTIFS(Selections!$E$6:$E$54,"Over 1.5",Selections!$K$6:$K$54,"WON")+COUNTIFS(Selections!$E$6:$E$54,"Over 1.5",Selections!$K$6:$K$54,"HALF_WON"))/((COUNTIFS(Selections!$E$6:$E$54,"Over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1.5",Selections!$K$6:$K$54,"REFUNDED")))</f>
        <v>0.8571428571428571</v>
      </c>
      <c r="I27" s="22">
        <f>SUMIFS(Selections!$M$6:$M$54,Selections!$E$6:$E$54,"Over 1.5")</f>
        <v>7</v>
      </c>
      <c r="J27" s="22">
        <f>SUMIFS(Selections!$N$6:$N$54,Selections!$E$6:$E$54,"Over 1.5")</f>
        <v>0.3699999999999999</v>
      </c>
      <c r="K27" s="20">
        <f>IF(SUMIFS(Selections!$M$6:$M$54,Selections!$E$6:$E$54,"Over 1.5")=0,"n.a.",SUMIFS(Selections!$N$6:$N$54,Selections!$E$6:$E$54,"Over 1.5")/SUMIFS(Selections!$M$6:$M$54,Selections!$E$6:$E$54,"Over 1.5"))</f>
        <v>0.05285714285714284</v>
      </c>
      <c r="L27" s="21">
        <f>IF(SUMIFS(Selections!$T$6:$T$54,Selections!$E$6:$E$54,"Over 1.5")=0,"n.a.",SUMIFS(Selections!$O$6:$O$54,Selections!$E$6:$E$54,"Over 1.5")/SUMIFS(Selections!$T$6:$T$54,Selections!$E$6:$E$54,"Over 1.5"))</f>
        <v>0.10055086387512366</v>
      </c>
      <c r="M27" s="20">
        <f>IF(SUMIFS(Selections!$T$6:$T$54,Selections!$E$6:$E$54,"Over 1.5")=0,"n.a.",SUMIFS(Selections!$S$6:$S$54,Selections!$E$6:$E$54,"Over 1.5")/SUMIFS(Selections!$T$6:$T$54,Selections!$E$6:$E$54,"Over 1.5"))</f>
        <v>0.8713387230316535</v>
      </c>
      <c r="N27" s="20">
        <f>IF(SUMIFS(Selections!$T$6:$T$54,Selections!$E$6:$E$54,"Over 1.5")=0,"n.a.",(SUMIFS(Selections!$L$6:$L$54,Selections!$E$6:$E$54,"Over 1.5",Selections!$T$6:$T$54,1))/SUMIFS(Selections!$T$6:$T$54,Selections!$E$6:$E$54,"Over 1.5"))</f>
        <v>0.8571428571428571</v>
      </c>
      <c r="O27" s="20">
        <f>IF(SUMIFS(Selections!$T$6:$T$54,Selections!$E$6:$E$54,"Over 1.5")=0,"n.a.",(SUMIFS(Selections!$S$6:$S$54,Selections!$E$6:$E$54,"Over 1.5")-(SUMIFS(Selections!$L$6:$L$54,Selections!$E$6:$E$54,"Over 1.5",Selections!$T$6:$T$54,1)))/SUMIFS(Selections!$T$6:$T$54,Selections!$E$6:$E$54,"Over 1.5"))</f>
        <v>0.0141958658887964</v>
      </c>
      <c r="P27" s="19">
        <f>SUMIFS(Selections!$T$6:$T$54,Selections!$E$6:$E$54,"Over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COUNTIFS(Selections!$E$6:$E$54,"Under 3.5")</f>
        <v>5</v>
      </c>
      <c r="D28" s="19">
        <f>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</f>
        <v>5</v>
      </c>
      <c r="E28" s="19">
        <f>(COUNTIFS(Selections!$E$6:$E$54,"Under 3.5",Selections!$K$6:$K$54,"WON")+COUNTIFS(Selections!$E$6:$E$54,"Under 3.5",Selections!$K$6:$K$54,"HALF_WON"))</f>
        <v>2</v>
      </c>
      <c r="F28" s="19">
        <f>(COUNTIFS(Selections!$E$6:$E$54,"Under 3.5",Selections!$K$6:$K$54,"LOST")+COUNTIFS(Selections!$E$6:$E$54,"Under 3.5",Selections!$K$6:$K$54,"HALF_LOST"))</f>
        <v>3</v>
      </c>
      <c r="G28" s="19">
        <f>COUNTIFS(Selections!$E$6:$E$54,"Under 3.5")-((COUNTIFS(Selections!$E$6:$E$54,"Under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</f>
        <v>0</v>
      </c>
      <c r="H28" s="20">
        <f>IF(((COUNTIFS(Selections!$E$6:$E$54,"Under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3.5",Selections!$K$6:$K$54,"REFUNDED"))=0,"n.a.",(COUNTIFS(Selections!$E$6:$E$54,"Under 3.5",Selections!$K$6:$K$54,"WON")+COUNTIFS(Selections!$E$6:$E$54,"Under 3.5",Selections!$K$6:$K$54,"HALF_WON"))/((COUNTIFS(Selections!$E$6:$E$54,"Under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3.5",Selections!$K$6:$K$54,"REFUNDED")))</f>
        <v>0.4</v>
      </c>
      <c r="I28" s="22">
        <f>SUMIFS(Selections!$M$6:$M$54,Selections!$E$6:$E$54,"Under 3.5")</f>
        <v>5</v>
      </c>
      <c r="J28" s="22">
        <f>SUMIFS(Selections!$N$6:$N$54,Selections!$E$6:$E$54,"Under 3.5")</f>
        <v>-2.3</v>
      </c>
      <c r="K28" s="20">
        <f>IF(SUMIFS(Selections!$M$6:$M$54,Selections!$E$6:$E$54,"Under 3.5")=0,"n.a.",SUMIFS(Selections!$N$6:$N$54,Selections!$E$6:$E$54,"Under 3.5")/SUMIFS(Selections!$M$6:$M$54,Selections!$E$6:$E$54,"Under 3.5"))</f>
        <v>-0.45999999999999996</v>
      </c>
      <c r="L28" s="21">
        <f>IF(SUMIFS(Selections!$T$6:$T$54,Selections!$E$6:$E$54,"Under 3.5")=0,"n.a.",SUMIFS(Selections!$O$6:$O$54,Selections!$E$6:$E$54,"Under 3.5")/SUMIFS(Selections!$T$6:$T$54,Selections!$E$6:$E$54,"Under 3.5"))</f>
        <v>0.4093699233539641</v>
      </c>
      <c r="M28" s="20">
        <f>IF(SUMIFS(Selections!$T$6:$T$54,Selections!$E$6:$E$54,"Under 3.5")=0,"n.a.",SUMIFS(Selections!$S$6:$S$54,Selections!$E$6:$E$54,"Under 3.5")/SUMIFS(Selections!$T$6:$T$54,Selections!$E$6:$E$54,"Under 3.5"))</f>
        <v>0.8049432015044351</v>
      </c>
      <c r="N28" s="20">
        <f>IF(SUMIFS(Selections!$T$6:$T$54,Selections!$E$6:$E$54,"Under 3.5")=0,"n.a.",(SUMIFS(Selections!$L$6:$L$54,Selections!$E$6:$E$54,"Under 3.5",Selections!$T$6:$T$54,1))/SUMIFS(Selections!$T$6:$T$54,Selections!$E$6:$E$54,"Under 3.5"))</f>
        <v>0.4</v>
      </c>
      <c r="O28" s="20">
        <f>IF(SUMIFS(Selections!$T$6:$T$54,Selections!$E$6:$E$54,"Under 3.5")=0,"n.a.",(SUMIFS(Selections!$S$6:$S$54,Selections!$E$6:$E$54,"Under 3.5")-(SUMIFS(Selections!$L$6:$L$54,Selections!$E$6:$E$54,"Under 3.5",Selections!$T$6:$T$54,1)))/SUMIFS(Selections!$T$6:$T$54,Selections!$E$6:$E$54,"Under 3.5"))</f>
        <v>0.4049432015044351</v>
      </c>
      <c r="P28" s="19">
        <f>SUMIFS(Selections!$T$6:$T$54,Selections!$E$6:$E$54,"Under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COUNTIFS(Selections!$G$6:$G$54,"48h-top-ten-probability-ev-no-under35-v14")</f>
        <v>9</v>
      </c>
      <c r="D29" s="19">
        <f>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</f>
        <v>8</v>
      </c>
      <c r="E29" s="19">
        <f>(COUNTIFS(Selections!$G$6:$G$54,"48h-top-ten-probability-ev-no-under35-v14",Selections!$K$6:$K$54,"WON")+COUNTIFS(Selections!$G$6:$G$54,"48h-top-ten-probability-ev-no-under35-v14",Selections!$K$6:$K$54,"HALF_WON"))</f>
        <v>6</v>
      </c>
      <c r="F29" s="19">
        <f>(COUNTIFS(Selections!$G$6:$G$54,"48h-top-ten-probability-ev-no-under35-v14",Selections!$K$6:$K$54,"LOST")+COUNTIFS(Selections!$G$6:$G$54,"48h-top-ten-probability-ev-no-under35-v14",Selections!$K$6:$K$54,"HALF_LOST"))</f>
        <v>2</v>
      </c>
      <c r="G29" s="19">
        <f>COUNTIFS(Selections!$G$6:$G$54,"48h-top-ten-probability-ev-no-under35-v14")-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</f>
        <v>1</v>
      </c>
      <c r="H29" s="20">
        <f>IF(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=0,"n.a.",(COUNTIFS(Selections!$G$6:$G$54,"48h-top-ten-probability-ev-no-under35-v14",Selections!$K$6:$K$54,"WON")+COUNTIFS(Selections!$G$6:$G$54,"48h-top-ten-probability-ev-no-under35-v14",Selections!$K$6:$K$54,"HALF_WON"))/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)</f>
        <v>0.75</v>
      </c>
      <c r="I29" s="22">
        <f>SUMIFS(Selections!$M$6:$M$54,Selections!$G$6:$G$54,"48h-top-ten-probability-ev-no-under35-v14")</f>
        <v>8</v>
      </c>
      <c r="J29" s="22">
        <f>SUMIFS(Selections!$N$6:$N$54,Selections!$G$6:$G$54,"48h-top-ten-probability-ev-no-under35-v14")</f>
        <v>0.04999999999999982</v>
      </c>
      <c r="K29" s="20">
        <f>IF(SUMIFS(Selections!$M$6:$M$54,Selections!$G$6:$G$54,"48h-top-ten-probability-ev-no-under35-v14")=0,"n.a.",SUMIFS(Selections!$N$6:$N$54,Selections!$G$6:$G$54,"48h-top-ten-probability-ev-no-under35-v14")/SUMIFS(Selections!$M$6:$M$54,Selections!$G$6:$G$54,"48h-top-ten-probability-ev-no-under35-v14"))</f>
        <v>0.006249999999999978</v>
      </c>
      <c r="L29" s="21">
        <f>IF(SUMIFS(Selections!$T$6:$T$54,Selections!$G$6:$G$54,"48h-top-ten-probability-ev-no-under35-v14")=0,"n.a.",SUMIFS(Selections!$O$6:$O$54,Selections!$G$6:$G$54,"48h-top-ten-probability-ev-no-under35-v14")/SUMIFS(Selections!$T$6:$T$54,Selections!$G$6:$G$54,"48h-top-ten-probability-ev-no-under35-v14"))</f>
        <v>0.17867353798981395</v>
      </c>
      <c r="M29" s="20">
        <f>IF(SUMIFS(Selections!$T$6:$T$54,Selections!$G$6:$G$54,"48h-top-ten-probability-ev-no-under35-v14")=0,"n.a.",SUMIFS(Selections!$S$6:$S$54,Selections!$G$6:$G$54,"48h-top-ten-probability-ev-no-under35-v14")/SUMIFS(Selections!$T$6:$T$54,Selections!$G$6:$G$54,"48h-top-ten-probability-ev-no-under35-v14"))</f>
        <v>0.7347857301737204</v>
      </c>
      <c r="N29" s="20">
        <f>IF(SUMIFS(Selections!$T$6:$T$54,Selections!$G$6:$G$54,"48h-top-ten-probability-ev-no-under35-v14")=0,"n.a.",(SUMIFS(Selections!$L$6:$L$54,Selections!$G$6:$G$54,"48h-top-ten-probability-ev-no-under35-v14",Selections!$T$6:$T$54,1))/SUMIFS(Selections!$T$6:$T$54,Selections!$G$6:$G$54,"48h-top-ten-probability-ev-no-under35-v14"))</f>
        <v>0.75</v>
      </c>
      <c r="O29" s="20">
        <f>IF(SUMIFS(Selections!$T$6:$T$54,Selections!$G$6:$G$54,"48h-top-ten-probability-ev-no-under35-v14")=0,"n.a.",(SUMIFS(Selections!$S$6:$S$54,Selections!$G$6:$G$54,"48h-top-ten-probability-ev-no-under35-v14")-(SUMIFS(Selections!$L$6:$L$54,Selections!$G$6:$G$54,"48h-top-ten-probability-ev-no-under35-v14",Selections!$T$6:$T$54,1)))/SUMIFS(Selections!$T$6:$T$54,Selections!$G$6:$G$54,"48h-top-ten-probability-ev-no-under35-v14"))</f>
        <v>-0.015214269826279603</v>
      </c>
      <c r="P29" s="19">
        <f>SUMIFS(Selections!$T$6:$T$54,Selections!$G$6:$G$54,"48h-top-ten-probability-ev-no-under35-v14")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COUNTIFS(Selections!$G$6:$G$54,"48h-top-twelve-probability-ev-no-under35-v15")</f>
        <v>12</v>
      </c>
      <c r="D30" s="19">
        <f>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</f>
        <v>11</v>
      </c>
      <c r="E30" s="19">
        <f>(COUNTIFS(Selections!$G$6:$G$54,"48h-top-twelve-probability-ev-no-under35-v15",Selections!$K$6:$K$54,"WON")+COUNTIFS(Selections!$G$6:$G$54,"48h-top-twelve-probability-ev-no-under35-v15",Selections!$K$6:$K$54,"HALF_WON"))</f>
        <v>7</v>
      </c>
      <c r="F30" s="19">
        <f>(COUNTIFS(Selections!$G$6:$G$54,"48h-top-twelve-probability-ev-no-under35-v15",Selections!$K$6:$K$54,"LOST")+COUNTIFS(Selections!$G$6:$G$54,"48h-top-twelve-probability-ev-no-under35-v15",Selections!$K$6:$K$54,"HALF_LOST"))</f>
        <v>4</v>
      </c>
      <c r="G30" s="19">
        <f>COUNTIFS(Selections!$G$6:$G$54,"48h-top-twelve-probability-ev-no-under35-v15")-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</f>
        <v>1</v>
      </c>
      <c r="H30" s="20">
        <f>IF(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=0,"n.a.",(COUNTIFS(Selections!$G$6:$G$54,"48h-top-twelve-probability-ev-no-under35-v15",Selections!$K$6:$K$54,"WON")+COUNTIFS(Selections!$G$6:$G$54,"48h-top-twelve-probability-ev-no-under35-v15",Selections!$K$6:$K$54,"HALF_WON"))/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)</f>
        <v>0.6363636363636364</v>
      </c>
      <c r="I30" s="22">
        <f>SUMIFS(Selections!$M$6:$M$54,Selections!$G$6:$G$54,"48h-top-twelve-probability-ev-no-under35-v15")</f>
        <v>11</v>
      </c>
      <c r="J30" s="22">
        <f>SUMIFS(Selections!$N$6:$N$54,Selections!$G$6:$G$54,"48h-top-twelve-probability-ev-no-under35-v15")</f>
        <v>-1.3800000000000003</v>
      </c>
      <c r="K30" s="20">
        <f>IF(SUMIFS(Selections!$M$6:$M$54,Selections!$G$6:$G$54,"48h-top-twelve-probability-ev-no-under35-v15")=0,"n.a.",SUMIFS(Selections!$N$6:$N$54,Selections!$G$6:$G$54,"48h-top-twelve-probability-ev-no-under35-v15")/SUMIFS(Selections!$M$6:$M$54,Selections!$G$6:$G$54,"48h-top-twelve-probability-ev-no-under35-v15"))</f>
        <v>-0.12545454545454549</v>
      </c>
      <c r="L30" s="21">
        <f>IF(SUMIFS(Selections!$T$6:$T$54,Selections!$G$6:$G$54,"48h-top-twelve-probability-ev-no-under35-v15")=0,"n.a.",SUMIFS(Selections!$O$6:$O$54,Selections!$G$6:$G$54,"48h-top-twelve-probability-ev-no-under35-v15")/SUMIFS(Selections!$T$6:$T$54,Selections!$G$6:$G$54,"48h-top-twelve-probability-ev-no-under35-v15"))</f>
        <v>0.19421744781096573</v>
      </c>
      <c r="M30" s="20">
        <f>IF(SUMIFS(Selections!$T$6:$T$54,Selections!$G$6:$G$54,"48h-top-twelve-probability-ev-no-under35-v15")=0,"n.a.",SUMIFS(Selections!$S$6:$S$54,Selections!$G$6:$G$54,"48h-top-twelve-probability-ev-no-under35-v15")/SUMIFS(Selections!$T$6:$T$54,Selections!$G$6:$G$54,"48h-top-twelve-probability-ev-no-under35-v15"))</f>
        <v>0.7256811914176179</v>
      </c>
      <c r="N30" s="20">
        <f>IF(SUMIFS(Selections!$T$6:$T$54,Selections!$G$6:$G$54,"48h-top-twelve-probability-ev-no-under35-v15")=0,"n.a.",(SUMIFS(Selections!$L$6:$L$54,Selections!$G$6:$G$54,"48h-top-twelve-probability-ev-no-under35-v15",Selections!$T$6:$T$54,1))/SUMIFS(Selections!$T$6:$T$54,Selections!$G$6:$G$54,"48h-top-twelve-probability-ev-no-under35-v15"))</f>
        <v>0.6363636363636364</v>
      </c>
      <c r="O30" s="20">
        <f>IF(SUMIFS(Selections!$T$6:$T$54,Selections!$G$6:$G$54,"48h-top-twelve-probability-ev-no-under35-v15")=0,"n.a.",(SUMIFS(Selections!$S$6:$S$54,Selections!$G$6:$G$54,"48h-top-twelve-probability-ev-no-under35-v15")-(SUMIFS(Selections!$L$6:$L$54,Selections!$G$6:$G$54,"48h-top-twelve-probability-ev-no-under35-v15",Selections!$T$6:$T$54,1)))/SUMIFS(Selections!$T$6:$T$54,Selections!$G$6:$G$54,"48h-top-twelve-probability-ev-no-under35-v15"))</f>
        <v>0.08931755505398153</v>
      </c>
      <c r="P30" s="19">
        <f>SUMIFS(Selections!$T$6:$T$54,Selections!$G$6:$G$54,"48h-top-twelve-probability-ev-no-under35-v15")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COUNTIFS(Selections!$G$6:$G$54,"48h-zero-tolerance-ev1-common-no-loss75-v22")</f>
        <v>7</v>
      </c>
      <c r="D31" s="19">
        <f>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</f>
        <v>0</v>
      </c>
      <c r="E31" s="19">
        <f>(COUNTIFS(Selections!$G$6:$G$54,"48h-zero-tolerance-ev1-common-no-loss75-v22",Selections!$K$6:$K$54,"WON")+COUNTIFS(Selections!$G$6:$G$54,"48h-zero-tolerance-ev1-common-no-loss75-v22",Selections!$K$6:$K$54,"HALF_WON"))</f>
        <v>0</v>
      </c>
      <c r="F31" s="19">
        <f>(COUNTIFS(Selections!$G$6:$G$54,"48h-zero-tolerance-ev1-common-no-loss75-v22",Selections!$K$6:$K$54,"LOST")+COUNTIFS(Selections!$G$6:$G$54,"48h-zero-tolerance-ev1-common-no-loss75-v22",Selections!$K$6:$K$54,"HALF_LOST"))</f>
        <v>0</v>
      </c>
      <c r="G31" s="19">
        <f>COUNTIFS(Selections!$G$6:$G$54,"48h-zero-tolerance-ev1-common-no-loss75-v22")-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</f>
        <v>7</v>
      </c>
      <c r="H31" s="20" t="str">
        <f>IF(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=0,"n.a.",(COUNTIFS(Selections!$G$6:$G$54,"48h-zero-tolerance-ev1-common-no-loss75-v22",Selections!$K$6:$K$54,"WON")+COUNTIFS(Selections!$G$6:$G$54,"48h-zero-tolerance-ev1-common-no-loss75-v22",Selections!$K$6:$K$54,"HALF_WON"))/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)</f>
        <v>n.a.</v>
      </c>
      <c r="I31" s="22">
        <f>SUMIFS(Selections!$M$6:$M$54,Selections!$G$6:$G$54,"48h-zero-tolerance-ev1-common-no-loss75-v22")</f>
        <v>0</v>
      </c>
      <c r="J31" s="22">
        <f>SUMIFS(Selections!$N$6:$N$54,Selections!$G$6:$G$54,"48h-zero-tolerance-ev1-common-no-loss75-v22")</f>
        <v>0</v>
      </c>
      <c r="K31" s="20" t="str">
        <f>IF(SUMIFS(Selections!$M$6:$M$54,Selections!$G$6:$G$54,"48h-zero-tolerance-ev1-common-no-loss75-v22")=0,"n.a.",SUMIFS(Selections!$N$6:$N$54,Selections!$G$6:$G$54,"48h-zero-tolerance-ev1-common-no-loss75-v22")/SUMIFS(Selections!$M$6:$M$54,Selections!$G$6:$G$54,"48h-zero-tolerance-ev1-common-no-loss75-v22"))</f>
        <v>n.a.</v>
      </c>
      <c r="L31" s="21" t="str">
        <f>IF(SUMIFS(Selections!$T$6:$T$54,Selections!$G$6:$G$54,"48h-zero-tolerance-ev1-common-no-loss75-v22")=0,"n.a.",SUMIFS(Selections!$O$6:$O$54,Selections!$G$6:$G$54,"48h-zero-tolerance-ev1-common-no-loss75-v22")/SUMIFS(Selections!$T$6:$T$54,Selections!$G$6:$G$54,"48h-zero-tolerance-ev1-common-no-loss75-v22"))</f>
        <v>n.a.</v>
      </c>
      <c r="M31" s="20" t="str">
        <f>IF(SUMIFS(Selections!$T$6:$T$54,Selections!$G$6:$G$54,"48h-zero-tolerance-ev1-common-no-loss75-v22")=0,"n.a.",SUMIFS(Selections!$S$6:$S$54,Selections!$G$6:$G$54,"48h-zero-tolerance-ev1-common-no-loss75-v22")/SUMIFS(Selections!$T$6:$T$54,Selections!$G$6:$G$54,"48h-zero-tolerance-ev1-common-no-loss75-v22"))</f>
        <v>n.a.</v>
      </c>
      <c r="N31" s="20" t="str">
        <f>IF(SUMIFS(Selections!$T$6:$T$54,Selections!$G$6:$G$54,"48h-zero-tolerance-ev1-common-no-loss75-v22")=0,"n.a.",(SUMIFS(Selections!$L$6:$L$54,Selections!$G$6:$G$54,"48h-zero-tolerance-ev1-common-no-loss75-v22",Selections!$T$6:$T$54,1))/SUMIFS(Selections!$T$6:$T$54,Selections!$G$6:$G$54,"48h-zero-tolerance-ev1-common-no-loss75-v22"))</f>
        <v>n.a.</v>
      </c>
      <c r="O31" s="20" t="str">
        <f>IF(SUMIFS(Selections!$T$6:$T$54,Selections!$G$6:$G$54,"48h-zero-tolerance-ev1-common-no-loss75-v22")=0,"n.a.",(SUMIFS(Selections!$S$6:$S$54,Selections!$G$6:$G$54,"48h-zero-tolerance-ev1-common-no-loss75-v22")-(SUMIFS(Selections!$L$6:$L$54,Selections!$G$6:$G$54,"48h-zero-tolerance-ev1-common-no-loss75-v22",Selections!$T$6:$T$54,1)))/SUMIFS(Selections!$T$6:$T$54,Selections!$G$6:$G$54,"48h-zero-tolerance-ev1-common-no-loss75-v22"))</f>
        <v>n.a.</v>
      </c>
      <c r="P31" s="19">
        <f>SUMIFS(Selections!$T$6:$T$54,Selections!$G$6:$G$54,"48h-zero-tolerance-ev1-common-no-loss75-v22")</f>
        <v>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(n=0).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COUNTIFS(Selections!$G$6:$G$54,"72h-all-markets-ev15-one-book-v6")</f>
        <v>1</v>
      </c>
      <c r="D32" s="19">
        <f>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</f>
        <v>1</v>
      </c>
      <c r="E32" s="19">
        <f>(COUNTIFS(Selections!$G$6:$G$54,"72h-all-markets-ev15-one-book-v6",Selections!$K$6:$K$54,"WON")+COUNTIFS(Selections!$G$6:$G$54,"72h-all-markets-ev15-one-book-v6",Selections!$K$6:$K$54,"HALF_WON"))</f>
        <v>1</v>
      </c>
      <c r="F32" s="19">
        <f>(COUNTIFS(Selections!$G$6:$G$54,"72h-all-markets-ev15-one-book-v6",Selections!$K$6:$K$54,"LOST")+COUNTIFS(Selections!$G$6:$G$54,"72h-all-markets-ev15-one-book-v6",Selections!$K$6:$K$54,"HALF_LOST"))</f>
        <v>0</v>
      </c>
      <c r="G32" s="19">
        <f>COUNTIFS(Selections!$G$6:$G$54,"72h-all-markets-ev15-one-book-v6")-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</f>
        <v>0</v>
      </c>
      <c r="H32" s="20">
        <f>IF(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=0,"n.a.",(COUNTIFS(Selections!$G$6:$G$54,"72h-all-markets-ev15-one-book-v6",Selections!$K$6:$K$54,"WON")+COUNTIFS(Selections!$G$6:$G$54,"72h-all-markets-ev15-one-book-v6",Selections!$K$6:$K$54,"HALF_WON"))/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)</f>
        <v>1.0</v>
      </c>
      <c r="I32" s="22">
        <f>SUMIFS(Selections!$M$6:$M$54,Selections!$G$6:$G$54,"72h-all-markets-ev15-one-book-v6")</f>
        <v>1</v>
      </c>
      <c r="J32" s="22">
        <f>SUMIFS(Selections!$N$6:$N$54,Selections!$G$6:$G$54,"72h-all-markets-ev15-one-book-v6")</f>
        <v>0.44999999999999996</v>
      </c>
      <c r="K32" s="20">
        <f>IF(SUMIFS(Selections!$M$6:$M$54,Selections!$G$6:$G$54,"72h-all-markets-ev15-one-book-v6")=0,"n.a.",SUMIFS(Selections!$N$6:$N$54,Selections!$G$6:$G$54,"72h-all-markets-ev15-one-book-v6")/SUMIFS(Selections!$M$6:$M$54,Selections!$G$6:$G$54,"72h-all-markets-ev15-one-book-v6"))</f>
        <v>0.44999999999999996</v>
      </c>
      <c r="L32" s="21">
        <f>IF(SUMIFS(Selections!$T$6:$T$54,Selections!$G$6:$G$54,"72h-all-markets-ev15-one-book-v6")=0,"n.a.",SUMIFS(Selections!$O$6:$O$54,Selections!$G$6:$G$54,"72h-all-markets-ev15-one-book-v6")/SUMIFS(Selections!$T$6:$T$54,Selections!$G$6:$G$54,"72h-all-markets-ev15-one-book-v6"))</f>
        <v>0.08610395019172555</v>
      </c>
      <c r="M32" s="20">
        <f>IF(SUMIFS(Selections!$T$6:$T$54,Selections!$G$6:$G$54,"72h-all-markets-ev15-one-book-v6")=0,"n.a.",SUMIFS(Selections!$S$6:$S$54,Selections!$G$6:$G$54,"72h-all-markets-ev15-one-book-v6")/SUMIFS(Selections!$T$6:$T$54,Selections!$G$6:$G$54,"72h-all-markets-ev15-one-book-v6"))</f>
        <v>0.706565253946085</v>
      </c>
      <c r="N32" s="20">
        <f>IF(SUMIFS(Selections!$T$6:$T$54,Selections!$G$6:$G$54,"72h-all-markets-ev15-one-book-v6")=0,"n.a.",(SUMIFS(Selections!$L$6:$L$54,Selections!$G$6:$G$54,"72h-all-markets-ev15-one-book-v6",Selections!$T$6:$T$54,1))/SUMIFS(Selections!$T$6:$T$54,Selections!$G$6:$G$54,"72h-all-markets-ev15-one-book-v6"))</f>
        <v>1.0</v>
      </c>
      <c r="O32" s="20">
        <f>IF(SUMIFS(Selections!$T$6:$T$54,Selections!$G$6:$G$54,"72h-all-markets-ev15-one-book-v6")=0,"n.a.",(SUMIFS(Selections!$S$6:$S$54,Selections!$G$6:$G$54,"72h-all-markets-ev15-one-book-v6")-(SUMIFS(Selections!$L$6:$L$54,Selections!$G$6:$G$54,"72h-all-markets-ev15-one-book-v6",Selections!$T$6:$T$54,1)))/SUMIFS(Selections!$T$6:$T$54,Selections!$G$6:$G$54,"72h-all-markets-ev15-one-book-v6"))</f>
        <v>-0.29343474605391495</v>
      </c>
      <c r="P32" s="19">
        <f>SUMIFS(Selections!$T$6:$T$54,Selections!$G$6:$G$54,"72h-all-markets-ev15-one-book-v6")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COUNTIFS(Selections!$G$6:$G$54,"72h-all-markets-net-ev15-execution-v7")</f>
        <v>5</v>
      </c>
      <c r="D33" s="19">
        <f>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</f>
        <v>4</v>
      </c>
      <c r="E33" s="19">
        <f>(COUNTIFS(Selections!$G$6:$G$54,"72h-all-markets-net-ev15-execution-v7",Selections!$K$6:$K$54,"WON")+COUNTIFS(Selections!$G$6:$G$54,"72h-all-markets-net-ev15-execution-v7",Selections!$K$6:$K$54,"HALF_WON"))</f>
        <v>4</v>
      </c>
      <c r="F33" s="19">
        <f>(COUNTIFS(Selections!$G$6:$G$54,"72h-all-markets-net-ev15-execution-v7",Selections!$K$6:$K$54,"LOST")+COUNTIFS(Selections!$G$6:$G$54,"72h-all-markets-net-ev15-execution-v7",Selections!$K$6:$K$54,"HALF_LOST"))</f>
        <v>0</v>
      </c>
      <c r="G33" s="19">
        <f>COUNTIFS(Selections!$G$6:$G$54,"72h-all-markets-net-ev15-execution-v7")-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</f>
        <v>1</v>
      </c>
      <c r="H33" s="20">
        <f>IF(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=0,"n.a.",(COUNTIFS(Selections!$G$6:$G$54,"72h-all-markets-net-ev15-execution-v7",Selections!$K$6:$K$54,"WON")+COUNTIFS(Selections!$G$6:$G$54,"72h-all-markets-net-ev15-execution-v7",Selections!$K$6:$K$54,"HALF_WON"))/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)</f>
        <v>1.0</v>
      </c>
      <c r="I33" s="22">
        <f>SUMIFS(Selections!$M$6:$M$54,Selections!$G$6:$G$54,"72h-all-markets-net-ev15-execution-v7")</f>
        <v>4</v>
      </c>
      <c r="J33" s="22">
        <f>SUMIFS(Selections!$N$6:$N$54,Selections!$G$6:$G$54,"72h-all-markets-net-ev15-execution-v7")</f>
        <v>1.74</v>
      </c>
      <c r="K33" s="20">
        <f>IF(SUMIFS(Selections!$M$6:$M$54,Selections!$G$6:$G$54,"72h-all-markets-net-ev15-execution-v7")=0,"n.a.",SUMIFS(Selections!$N$6:$N$54,Selections!$G$6:$G$54,"72h-all-markets-net-ev15-execution-v7")/SUMIFS(Selections!$M$6:$M$54,Selections!$G$6:$G$54,"72h-all-markets-net-ev15-execution-v7"))</f>
        <v>0.435</v>
      </c>
      <c r="L33" s="21">
        <f>IF(SUMIFS(Selections!$T$6:$T$54,Selections!$G$6:$G$54,"72h-all-markets-net-ev15-execution-v7")=0,"n.a.",SUMIFS(Selections!$O$6:$O$54,Selections!$G$6:$G$54,"72h-all-markets-net-ev15-execution-v7")/SUMIFS(Selections!$T$6:$T$54,Selections!$G$6:$G$54,"72h-all-markets-net-ev15-execution-v7"))</f>
        <v>0.05403053120768371</v>
      </c>
      <c r="M33" s="20">
        <f>IF(SUMIFS(Selections!$T$6:$T$54,Selections!$G$6:$G$54,"72h-all-markets-net-ev15-execution-v7")=0,"n.a.",SUMIFS(Selections!$S$6:$S$54,Selections!$G$6:$G$54,"72h-all-markets-net-ev15-execution-v7")/SUMIFS(Selections!$T$6:$T$54,Selections!$G$6:$G$54,"72h-all-markets-net-ev15-execution-v7"))</f>
        <v>0.7950551078170468</v>
      </c>
      <c r="N33" s="20">
        <f>IF(SUMIFS(Selections!$T$6:$T$54,Selections!$G$6:$G$54,"72h-all-markets-net-ev15-execution-v7")=0,"n.a.",(SUMIFS(Selections!$L$6:$L$54,Selections!$G$6:$G$54,"72h-all-markets-net-ev15-execution-v7",Selections!$T$6:$T$54,1))/SUMIFS(Selections!$T$6:$T$54,Selections!$G$6:$G$54,"72h-all-markets-net-ev15-execution-v7"))</f>
        <v>1.0</v>
      </c>
      <c r="O33" s="20">
        <f>IF(SUMIFS(Selections!$T$6:$T$54,Selections!$G$6:$G$54,"72h-all-markets-net-ev15-execution-v7")=0,"n.a.",(SUMIFS(Selections!$S$6:$S$54,Selections!$G$6:$G$54,"72h-all-markets-net-ev15-execution-v7")-(SUMIFS(Selections!$L$6:$L$54,Selections!$G$6:$G$54,"72h-all-markets-net-ev15-execution-v7",Selections!$T$6:$T$54,1)))/SUMIFS(Selections!$T$6:$T$54,Selections!$G$6:$G$54,"72h-all-markets-net-ev15-execution-v7"))</f>
        <v>-0.2049448921829532</v>
      </c>
      <c r="P33" s="19">
        <f>SUMIFS(Selections!$T$6:$T$54,Selections!$G$6:$G$54,"72h-all-markets-net-ev15-execution-v7")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COUNTIFS(Selections!$G$6:$G$54,"72h-seven-markets-fresh-references-net-ev15-v11")</f>
        <v>5</v>
      </c>
      <c r="D34" s="19">
        <f>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</f>
        <v>5</v>
      </c>
      <c r="E34" s="19">
        <f>(COUNTIFS(Selections!$G$6:$G$54,"72h-seven-markets-fresh-references-net-ev15-v11",Selections!$K$6:$K$54,"WON")+COUNTIFS(Selections!$G$6:$G$54,"72h-seven-markets-fresh-references-net-ev15-v11",Selections!$K$6:$K$54,"HALF_WON"))</f>
        <v>4</v>
      </c>
      <c r="F34" s="19">
        <f>(COUNTIFS(Selections!$G$6:$G$54,"72h-seven-markets-fresh-references-net-ev15-v11",Selections!$K$6:$K$54,"LOST")+COUNTIFS(Selections!$G$6:$G$54,"72h-seven-markets-fresh-references-net-ev15-v11",Selections!$K$6:$K$54,"HALF_LOST"))</f>
        <v>1</v>
      </c>
      <c r="G34" s="19">
        <f>COUNTIFS(Selections!$G$6:$G$54,"72h-seven-markets-fresh-references-net-ev15-v11")-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</f>
        <v>0</v>
      </c>
      <c r="H34" s="20">
        <f>IF(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=0,"n.a.",(COUNTIFS(Selections!$G$6:$G$54,"72h-seven-markets-fresh-references-net-ev15-v11",Selections!$K$6:$K$54,"WON")+COUNTIFS(Selections!$G$6:$G$54,"72h-seven-markets-fresh-references-net-ev15-v11",Selections!$K$6:$K$54,"HALF_WON"))/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)</f>
        <v>0.8</v>
      </c>
      <c r="I34" s="22">
        <f>SUMIFS(Selections!$M$6:$M$54,Selections!$G$6:$G$54,"72h-seven-markets-fresh-references-net-ev15-v11")</f>
        <v>5</v>
      </c>
      <c r="J34" s="22">
        <f>SUMIFS(Selections!$N$6:$N$54,Selections!$G$6:$G$54,"72h-seven-markets-fresh-references-net-ev15-v11")</f>
        <v>0.3600000000000001</v>
      </c>
      <c r="K34" s="20">
        <f>IF(SUMIFS(Selections!$M$6:$M$54,Selections!$G$6:$G$54,"72h-seven-markets-fresh-references-net-ev15-v11")=0,"n.a.",SUMIFS(Selections!$N$6:$N$54,Selections!$G$6:$G$54,"72h-seven-markets-fresh-references-net-ev15-v11")/SUMIFS(Selections!$M$6:$M$54,Selections!$G$6:$G$54,"72h-seven-markets-fresh-references-net-ev15-v11"))</f>
        <v>0.07200000000000002</v>
      </c>
      <c r="L34" s="21">
        <f>IF(SUMIFS(Selections!$T$6:$T$54,Selections!$G$6:$G$54,"72h-seven-markets-fresh-references-net-ev15-v11")=0,"n.a.",SUMIFS(Selections!$O$6:$O$54,Selections!$G$6:$G$54,"72h-seven-markets-fresh-references-net-ev15-v11")/SUMIFS(Selections!$T$6:$T$54,Selections!$G$6:$G$54,"72h-seven-markets-fresh-references-net-ev15-v11"))</f>
        <v>0.12900891729637554</v>
      </c>
      <c r="M34" s="20">
        <f>IF(SUMIFS(Selections!$T$6:$T$54,Selections!$G$6:$G$54,"72h-seven-markets-fresh-references-net-ev15-v11")=0,"n.a.",SUMIFS(Selections!$S$6:$S$54,Selections!$G$6:$G$54,"72h-seven-markets-fresh-references-net-ev15-v11")/SUMIFS(Selections!$T$6:$T$54,Selections!$G$6:$G$54,"72h-seven-markets-fresh-references-net-ev15-v11"))</f>
        <v>0.7527708085856005</v>
      </c>
      <c r="N34" s="20">
        <f>IF(SUMIFS(Selections!$T$6:$T$54,Selections!$G$6:$G$54,"72h-seven-markets-fresh-references-net-ev15-v11")=0,"n.a.",(SUMIFS(Selections!$L$6:$L$54,Selections!$G$6:$G$54,"72h-seven-markets-fresh-references-net-ev15-v11",Selections!$T$6:$T$54,1))/SUMIFS(Selections!$T$6:$T$54,Selections!$G$6:$G$54,"72h-seven-markets-fresh-references-net-ev15-v11"))</f>
        <v>0.8</v>
      </c>
      <c r="O34" s="20">
        <f>IF(SUMIFS(Selections!$T$6:$T$54,Selections!$G$6:$G$54,"72h-seven-markets-fresh-references-net-ev15-v11")=0,"n.a.",(SUMIFS(Selections!$S$6:$S$54,Selections!$G$6:$G$54,"72h-seven-markets-fresh-references-net-ev15-v11")-(SUMIFS(Selections!$L$6:$L$54,Selections!$G$6:$G$54,"72h-seven-markets-fresh-references-net-ev15-v11",Selections!$T$6:$T$54,1)))/SUMIFS(Selections!$T$6:$T$54,Selections!$G$6:$G$54,"72h-seven-markets-fresh-references-net-ev15-v11"))</f>
        <v>-0.04722919141439952</v>
      </c>
      <c r="P34" s="19">
        <f>SUMIFS(Selections!$T$6:$T$54,Selections!$G$6:$G$54,"72h-seven-markets-fresh-references-net-ev15-v11")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COUNTIFS(Selections!$G$6:$G$54,"72h-ucl-v2")</f>
        <v>1</v>
      </c>
      <c r="D35" s="19">
        <f>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</f>
        <v>1</v>
      </c>
      <c r="E35" s="19">
        <f>(COUNTIFS(Selections!$G$6:$G$54,"72h-ucl-v2",Selections!$K$6:$K$54,"WON")+COUNTIFS(Selections!$G$6:$G$54,"72h-ucl-v2",Selections!$K$6:$K$54,"HALF_WON"))</f>
        <v>1</v>
      </c>
      <c r="F35" s="19">
        <f>(COUNTIFS(Selections!$G$6:$G$54,"72h-ucl-v2",Selections!$K$6:$K$54,"LOST")+COUNTIFS(Selections!$G$6:$G$54,"72h-ucl-v2",Selections!$K$6:$K$54,"HALF_LOST"))</f>
        <v>0</v>
      </c>
      <c r="G35" s="19">
        <f>COUNTIFS(Selections!$G$6:$G$54,"72h-ucl-v2")-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</f>
        <v>0</v>
      </c>
      <c r="H35" s="20">
        <f>IF(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=0,"n.a.",(COUNTIFS(Selections!$G$6:$G$54,"72h-ucl-v2",Selections!$K$6:$K$54,"WON")+COUNTIFS(Selections!$G$6:$G$54,"72h-ucl-v2",Selections!$K$6:$K$54,"HALF_WON"))/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)</f>
        <v>1.0</v>
      </c>
      <c r="I35" s="22">
        <f>SUMIFS(Selections!$M$6:$M$54,Selections!$G$6:$G$54,"72h-ucl-v2")</f>
        <v>1</v>
      </c>
      <c r="J35" s="22">
        <f>SUMIFS(Selections!$N$6:$N$54,Selections!$G$6:$G$54,"72h-ucl-v2")</f>
        <v>0.28</v>
      </c>
      <c r="K35" s="20">
        <f>IF(SUMIFS(Selections!$M$6:$M$54,Selections!$G$6:$G$54,"72h-ucl-v2")=0,"n.a.",SUMIFS(Selections!$N$6:$N$54,Selections!$G$6:$G$54,"72h-ucl-v2")/SUMIFS(Selections!$M$6:$M$54,Selections!$G$6:$G$54,"72h-ucl-v2"))</f>
        <v>0.28</v>
      </c>
      <c r="L35" s="21">
        <f>IF(SUMIFS(Selections!$T$6:$T$54,Selections!$G$6:$G$54,"72h-ucl-v2")=0,"n.a.",SUMIFS(Selections!$O$6:$O$54,Selections!$G$6:$G$54,"72h-ucl-v2")/SUMIFS(Selections!$T$6:$T$54,Selections!$G$6:$G$54,"72h-ucl-v2"))</f>
        <v>0.041442876272802645</v>
      </c>
      <c r="M35" s="20">
        <f>IF(SUMIFS(Selections!$T$6:$T$54,Selections!$G$6:$G$54,"72h-ucl-v2")=0,"n.a.",SUMIFS(Selections!$S$6:$S$54,Selections!$G$6:$G$54,"72h-ucl-v2")/SUMIFS(Selections!$T$6:$T$54,Selections!$G$6:$G$54,"72h-ucl-v2"))</f>
        <v>0.7964247650798294</v>
      </c>
      <c r="N35" s="20">
        <f>IF(SUMIFS(Selections!$T$6:$T$54,Selections!$G$6:$G$54,"72h-ucl-v2")=0,"n.a.",(SUMIFS(Selections!$L$6:$L$54,Selections!$G$6:$G$54,"72h-ucl-v2",Selections!$T$6:$T$54,1))/SUMIFS(Selections!$T$6:$T$54,Selections!$G$6:$G$54,"72h-ucl-v2"))</f>
        <v>1.0</v>
      </c>
      <c r="O35" s="20">
        <f>IF(SUMIFS(Selections!$T$6:$T$54,Selections!$G$6:$G$54,"72h-ucl-v2")=0,"n.a.",(SUMIFS(Selections!$S$6:$S$54,Selections!$G$6:$G$54,"72h-ucl-v2")-(SUMIFS(Selections!$L$6:$L$54,Selections!$G$6:$G$54,"72h-ucl-v2",Selections!$T$6:$T$54,1)))/SUMIFS(Selections!$T$6:$T$54,Selections!$G$6:$G$54,"72h-ucl-v2"))</f>
        <v>-0.2035752349201706</v>
      </c>
      <c r="P35" s="19">
        <f>SUMIFS(Selections!$T$6:$T$54,Selections!$G$6:$G$54,"72h-ucl-v2")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COUNTIFS(Selections!$G$6:$G$54,"72h-ucl-v3")</f>
        <v>7</v>
      </c>
      <c r="D36" s="19">
        <f>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</f>
        <v>6</v>
      </c>
      <c r="E36" s="19">
        <f>(COUNTIFS(Selections!$G$6:$G$54,"72h-ucl-v3",Selections!$K$6:$K$54,"WON")+COUNTIFS(Selections!$G$6:$G$54,"72h-ucl-v3",Selections!$K$6:$K$54,"HALF_WON"))</f>
        <v>3</v>
      </c>
      <c r="F36" s="19">
        <f>(COUNTIFS(Selections!$G$6:$G$54,"72h-ucl-v3",Selections!$K$6:$K$54,"LOST")+COUNTIFS(Selections!$G$6:$G$54,"72h-ucl-v3",Selections!$K$6:$K$54,"HALF_LOST"))</f>
        <v>3</v>
      </c>
      <c r="G36" s="19">
        <f>COUNTIFS(Selections!$G$6:$G$54,"72h-ucl-v3")-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</f>
        <v>1</v>
      </c>
      <c r="H36" s="20">
        <f>IF(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=0,"n.a.",(COUNTIFS(Selections!$G$6:$G$54,"72h-ucl-v3",Selections!$K$6:$K$54,"WON")+COUNTIFS(Selections!$G$6:$G$54,"72h-ucl-v3",Selections!$K$6:$K$54,"HALF_WON"))/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)</f>
        <v>0.5</v>
      </c>
      <c r="I36" s="22">
        <f>SUMIFS(Selections!$M$6:$M$54,Selections!$G$6:$G$54,"72h-ucl-v3")</f>
        <v>6</v>
      </c>
      <c r="J36" s="22">
        <f>SUMIFS(Selections!$N$6:$N$54,Selections!$G$6:$G$54,"72h-ucl-v3")</f>
        <v>-1.7100000000000002</v>
      </c>
      <c r="K36" s="20">
        <f>IF(SUMIFS(Selections!$M$6:$M$54,Selections!$G$6:$G$54,"72h-ucl-v3")=0,"n.a.",SUMIFS(Selections!$N$6:$N$54,Selections!$G$6:$G$54,"72h-ucl-v3")/SUMIFS(Selections!$M$6:$M$54,Selections!$G$6:$G$54,"72h-ucl-v3"))</f>
        <v>-0.28500000000000003</v>
      </c>
      <c r="L36" s="21">
        <f>IF(SUMIFS(Selections!$T$6:$T$54,Selections!$G$6:$G$54,"72h-ucl-v3")=0,"n.a.",SUMIFS(Selections!$O$6:$O$54,Selections!$G$6:$G$54,"72h-ucl-v3")/SUMIFS(Selections!$T$6:$T$54,Selections!$G$6:$G$54,"72h-ucl-v3"))</f>
        <v>0.3538657630451178</v>
      </c>
      <c r="M36" s="20">
        <f>IF(SUMIFS(Selections!$T$6:$T$54,Selections!$G$6:$G$54,"72h-ucl-v3")=0,"n.a.",SUMIFS(Selections!$S$6:$S$54,Selections!$G$6:$G$54,"72h-ucl-v3")/SUMIFS(Selections!$T$6:$T$54,Selections!$G$6:$G$54,"72h-ucl-v3"))</f>
        <v>0.7987491501653422</v>
      </c>
      <c r="N36" s="20">
        <f>IF(SUMIFS(Selections!$T$6:$T$54,Selections!$G$6:$G$54,"72h-ucl-v3")=0,"n.a.",(SUMIFS(Selections!$L$6:$L$54,Selections!$G$6:$G$54,"72h-ucl-v3",Selections!$T$6:$T$54,1))/SUMIFS(Selections!$T$6:$T$54,Selections!$G$6:$G$54,"72h-ucl-v3"))</f>
        <v>0.5</v>
      </c>
      <c r="O36" s="20">
        <f>IF(SUMIFS(Selections!$T$6:$T$54,Selections!$G$6:$G$54,"72h-ucl-v3")=0,"n.a.",(SUMIFS(Selections!$S$6:$S$54,Selections!$G$6:$G$54,"72h-ucl-v3")-(SUMIFS(Selections!$L$6:$L$54,Selections!$G$6:$G$54,"72h-ucl-v3",Selections!$T$6:$T$54,1)))/SUMIFS(Selections!$T$6:$T$54,Selections!$G$6:$G$54,"72h-ucl-v3"))</f>
        <v>0.2987491501653422</v>
      </c>
      <c r="P36" s="19">
        <f>SUMIFS(Selections!$T$6:$T$54,Selections!$G$6:$G$54,"72h-ucl-v3")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COUNTIFS(Selections!$G$6:$G$54,"legacy/unspecified")</f>
        <v>2</v>
      </c>
      <c r="D37" s="19">
        <f>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</f>
        <v>2</v>
      </c>
      <c r="E37" s="19">
        <f>(COUNTIFS(Selections!$G$6:$G$54,"legacy/unspecified",Selections!$K$6:$K$54,"WON")+COUNTIFS(Selections!$G$6:$G$54,"legacy/unspecified",Selections!$K$6:$K$54,"HALF_WON"))</f>
        <v>2</v>
      </c>
      <c r="F37" s="19">
        <f>(COUNTIFS(Selections!$G$6:$G$54,"legacy/unspecified",Selections!$K$6:$K$54,"LOST")+COUNTIFS(Selections!$G$6:$G$54,"legacy/unspecified",Selections!$K$6:$K$54,"HALF_LOST"))</f>
        <v>0</v>
      </c>
      <c r="G37" s="19">
        <f>COUNTIFS(Selections!$G$6:$G$54,"legacy/unspecified")-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</f>
        <v>0</v>
      </c>
      <c r="H37" s="20">
        <f>IF(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=0,"n.a.",(COUNTIFS(Selections!$G$6:$G$54,"legacy/unspecified",Selections!$K$6:$K$54,"WON")+COUNTIFS(Selections!$G$6:$G$54,"legacy/unspecified",Selections!$K$6:$K$54,"HALF_WON"))/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)</f>
        <v>1.0</v>
      </c>
      <c r="I37" s="22">
        <f>SUMIFS(Selections!$M$6:$M$54,Selections!$G$6:$G$54,"legacy/unspecified")</f>
        <v>2</v>
      </c>
      <c r="J37" s="22">
        <f>SUMIFS(Selections!$N$6:$N$54,Selections!$G$6:$G$54,"legacy/unspecified")</f>
        <v>0.6399999999999999</v>
      </c>
      <c r="K37" s="20">
        <f>IF(SUMIFS(Selections!$M$6:$M$54,Selections!$G$6:$G$54,"legacy/unspecified")=0,"n.a.",SUMIFS(Selections!$N$6:$N$54,Selections!$G$6:$G$54,"legacy/unspecified")/SUMIFS(Selections!$M$6:$M$54,Selections!$G$6:$G$54,"legacy/unspecified"))</f>
        <v>0.31999999999999995</v>
      </c>
      <c r="L37" s="21">
        <f>IF(SUMIFS(Selections!$T$6:$T$54,Selections!$G$6:$G$54,"legacy/unspecified")=0,"n.a.",SUMIFS(Selections!$O$6:$O$54,Selections!$G$6:$G$54,"legacy/unspecified")/SUMIFS(Selections!$T$6:$T$54,Selections!$G$6:$G$54,"legacy/unspecified"))</f>
        <v>0.022741501209119913</v>
      </c>
      <c r="M37" s="20">
        <f>IF(SUMIFS(Selections!$T$6:$T$54,Selections!$G$6:$G$54,"legacy/unspecified")=0,"n.a.",SUMIFS(Selections!$S$6:$S$54,Selections!$G$6:$G$54,"legacy/unspecified")/SUMIFS(Selections!$T$6:$T$54,Selections!$G$6:$G$54,"legacy/unspecified"))</f>
        <v>0.8612313600870412</v>
      </c>
      <c r="N37" s="20">
        <f>IF(SUMIFS(Selections!$T$6:$T$54,Selections!$G$6:$G$54,"legacy/unspecified")=0,"n.a.",(SUMIFS(Selections!$L$6:$L$54,Selections!$G$6:$G$54,"legacy/unspecified",Selections!$T$6:$T$54,1))/SUMIFS(Selections!$T$6:$T$54,Selections!$G$6:$G$54,"legacy/unspecified"))</f>
        <v>1.0</v>
      </c>
      <c r="O37" s="20">
        <f>IF(SUMIFS(Selections!$T$6:$T$54,Selections!$G$6:$G$54,"legacy/unspecified")=0,"n.a.",(SUMIFS(Selections!$S$6:$S$54,Selections!$G$6:$G$54,"legacy/unspecified")-(SUMIFS(Selections!$L$6:$L$54,Selections!$G$6:$G$54,"legacy/unspecified",Selections!$T$6:$T$54,1)))/SUMIFS(Selections!$T$6:$T$54,Selections!$G$6:$G$54,"legacy/unspecified"))</f>
        <v>-0.13876863991295885</v>
      </c>
      <c r="P37" s="19">
        <f>SUMIFS(Selections!$T$6:$T$54,Selections!$G$6:$G$54,"legacy/unspecified")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COUNTIFS(Selections!$P$6:$P$54,"2026-W41")</f>
        <v>5</v>
      </c>
      <c r="D38" s="19">
        <f>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</f>
        <v>4</v>
      </c>
      <c r="E38" s="19">
        <f>(COUNTIFS(Selections!$P$6:$P$54,"2026-W41",Selections!$K$6:$K$54,"WON")+COUNTIFS(Selections!$P$6:$P$54,"2026-W41",Selections!$K$6:$K$54,"HALF_WON"))</f>
        <v>2</v>
      </c>
      <c r="F38" s="19">
        <f>(COUNTIFS(Selections!$P$6:$P$54,"2026-W41",Selections!$K$6:$K$54,"LOST")+COUNTIFS(Selections!$P$6:$P$54,"2026-W41",Selections!$K$6:$K$54,"HALF_LOST"))</f>
        <v>2</v>
      </c>
      <c r="G38" s="19">
        <f>COUNTIFS(Selections!$P$6:$P$54,"2026-W41")-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</f>
        <v>1</v>
      </c>
      <c r="H38" s="20">
        <f>IF(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=0,"n.a.",(COUNTIFS(Selections!$P$6:$P$54,"2026-W41",Selections!$K$6:$K$54,"WON")+COUNTIFS(Selections!$P$6:$P$54,"2026-W41",Selections!$K$6:$K$54,"HALF_WON"))/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)</f>
        <v>0.5</v>
      </c>
      <c r="I38" s="22">
        <f>SUMIFS(Selections!$M$6:$M$54,Selections!$P$6:$P$54,"2026-W41")</f>
        <v>4</v>
      </c>
      <c r="J38" s="22">
        <f>SUMIFS(Selections!$N$6:$N$54,Selections!$P$6:$P$54,"2026-W41")</f>
        <v>-1.48</v>
      </c>
      <c r="K38" s="20">
        <f>IF(SUMIFS(Selections!$M$6:$M$54,Selections!$P$6:$P$54,"2026-W41")=0,"n.a.",SUMIFS(Selections!$N$6:$N$54,Selections!$P$6:$P$54,"2026-W41")/SUMIFS(Selections!$M$6:$M$54,Selections!$P$6:$P$54,"2026-W41"))</f>
        <v>-0.37</v>
      </c>
      <c r="L38" s="21">
        <f>IF(SUMIFS(Selections!$T$6:$T$54,Selections!$P$6:$P$54,"2026-W41")=0,"n.a.",SUMIFS(Selections!$O$6:$O$54,Selections!$P$6:$P$54,"2026-W41")/SUMIFS(Selections!$T$6:$T$54,Selections!$P$6:$P$54,"2026-W41"))</f>
        <v>0.32924630276534106</v>
      </c>
      <c r="M38" s="20">
        <f>IF(SUMIFS(Selections!$T$6:$T$54,Selections!$P$6:$P$54,"2026-W41")=0,"n.a.",SUMIFS(Selections!$S$6:$S$54,Selections!$P$6:$P$54,"2026-W41")/SUMIFS(Selections!$T$6:$T$54,Selections!$P$6:$P$54,"2026-W41"))</f>
        <v>0.8212200676021444</v>
      </c>
      <c r="N38" s="20">
        <f>IF(SUMIFS(Selections!$T$6:$T$54,Selections!$P$6:$P$54,"2026-W41")=0,"n.a.",(SUMIFS(Selections!$L$6:$L$54,Selections!$P$6:$P$54,"2026-W41",Selections!$T$6:$T$54,1))/SUMIFS(Selections!$T$6:$T$54,Selections!$P$6:$P$54,"2026-W41"))</f>
        <v>0.5</v>
      </c>
      <c r="O38" s="20">
        <f>IF(SUMIFS(Selections!$T$6:$T$54,Selections!$P$6:$P$54,"2026-W41")=0,"n.a.",(SUMIFS(Selections!$S$6:$S$54,Selections!$P$6:$P$54,"2026-W41")-(SUMIFS(Selections!$L$6:$L$54,Selections!$P$6:$P$54,"2026-W41",Selections!$T$6:$T$54,1)))/SUMIFS(Selections!$T$6:$T$54,Selections!$P$6:$P$54,"2026-W41"))</f>
        <v>0.3212200676021444</v>
      </c>
      <c r="P38" s="19">
        <f>SUMIFS(Selections!$T$6:$T$54,Selections!$P$6:$P$54,"2026-W41")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COUNTIFS(Selections!$P$6:$P$54,"2026-W42")</f>
        <v>24</v>
      </c>
      <c r="D39" s="19">
        <f>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</f>
        <v>22</v>
      </c>
      <c r="E39" s="19">
        <f>(COUNTIFS(Selections!$P$6:$P$54,"2026-W42",Selections!$K$6:$K$54,"WON")+COUNTIFS(Selections!$P$6:$P$54,"2026-W42",Selections!$K$6:$K$54,"HALF_WON"))</f>
        <v>19</v>
      </c>
      <c r="F39" s="19">
        <f>(COUNTIFS(Selections!$P$6:$P$54,"2026-W42",Selections!$K$6:$K$54,"LOST")+COUNTIFS(Selections!$P$6:$P$54,"2026-W42",Selections!$K$6:$K$54,"HALF_LOST"))</f>
        <v>3</v>
      </c>
      <c r="G39" s="19">
        <f>COUNTIFS(Selections!$P$6:$P$54,"2026-W42")-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</f>
        <v>2</v>
      </c>
      <c r="H39" s="20">
        <f>IF(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=0,"n.a.",(COUNTIFS(Selections!$P$6:$P$54,"2026-W42",Selections!$K$6:$K$54,"WON")+COUNTIFS(Selections!$P$6:$P$54,"2026-W42",Selections!$K$6:$K$54,"HALF_WON"))/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)</f>
        <v>0.8636363636363636</v>
      </c>
      <c r="I39" s="22">
        <f>SUMIFS(Selections!$M$6:$M$54,Selections!$P$6:$P$54,"2026-W42")</f>
        <v>22</v>
      </c>
      <c r="J39" s="22">
        <f>SUMIFS(Selections!$N$6:$N$54,Selections!$P$6:$P$54,"2026-W42")</f>
        <v>4.289999999999999</v>
      </c>
      <c r="K39" s="20">
        <f>IF(SUMIFS(Selections!$M$6:$M$54,Selections!$P$6:$P$54,"2026-W42")=0,"n.a.",SUMIFS(Selections!$N$6:$N$54,Selections!$P$6:$P$54,"2026-W42")/SUMIFS(Selections!$M$6:$M$54,Selections!$P$6:$P$54,"2026-W42"))</f>
        <v>0.19499999999999995</v>
      </c>
      <c r="L39" s="21">
        <f>IF(SUMIFS(Selections!$T$6:$T$54,Selections!$P$6:$P$54,"2026-W42")=0,"n.a.",SUMIFS(Selections!$O$6:$O$54,Selections!$P$6:$P$54,"2026-W42")/SUMIFS(Selections!$T$6:$T$54,Selections!$P$6:$P$54,"2026-W42"))</f>
        <v>0.13041357566209277</v>
      </c>
      <c r="M39" s="20">
        <f>IF(SUMIFS(Selections!$T$6:$T$54,Selections!$P$6:$P$54,"2026-W42")=0,"n.a.",SUMIFS(Selections!$S$6:$S$54,Selections!$P$6:$P$54,"2026-W42")/SUMIFS(Selections!$T$6:$T$54,Selections!$P$6:$P$54,"2026-W42"))</f>
        <v>0.7692010233716516</v>
      </c>
      <c r="N39" s="20">
        <f>IF(SUMIFS(Selections!$T$6:$T$54,Selections!$P$6:$P$54,"2026-W42")=0,"n.a.",(SUMIFS(Selections!$L$6:$L$54,Selections!$P$6:$P$54,"2026-W42",Selections!$T$6:$T$54,1))/SUMIFS(Selections!$T$6:$T$54,Selections!$P$6:$P$54,"2026-W42"))</f>
        <v>0.8636363636363636</v>
      </c>
      <c r="O39" s="20">
        <f>IF(SUMIFS(Selections!$T$6:$T$54,Selections!$P$6:$P$54,"2026-W42")=0,"n.a.",(SUMIFS(Selections!$S$6:$S$54,Selections!$P$6:$P$54,"2026-W42")-(SUMIFS(Selections!$L$6:$L$54,Selections!$P$6:$P$54,"2026-W42",Selections!$T$6:$T$54,1)))/SUMIFS(Selections!$T$6:$T$54,Selections!$P$6:$P$54,"2026-W42"))</f>
        <v>-0.09443534026471201</v>
      </c>
      <c r="P39" s="19">
        <f>SUMIFS(Selections!$T$6:$T$54,Selections!$P$6:$P$54,"2026-W42")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COUNTIFS(Selections!$P$6:$P$54,"2026-W43")</f>
        <v>20</v>
      </c>
      <c r="D40" s="19">
        <f>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</f>
        <v>12</v>
      </c>
      <c r="E40" s="19">
        <f>(COUNTIFS(Selections!$P$6:$P$54,"2026-W43",Selections!$K$6:$K$54,"WON")+COUNTIFS(Selections!$P$6:$P$54,"2026-W43",Selections!$K$6:$K$54,"HALF_WON"))</f>
        <v>7</v>
      </c>
      <c r="F40" s="19">
        <f>(COUNTIFS(Selections!$P$6:$P$54,"2026-W43",Selections!$K$6:$K$54,"LOST")+COUNTIFS(Selections!$P$6:$P$54,"2026-W43",Selections!$K$6:$K$54,"HALF_LOST"))</f>
        <v>5</v>
      </c>
      <c r="G40" s="19">
        <f>COUNTIFS(Selections!$P$6:$P$54,"2026-W43")-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</f>
        <v>8</v>
      </c>
      <c r="H40" s="20">
        <f>IF(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=0,"n.a.",(COUNTIFS(Selections!$P$6:$P$54,"2026-W43",Selections!$K$6:$K$54,"WON")+COUNTIFS(Selections!$P$6:$P$54,"2026-W43",Selections!$K$6:$K$54,"HALF_WON"))/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)</f>
        <v>0.5833333333333334</v>
      </c>
      <c r="I40" s="22">
        <f>SUMIFS(Selections!$M$6:$M$54,Selections!$P$6:$P$54,"2026-W43")</f>
        <v>12</v>
      </c>
      <c r="J40" s="22">
        <f>SUMIFS(Selections!$N$6:$N$54,Selections!$P$6:$P$54,"2026-W43")</f>
        <v>-2.3800000000000003</v>
      </c>
      <c r="K40" s="20">
        <f>IF(SUMIFS(Selections!$M$6:$M$54,Selections!$P$6:$P$54,"2026-W43")=0,"n.a.",SUMIFS(Selections!$N$6:$N$54,Selections!$P$6:$P$54,"2026-W43")/SUMIFS(Selections!$M$6:$M$54,Selections!$P$6:$P$54,"2026-W43"))</f>
        <v>-0.19833333333333336</v>
      </c>
      <c r="L40" s="21">
        <f>IF(SUMIFS(Selections!$T$6:$T$54,Selections!$P$6:$P$54,"2026-W43")=0,"n.a.",SUMIFS(Selections!$O$6:$O$54,Selections!$P$6:$P$54,"2026-W43")/SUMIFS(Selections!$T$6:$T$54,Selections!$P$6:$P$54,"2026-W43"))</f>
        <v>0.21142395605648476</v>
      </c>
      <c r="M40" s="20">
        <f>IF(SUMIFS(Selections!$T$6:$T$54,Selections!$P$6:$P$54,"2026-W43")=0,"n.a.",SUMIFS(Selections!$S$6:$S$54,Selections!$P$6:$P$54,"2026-W43")/SUMIFS(Selections!$T$6:$T$54,Selections!$P$6:$P$54,"2026-W43"))</f>
        <v>0.7179581897322406</v>
      </c>
      <c r="N40" s="20">
        <f>IF(SUMIFS(Selections!$T$6:$T$54,Selections!$P$6:$P$54,"2026-W43")=0,"n.a.",(SUMIFS(Selections!$L$6:$L$54,Selections!$P$6:$P$54,"2026-W43",Selections!$T$6:$T$54,1))/SUMIFS(Selections!$T$6:$T$54,Selections!$P$6:$P$54,"2026-W43"))</f>
        <v>0.5833333333333334</v>
      </c>
      <c r="O40" s="20">
        <f>IF(SUMIFS(Selections!$T$6:$T$54,Selections!$P$6:$P$54,"2026-W43")=0,"n.a.",(SUMIFS(Selections!$S$6:$S$54,Selections!$P$6:$P$54,"2026-W43")-(SUMIFS(Selections!$L$6:$L$54,Selections!$P$6:$P$54,"2026-W43",Selections!$T$6:$T$54,1)))/SUMIFS(Selections!$T$6:$T$54,Selections!$P$6:$P$54,"2026-W43"))</f>
        <v>0.1346248563989072</v>
      </c>
      <c r="P40" s="19">
        <f>SUMIFS(Selections!$T$6:$T$54,Selections!$P$6:$P$54,"2026-W43")</f>
        <v>12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(n=12).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COUNTIFS(Selections!$S$6:$S$54,"&gt;="&amp;B6,Selections!$S$6:$S$54,"&lt;"&amp;C6,Selections!$T$6:$T$54,1)</f>
        <v>1</v>
      </c>
      <c r="E6" s="20">
        <f>IF(D6=0,"n.a.",SUMIFS(Selections!$S$6:$S$54,Selections!$S$6:$S$54,"&gt;="&amp;B6,Selections!$S$6:$S$54,"&lt;"&amp;C6,Selections!$T$6:$T$54,1)/D6)</f>
        <v>0.45373358817867715</v>
      </c>
      <c r="F6" s="20">
        <f>IF(D6=0,"n.a.",SUMIFS(Selections!$L$6:$L$54,Selections!$S$6:$S$54,"&gt;="&amp;B6,Selections!$S$6:$S$54,"&lt;"&amp;C6,Selections!$T$6:$T$54,1)/D6)</f>
        <v>0.0</v>
      </c>
      <c r="G6" s="20">
        <f>IF(D6=0,"n.a.",E6-F6)</f>
        <v>0.45373358817867715</v>
      </c>
      <c r="H6" s="21">
        <f>IF(D6=0,"n.a.",SUMIFS(Selections!$O$6:$O$54,Selections!$S$6:$S$54,"&gt;="&amp;B6,Selections!$S$6:$S$54,"&lt;"&amp;C6,Selections!$T$6:$T$54,1)/D6)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COUNTIFS(Selections!$S$6:$S$54,"&gt;="&amp;B7,Selections!$S$6:$S$54,"&lt;"&amp;C7,Selections!$T$6:$T$54,1)</f>
        <v>1</v>
      </c>
      <c r="E7" s="20">
        <f>IF(D7=0,"n.a.",SUMIFS(Selections!$S$6:$S$54,Selections!$S$6:$S$54,"&gt;="&amp;B7,Selections!$S$6:$S$54,"&lt;"&amp;C7,Selections!$T$6:$T$54,1)/D7)</f>
        <v>0.5493193451423081</v>
      </c>
      <c r="F7" s="20">
        <f>IF(D7=0,"n.a.",SUMIFS(Selections!$L$6:$L$54,Selections!$S$6:$S$54,"&gt;="&amp;B7,Selections!$S$6:$S$54,"&lt;"&amp;C7,Selections!$T$6:$T$54,1)/D7)</f>
        <v>1.0</v>
      </c>
      <c r="G7" s="20">
        <f>IF(D7=0,"n.a.",E7-F7)</f>
        <v>-0.45068065485769193</v>
      </c>
      <c r="H7" s="21">
        <f>IF(D7=0,"n.a.",SUMIFS(Selections!$O$6:$O$54,Selections!$S$6:$S$54,"&gt;="&amp;B7,Selections!$S$6:$S$54,"&lt;"&amp;C7,Selections!$T$6:$T$54,1)/D7)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COUNTIFS(Selections!$S$6:$S$54,"&gt;="&amp;B8,Selections!$S$6:$S$54,"&lt;"&amp;C8,Selections!$T$6:$T$54,1)</f>
        <v>8</v>
      </c>
      <c r="E8" s="20">
        <f>IF(D8=0,"n.a.",SUMIFS(Selections!$S$6:$S$54,Selections!$S$6:$S$54,"&gt;="&amp;B8,Selections!$S$6:$S$54,"&lt;"&amp;C8,Selections!$T$6:$T$54,1)/D8)</f>
        <v>0.6487583343163</v>
      </c>
      <c r="F8" s="20">
        <f>IF(D8=0,"n.a.",SUMIFS(Selections!$L$6:$L$54,Selections!$S$6:$S$54,"&gt;="&amp;B8,Selections!$S$6:$S$54,"&lt;"&amp;C8,Selections!$T$6:$T$54,1)/D8)</f>
        <v>0.625</v>
      </c>
      <c r="G8" s="20">
        <f>IF(D8=0,"n.a.",E8-F8)</f>
        <v>0.023758334316300034</v>
      </c>
      <c r="H8" s="21">
        <f>IF(D8=0,"n.a.",SUMIFS(Selections!$O$6:$O$54,Selections!$S$6:$S$54,"&gt;="&amp;B8,Selections!$S$6:$S$54,"&lt;"&amp;C8,Selections!$T$6:$T$54,1)/D8)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COUNTIFS(Selections!$S$6:$S$54,"&gt;="&amp;B9,Selections!$S$6:$S$54,"&lt;"&amp;C9,Selections!$T$6:$T$54,1)</f>
        <v>14</v>
      </c>
      <c r="E9" s="20">
        <f>IF(D9=0,"n.a.",SUMIFS(Selections!$S$6:$S$54,Selections!$S$6:$S$54,"&gt;="&amp;B9,Selections!$S$6:$S$54,"&lt;"&amp;C9,Selections!$T$6:$T$54,1)/D9)</f>
        <v>0.7591794918954081</v>
      </c>
      <c r="F9" s="20">
        <f>IF(D9=0,"n.a.",SUMIFS(Selections!$L$6:$L$54,Selections!$S$6:$S$54,"&gt;="&amp;B9,Selections!$S$6:$S$54,"&lt;"&amp;C9,Selections!$T$6:$T$54,1)/D9)</f>
        <v>0.7142857142857143</v>
      </c>
      <c r="G9" s="20">
        <f>IF(D9=0,"n.a.",E9-F9)</f>
        <v>0.04489377760969382</v>
      </c>
      <c r="H9" s="21">
        <f>IF(D9=0,"n.a.",SUMIFS(Selections!$O$6:$O$54,Selections!$S$6:$S$54,"&gt;="&amp;B9,Selections!$S$6:$S$54,"&lt;"&amp;C9,Selections!$T$6:$T$54,1)/D9)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COUNTIFS(Selections!$S$6:$S$54,"&gt;="&amp;B10,Selections!$S$6:$S$54,"&lt;"&amp;C10,Selections!$T$6:$T$54,1)</f>
        <v>11</v>
      </c>
      <c r="E10" s="20">
        <f>IF(D10=0,"n.a.",SUMIFS(Selections!$S$6:$S$54,Selections!$S$6:$S$54,"&gt;="&amp;B10,Selections!$S$6:$S$54,"&lt;"&amp;C10,Selections!$T$6:$T$54,1)/D10)</f>
        <v>0.837468783985373</v>
      </c>
      <c r="F10" s="20">
        <f>IF(D10=0,"n.a.",SUMIFS(Selections!$L$6:$L$54,Selections!$S$6:$S$54,"&gt;="&amp;B10,Selections!$S$6:$S$54,"&lt;"&amp;C10,Selections!$T$6:$T$54,1)/D10)</f>
        <v>0.8181818181818182</v>
      </c>
      <c r="G10" s="20">
        <f>IF(D10=0,"n.a.",E10-F10)</f>
        <v>0.019286965803554823</v>
      </c>
      <c r="H10" s="21">
        <f>IF(D10=0,"n.a.",SUMIFS(Selections!$O$6:$O$54,Selections!$S$6:$S$54,"&gt;="&amp;B10,Selections!$S$6:$S$54,"&lt;"&amp;C10,Selections!$T$6:$T$54,1)/D10)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COUNTIFS(Selections!$S$6:$S$54,"&gt;="&amp;B11,Selections!$S$6:$S$54,"&lt;"&amp;C11,Selections!$T$6:$T$54,1)</f>
        <v>3</v>
      </c>
      <c r="E11" s="20">
        <f>IF(D11=0,"n.a.",SUMIFS(Selections!$S$6:$S$54,Selections!$S$6:$S$54,"&gt;="&amp;B11,Selections!$S$6:$S$54,"&lt;"&amp;C11,Selections!$T$6:$T$54,1)/D11)</f>
        <v>0.9296706477151994</v>
      </c>
      <c r="F11" s="20">
        <f>IF(D11=0,"n.a.",SUMIFS(Selections!$L$6:$L$54,Selections!$S$6:$S$54,"&gt;="&amp;B11,Selections!$S$6:$S$54,"&lt;"&amp;C11,Selections!$T$6:$T$54,1)/D11)</f>
        <v>1.0</v>
      </c>
      <c r="G11" s="20">
        <f>IF(D11=0,"n.a.",E11-F11)</f>
        <v>-0.07032935228480064</v>
      </c>
      <c r="H11" s="21">
        <f>IF(D11=0,"n.a.",SUMIFS(Selections!$O$6:$O$54,Selections!$S$6:$S$54,"&gt;="&amp;B11,Selections!$S$6:$S$54,"&lt;"&amp;C11,Selections!$T$6:$T$54,1)/D11)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+3.00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0.9109020321032636</v>
      </c>
      <c r="I48" s="22">
        <v>1.18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0117b0e0fe09a0266deb28e532f2ad9e4f4da47a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2026-10-22T15:07:55.640807+00:00</t>
        </is>
      </c>
      <c r="W48" t="inlineStr" s="18">
        <is>
          <t>2026-10-23T10:23:48Z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0.8544947120270947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0117b0e0fe09a0266deb28e532f2ad9e4f4da47a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2026-10-22T15:07:55.640807+00:00</t>
        </is>
      </c>
      <c r="W50" t="inlineStr" s="18">
        <is>
          <t>2026-10-23T10:23:48Z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0.7512900705793089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0117b0e0fe09a0266deb28e532f2ad9e4f4da47a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2026-10-22T15:07:55.640807+00:00</t>
        </is>
      </c>
      <c r="W51" t="inlineStr" s="18">
        <is>
          <t>2026-10-23T10:23:48Z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0.7899950872666754</v>
      </c>
      <c r="I52" s="22">
        <v>1.32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0117b0e0fe09a0266deb28e532f2ad9e4f4da47a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2026-10-22T15:07:55.640807+00:00</t>
        </is>
      </c>
      <c r="W52" t="inlineStr" s="18">
        <is>
          <t>2026-10-23T10:23:48Z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0.9203502562918959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0117b0e0fe09a0266deb28e532f2ad9e4f4da47a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2026-10-22T15:07:55.640807+00:00</t>
        </is>
      </c>
      <c r="W53" t="inlineStr" s="18">
        <is>
          <t>2026-10-23T10:23:48Z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0.8484986179141932</v>
      </c>
      <c r="I54" s="22">
        <v>1.27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0117b0e0fe09a0266deb28e532f2ad9e4f4da47a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2026-10-22T15:07:55.640807+00:00</t>
        </is>
      </c>
      <c r="W54" t="inlineStr" s="18">
        <is>
          <t>2026-10-23T10:23:48Z</t>
        </is>
      </c>
    </row>
  </sheetData>
  <mergeCells count="2">
    <mergeCell ref="B2:W2"/>
    <mergeCell ref="B4:W4"/>
  </mergeCells>
  <conditionalFormatting sqref="K6:K54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Bundesliga|bayern munich|borussia dortmund|2026-10-31</t>
        </is>
      </c>
      <c r="B216" s="23">
        <v>46326.729166666664</v>
      </c>
      <c r="C216" s="18" t="inlineStr">
        <is>
          <t>Bundesliga</t>
        </is>
      </c>
      <c r="D216" s="18" t="inlineStr">
        <is>
          <t>Bayern Munich vs Borussia Dortmund</t>
        </is>
      </c>
      <c r="E216" s="18" t="inlineStr">
        <is>
          <t>48h-zero-tolerance-ev1-common-no-loss75-v22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0117b0e0fe09a0266deb28e532f2ad9e4f4da47a</t>
        </is>
      </c>
      <c r="P216" s="18"/>
      <c r="Q216" s="18"/>
      <c r="R216" s="18"/>
    </row>
    <row r="217" ht="36" customHeight="1">
      <c r="A217" s="18" t="inlineStr">
        <is>
          <t>La Liga|real betis|malaga|2026-10-31</t>
        </is>
      </c>
      <c r="B217" s="23">
        <v>46326.729166666664</v>
      </c>
      <c r="C217" s="18" t="inlineStr">
        <is>
          <t>La Liga</t>
        </is>
      </c>
      <c r="D217" s="18" t="inlineStr">
        <is>
          <t>Real Betis vs Málaga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Premier League|tottenham|crystal palace|2026-10-31</t>
        </is>
      </c>
      <c r="B218" s="23">
        <v>46326.729166666664</v>
      </c>
      <c r="C218" s="18" t="inlineStr">
        <is>
          <t>Premier League</t>
        </is>
      </c>
      <c r="D218" s="18" t="inlineStr">
        <is>
          <t>Tottenham Hotspur vs Crystal Palace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Ligue 1|lorient|brest|2026-10-31</t>
        </is>
      </c>
      <c r="B219" s="23">
        <v>46326.822916666664</v>
      </c>
      <c r="C219" s="18" t="inlineStr">
        <is>
          <t>Ligue 1</t>
        </is>
      </c>
      <c r="D219" s="18" t="inlineStr">
        <is>
          <t>Lorient vs Brest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1|lyon|angers|2026-10-31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Lyon vs Angers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1|troyes|le mans|2026-10-31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Troyes vs Le Mans FC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La Liga|barcelona|alaves|2026-10-31</t>
        </is>
      </c>
      <c r="B222" s="23">
        <v>46326.833333333336</v>
      </c>
      <c r="C222" s="18" t="inlineStr">
        <is>
          <t>La Liga</t>
        </is>
      </c>
      <c r="D222" s="18" t="inlineStr">
        <is>
          <t>Barcelona vs Alavés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Premier League|aston villa|fulham|2026-10-31</t>
        </is>
      </c>
      <c r="B223" s="23">
        <v>46326.833333333336</v>
      </c>
      <c r="C223" s="18" t="inlineStr">
        <is>
          <t>Premier League</t>
        </is>
      </c>
      <c r="D223" s="18" t="inlineStr">
        <is>
          <t>Aston Villa vs Fulham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La Liga|getafe|sevilla|2026-11-01</t>
        </is>
      </c>
      <c r="B224" s="23">
        <v>46327.541666666664</v>
      </c>
      <c r="C224" s="18" t="inlineStr">
        <is>
          <t>La Liga</t>
        </is>
      </c>
      <c r="D224" s="18" t="inlineStr">
        <is>
          <t>Getafe vs Sevilla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Ligue 1|strasbourg|auxerre|2026-11-01</t>
        </is>
      </c>
      <c r="B225" s="23">
        <v>46327.583333333336</v>
      </c>
      <c r="C225" s="18" t="inlineStr">
        <is>
          <t>Ligue 1</t>
        </is>
      </c>
      <c r="D225" s="18" t="inlineStr">
        <is>
          <t>Strasbourg vs Auxerre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Bundesliga|union berlin|1 koln|2026-11-01</t>
        </is>
      </c>
      <c r="B226" s="23">
        <v>46327.604166666664</v>
      </c>
      <c r="C226" s="18" t="inlineStr">
        <is>
          <t>Bundesliga</t>
        </is>
      </c>
      <c r="D226" s="18" t="inlineStr">
        <is>
          <t>Union Berlin vs 1. FC Köln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9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19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9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19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COUNTIFS(Selections!$P$6:$P$54,A6,Selections!$M$6:$M$54,"&gt;0")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COUNTIFS(Selections!$P$6:$P$54,A7,Selections!$M$6:$M$54,"&gt;0")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12.0</v>
      </c>
      <c r="C8" s="19">
        <f>COUNTIFS(Selections!$P$6:$P$54,A8,Selections!$M$6:$M$54,"&gt;0")</f>
        <v>12.0</v>
      </c>
      <c r="D8" s="22">
        <f>IF(C8=0,"n.a.",Breakdowns!J40)</f>
        <v>-2.3800000000000003</v>
      </c>
      <c r="E8" s="22">
        <f>IF(SUM($C$6:C8)=0,"n.a.",SUM($D$6:D8))</f>
        <v>0.4299999999999988</v>
      </c>
      <c r="F8" s="20">
        <f>Breakdowns!H40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49</v>
      </c>
      <c r="B8" s="19">
        <v>38</v>
      </c>
      <c r="C8" s="19">
        <v>28</v>
      </c>
      <c r="D8" s="19">
        <v>10</v>
      </c>
      <c r="E8" s="19">
        <v>11</v>
      </c>
      <c r="F8" s="20">
        <v>0.736842</v>
      </c>
      <c r="G8" s="20">
        <v>0.011316</v>
      </c>
      <c r="H8" s="19">
        <v>0.43</v>
      </c>
      <c r="I8" s="19">
        <v>37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0</v>
      </c>
      <c r="E48" s="19">
        <v>0</v>
      </c>
      <c r="F48" s="20"/>
      <c r="G48" s="20"/>
      <c r="H48" s="18"/>
      <c r="I48" s="19">
        <v>6</v>
      </c>
    </row>
    <row r="51">
      <c r="A51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2026-10-23T14:14:16.230906+00:00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UEL</t>
        </is>
      </c>
      <c r="B14" s="18" t="inlineStr">
        <is>
          <t>2026-10-15</t>
        </is>
      </c>
      <c r="C14" s="19">
        <v>696</v>
      </c>
      <c r="D14" s="19">
        <v>8</v>
      </c>
      <c r="E14" s="18" t="inlineStr">
        <is>
          <t>Verified within 24 hours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16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60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33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36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48</v>
      </c>
    </row>
    <row r="24" ht="44" customHeight="1">
      <c r="A24" s="18" t="inlineStr">
        <is>
          <t>UEL</t>
        </is>
      </c>
      <c r="B24" s="18" t="inlineStr">
        <is>
          <t>NOT_COLLECTED</t>
        </is>
      </c>
      <c r="C24" s="18"/>
      <c r="D24" s="18"/>
      <c r="E24" s="18"/>
      <c r="F24" s="18"/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7</v>
      </c>
      <c r="E29" s="20">
        <v>-0.03898369124250692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42</v>
      </c>
      <c r="D30" s="19">
        <v>7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26</v>
      </c>
      <c r="C31" s="19">
        <v>16</v>
      </c>
      <c r="D31" s="19">
        <v>7</v>
      </c>
      <c r="E31" s="20">
        <v>-0.04151560051144622</v>
      </c>
      <c r="F31" s="20" t="inlineStr">
        <is>
          <t>Unavailable</t>
        </is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Selected quotes</t>
        </is>
      </c>
      <c r="B38" s="19">
        <v>6</v>
      </c>
    </row>
    <row r="39" ht="44" customHeight="1">
      <c r="A39" s="18" t="inlineStr">
        <is>
          <t>Exchange quotes</t>
        </is>
      </c>
      <c r="B39" s="19">
        <v>0</v>
      </c>
    </row>
    <row r="40" ht="44" customHeight="1">
      <c r="A40" s="18" t="inlineStr">
        <is>
          <t>Missing quote age</t>
        </is>
      </c>
      <c r="B40" s="19">
        <v>0</v>
      </c>
    </row>
    <row r="41" ht="44" customHeight="1">
      <c r="A41" s="18" t="inlineStr">
        <is>
          <t>Quote age over 24h</t>
        </is>
      </c>
      <c r="B41" s="19">
        <v>0</v>
      </c>
    </row>
    <row r="42" ht="44" customHeight="1">
      <c r="A42" s="18" t="inlineStr">
        <is>
          <t>Costs recorded</t>
        </is>
      </c>
      <c r="B42" s="19">
        <v>6</v>
      </c>
    </row>
    <row r="43" ht="44" customHeight="1">
      <c r="A43" s="18" t="inlineStr">
        <is>
          <t>Bookmakers: 1xBet</t>
        </is>
      </c>
      <c r="B43" s="19">
        <v>3</v>
      </c>
    </row>
    <row r="44" ht="44" customHeight="1">
      <c r="A44" s="18" t="inlineStr">
        <is>
          <t>Bookmakers: Pinnacle</t>
        </is>
      </c>
      <c r="B44" s="19">
        <v>3</v>
      </c>
    </row>
    <row r="45" ht="44" customHeight="1">
      <c r="A45" s="18" t="inlineStr">
        <is>
          <t>Account availability</t>
        </is>
      </c>
      <c r="B45" s="18" t="inlineStr">
        <is>
          <t>Not verified with bookmaker accounts</t>
        </is>
      </c>
    </row>
    <row r="46" ht="44" customHeight="1">
      <c r="A46" s="18" t="inlineStr">
        <is>
          <t>Past kickoff count</t>
        </is>
      </c>
      <c r="B46" s="19">
        <v>0</v>
      </c>
    </row>
    <row r="47" ht="44" customHeight="1">
      <c r="A47" s="18" t="inlineStr">
        <is>
          <t>Upcoming kickoff count</t>
        </is>
      </c>
      <c r="B47" s="19">
        <v>6</v>
      </c>
    </row>
    <row r="48" ht="44" customHeight="1">
      <c r="A48" s="18" t="inlineStr">
        <is>
          <t>Unknown kickoff count</t>
        </is>
      </c>
      <c r="B48" s="19">
        <v>0</v>
      </c>
    </row>
    <row r="51">
      <c r="A51" s="26" t="inlineStr">
        <is>
          <t>Forecast capture coverage</t>
        </is>
      </c>
    </row>
    <row r="52" ht="34" customHeight="1">
      <c r="A52" s="24" t="inlineStr">
        <is>
          <t>Experiment</t>
        </is>
      </c>
      <c r="B52" s="24" t="inlineStr">
        <is>
          <t>Capture state</t>
        </is>
      </c>
      <c r="C52" s="24" t="inlineStr">
        <is>
          <t>Snapshot count</t>
        </is>
      </c>
    </row>
    <row r="53" ht="44" customHeight="1">
      <c r="A53" s="18" t="inlineStr">
        <is>
          <t>Goal-market blend</t>
        </is>
      </c>
      <c r="B53" s="18" t="inlineStr">
        <is>
          <t>Captured</t>
        </is>
      </c>
      <c r="C53" s="19">
        <v>31</v>
      </c>
    </row>
    <row r="54" ht="44" customHeight="1">
      <c r="A54" s="18" t="inlineStr">
        <is>
          <t>Goal-market blend</t>
        </is>
      </c>
      <c r="B54" s="18" t="inlineStr">
        <is>
          <t>Legacy not recorded</t>
        </is>
      </c>
      <c r="C54" s="19">
        <v>14</v>
      </c>
    </row>
    <row r="55" ht="44" customHeight="1">
      <c r="A55" s="18" t="inlineStr">
        <is>
          <t>Market-led forecasts</t>
        </is>
      </c>
      <c r="B55" s="18" t="inlineStr">
        <is>
          <t>Captured</t>
        </is>
      </c>
      <c r="C55" s="19">
        <v>31</v>
      </c>
    </row>
    <row r="56" ht="44" customHeight="1">
      <c r="A56" s="18" t="inlineStr">
        <is>
          <t>Market-led forecasts</t>
        </is>
      </c>
      <c r="B56" s="18" t="inlineStr">
        <is>
          <t>Legacy not recorded</t>
        </is>
      </c>
      <c r="C56" s="19">
        <v>14</v>
      </c>
    </row>
    <row r="57" ht="44" customHeight="1">
      <c r="A57" s="18" t="inlineStr">
        <is>
          <t>Recency comparison</t>
        </is>
      </c>
      <c r="B57" s="18" t="inlineStr">
        <is>
          <t>Captured</t>
        </is>
      </c>
      <c r="C57" s="19">
        <v>27</v>
      </c>
    </row>
    <row r="58" ht="44" customHeight="1">
      <c r="A58" s="18" t="inlineStr">
        <is>
          <t>Recency comparison</t>
        </is>
      </c>
      <c r="B58" s="18" t="inlineStr">
        <is>
          <t>Legacy not recorded</t>
        </is>
      </c>
      <c r="C58" s="19">
        <v>18</v>
      </c>
    </row>
    <row r="59" ht="44" customHeight="1">
      <c r="A59" s="18" t="inlineStr">
        <is>
          <t>EV filter sensitivity</t>
        </is>
      </c>
      <c r="B59" s="18" t="inlineStr">
        <is>
          <t>Captured</t>
        </is>
      </c>
      <c r="C59" s="19">
        <v>23</v>
      </c>
    </row>
    <row r="60" ht="44" customHeight="1">
      <c r="A60" s="18" t="inlineStr">
        <is>
          <t>EV filter sensitivity</t>
        </is>
      </c>
      <c r="B60" s="18" t="inlineStr">
        <is>
          <t>Legacy not recorded</t>
        </is>
      </c>
      <c r="C60" s="19">
        <v>19</v>
      </c>
    </row>
    <row r="61" ht="44" customHeight="1">
      <c r="A61" s="18" t="inlineStr">
        <is>
          <t>EV filter sensitivity</t>
        </is>
      </c>
      <c r="B61" s="18" t="inlineStr">
        <is>
          <t>Not generated</t>
        </is>
      </c>
      <c r="C61" s="19">
        <v>3</v>
      </c>
    </row>
    <row r="62" ht="44" customHeight="1">
      <c r="A62" s="18" t="inlineStr">
        <is>
          <t>85% market weight</t>
        </is>
      </c>
      <c r="B62" s="18" t="inlineStr">
        <is>
          <t>Captured</t>
        </is>
      </c>
      <c r="C62" s="19">
        <v>24</v>
      </c>
    </row>
    <row r="63" ht="44" customHeight="1">
      <c r="A63" s="18" t="inlineStr">
        <is>
          <t>85% market weight</t>
        </is>
      </c>
      <c r="B63" s="18" t="inlineStr">
        <is>
          <t>Legacy not recorded</t>
        </is>
      </c>
      <c r="C63" s="19">
        <v>20</v>
      </c>
    </row>
    <row r="64" ht="44" customHeight="1">
      <c r="A64" s="18" t="inlineStr">
        <is>
          <t>85% market weight</t>
        </is>
      </c>
      <c r="B64" s="18" t="inlineStr">
        <is>
          <t>Present but rejected</t>
        </is>
      </c>
      <c r="C64" s="19">
        <v>1</v>
      </c>
    </row>
    <row r="65" ht="44" customHeight="1">
      <c r="A65" s="18" t="inlineStr">
        <is>
          <t>Pinnacle totals anchor</t>
        </is>
      </c>
      <c r="B65" s="18" t="inlineStr">
        <is>
          <t>Captured</t>
        </is>
      </c>
      <c r="C65" s="19">
        <v>24</v>
      </c>
    </row>
    <row r="66" ht="44" customHeight="1">
      <c r="A66" s="18" t="inlineStr">
        <is>
          <t>Pinnacle totals anchor</t>
        </is>
      </c>
      <c r="B66" s="18" t="inlineStr">
        <is>
          <t>Legacy not recorded</t>
        </is>
      </c>
      <c r="C66" s="19">
        <v>21</v>
      </c>
    </row>
    <row r="67" ht="44" customHeight="1">
      <c r="A67" s="18" t="inlineStr">
        <is>
          <t>Stronger regularisation (L2=3)</t>
        </is>
      </c>
      <c r="B67" s="18" t="inlineStr">
        <is>
          <t>Legacy not recorded</t>
        </is>
      </c>
      <c r="C67" s="19">
        <v>45</v>
      </c>
    </row>
    <row r="68" ht="44" customHeight="1">
      <c r="A68" s="18" t="inlineStr">
        <is>
          <t>Fixed half-life (480 days)</t>
        </is>
      </c>
      <c r="B68" s="18" t="inlineStr">
        <is>
          <t>Legacy not recorded</t>
        </is>
      </c>
      <c r="C68" s="19">
        <v>45</v>
      </c>
    </row>
    <row r="69" ht="44" customHeight="1">
      <c r="A69" s="18" t="inlineStr">
        <is>
          <t>Probability / calibration policy</t>
        </is>
      </c>
      <c r="B69" s="18" t="inlineStr">
        <is>
          <t>Captured</t>
        </is>
      </c>
      <c r="C69" s="19">
        <v>15</v>
      </c>
    </row>
    <row r="70" ht="44" customHeight="1">
      <c r="A70" s="18" t="inlineStr">
        <is>
          <t>Probability / calibration policy</t>
        </is>
      </c>
      <c r="B70" s="18" t="inlineStr">
        <is>
          <t>Legacy not recorded</t>
        </is>
      </c>
      <c r="C70" s="19">
        <v>26</v>
      </c>
    </row>
    <row r="71" ht="44" customHeight="1">
      <c r="A71" s="18" t="inlineStr">
        <is>
          <t>Probability / calibration policy</t>
        </is>
      </c>
      <c r="B71" s="18" t="inlineStr">
        <is>
          <t>Not generated</t>
        </is>
      </c>
      <c r="C71" s="19">
        <v>3</v>
      </c>
    </row>
    <row r="72" ht="44" customHeight="1">
      <c r="A72" s="18" t="inlineStr">
        <is>
          <t>Probability / calibration policy</t>
        </is>
      </c>
      <c r="B72" s="18" t="inlineStr">
        <is>
          <t>Present but rejected</t>
        </is>
      </c>
      <c r="C72" s="19">
        <v>1</v>
      </c>
    </row>
    <row r="73" ht="44" customHeight="1">
      <c r="A73" s="18" t="inlineStr">
        <is>
          <t>Shortlist probability / EV weights</t>
        </is>
      </c>
      <c r="B73" s="18" t="inlineStr">
        <is>
          <t>Captured</t>
        </is>
      </c>
      <c r="C73" s="19">
        <v>7</v>
      </c>
    </row>
    <row r="74" ht="44" customHeight="1">
      <c r="A74" s="18" t="inlineStr">
        <is>
          <t>Shortlist probability / EV weights</t>
        </is>
      </c>
      <c r="B74" s="18" t="inlineStr">
        <is>
          <t>Legacy not recorded</t>
        </is>
      </c>
      <c r="C74" s="19">
        <v>35</v>
      </c>
    </row>
    <row r="75" ht="44" customHeight="1">
      <c r="A75" s="18" t="inlineStr">
        <is>
          <t>Shortlist probability / EV weights</t>
        </is>
      </c>
      <c r="B75" s="18" t="inlineStr">
        <is>
          <t>Not generated</t>
        </is>
      </c>
      <c r="C75" s="19">
        <v>3</v>
      </c>
    </row>
    <row r="78">
      <c r="A78" s="26" t="inlineStr">
        <is>
          <t>EV sensitivity results</t>
        </is>
      </c>
    </row>
    <row r="79" ht="34" customHeight="1">
      <c r="A79" s="24" t="inlineStr">
        <is>
          <t>EV floor</t>
        </is>
      </c>
      <c r="B79" s="24" t="inlineStr">
        <is>
          <t>Tier</t>
        </is>
      </c>
      <c r="C79" s="24" t="inlineStr">
        <is>
          <t>Selected</t>
        </is>
      </c>
      <c r="D79" s="24" t="inlineStr">
        <is>
          <t>Settled</t>
        </is>
      </c>
      <c r="E79" s="24" t="inlineStr">
        <is>
          <t>Simulated ROI</t>
        </is>
      </c>
      <c r="F79" s="24" t="inlineStr">
        <is>
          <t>Drawdown (units)</t>
        </is>
      </c>
    </row>
    <row r="80" ht="44" customHeight="1">
      <c r="A80" s="20">
        <v>0.015</v>
      </c>
      <c r="B80" s="18" t="inlineStr">
        <is>
          <t>ALL</t>
        </is>
      </c>
      <c r="C80" s="19">
        <v>9</v>
      </c>
      <c r="D80" s="19">
        <v>8</v>
      </c>
      <c r="E80" s="20">
        <v>0.1725</v>
      </c>
      <c r="F80" s="22">
        <v>1.0</v>
      </c>
    </row>
    <row r="81" ht="44" customHeight="1">
      <c r="A81" s="20">
        <v>0.015</v>
      </c>
      <c r="B81" s="18" t="inlineStr">
        <is>
          <t>STRICT</t>
        </is>
      </c>
      <c r="C81" s="19">
        <v>7</v>
      </c>
      <c r="D81" s="19">
        <v>6</v>
      </c>
      <c r="E81" s="20">
        <v>0.09833333333333331</v>
      </c>
      <c r="F81" s="22">
        <v>1.0</v>
      </c>
    </row>
    <row r="82" ht="44" customHeight="1">
      <c r="A82" s="20">
        <v>0.015</v>
      </c>
      <c r="B82" s="18" t="inlineStr">
        <is>
          <t>PROVISIONAL</t>
        </is>
      </c>
      <c r="C82" s="19">
        <v>2</v>
      </c>
      <c r="D82" s="19">
        <v>2</v>
      </c>
      <c r="E82" s="20">
        <v>0.395</v>
      </c>
      <c r="F82" s="22">
        <v>0.0</v>
      </c>
    </row>
    <row r="83" ht="44" customHeight="1">
      <c r="A83" s="20">
        <v>0.03</v>
      </c>
      <c r="B83" s="18" t="inlineStr">
        <is>
          <t>ALL</t>
        </is>
      </c>
      <c r="C83" s="19">
        <v>8</v>
      </c>
      <c r="D83" s="19">
        <v>7</v>
      </c>
      <c r="E83" s="20">
        <v>0.16285714285714284</v>
      </c>
      <c r="F83" s="22">
        <v>1.0</v>
      </c>
    </row>
    <row r="84" ht="44" customHeight="1">
      <c r="A84" s="20">
        <v>0.03</v>
      </c>
      <c r="B84" s="18" t="inlineStr">
        <is>
          <t>STRICT</t>
        </is>
      </c>
      <c r="C84" s="19">
        <v>6</v>
      </c>
      <c r="D84" s="19">
        <v>5</v>
      </c>
      <c r="E84" s="20">
        <v>0.06999999999999998</v>
      </c>
      <c r="F84" s="22">
        <v>1.0</v>
      </c>
    </row>
    <row r="85" ht="44" customHeight="1">
      <c r="A85" s="20">
        <v>0.03</v>
      </c>
      <c r="B85" s="18" t="inlineStr">
        <is>
          <t>PROVISIONAL</t>
        </is>
      </c>
      <c r="C85" s="19">
        <v>2</v>
      </c>
      <c r="D85" s="19">
        <v>2</v>
      </c>
      <c r="E85" s="20">
        <v>0.395</v>
      </c>
      <c r="F85" s="22">
        <v>0.0</v>
      </c>
    </row>
    <row r="86" ht="44" customHeight="1">
      <c r="A86" s="20">
        <v>0.05</v>
      </c>
      <c r="B86" s="18" t="inlineStr">
        <is>
          <t>ALL</t>
        </is>
      </c>
      <c r="C86" s="19">
        <v>7</v>
      </c>
      <c r="D86" s="19">
        <v>6</v>
      </c>
      <c r="E86" s="20">
        <v>0.14666666666666664</v>
      </c>
      <c r="F86" s="22">
        <v>1.0</v>
      </c>
    </row>
    <row r="87" ht="44" customHeight="1">
      <c r="A87" s="20">
        <v>0.05</v>
      </c>
      <c r="B87" s="18" t="inlineStr">
        <is>
          <t>STRICT</t>
        </is>
      </c>
      <c r="C87" s="19">
        <v>5</v>
      </c>
      <c r="D87" s="19">
        <v>5</v>
      </c>
      <c r="E87" s="20">
        <v>0.06999999999999998</v>
      </c>
      <c r="F87" s="22">
        <v>1.0</v>
      </c>
    </row>
    <row r="88" ht="44" customHeight="1">
      <c r="A88" s="20">
        <v>0.05</v>
      </c>
      <c r="B88" s="18" t="inlineStr">
        <is>
          <t>PROVISIONAL</t>
        </is>
      </c>
      <c r="C88" s="19">
        <v>2</v>
      </c>
      <c r="D88" s="19">
        <v>1</v>
      </c>
      <c r="E88" s="20">
        <v>0.53</v>
      </c>
      <c r="F88" s="22">
        <v>0.0</v>
      </c>
    </row>
    <row r="91">
      <c r="A91" s="26" t="inlineStr">
        <is>
          <t>Daily review observations</t>
        </is>
      </c>
    </row>
    <row r="92" ht="34" customHeight="1">
      <c r="A92" s="24" t="inlineStr">
        <is>
          <t>Review date</t>
        </is>
      </c>
      <c r="B92" s="24" t="inlineStr">
        <is>
          <t>Graded</t>
        </is>
      </c>
      <c r="C92" s="24" t="inlineStr">
        <is>
          <t>Win rate</t>
        </is>
      </c>
      <c r="D92" s="24" t="inlineStr">
        <is>
          <t>Simulated ROI</t>
        </is>
      </c>
      <c r="E92" s="24" t="inlineStr">
        <is>
          <t>Brier</t>
        </is>
      </c>
    </row>
    <row r="93" ht="44" customHeight="1">
      <c r="A93" s="18" t="inlineStr">
        <is>
          <t>2026-10-13</t>
        </is>
      </c>
      <c r="B93" s="19">
        <v>9</v>
      </c>
      <c r="C93" s="20">
        <v>0.666667</v>
      </c>
      <c r="D93" s="20">
        <v>-0.096667</v>
      </c>
      <c r="E93" s="21">
        <v>0.250532</v>
      </c>
    </row>
    <row r="94" ht="44" customHeight="1">
      <c r="A94" s="18" t="inlineStr">
        <is>
          <t>2026-10-14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2026-10-15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2026-10-16</t>
        </is>
      </c>
      <c r="B96" s="19">
        <v>12</v>
      </c>
      <c r="C96" s="20">
        <v>0.75</v>
      </c>
      <c r="D96" s="20">
        <v>0.031667</v>
      </c>
      <c r="E96" s="21">
        <v>0.199836</v>
      </c>
    </row>
    <row r="97" ht="44" customHeight="1">
      <c r="A97" s="18" t="inlineStr">
        <is>
          <t>2026-10-17</t>
        </is>
      </c>
      <c r="B97" s="19">
        <v>17</v>
      </c>
      <c r="C97" s="20">
        <v>0.764706</v>
      </c>
      <c r="D97" s="20">
        <v>0.044706</v>
      </c>
      <c r="E97" s="21">
        <v>0.178798</v>
      </c>
    </row>
    <row r="98" ht="44" customHeight="1">
      <c r="A98" s="18" t="inlineStr">
        <is>
          <t>2026-10-18</t>
        </is>
      </c>
      <c r="B98" s="19">
        <v>26</v>
      </c>
      <c r="C98" s="20">
        <v>0.807692</v>
      </c>
      <c r="D98" s="20">
        <v>0.108077</v>
      </c>
      <c r="E98" s="21">
        <v>0.161003</v>
      </c>
    </row>
    <row r="99" ht="44" customHeight="1">
      <c r="A99" s="18" t="inlineStr">
        <is>
          <t>2026-10-19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2026-10-20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2026-10-21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2026-10-22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2026-10-23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7.17.0</t>
        </is>
      </c>
    </row>
    <row r="116" ht="44" customHeight="1">
      <c r="A116" s="18" t="inlineStr">
        <is>
          <t>PyYAML</t>
        </is>
      </c>
      <c r="B116" s="18" t="inlineStr">
        <is>
          <t>6.0.3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1:F51"/>
    <mergeCell ref="A78:F78"/>
    <mergeCell ref="A91:F91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</sheetData>
  <autoFilter ref="A5:H50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2026-10-23T14:14:16.230906+00:00; 748 candidates on 81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748</v>
      </c>
      <c r="D9" s="19">
        <v>81</v>
      </c>
      <c r="E9" s="20">
        <v>-0.03007434123581643</v>
      </c>
      <c r="F9" s="20">
        <v>0.31283422459893045</v>
      </c>
      <c r="G9" s="22">
        <v>-6.434725951235263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45</v>
      </c>
      <c r="D10" s="19">
        <v>34</v>
      </c>
      <c r="E10" s="20">
        <v>-0.03503041166150643</v>
      </c>
      <c r="F10" s="20">
        <v>0.2222222222222222</v>
      </c>
      <c r="G10" s="22">
        <v>-2.943790247737777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362</v>
      </c>
      <c r="D11" s="19">
        <v>75</v>
      </c>
      <c r="E11" s="20">
        <v>0.011992233185179982</v>
      </c>
      <c r="F11" s="20">
        <v>0.569060773480663</v>
      </c>
      <c r="G11" s="22">
        <v>2.485557951702201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81</v>
      </c>
      <c r="D15" s="18"/>
      <c r="E15" s="21">
        <v>-0.1312346693742517</v>
      </c>
      <c r="F15" s="20">
        <v>0.5061728395061729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130</v>
      </c>
      <c r="D21" s="19">
        <v>61</v>
      </c>
      <c r="E21" s="20">
        <v>-0.02498531111476461</v>
      </c>
      <c r="F21" s="20">
        <v>0.3923076923076923</v>
      </c>
      <c r="G21" s="22">
        <v>-4.77057538607872</v>
      </c>
      <c r="H21" s="20">
        <v>0.02707687009877328</v>
      </c>
      <c r="I21" s="19">
        <v>98</v>
      </c>
      <c r="J21" s="18" t="inlineStr">
        <is>
          <t>Negative (t &lt;= -2)</t>
        </is>
      </c>
    </row>
    <row r="22" ht="30" customHeight="1">
      <c r="A22" s="18" t="inlineStr">
        <is>
          <t>Asian handicap</t>
        </is>
      </c>
      <c r="B22" s="18" t="inlineStr">
        <is>
          <t>Pinnacle</t>
        </is>
      </c>
      <c r="C22" s="19">
        <v>110</v>
      </c>
      <c r="D22" s="19">
        <v>6</v>
      </c>
      <c r="E22" s="20">
        <v>-0.04506861037117747</v>
      </c>
      <c r="F22" s="20">
        <v>0.35454545454545455</v>
      </c>
      <c r="G22" s="22">
        <v>-14.103461799337762</v>
      </c>
      <c r="H22" s="20">
        <v>0.0006291208757228984</v>
      </c>
      <c r="I22" s="19">
        <v>110</v>
      </c>
      <c r="J22" s="18" t="inlineStr">
        <is>
          <t>Small sample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88</v>
      </c>
      <c r="D23" s="19">
        <v>40</v>
      </c>
      <c r="E23" s="20">
        <v>-0.026589012146813255</v>
      </c>
      <c r="F23" s="20">
        <v>0.19318181818181818</v>
      </c>
      <c r="G23" s="22">
        <v>-5.35230042067137</v>
      </c>
      <c r="H23" s="20">
        <v>-0.01625843025441618</v>
      </c>
      <c r="I23" s="19">
        <v>10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73</v>
      </c>
      <c r="D24" s="19">
        <v>38</v>
      </c>
      <c r="E24" s="20">
        <v>-0.03575726078999224</v>
      </c>
      <c r="F24" s="20">
        <v>0.3287671232876712</v>
      </c>
      <c r="G24" s="22">
        <v>-3.1937817749885413</v>
      </c>
      <c r="H24" s="20">
        <v>0.008857565335401931</v>
      </c>
      <c r="I24" s="19">
        <v>73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22</v>
      </c>
      <c r="D26" s="19">
        <v>6</v>
      </c>
      <c r="E26" s="20">
        <v>-0.0707008067863507</v>
      </c>
      <c r="F26" s="20">
        <v>0.22727272727272727</v>
      </c>
      <c r="G26" s="22">
        <v>-3.2777351073416154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467</v>
      </c>
      <c r="D48" s="19">
        <v>72</v>
      </c>
      <c r="E48" s="20">
        <v>-0.03782405060747848</v>
      </c>
      <c r="F48" s="20">
        <v>0.25910064239828695</v>
      </c>
      <c r="G48" s="22">
        <v>-11.454238959063552</v>
      </c>
      <c r="H48" s="20">
        <v>0.011373018079191999</v>
      </c>
      <c r="I48" s="19">
        <v>281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139</v>
      </c>
      <c r="D49" s="19">
        <v>43</v>
      </c>
      <c r="E49" s="20">
        <v>-0.010765371965988858</v>
      </c>
      <c r="F49" s="20">
        <v>0.4676258992805755</v>
      </c>
      <c r="G49" s="22">
        <v>-0.6684968039840822</v>
      </c>
      <c r="H49" s="20">
        <v>0.02624594504920381</v>
      </c>
      <c r="I49" s="19">
        <v>17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96</v>
      </c>
      <c r="D50" s="19">
        <v>17</v>
      </c>
      <c r="E50" s="20">
        <v>-0.025896169752600368</v>
      </c>
      <c r="F50" s="20">
        <v>0.34375</v>
      </c>
      <c r="G50" s="22">
        <v>-2.5593599870557253</v>
      </c>
      <c r="H50" s="20">
        <v>0.030669643406110756</v>
      </c>
      <c r="I50" s="19">
        <v>48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46</v>
      </c>
      <c r="D51" s="19">
        <v>20</v>
      </c>
      <c r="E51" s="20">
        <v>-0.01846427415600339</v>
      </c>
      <c r="F51" s="20">
        <v>0.32608695652173914</v>
      </c>
      <c r="G51" s="22">
        <v>-0.6929120117668233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703</v>
      </c>
      <c r="D56" s="19">
        <v>81</v>
      </c>
      <c r="E56" s="20">
        <v>-0.029757096329477813</v>
      </c>
      <c r="F56" s="20">
        <v>0.3186344238975818</v>
      </c>
      <c r="G56" s="22">
        <v>-5.983653264539859</v>
      </c>
      <c r="H56" s="20">
        <v>0.012855038942752917</v>
      </c>
      <c r="I56" s="19">
        <v>330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45</v>
      </c>
      <c r="D57" s="19">
        <v>34</v>
      </c>
      <c r="E57" s="20">
        <v>-0.03503041166150643</v>
      </c>
      <c r="F57" s="20">
        <v>0.2222222222222222</v>
      </c>
      <c r="G57" s="22">
        <v>-2.943790247737777</v>
      </c>
      <c r="H57" s="20">
        <v>0.0030945488102091037</v>
      </c>
      <c r="I57" s="19">
        <v>32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UEFA Europa League</t>
        </is>
      </c>
      <c r="B63" s="18"/>
      <c r="C63" s="19">
        <v>90</v>
      </c>
      <c r="D63" s="19">
        <v>18</v>
      </c>
      <c r="E63" s="20">
        <v>-0.029265742952778517</v>
      </c>
      <c r="F63" s="20">
        <v>0.25555555555555554</v>
      </c>
      <c r="G63" s="22">
        <v>-4.225379439242074</v>
      </c>
      <c r="H63" s="20">
        <v>0.015496675340858615</v>
      </c>
      <c r="I63" s="19">
        <v>36</v>
      </c>
      <c r="J63" s="18" t="inlineStr">
        <is>
          <t>Small sample</t>
        </is>
      </c>
    </row>
    <row r="64" ht="30" customHeight="1">
      <c r="A64" s="18" t="inlineStr">
        <is>
          <t>Premier League</t>
        </is>
      </c>
      <c r="B64" s="18"/>
      <c r="C64" s="19">
        <v>76</v>
      </c>
      <c r="D64" s="19">
        <v>9</v>
      </c>
      <c r="E64" s="20">
        <v>-0.032477332118190615</v>
      </c>
      <c r="F64" s="20">
        <v>0.2894736842105263</v>
      </c>
      <c r="G64" s="22">
        <v>-1.7200645077496497</v>
      </c>
      <c r="H64" s="20">
        <v>0.0077573451667667</v>
      </c>
      <c r="I64" s="19">
        <v>26</v>
      </c>
      <c r="J64" s="18" t="inlineStr">
        <is>
          <t>Small sample</t>
        </is>
      </c>
    </row>
    <row r="65" ht="30" customHeight="1">
      <c r="A65" s="18" t="inlineStr">
        <is>
          <t>La Liga</t>
        </is>
      </c>
      <c r="B65" s="18"/>
      <c r="C65" s="19">
        <v>75</v>
      </c>
      <c r="D65" s="19">
        <v>8</v>
      </c>
      <c r="E65" s="20">
        <v>-0.02729792157516138</v>
      </c>
      <c r="F65" s="20">
        <v>0.32</v>
      </c>
      <c r="G65" s="22">
        <v>-3.5781463530611313</v>
      </c>
      <c r="H65" s="20">
        <v>0.00933673000055551</v>
      </c>
      <c r="I65" s="19">
        <v>33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62</v>
      </c>
      <c r="D66" s="19">
        <v>8</v>
      </c>
      <c r="E66" s="20">
        <v>-0.01199389870346156</v>
      </c>
      <c r="F66" s="20">
        <v>0.3225806451612903</v>
      </c>
      <c r="G66" s="22">
        <v>-0.5088268971591674</v>
      </c>
      <c r="H66" s="20">
        <v>0.02644768181828641</v>
      </c>
      <c r="I66" s="19">
        <v>23</v>
      </c>
      <c r="J66" s="18" t="inlineStr">
        <is>
          <t>Small sample</t>
        </is>
      </c>
    </row>
    <row r="67" ht="30" customHeight="1">
      <c r="A67" s="18" t="inlineStr">
        <is>
          <t>Bundesliga</t>
        </is>
      </c>
      <c r="B67" s="18"/>
      <c r="C67" s="19">
        <v>61</v>
      </c>
      <c r="D67" s="19">
        <v>8</v>
      </c>
      <c r="E67" s="20">
        <v>-0.02667191803781817</v>
      </c>
      <c r="F67" s="20">
        <v>0.32786885245901637</v>
      </c>
      <c r="G67" s="22">
        <v>-2.4639580713087157</v>
      </c>
      <c r="H67" s="20">
        <v>0.03148210668072311</v>
      </c>
      <c r="I67" s="19">
        <v>28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57</v>
      </c>
      <c r="D68" s="19">
        <v>7</v>
      </c>
      <c r="E68" s="20">
        <v>-0.018196345284034774</v>
      </c>
      <c r="F68" s="20">
        <v>0.3684210526315789</v>
      </c>
      <c r="G68" s="22">
        <v>-0.8685728052552792</v>
      </c>
      <c r="H68" s="20">
        <v>0.06072485695417496</v>
      </c>
      <c r="I68" s="19">
        <v>22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