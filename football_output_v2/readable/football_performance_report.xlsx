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Plan'!$A$10:$A$90</c:f>
              <c:strCache>
                <c:ptCount val="8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  <c:pt idx="74">
                  <c:v>2026-10-31T13:00:00+00:00</c:v>
                </c:pt>
                <c:pt idx="75">
                  <c:v>2026-10-31T13:00:00+00:00</c:v>
                </c:pt>
                <c:pt idx="76">
                  <c:v>2026-10-31T15:00:00+00:00</c:v>
                </c:pt>
                <c:pt idx="77">
                  <c:v>2026-10-31T15:30:00+00:00</c:v>
                </c:pt>
                <c:pt idx="78">
                  <c:v>2026-10-31T17:30:00+00:00</c:v>
                </c:pt>
                <c:pt idx="79">
                  <c:v>2026-11-01T14:00:00+00:00</c:v>
                </c:pt>
                <c:pt idx="80">
                  <c:v>2026-11-01T16:00:00+00:00</c:v>
                </c:pt>
              </c:strCache>
            </c:strRef>
          </c:cat>
          <c:val>
            <c:numRef>
              <c:f>'ROI Plan'!$F$10:$F$90</c:f>
              <c:numCache>
                <c:formatCode>General</c:formatCode>
                <c:ptCount val="8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  <c:pt idx="74">
                  <c:v>4.22</c:v>
                </c:pt>
                <c:pt idx="75">
                  <c:v>4.22</c:v>
                </c:pt>
                <c:pt idx="76">
                  <c:v>4.22</c:v>
                </c:pt>
                <c:pt idx="77">
                  <c:v>4.22</c:v>
                </c:pt>
                <c:pt idx="78">
                  <c:v>4.22</c:v>
                </c:pt>
                <c:pt idx="79">
                  <c:v>4.22</c:v>
                </c:pt>
                <c:pt idx="80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9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5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8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30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81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19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19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IF(COUNT(Predictions!H6:H302)=0,"n.a.",AVERAGE(Predictions!H6:H302))</f>
        <v>0.5706521739130435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IF(COUNT(Predictions!I6:I302)=0,"n.a.",AVERAGE(Predictions!I6:I302))</f>
        <v>0.5727996063043479</v>
      </c>
      <c r="C17" s="18"/>
      <c r="D17" s="18" t="inlineStr">
        <is>
          <t>Over 1.5</t>
        </is>
      </c>
      <c r="E17" s="18">
        <f>COUNT(Predictions!J6:J302)</f>
        <v>184</v>
      </c>
      <c r="F17" s="20">
        <f>IF(E17=0,"n.a.",AVERAGE(Predictions!J6:J302))</f>
        <v>0.7934782608695652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COUNT(Predictions!K6:K302)</f>
        <v>184</v>
      </c>
      <c r="F18" s="20">
        <f>IF(E18=0,"n.a.",AVERAGE(Predictions!K6:K302))</f>
        <v>0.6141304347826086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COUNT(Predictions!L6:L302)</f>
        <v>184</v>
      </c>
      <c r="F19" s="20">
        <f>IF(E19=0,"n.a.",AVERAGE(Predictions!L6:L302))</f>
        <v>0.5706521739130435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COUNT(Predictions!M6:M302)</f>
        <v>184</v>
      </c>
      <c r="F20" s="20">
        <f>IF(E20=0,"n.a.",AVERAGE(Predictions!M6:M302))</f>
        <v>0.5706521739130435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2026-10-31T12:04:01.756278+00:00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2026-10-31 12:03:46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  <row r="84" ht="36" customHeight="1">
      <c r="A84" s="18" t="inlineStr">
        <is>
          <t>2026-10-31T13:00:00+00:00</t>
        </is>
      </c>
      <c r="B84" s="18" t="inlineStr">
        <is>
          <t>Levante vs Atlético Madrid</t>
        </is>
      </c>
      <c r="C84" s="18" t="inlineStr">
        <is>
          <t>PENDING_KICKOFF_OR_FINAL_SCORE</t>
        </is>
      </c>
      <c r="D84" s="22" t="str">
        <f>IF(ISNUMBER(Selections!M80),Selections!M80,"")</f>
        <v/>
      </c>
      <c r="E84" s="22" t="str">
        <f>IF(ISNUMBER(Selections!N80),Selections!N80,"")</f>
        <v/>
      </c>
      <c r="F84" s="22">
        <f>SUM($E$10:E84)</f>
        <v>4.22</v>
      </c>
      <c r="G84" s="22">
        <f>$B$4+F84</f>
        <v>104.22</v>
      </c>
      <c r="H84" s="22">
        <f>MAX($B$4,$G$10:G84)</f>
        <v>104.22</v>
      </c>
      <c r="I84" s="22">
        <f>H84-G84</f>
        <v>0.0</v>
      </c>
      <c r="J84" s="18" t="inlineStr">
        <is>
          <t>2026-W44</t>
        </is>
      </c>
      <c r="K84" s="18"/>
      <c r="L84" s="18"/>
      <c r="M84" s="18"/>
      <c r="N84" s="18"/>
      <c r="O84" s="18"/>
      <c r="P84" s="18"/>
      <c r="Q84" s="18"/>
      <c r="R84" s="18"/>
    </row>
    <row r="85" ht="36" customHeight="1">
      <c r="A85" s="18" t="inlineStr">
        <is>
          <t>2026-10-31T13:00:00+00:00</t>
        </is>
      </c>
      <c r="B85" s="18" t="inlineStr">
        <is>
          <t>Kocaelispor vs Çaykur Rizespor</t>
        </is>
      </c>
      <c r="C85" s="18" t="inlineStr">
        <is>
          <t>PENDING_KICKOFF_OR_FINAL_SCORE</t>
        </is>
      </c>
      <c r="D85" s="22" t="str">
        <f>IF(ISNUMBER(Selections!M81),Selections!M81,"")</f>
        <v/>
      </c>
      <c r="E85" s="22" t="str">
        <f>IF(ISNUMBER(Selections!N81),Selections!N81,"")</f>
        <v/>
      </c>
      <c r="F85" s="22">
        <f>SUM($E$10:E85)</f>
        <v>4.22</v>
      </c>
      <c r="G85" s="22">
        <f>$B$4+F85</f>
        <v>104.22</v>
      </c>
      <c r="H85" s="22">
        <f>MAX($B$4,$G$10:G85)</f>
        <v>104.22</v>
      </c>
      <c r="I85" s="22">
        <f>H85-G85</f>
        <v>0.0</v>
      </c>
      <c r="J85" s="18" t="inlineStr">
        <is>
          <t>2026-W44</t>
        </is>
      </c>
      <c r="K85" s="18"/>
      <c r="L85" s="18"/>
      <c r="M85" s="18"/>
      <c r="N85" s="18"/>
      <c r="O85" s="18"/>
      <c r="P85" s="18"/>
      <c r="Q85" s="18"/>
      <c r="R85" s="18"/>
    </row>
    <row r="86" ht="36" customHeight="1">
      <c r="A86" s="18" t="inlineStr">
        <is>
          <t>2026-10-31T15:00:00+00:00</t>
        </is>
      </c>
      <c r="B86" s="18" t="inlineStr">
        <is>
          <t>Hull City vs Ipswich Town</t>
        </is>
      </c>
      <c r="C86" s="18" t="inlineStr">
        <is>
          <t>PENDING_KICKOFF_OR_FINAL_SCORE</t>
        </is>
      </c>
      <c r="D86" s="22" t="str">
        <f>IF(ISNUMBER(Selections!M82),Selections!M82,"")</f>
        <v/>
      </c>
      <c r="E86" s="22" t="str">
        <f>IF(ISNUMBER(Selections!N82),Selections!N82,"")</f>
        <v/>
      </c>
      <c r="F86" s="22">
        <f>SUM($E$10:E86)</f>
        <v>4.22</v>
      </c>
      <c r="G86" s="22">
        <f>$B$4+F86</f>
        <v>104.22</v>
      </c>
      <c r="H86" s="22">
        <f>MAX($B$4,$G$10:G86)</f>
        <v>104.22</v>
      </c>
      <c r="I86" s="22">
        <f>H86-G86</f>
        <v>0.0</v>
      </c>
      <c r="J86" s="18" t="inlineStr">
        <is>
          <t>2026-W44</t>
        </is>
      </c>
      <c r="K86" s="18"/>
      <c r="L86" s="18"/>
      <c r="M86" s="18"/>
      <c r="N86" s="18"/>
      <c r="O86" s="18"/>
      <c r="P86" s="18"/>
      <c r="Q86" s="18"/>
      <c r="R86" s="18"/>
    </row>
    <row r="87" ht="36" customHeight="1">
      <c r="A87" s="18" t="inlineStr">
        <is>
          <t>2026-10-31T15:30:00+00:00</t>
        </is>
      </c>
      <c r="B87" s="18" t="inlineStr">
        <is>
          <t>Moreirense FC vs CF Estrela</t>
        </is>
      </c>
      <c r="C87" s="18" t="inlineStr">
        <is>
          <t>PENDING_KICKOFF_OR_FINAL_SCORE</t>
        </is>
      </c>
      <c r="D87" s="22" t="str">
        <f>IF(ISNUMBER(Selections!M83),Selections!M83,"")</f>
        <v/>
      </c>
      <c r="E87" s="22" t="str">
        <f>IF(ISNUMBER(Selections!N83),Selections!N83,"")</f>
        <v/>
      </c>
      <c r="F87" s="22">
        <f>SUM($E$10:E87)</f>
        <v>4.22</v>
      </c>
      <c r="G87" s="22">
        <f>$B$4+F87</f>
        <v>104.22</v>
      </c>
      <c r="H87" s="22">
        <f>MAX($B$4,$G$10:G87)</f>
        <v>104.22</v>
      </c>
      <c r="I87" s="22">
        <f>H87-G87</f>
        <v>0.0</v>
      </c>
      <c r="J87" s="18" t="inlineStr">
        <is>
          <t>2026-W44</t>
        </is>
      </c>
      <c r="K87" s="18"/>
      <c r="L87" s="18"/>
      <c r="M87" s="18"/>
      <c r="N87" s="18"/>
      <c r="O87" s="18"/>
      <c r="P87" s="18"/>
      <c r="Q87" s="18"/>
      <c r="R87" s="18"/>
    </row>
    <row r="88" ht="36" customHeight="1">
      <c r="A88" s="18" t="inlineStr">
        <is>
          <t>2026-10-31T17:30:00+00:00</t>
        </is>
      </c>
      <c r="B88" s="18" t="inlineStr">
        <is>
          <t>Tottenham Hotspur vs Crystal Palace</t>
        </is>
      </c>
      <c r="C88" s="18" t="inlineStr">
        <is>
          <t>PENDING_KICKOFF_OR_FINAL_SCORE</t>
        </is>
      </c>
      <c r="D88" s="22" t="str">
        <f>IF(ISNUMBER(Selections!M84),Selections!M84,"")</f>
        <v/>
      </c>
      <c r="E88" s="22" t="str">
        <f>IF(ISNUMBER(Selections!N84),Selections!N84,"")</f>
        <v/>
      </c>
      <c r="F88" s="22">
        <f>SUM($E$10:E88)</f>
        <v>4.22</v>
      </c>
      <c r="G88" s="22">
        <f>$B$4+F88</f>
        <v>104.22</v>
      </c>
      <c r="H88" s="22">
        <f>MAX($B$4,$G$10:G88)</f>
        <v>104.22</v>
      </c>
      <c r="I88" s="22">
        <f>H88-G88</f>
        <v>0.0</v>
      </c>
      <c r="J88" s="18" t="inlineStr">
        <is>
          <t>2026-W44</t>
        </is>
      </c>
      <c r="K88" s="18"/>
      <c r="L88" s="18"/>
      <c r="M88" s="18"/>
      <c r="N88" s="18"/>
      <c r="O88" s="18"/>
      <c r="P88" s="18"/>
      <c r="Q88" s="18"/>
      <c r="R88" s="18"/>
    </row>
    <row r="89" ht="36" customHeight="1">
      <c r="A89" s="18" t="inlineStr">
        <is>
          <t>2026-11-01T14:00:00+00:00</t>
        </is>
      </c>
      <c r="B89" s="18" t="inlineStr">
        <is>
          <t>Lazio vs Cagliari</t>
        </is>
      </c>
      <c r="C89" s="18" t="inlineStr">
        <is>
          <t>PENDING_KICKOFF_OR_FINAL_SCORE</t>
        </is>
      </c>
      <c r="D89" s="22" t="str">
        <f>IF(ISNUMBER(Selections!M85),Selections!M85,"")</f>
        <v/>
      </c>
      <c r="E89" s="22" t="str">
        <f>IF(ISNUMBER(Selections!N85),Selections!N85,"")</f>
        <v/>
      </c>
      <c r="F89" s="22">
        <f>SUM($E$10:E89)</f>
        <v>4.22</v>
      </c>
      <c r="G89" s="22">
        <f>$B$4+F89</f>
        <v>104.22</v>
      </c>
      <c r="H89" s="22">
        <f>MAX($B$4,$G$10:G89)</f>
        <v>104.22</v>
      </c>
      <c r="I89" s="22">
        <f>H89-G89</f>
        <v>0.0</v>
      </c>
      <c r="J89" s="18" t="inlineStr">
        <is>
          <t>2026-W44</t>
        </is>
      </c>
      <c r="K89" s="18"/>
      <c r="L89" s="18"/>
      <c r="M89" s="18"/>
      <c r="N89" s="18"/>
      <c r="O89" s="18"/>
      <c r="P89" s="18"/>
      <c r="Q89" s="18"/>
      <c r="R89" s="18"/>
    </row>
    <row r="90" ht="36" customHeight="1">
      <c r="A90" s="18" t="inlineStr">
        <is>
          <t>2026-11-01T16:00:00+00:00</t>
        </is>
      </c>
      <c r="B90" s="18" t="inlineStr">
        <is>
          <t>Kasimpasa SK vs Besiktas JK</t>
        </is>
      </c>
      <c r="C90" s="18" t="inlineStr">
        <is>
          <t>PENDING_KICKOFF_OR_FINAL_SCORE</t>
        </is>
      </c>
      <c r="D90" s="22" t="str">
        <f>IF(ISNUMBER(Selections!M86),Selections!M86,"")</f>
        <v/>
      </c>
      <c r="E90" s="22" t="str">
        <f>IF(ISNUMBER(Selections!N86),Selections!N86,"")</f>
        <v/>
      </c>
      <c r="F90" s="22">
        <f>SUM($E$10:E90)</f>
        <v>4.22</v>
      </c>
      <c r="G90" s="22">
        <f>$B$4+F90</f>
        <v>104.22</v>
      </c>
      <c r="H90" s="22">
        <f>MAX($B$4,$G$10:G90)</f>
        <v>104.22</v>
      </c>
      <c r="I90" s="22">
        <f>H90-G90</f>
        <v>0.0</v>
      </c>
      <c r="J90" s="18" t="inlineStr">
        <is>
          <t>2026-W44</t>
        </is>
      </c>
      <c r="K90" s="18"/>
      <c r="L90" s="18"/>
      <c r="M90" s="18"/>
      <c r="N90" s="18"/>
      <c r="O90" s="18"/>
      <c r="P90" s="18"/>
      <c r="Q90" s="18"/>
      <c r="R90" s="18"/>
    </row>
  </sheetData>
  <mergeCells count="1">
    <mergeCell ref="A2:J2"/>
  </mergeCells>
  <conditionalFormatting sqref="E10:E9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COUNTA(Selections!$A$6:$A$86)</f>
        <v>81</v>
      </c>
      <c r="D6" s="19">
        <f>((COUNTIFS(Selections!$K$6:$K$86,"WON")+COUNTIFS(Selections!$K$6:$K$86,"HALF_WON"))+(COUNTIFS(Selections!$K$6:$K$86,"LOST")+COUNTIFS(Selections!$K$6:$K$86,"HALF_LOST"))+COUNTIFS(Selections!$K$6:$K$86,"REFUNDED"))</f>
        <v>62</v>
      </c>
      <c r="E6" s="19">
        <f>(COUNTIFS(Selections!$K$6:$K$86,"WON")+COUNTIFS(Selections!$K$6:$K$86,"HALF_WON"))</f>
        <v>47</v>
      </c>
      <c r="F6" s="19">
        <f>(COUNTIFS(Selections!$K$6:$K$86,"LOST")+COUNTIFS(Selections!$K$6:$K$86,"HALF_LOST"))</f>
        <v>14</v>
      </c>
      <c r="G6" s="19">
        <f>COUNTA(Selections!$A$6:$A$86)-((COUNTIFS(Selections!$K$6:$K$86,"WON")+COUNTIFS(Selections!$K$6:$K$86,"HALF_WON"))+(COUNTIFS(Selections!$K$6:$K$86,"LOST")+COUNTIFS(Selections!$K$6:$K$86,"HALF_LOST"))+COUNTIFS(Selections!$K$6:$K$86,"REFUNDED"))</f>
        <v>19</v>
      </c>
      <c r="H6" s="20">
        <f>IF(((COUNTIFS(Selections!$K$6:$K$86,"WON")+COUNTIFS(Selections!$K$6:$K$86,"HALF_WON"))+(COUNTIFS(Selections!$K$6:$K$86,"LOST")+COUNTIFS(Selections!$K$6:$K$86,"HALF_LOST"))+COUNTIFS(Selections!$K$6:$K$86,"REFUNDED"))=0,"n.a.",(COUNTIFS(Selections!$K$6:$K$86,"WON")+COUNTIFS(Selections!$K$6:$K$86,"HALF_WON"))/((COUNTIFS(Selections!$K$6:$K$86,"WON")+COUNTIFS(Selections!$K$6:$K$86,"HALF_WON"))+(COUNTIFS(Selections!$K$6:$K$86,"LOST")+COUNTIFS(Selections!$K$6:$K$86,"HALF_LOST"))+COUNTIFS(Selections!$K$6:$K$86,"REFUNDED")))</f>
        <v>0.7580645161290323</v>
      </c>
      <c r="I6" s="22">
        <f>SUM(Selections!$M$6:$M$86)</f>
        <v>62</v>
      </c>
      <c r="J6" s="22">
        <f>SUM(Selections!$N$6:$N$86)</f>
        <v>4.219999999999999</v>
      </c>
      <c r="K6" s="20">
        <f>IF(SUM(Selections!$M$6:$M$86)=0,"n.a.",SUM(Selections!$N$6:$N$86)/SUM(Selections!$M$6:$M$86))</f>
        <v>0.06806451612903223</v>
      </c>
      <c r="L6" s="21">
        <f>IF(SUM(Selections!$T$6:$T$86)=0,"n.a.",SUM(Selections!$O$6:$O$86)/SUM(Selections!$T$6:$T$86))</f>
        <v>0.1494967606167506</v>
      </c>
      <c r="M6" s="20">
        <f>IF(SUM(Selections!$T$6:$T$86)=0,"n.a.",SUM(Selections!$S$6:$S$86)/SUM(Selections!$T$6:$T$86))</f>
        <v>0.7484512517574156</v>
      </c>
      <c r="N6" s="20">
        <f>IF(SUM(Selections!$T$6:$T$86)=0,"n.a.",(SUMIFS(Selections!$L$6:$L$86,Selections!$T$6:$T$86,1))/SUM(Selections!$T$6:$T$86))</f>
        <v>0.7741935483870968</v>
      </c>
      <c r="O6" s="20">
        <f>IF(SUM(Selections!$T$6:$T$86)=0,"n.a.",(SUM(Selections!$S$6:$S$86)-(SUMIFS(Selections!$L$6:$L$86,Selections!$T$6:$T$86,1)))/SUM(Selections!$T$6:$T$86))</f>
        <v>-0.025742296629681194</v>
      </c>
      <c r="P6" s="19">
        <f>SUM(Selections!$T$6:$T$86)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COUNTIFS(Selections!$F$6:$F$86,"STRICT")</f>
        <v>52</v>
      </c>
      <c r="D7" s="19">
        <f>((COUNTIFS(Selections!$F$6:$F$86,"STRICT",Selections!$K$6:$K$86,"WON")+COUNTIFS(Selections!$F$6:$F$86,"STRICT",Selections!$K$6:$K$86,"HALF_WON"))+(COUNTIFS(Selections!$F$6:$F$86,"STRICT",Selections!$K$6:$K$86,"LOST")+COUNTIFS(Selections!$F$6:$F$86,"STRICT",Selections!$K$6:$K$86,"HALF_LOST"))+COUNTIFS(Selections!$F$6:$F$86,"STRICT",Selections!$K$6:$K$86,"REFUNDED"))</f>
        <v>35</v>
      </c>
      <c r="E7" s="19">
        <f>(COUNTIFS(Selections!$F$6:$F$86,"STRICT",Selections!$K$6:$K$86,"WON")+COUNTIFS(Selections!$F$6:$F$86,"STRICT",Selections!$K$6:$K$86,"HALF_WON"))</f>
        <v>29</v>
      </c>
      <c r="F7" s="19">
        <f>(COUNTIFS(Selections!$F$6:$F$86,"STRICT",Selections!$K$6:$K$86,"LOST")+COUNTIFS(Selections!$F$6:$F$86,"STRICT",Selections!$K$6:$K$86,"HALF_LOST"))</f>
        <v>5</v>
      </c>
      <c r="G7" s="19">
        <f>COUNTIFS(Selections!$F$6:$F$86,"STRICT")-((COUNTIFS(Selections!$F$6:$F$86,"STRICT",Selections!$K$6:$K$86,"WON")+COUNTIFS(Selections!$F$6:$F$86,"STRICT",Selections!$K$6:$K$86,"HALF_WON"))+(COUNTIFS(Selections!$F$6:$F$86,"STRICT",Selections!$K$6:$K$86,"LOST")+COUNTIFS(Selections!$F$6:$F$86,"STRICT",Selections!$K$6:$K$86,"HALF_LOST"))+COUNTIFS(Selections!$F$6:$F$86,"STRICT",Selections!$K$6:$K$86,"REFUNDED"))</f>
        <v>17</v>
      </c>
      <c r="H7" s="20">
        <f>IF(((COUNTIFS(Selections!$F$6:$F$86,"STRICT",Selections!$K$6:$K$86,"WON")+COUNTIFS(Selections!$F$6:$F$86,"STRICT",Selections!$K$6:$K$86,"HALF_WON"))+(COUNTIFS(Selections!$F$6:$F$86,"STRICT",Selections!$K$6:$K$86,"LOST")+COUNTIFS(Selections!$F$6:$F$86,"STRICT",Selections!$K$6:$K$86,"HALF_LOST"))+COUNTIFS(Selections!$F$6:$F$86,"STRICT",Selections!$K$6:$K$86,"REFUNDED"))=0,"n.a.",(COUNTIFS(Selections!$F$6:$F$86,"STRICT",Selections!$K$6:$K$86,"WON")+COUNTIFS(Selections!$F$6:$F$86,"STRICT",Selections!$K$6:$K$86,"HALF_WON"))/((COUNTIFS(Selections!$F$6:$F$86,"STRICT",Selections!$K$6:$K$86,"WON")+COUNTIFS(Selections!$F$6:$F$86,"STRICT",Selections!$K$6:$K$86,"HALF_WON"))+(COUNTIFS(Selections!$F$6:$F$86,"STRICT",Selections!$K$6:$K$86,"LOST")+COUNTIFS(Selections!$F$6:$F$86,"STRICT",Selections!$K$6:$K$86,"HALF_LOST"))+COUNTIFS(Selections!$F$6:$F$86,"STRICT",Selections!$K$6:$K$86,"REFUNDED")))</f>
        <v>0.8285714285714286</v>
      </c>
      <c r="I7" s="22">
        <f>SUMIFS(Selections!$M$6:$M$86,Selections!$F$6:$F$86,"STRICT")</f>
        <v>35</v>
      </c>
      <c r="J7" s="22">
        <f>SUMIFS(Selections!$N$6:$N$86,Selections!$F$6:$F$86,"STRICT")</f>
        <v>7.109999999999999</v>
      </c>
      <c r="K7" s="20">
        <f>IF(SUMIFS(Selections!$M$6:$M$86,Selections!$F$6:$F$86,"STRICT")=0,"n.a.",SUMIFS(Selections!$N$6:$N$86,Selections!$F$6:$F$86,"STRICT")/SUMIFS(Selections!$M$6:$M$86,Selections!$F$6:$F$86,"STRICT"))</f>
        <v>0.20314285714285713</v>
      </c>
      <c r="L7" s="21">
        <f>IF(SUMIFS(Selections!$T$6:$T$86,Selections!$F$6:$F$86,"STRICT")=0,"n.a.",SUMIFS(Selections!$O$6:$O$86,Selections!$F$6:$F$86,"STRICT")/SUMIFS(Selections!$T$6:$T$86,Selections!$F$6:$F$86,"STRICT"))</f>
        <v>0.10296695023120374</v>
      </c>
      <c r="M7" s="20">
        <f>IF(SUMIFS(Selections!$T$6:$T$86,Selections!$F$6:$F$86,"STRICT")=0,"n.a.",SUMIFS(Selections!$S$6:$S$86,Selections!$F$6:$F$86,"STRICT")/SUMIFS(Selections!$T$6:$T$86,Selections!$F$6:$F$86,"STRICT"))</f>
        <v>0.7396599107294491</v>
      </c>
      <c r="N7" s="20">
        <f>IF(SUMIFS(Selections!$T$6:$T$86,Selections!$F$6:$F$86,"STRICT")=0,"n.a.",(SUMIFS(Selections!$L$6:$L$86,Selections!$F$6:$F$86,"STRICT",Selections!$T$6:$T$86,1))/SUMIFS(Selections!$T$6:$T$86,Selections!$F$6:$F$86,"STRICT"))</f>
        <v>0.8571428571428571</v>
      </c>
      <c r="O7" s="20">
        <f>IF(SUMIFS(Selections!$T$6:$T$86,Selections!$F$6:$F$86,"STRICT")=0,"n.a.",(SUMIFS(Selections!$S$6:$S$86,Selections!$F$6:$F$86,"STRICT")-(SUMIFS(Selections!$L$6:$L$86,Selections!$F$6:$F$86,"STRICT",Selections!$T$6:$T$86,1)))/SUMIFS(Selections!$T$6:$T$86,Selections!$F$6:$F$86,"STRICT"))</f>
        <v>-0.11748294641340795</v>
      </c>
      <c r="P7" s="19">
        <f>SUMIFS(Selections!$T$6:$T$86,Selections!$F$6:$F$86,"STRICT")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COUNTIFS(Selections!$F$6:$F$86,"PROVISIONAL")</f>
        <v>29</v>
      </c>
      <c r="D8" s="19">
        <f>((COUNTIFS(Selections!$F$6:$F$86,"PROVISIONAL",Selections!$K$6:$K$86,"WON")+COUNTIFS(Selections!$F$6:$F$86,"PROVISIONAL",Selections!$K$6:$K$86,"HALF_WON"))+(COUNTIFS(Selections!$F$6:$F$86,"PROVISIONAL",Selections!$K$6:$K$86,"LOST")+COUNTIFS(Selections!$F$6:$F$86,"PROVISIONAL",Selections!$K$6:$K$86,"HALF_LOST"))+COUNTIFS(Selections!$F$6:$F$86,"PROVISIONAL",Selections!$K$6:$K$86,"REFUNDED"))</f>
        <v>27</v>
      </c>
      <c r="E8" s="19">
        <f>(COUNTIFS(Selections!$F$6:$F$86,"PROVISIONAL",Selections!$K$6:$K$86,"WON")+COUNTIFS(Selections!$F$6:$F$86,"PROVISIONAL",Selections!$K$6:$K$86,"HALF_WON"))</f>
        <v>18</v>
      </c>
      <c r="F8" s="19">
        <f>(COUNTIFS(Selections!$F$6:$F$86,"PROVISIONAL",Selections!$K$6:$K$86,"LOST")+COUNTIFS(Selections!$F$6:$F$86,"PROVISIONAL",Selections!$K$6:$K$86,"HALF_LOST"))</f>
        <v>9</v>
      </c>
      <c r="G8" s="19">
        <f>COUNTIFS(Selections!$F$6:$F$86,"PROVISIONAL")-((COUNTIFS(Selections!$F$6:$F$86,"PROVISIONAL",Selections!$K$6:$K$86,"WON")+COUNTIFS(Selections!$F$6:$F$86,"PROVISIONAL",Selections!$K$6:$K$86,"HALF_WON"))+(COUNTIFS(Selections!$F$6:$F$86,"PROVISIONAL",Selections!$K$6:$K$86,"LOST")+COUNTIFS(Selections!$F$6:$F$86,"PROVISIONAL",Selections!$K$6:$K$86,"HALF_LOST"))+COUNTIFS(Selections!$F$6:$F$86,"PROVISIONAL",Selections!$K$6:$K$86,"REFUNDED"))</f>
        <v>2</v>
      </c>
      <c r="H8" s="20">
        <f>IF(((COUNTIFS(Selections!$F$6:$F$86,"PROVISIONAL",Selections!$K$6:$K$86,"WON")+COUNTIFS(Selections!$F$6:$F$86,"PROVISIONAL",Selections!$K$6:$K$86,"HALF_WON"))+(COUNTIFS(Selections!$F$6:$F$86,"PROVISIONAL",Selections!$K$6:$K$86,"LOST")+COUNTIFS(Selections!$F$6:$F$86,"PROVISIONAL",Selections!$K$6:$K$86,"HALF_LOST"))+COUNTIFS(Selections!$F$6:$F$86,"PROVISIONAL",Selections!$K$6:$K$86,"REFUNDED"))=0,"n.a.",(COUNTIFS(Selections!$F$6:$F$86,"PROVISIONAL",Selections!$K$6:$K$86,"WON")+COUNTIFS(Selections!$F$6:$F$86,"PROVISIONAL",Selections!$K$6:$K$86,"HALF_WON"))/((COUNTIFS(Selections!$F$6:$F$86,"PROVISIONAL",Selections!$K$6:$K$86,"WON")+COUNTIFS(Selections!$F$6:$F$86,"PROVISIONAL",Selections!$K$6:$K$86,"HALF_WON"))+(COUNTIFS(Selections!$F$6:$F$86,"PROVISIONAL",Selections!$K$6:$K$86,"LOST")+COUNTIFS(Selections!$F$6:$F$86,"PROVISIONAL",Selections!$K$6:$K$86,"HALF_LOST"))+COUNTIFS(Selections!$F$6:$F$86,"PROVISIONAL",Selections!$K$6:$K$86,"REFUNDED")))</f>
        <v>0.6666666666666666</v>
      </c>
      <c r="I8" s="22">
        <f>SUMIFS(Selections!$M$6:$M$86,Selections!$F$6:$F$86,"PROVISIONAL")</f>
        <v>27</v>
      </c>
      <c r="J8" s="22">
        <f>SUMIFS(Selections!$N$6:$N$86,Selections!$F$6:$F$86,"PROVISIONAL")</f>
        <v>-2.8900000000000006</v>
      </c>
      <c r="K8" s="20">
        <f>IF(SUMIFS(Selections!$M$6:$M$86,Selections!$F$6:$F$86,"PROVISIONAL")=0,"n.a.",SUMIFS(Selections!$N$6:$N$86,Selections!$F$6:$F$86,"PROVISIONAL")/SUMIFS(Selections!$M$6:$M$86,Selections!$F$6:$F$86,"PROVISIONAL"))</f>
        <v>-0.10703703703703706</v>
      </c>
      <c r="L8" s="21">
        <f>IF(SUMIFS(Selections!$T$6:$T$86,Selections!$F$6:$F$86,"PROVISIONAL")=0,"n.a.",SUMIFS(Selections!$O$6:$O$86,Selections!$F$6:$F$86,"PROVISIONAL")/SUMIFS(Selections!$T$6:$T$86,Selections!$F$6:$F$86,"PROVISIONAL"))</f>
        <v>0.20981318148690395</v>
      </c>
      <c r="M8" s="20">
        <f>IF(SUMIFS(Selections!$T$6:$T$86,Selections!$F$6:$F$86,"PROVISIONAL")=0,"n.a.",SUMIFS(Selections!$S$6:$S$86,Selections!$F$6:$F$86,"PROVISIONAL")/SUMIFS(Selections!$T$6:$T$86,Selections!$F$6:$F$86,"PROVISIONAL"))</f>
        <v>0.7598474345714459</v>
      </c>
      <c r="N8" s="20">
        <f>IF(SUMIFS(Selections!$T$6:$T$86,Selections!$F$6:$F$86,"PROVISIONAL")=0,"n.a.",(SUMIFS(Selections!$L$6:$L$86,Selections!$F$6:$F$86,"PROVISIONAL",Selections!$T$6:$T$86,1))/SUMIFS(Selections!$T$6:$T$86,Selections!$F$6:$F$86,"PROVISIONAL"))</f>
        <v>0.6666666666666666</v>
      </c>
      <c r="O8" s="20">
        <f>IF(SUMIFS(Selections!$T$6:$T$86,Selections!$F$6:$F$86,"PROVISIONAL")=0,"n.a.",(SUMIFS(Selections!$S$6:$S$86,Selections!$F$6:$F$86,"PROVISIONAL")-(SUMIFS(Selections!$L$6:$L$86,Selections!$F$6:$F$86,"PROVISIONAL",Selections!$T$6:$T$86,1)))/SUMIFS(Selections!$T$6:$T$86,Selections!$F$6:$F$86,"PROVISIONAL"))</f>
        <v>0.09318076790477925</v>
      </c>
      <c r="P8" s="19">
        <f>SUMIFS(Selections!$T$6:$T$86,Selections!$F$6:$F$86,"PROVISIONAL")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COUNTIFS(Selections!$C$6:$C$86,"Bundesliga")</f>
        <v>8</v>
      </c>
      <c r="D9" s="19">
        <f>((COUNTIFS(Selections!$C$6:$C$86,"Bundesliga",Selections!$K$6:$K$86,"WON")+COUNTIFS(Selections!$C$6:$C$86,"Bundesliga",Selections!$K$6:$K$86,"HALF_WON"))+(COUNTIFS(Selections!$C$6:$C$86,"Bundesliga",Selections!$K$6:$K$86,"LOST")+COUNTIFS(Selections!$C$6:$C$86,"Bundesliga",Selections!$K$6:$K$86,"HALF_LOST"))+COUNTIFS(Selections!$C$6:$C$86,"Bundesliga",Selections!$K$6:$K$86,"REFUNDED"))</f>
        <v>8</v>
      </c>
      <c r="E9" s="19">
        <f>(COUNTIFS(Selections!$C$6:$C$86,"Bundesliga",Selections!$K$6:$K$86,"WON")+COUNTIFS(Selections!$C$6:$C$86,"Bundesliga",Selections!$K$6:$K$86,"HALF_WON"))</f>
        <v>7</v>
      </c>
      <c r="F9" s="19">
        <f>(COUNTIFS(Selections!$C$6:$C$86,"Bundesliga",Selections!$K$6:$K$86,"LOST")+COUNTIFS(Selections!$C$6:$C$86,"Bundesliga",Selections!$K$6:$K$86,"HALF_LOST"))</f>
        <v>1</v>
      </c>
      <c r="G9" s="19">
        <f>COUNTIFS(Selections!$C$6:$C$86,"Bundesliga")-((COUNTIFS(Selections!$C$6:$C$86,"Bundesliga",Selections!$K$6:$K$86,"WON")+COUNTIFS(Selections!$C$6:$C$86,"Bundesliga",Selections!$K$6:$K$86,"HALF_WON"))+(COUNTIFS(Selections!$C$6:$C$86,"Bundesliga",Selections!$K$6:$K$86,"LOST")+COUNTIFS(Selections!$C$6:$C$86,"Bundesliga",Selections!$K$6:$K$86,"HALF_LOST"))+COUNTIFS(Selections!$C$6:$C$86,"Bundesliga",Selections!$K$6:$K$86,"REFUNDED"))</f>
        <v>0</v>
      </c>
      <c r="H9" s="20">
        <f>IF(((COUNTIFS(Selections!$C$6:$C$86,"Bundesliga",Selections!$K$6:$K$86,"WON")+COUNTIFS(Selections!$C$6:$C$86,"Bundesliga",Selections!$K$6:$K$86,"HALF_WON"))+(COUNTIFS(Selections!$C$6:$C$86,"Bundesliga",Selections!$K$6:$K$86,"LOST")+COUNTIFS(Selections!$C$6:$C$86,"Bundesliga",Selections!$K$6:$K$86,"HALF_LOST"))+COUNTIFS(Selections!$C$6:$C$86,"Bundesliga",Selections!$K$6:$K$86,"REFUNDED"))=0,"n.a.",(COUNTIFS(Selections!$C$6:$C$86,"Bundesliga",Selections!$K$6:$K$86,"WON")+COUNTIFS(Selections!$C$6:$C$86,"Bundesliga",Selections!$K$6:$K$86,"HALF_WON"))/((COUNTIFS(Selections!$C$6:$C$86,"Bundesliga",Selections!$K$6:$K$86,"WON")+COUNTIFS(Selections!$C$6:$C$86,"Bundesliga",Selections!$K$6:$K$86,"HALF_WON"))+(COUNTIFS(Selections!$C$6:$C$86,"Bundesliga",Selections!$K$6:$K$86,"LOST")+COUNTIFS(Selections!$C$6:$C$86,"Bundesliga",Selections!$K$6:$K$86,"HALF_LOST"))+COUNTIFS(Selections!$C$6:$C$86,"Bundesliga",Selections!$K$6:$K$86,"REFUNDED")))</f>
        <v>0.875</v>
      </c>
      <c r="I9" s="22">
        <f>SUMIFS(Selections!$M$6:$M$86,Selections!$C$6:$C$86,"Bundesliga")</f>
        <v>8</v>
      </c>
      <c r="J9" s="22">
        <f>SUMIFS(Selections!$N$6:$N$86,Selections!$C$6:$C$86,"Bundesliga")</f>
        <v>0.8599999999999999</v>
      </c>
      <c r="K9" s="20">
        <f>IF(SUMIFS(Selections!$M$6:$M$86,Selections!$C$6:$C$86,"Bundesliga")=0,"n.a.",SUMIFS(Selections!$N$6:$N$86,Selections!$C$6:$C$86,"Bundesliga")/SUMIFS(Selections!$M$6:$M$86,Selections!$C$6:$C$86,"Bundesliga"))</f>
        <v>0.10749999999999998</v>
      </c>
      <c r="L9" s="21">
        <f>IF(SUMIFS(Selections!$T$6:$T$86,Selections!$C$6:$C$86,"Bundesliga")=0,"n.a.",SUMIFS(Selections!$O$6:$O$86,Selections!$C$6:$C$86,"Bundesliga")/SUMIFS(Selections!$T$6:$T$86,Selections!$C$6:$C$86,"Bundesliga"))</f>
        <v>0.05476987785554626</v>
      </c>
      <c r="M9" s="20">
        <f>IF(SUMIFS(Selections!$T$6:$T$86,Selections!$C$6:$C$86,"Bundesliga")=0,"n.a.",SUMIFS(Selections!$S$6:$S$86,Selections!$C$6:$C$86,"Bundesliga")/SUMIFS(Selections!$T$6:$T$86,Selections!$C$6:$C$86,"Bundesliga"))</f>
        <v>0.7834511017749206</v>
      </c>
      <c r="N9" s="20">
        <f>IF(SUMIFS(Selections!$T$6:$T$86,Selections!$C$6:$C$86,"Bundesliga")=0,"n.a.",(SUMIFS(Selections!$L$6:$L$86,Selections!$C$6:$C$86,"Bundesliga",Selections!$T$6:$T$86,1))/SUMIFS(Selections!$T$6:$T$86,Selections!$C$6:$C$86,"Bundesliga"))</f>
        <v>0.875</v>
      </c>
      <c r="O9" s="20">
        <f>IF(SUMIFS(Selections!$T$6:$T$86,Selections!$C$6:$C$86,"Bundesliga")=0,"n.a.",(SUMIFS(Selections!$S$6:$S$86,Selections!$C$6:$C$86,"Bundesliga")-(SUMIFS(Selections!$L$6:$L$86,Selections!$C$6:$C$86,"Bundesliga",Selections!$T$6:$T$86,1)))/SUMIFS(Selections!$T$6:$T$86,Selections!$C$6:$C$86,"Bundesliga"))</f>
        <v>-0.09154889822507939</v>
      </c>
      <c r="P9" s="19">
        <f>SUMIFS(Selections!$T$6:$T$86,Selections!$C$6:$C$86,"Bundesliga")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COUNTIFS(Selections!$C$6:$C$86,"Eredivisie")</f>
        <v>3</v>
      </c>
      <c r="D10" s="19">
        <f>((COUNTIFS(Selections!$C$6:$C$86,"Eredivisie",Selections!$K$6:$K$86,"WON")+COUNTIFS(Selections!$C$6:$C$86,"Eredivisie",Selections!$K$6:$K$86,"HALF_WON"))+(COUNTIFS(Selections!$C$6:$C$86,"Eredivisie",Selections!$K$6:$K$86,"LOST")+COUNTIFS(Selections!$C$6:$C$86,"Eredivisie",Selections!$K$6:$K$86,"HALF_LOST"))+COUNTIFS(Selections!$C$6:$C$86,"Eredivisie",Selections!$K$6:$K$86,"REFUNDED"))</f>
        <v>2</v>
      </c>
      <c r="E10" s="19">
        <f>(COUNTIFS(Selections!$C$6:$C$86,"Eredivisie",Selections!$K$6:$K$86,"WON")+COUNTIFS(Selections!$C$6:$C$86,"Eredivisie",Selections!$K$6:$K$86,"HALF_WON"))</f>
        <v>1</v>
      </c>
      <c r="F10" s="19">
        <f>(COUNTIFS(Selections!$C$6:$C$86,"Eredivisie",Selections!$K$6:$K$86,"LOST")+COUNTIFS(Selections!$C$6:$C$86,"Eredivisie",Selections!$K$6:$K$86,"HALF_LOST"))</f>
        <v>1</v>
      </c>
      <c r="G10" s="19">
        <f>COUNTIFS(Selections!$C$6:$C$86,"Eredivisie")-((COUNTIFS(Selections!$C$6:$C$86,"Eredivisie",Selections!$K$6:$K$86,"WON")+COUNTIFS(Selections!$C$6:$C$86,"Eredivisie",Selections!$K$6:$K$86,"HALF_WON"))+(COUNTIFS(Selections!$C$6:$C$86,"Eredivisie",Selections!$K$6:$K$86,"LOST")+COUNTIFS(Selections!$C$6:$C$86,"Eredivisie",Selections!$K$6:$K$86,"HALF_LOST"))+COUNTIFS(Selections!$C$6:$C$86,"Eredivisie",Selections!$K$6:$K$86,"REFUNDED"))</f>
        <v>1</v>
      </c>
      <c r="H10" s="20">
        <f>IF(((COUNTIFS(Selections!$C$6:$C$86,"Eredivisie",Selections!$K$6:$K$86,"WON")+COUNTIFS(Selections!$C$6:$C$86,"Eredivisie",Selections!$K$6:$K$86,"HALF_WON"))+(COUNTIFS(Selections!$C$6:$C$86,"Eredivisie",Selections!$K$6:$K$86,"LOST")+COUNTIFS(Selections!$C$6:$C$86,"Eredivisie",Selections!$K$6:$K$86,"HALF_LOST"))+COUNTIFS(Selections!$C$6:$C$86,"Eredivisie",Selections!$K$6:$K$86,"REFUNDED"))=0,"n.a.",(COUNTIFS(Selections!$C$6:$C$86,"Eredivisie",Selections!$K$6:$K$86,"WON")+COUNTIFS(Selections!$C$6:$C$86,"Eredivisie",Selections!$K$6:$K$86,"HALF_WON"))/((COUNTIFS(Selections!$C$6:$C$86,"Eredivisie",Selections!$K$6:$K$86,"WON")+COUNTIFS(Selections!$C$6:$C$86,"Eredivisie",Selections!$K$6:$K$86,"HALF_WON"))+(COUNTIFS(Selections!$C$6:$C$86,"Eredivisie",Selections!$K$6:$K$86,"LOST")+COUNTIFS(Selections!$C$6:$C$86,"Eredivisie",Selections!$K$6:$K$86,"HALF_LOST"))+COUNTIFS(Selections!$C$6:$C$86,"Eredivisie",Selections!$K$6:$K$86,"REFUNDED")))</f>
        <v>0.5</v>
      </c>
      <c r="I10" s="22">
        <f>SUMIFS(Selections!$M$6:$M$86,Selections!$C$6:$C$86,"Eredivisie")</f>
        <v>2</v>
      </c>
      <c r="J10" s="22">
        <f>SUMIFS(Selections!$N$6:$N$86,Selections!$C$6:$C$86,"Eredivisie")</f>
        <v>-0.65</v>
      </c>
      <c r="K10" s="20">
        <f>IF(SUMIFS(Selections!$M$6:$M$86,Selections!$C$6:$C$86,"Eredivisie")=0,"n.a.",SUMIFS(Selections!$N$6:$N$86,Selections!$C$6:$C$86,"Eredivisie")/SUMIFS(Selections!$M$6:$M$86,Selections!$C$6:$C$86,"Eredivisie"))</f>
        <v>-0.325</v>
      </c>
      <c r="L10" s="21">
        <f>IF(SUMIFS(Selections!$T$6:$T$86,Selections!$C$6:$C$86,"Eredivisie")=0,"n.a.",SUMIFS(Selections!$O$6:$O$86,Selections!$C$6:$C$86,"Eredivisie")/SUMIFS(Selections!$T$6:$T$86,Selections!$C$6:$C$86,"Eredivisie"))</f>
        <v>0.14257965392608346</v>
      </c>
      <c r="M10" s="20">
        <f>IF(SUMIFS(Selections!$T$6:$T$86,Selections!$C$6:$C$86,"Eredivisie")=0,"n.a.",SUMIFS(Selections!$S$6:$S$86,Selections!$C$6:$C$86,"Eredivisie")/SUMIFS(Selections!$T$6:$T$86,Selections!$C$6:$C$86,"Eredivisie"))</f>
        <v>0.6505937799294621</v>
      </c>
      <c r="N10" s="20">
        <f>IF(SUMIFS(Selections!$T$6:$T$86,Selections!$C$6:$C$86,"Eredivisie")=0,"n.a.",(SUMIFS(Selections!$L$6:$L$86,Selections!$C$6:$C$86,"Eredivisie",Selections!$T$6:$T$86,1))/SUMIFS(Selections!$T$6:$T$86,Selections!$C$6:$C$86,"Eredivisie"))</f>
        <v>0.5</v>
      </c>
      <c r="O10" s="20">
        <f>IF(SUMIFS(Selections!$T$6:$T$86,Selections!$C$6:$C$86,"Eredivisie")=0,"n.a.",(SUMIFS(Selections!$S$6:$S$86,Selections!$C$6:$C$86,"Eredivisie")-(SUMIFS(Selections!$L$6:$L$86,Selections!$C$6:$C$86,"Eredivisie",Selections!$T$6:$T$86,1)))/SUMIFS(Selections!$T$6:$T$86,Selections!$C$6:$C$86,"Eredivisie"))</f>
        <v>0.1505937799294621</v>
      </c>
      <c r="P10" s="19">
        <f>SUMIFS(Selections!$T$6:$T$86,Selections!$C$6:$C$86,"Eredivisie")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COUNTIFS(Selections!$C$6:$C$86,"La Liga")</f>
        <v>14</v>
      </c>
      <c r="D11" s="19">
        <f>((COUNTIFS(Selections!$C$6:$C$86,"La Liga",Selections!$K$6:$K$86,"WON")+COUNTIFS(Selections!$C$6:$C$86,"La Liga",Selections!$K$6:$K$86,"HALF_WON"))+(COUNTIFS(Selections!$C$6:$C$86,"La Liga",Selections!$K$6:$K$86,"LOST")+COUNTIFS(Selections!$C$6:$C$86,"La Liga",Selections!$K$6:$K$86,"HALF_LOST"))+COUNTIFS(Selections!$C$6:$C$86,"La Liga",Selections!$K$6:$K$86,"REFUNDED"))</f>
        <v>10</v>
      </c>
      <c r="E11" s="19">
        <f>(COUNTIFS(Selections!$C$6:$C$86,"La Liga",Selections!$K$6:$K$86,"WON")+COUNTIFS(Selections!$C$6:$C$86,"La Liga",Selections!$K$6:$K$86,"HALF_WON"))</f>
        <v>10</v>
      </c>
      <c r="F11" s="19">
        <f>(COUNTIFS(Selections!$C$6:$C$86,"La Liga",Selections!$K$6:$K$86,"LOST")+COUNTIFS(Selections!$C$6:$C$86,"La Liga",Selections!$K$6:$K$86,"HALF_LOST"))</f>
        <v>0</v>
      </c>
      <c r="G11" s="19">
        <f>COUNTIFS(Selections!$C$6:$C$86,"La Liga")-((COUNTIFS(Selections!$C$6:$C$86,"La Liga",Selections!$K$6:$K$86,"WON")+COUNTIFS(Selections!$C$6:$C$86,"La Liga",Selections!$K$6:$K$86,"HALF_WON"))+(COUNTIFS(Selections!$C$6:$C$86,"La Liga",Selections!$K$6:$K$86,"LOST")+COUNTIFS(Selections!$C$6:$C$86,"La Liga",Selections!$K$6:$K$86,"HALF_LOST"))+COUNTIFS(Selections!$C$6:$C$86,"La Liga",Selections!$K$6:$K$86,"REFUNDED"))</f>
        <v>4</v>
      </c>
      <c r="H11" s="20">
        <f>IF(((COUNTIFS(Selections!$C$6:$C$86,"La Liga",Selections!$K$6:$K$86,"WON")+COUNTIFS(Selections!$C$6:$C$86,"La Liga",Selections!$K$6:$K$86,"HALF_WON"))+(COUNTIFS(Selections!$C$6:$C$86,"La Liga",Selections!$K$6:$K$86,"LOST")+COUNTIFS(Selections!$C$6:$C$86,"La Liga",Selections!$K$6:$K$86,"HALF_LOST"))+COUNTIFS(Selections!$C$6:$C$86,"La Liga",Selections!$K$6:$K$86,"REFUNDED"))=0,"n.a.",(COUNTIFS(Selections!$C$6:$C$86,"La Liga",Selections!$K$6:$K$86,"WON")+COUNTIFS(Selections!$C$6:$C$86,"La Liga",Selections!$K$6:$K$86,"HALF_WON"))/((COUNTIFS(Selections!$C$6:$C$86,"La Liga",Selections!$K$6:$K$86,"WON")+COUNTIFS(Selections!$C$6:$C$86,"La Liga",Selections!$K$6:$K$86,"HALF_WON"))+(COUNTIFS(Selections!$C$6:$C$86,"La Liga",Selections!$K$6:$K$86,"LOST")+COUNTIFS(Selections!$C$6:$C$86,"La Liga",Selections!$K$6:$K$86,"HALF_LOST"))+COUNTIFS(Selections!$C$6:$C$86,"La Liga",Selections!$K$6:$K$86,"REFUNDED")))</f>
        <v>1.0</v>
      </c>
      <c r="I11" s="22">
        <f>SUMIFS(Selections!$M$6:$M$86,Selections!$C$6:$C$86,"La Liga")</f>
        <v>10</v>
      </c>
      <c r="J11" s="22">
        <f>SUMIFS(Selections!$N$6:$N$86,Selections!$C$6:$C$86,"La Liga")</f>
        <v>3.3499999999999996</v>
      </c>
      <c r="K11" s="20">
        <f>IF(SUMIFS(Selections!$M$6:$M$86,Selections!$C$6:$C$86,"La Liga")=0,"n.a.",SUMIFS(Selections!$N$6:$N$86,Selections!$C$6:$C$86,"La Liga")/SUMIFS(Selections!$M$6:$M$86,Selections!$C$6:$C$86,"La Liga"))</f>
        <v>0.33499999999999996</v>
      </c>
      <c r="L11" s="21">
        <f>IF(SUMIFS(Selections!$T$6:$T$86,Selections!$C$6:$C$86,"La Liga")=0,"n.a.",SUMIFS(Selections!$O$6:$O$86,Selections!$C$6:$C$86,"La Liga")/SUMIFS(Selections!$T$6:$T$86,Selections!$C$6:$C$86,"La Liga"))</f>
        <v>0.04486184778213071</v>
      </c>
      <c r="M11" s="20">
        <f>IF(SUMIFS(Selections!$T$6:$T$86,Selections!$C$6:$C$86,"La Liga")=0,"n.a.",SUMIFS(Selections!$S$6:$S$86,Selections!$C$6:$C$86,"La Liga")/SUMIFS(Selections!$T$6:$T$86,Selections!$C$6:$C$86,"La Liga"))</f>
        <v>0.8008348272747599</v>
      </c>
      <c r="N11" s="20">
        <f>IF(SUMIFS(Selections!$T$6:$T$86,Selections!$C$6:$C$86,"La Liga")=0,"n.a.",(SUMIFS(Selections!$L$6:$L$86,Selections!$C$6:$C$86,"La Liga",Selections!$T$6:$T$86,1))/SUMIFS(Selections!$T$6:$T$86,Selections!$C$6:$C$86,"La Liga"))</f>
        <v>1.0</v>
      </c>
      <c r="O11" s="20">
        <f>IF(SUMIFS(Selections!$T$6:$T$86,Selections!$C$6:$C$86,"La Liga")=0,"n.a.",(SUMIFS(Selections!$S$6:$S$86,Selections!$C$6:$C$86,"La Liga")-(SUMIFS(Selections!$L$6:$L$86,Selections!$C$6:$C$86,"La Liga",Selections!$T$6:$T$86,1)))/SUMIFS(Selections!$T$6:$T$86,Selections!$C$6:$C$86,"La Liga"))</f>
        <v>-0.19916517272524015</v>
      </c>
      <c r="P11" s="19">
        <f>SUMIFS(Selections!$T$6:$T$86,Selections!$C$6:$C$86,"La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COUNTIFS(Selections!$C$6:$C$86,"Ligue 1")</f>
        <v>7</v>
      </c>
      <c r="D12" s="19">
        <f>((COUNTIFS(Selections!$C$6:$C$86,"Ligue 1",Selections!$K$6:$K$86,"WON")+COUNTIFS(Selections!$C$6:$C$86,"Ligue 1",Selections!$K$6:$K$86,"HALF_WON"))+(COUNTIFS(Selections!$C$6:$C$86,"Ligue 1",Selections!$K$6:$K$86,"LOST")+COUNTIFS(Selections!$C$6:$C$86,"Ligue 1",Selections!$K$6:$K$86,"HALF_LOST"))+COUNTIFS(Selections!$C$6:$C$86,"Ligue 1",Selections!$K$6:$K$86,"REFUNDED"))</f>
        <v>5</v>
      </c>
      <c r="E12" s="19">
        <f>(COUNTIFS(Selections!$C$6:$C$86,"Ligue 1",Selections!$K$6:$K$86,"WON")+COUNTIFS(Selections!$C$6:$C$86,"Ligue 1",Selections!$K$6:$K$86,"HALF_WON"))</f>
        <v>3</v>
      </c>
      <c r="F12" s="19">
        <f>(COUNTIFS(Selections!$C$6:$C$86,"Ligue 1",Selections!$K$6:$K$86,"LOST")+COUNTIFS(Selections!$C$6:$C$86,"Ligue 1",Selections!$K$6:$K$86,"HALF_LOST"))</f>
        <v>2</v>
      </c>
      <c r="G12" s="19">
        <f>COUNTIFS(Selections!$C$6:$C$86,"Ligue 1")-((COUNTIFS(Selections!$C$6:$C$86,"Ligue 1",Selections!$K$6:$K$86,"WON")+COUNTIFS(Selections!$C$6:$C$86,"Ligue 1",Selections!$K$6:$K$86,"HALF_WON"))+(COUNTIFS(Selections!$C$6:$C$86,"Ligue 1",Selections!$K$6:$K$86,"LOST")+COUNTIFS(Selections!$C$6:$C$86,"Ligue 1",Selections!$K$6:$K$86,"HALF_LOST"))+COUNTIFS(Selections!$C$6:$C$86,"Ligue 1",Selections!$K$6:$K$86,"REFUNDED"))</f>
        <v>2</v>
      </c>
      <c r="H12" s="20">
        <f>IF(((COUNTIFS(Selections!$C$6:$C$86,"Ligue 1",Selections!$K$6:$K$86,"WON")+COUNTIFS(Selections!$C$6:$C$86,"Ligue 1",Selections!$K$6:$K$86,"HALF_WON"))+(COUNTIFS(Selections!$C$6:$C$86,"Ligue 1",Selections!$K$6:$K$86,"LOST")+COUNTIFS(Selections!$C$6:$C$86,"Ligue 1",Selections!$K$6:$K$86,"HALF_LOST"))+COUNTIFS(Selections!$C$6:$C$86,"Ligue 1",Selections!$K$6:$K$86,"REFUNDED"))=0,"n.a.",(COUNTIFS(Selections!$C$6:$C$86,"Ligue 1",Selections!$K$6:$K$86,"WON")+COUNTIFS(Selections!$C$6:$C$86,"Ligue 1",Selections!$K$6:$K$86,"HALF_WON"))/((COUNTIFS(Selections!$C$6:$C$86,"Ligue 1",Selections!$K$6:$K$86,"WON")+COUNTIFS(Selections!$C$6:$C$86,"Ligue 1",Selections!$K$6:$K$86,"HALF_WON"))+(COUNTIFS(Selections!$C$6:$C$86,"Ligue 1",Selections!$K$6:$K$86,"LOST")+COUNTIFS(Selections!$C$6:$C$86,"Ligue 1",Selections!$K$6:$K$86,"HALF_LOST"))+COUNTIFS(Selections!$C$6:$C$86,"Ligue 1",Selections!$K$6:$K$86,"REFUNDED")))</f>
        <v>0.6</v>
      </c>
      <c r="I12" s="22">
        <f>SUMIFS(Selections!$M$6:$M$86,Selections!$C$6:$C$86,"Ligue 1")</f>
        <v>5</v>
      </c>
      <c r="J12" s="22">
        <f>SUMIFS(Selections!$N$6:$N$86,Selections!$C$6:$C$86,"Ligue 1")</f>
        <v>-0.9200000000000002</v>
      </c>
      <c r="K12" s="20">
        <f>IF(SUMIFS(Selections!$M$6:$M$86,Selections!$C$6:$C$86,"Ligue 1")=0,"n.a.",SUMIFS(Selections!$N$6:$N$86,Selections!$C$6:$C$86,"Ligue 1")/SUMIFS(Selections!$M$6:$M$86,Selections!$C$6:$C$86,"Ligue 1"))</f>
        <v>-0.18400000000000002</v>
      </c>
      <c r="L12" s="21">
        <f>IF(SUMIFS(Selections!$T$6:$T$86,Selections!$C$6:$C$86,"Ligue 1")=0,"n.a.",SUMIFS(Selections!$O$6:$O$86,Selections!$C$6:$C$86,"Ligue 1")/SUMIFS(Selections!$T$6:$T$86,Selections!$C$6:$C$86,"Ligue 1"))</f>
        <v>0.24280020699055926</v>
      </c>
      <c r="M12" s="20">
        <f>IF(SUMIFS(Selections!$T$6:$T$86,Selections!$C$6:$C$86,"Ligue 1")=0,"n.a.",SUMIFS(Selections!$S$6:$S$86,Selections!$C$6:$C$86,"Ligue 1")/SUMIFS(Selections!$T$6:$T$86,Selections!$C$6:$C$86,"Ligue 1"))</f>
        <v>0.7165429404243758</v>
      </c>
      <c r="N12" s="20">
        <f>IF(SUMIFS(Selections!$T$6:$T$86,Selections!$C$6:$C$86,"Ligue 1")=0,"n.a.",(SUMIFS(Selections!$L$6:$L$86,Selections!$C$6:$C$86,"Ligue 1",Selections!$T$6:$T$86,1))/SUMIFS(Selections!$T$6:$T$86,Selections!$C$6:$C$86,"Ligue 1"))</f>
        <v>0.6</v>
      </c>
      <c r="O12" s="20">
        <f>IF(SUMIFS(Selections!$T$6:$T$86,Selections!$C$6:$C$86,"Ligue 1")=0,"n.a.",(SUMIFS(Selections!$S$6:$S$86,Selections!$C$6:$C$86,"Ligue 1")-(SUMIFS(Selections!$L$6:$L$86,Selections!$C$6:$C$86,"Ligue 1",Selections!$T$6:$T$86,1)))/SUMIFS(Selections!$T$6:$T$86,Selections!$C$6:$C$86,"Ligue 1"))</f>
        <v>0.11654294042437585</v>
      </c>
      <c r="P12" s="19">
        <f>SUMIFS(Selections!$T$6:$T$86,Selections!$C$6:$C$86,"Ligue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COUNTIFS(Selections!$C$6:$C$86,"Premier League")</f>
        <v>12</v>
      </c>
      <c r="D13" s="19">
        <f>((COUNTIFS(Selections!$C$6:$C$86,"Premier League",Selections!$K$6:$K$86,"WON")+COUNTIFS(Selections!$C$6:$C$86,"Premier League",Selections!$K$6:$K$86,"HALF_WON"))+(COUNTIFS(Selections!$C$6:$C$86,"Premier League",Selections!$K$6:$K$86,"LOST")+COUNTIFS(Selections!$C$6:$C$86,"Premier League",Selections!$K$6:$K$86,"HALF_LOST"))+COUNTIFS(Selections!$C$6:$C$86,"Premier League",Selections!$K$6:$K$86,"REFUNDED"))</f>
        <v>10</v>
      </c>
      <c r="E13" s="19">
        <f>(COUNTIFS(Selections!$C$6:$C$86,"Premier League",Selections!$K$6:$K$86,"WON")+COUNTIFS(Selections!$C$6:$C$86,"Premier League",Selections!$K$6:$K$86,"HALF_WON"))</f>
        <v>6</v>
      </c>
      <c r="F13" s="19">
        <f>(COUNTIFS(Selections!$C$6:$C$86,"Premier League",Selections!$K$6:$K$86,"LOST")+COUNTIFS(Selections!$C$6:$C$86,"Premier League",Selections!$K$6:$K$86,"HALF_LOST"))</f>
        <v>4</v>
      </c>
      <c r="G13" s="19">
        <f>COUNTIFS(Selections!$C$6:$C$86,"Premier League")-((COUNTIFS(Selections!$C$6:$C$86,"Premier League",Selections!$K$6:$K$86,"WON")+COUNTIFS(Selections!$C$6:$C$86,"Premier League",Selections!$K$6:$K$86,"HALF_WON"))+(COUNTIFS(Selections!$C$6:$C$86,"Premier League",Selections!$K$6:$K$86,"LOST")+COUNTIFS(Selections!$C$6:$C$86,"Premier League",Selections!$K$6:$K$86,"HALF_LOST"))+COUNTIFS(Selections!$C$6:$C$86,"Premier League",Selections!$K$6:$K$86,"REFUNDED"))</f>
        <v>2</v>
      </c>
      <c r="H13" s="20">
        <f>IF(((COUNTIFS(Selections!$C$6:$C$86,"Premier League",Selections!$K$6:$K$86,"WON")+COUNTIFS(Selections!$C$6:$C$86,"Premier League",Selections!$K$6:$K$86,"HALF_WON"))+(COUNTIFS(Selections!$C$6:$C$86,"Premier League",Selections!$K$6:$K$86,"LOST")+COUNTIFS(Selections!$C$6:$C$86,"Premier League",Selections!$K$6:$K$86,"HALF_LOST"))+COUNTIFS(Selections!$C$6:$C$86,"Premier League",Selections!$K$6:$K$86,"REFUNDED"))=0,"n.a.",(COUNTIFS(Selections!$C$6:$C$86,"Premier League",Selections!$K$6:$K$86,"WON")+COUNTIFS(Selections!$C$6:$C$86,"Premier League",Selections!$K$6:$K$86,"HALF_WON"))/((COUNTIFS(Selections!$C$6:$C$86,"Premier League",Selections!$K$6:$K$86,"WON")+COUNTIFS(Selections!$C$6:$C$86,"Premier League",Selections!$K$6:$K$86,"HALF_WON"))+(COUNTIFS(Selections!$C$6:$C$86,"Premier League",Selections!$K$6:$K$86,"LOST")+COUNTIFS(Selections!$C$6:$C$86,"Premier League",Selections!$K$6:$K$86,"HALF_LOST"))+COUNTIFS(Selections!$C$6:$C$86,"Premier League",Selections!$K$6:$K$86,"REFUNDED")))</f>
        <v>0.6</v>
      </c>
      <c r="I13" s="22">
        <f>SUMIFS(Selections!$M$6:$M$86,Selections!$C$6:$C$86,"Premier League")</f>
        <v>10</v>
      </c>
      <c r="J13" s="22">
        <f>SUMIFS(Selections!$N$6:$N$86,Selections!$C$6:$C$86,"Premier League")</f>
        <v>-0.91</v>
      </c>
      <c r="K13" s="20">
        <f>IF(SUMIFS(Selections!$M$6:$M$86,Selections!$C$6:$C$86,"Premier League")=0,"n.a.",SUMIFS(Selections!$N$6:$N$86,Selections!$C$6:$C$86,"Premier League")/SUMIFS(Selections!$M$6:$M$86,Selections!$C$6:$C$86,"Premier League"))</f>
        <v>-0.091</v>
      </c>
      <c r="L13" s="21">
        <f>IF(SUMIFS(Selections!$T$6:$T$86,Selections!$C$6:$C$86,"Premier League")=0,"n.a.",SUMIFS(Selections!$O$6:$O$86,Selections!$C$6:$C$86,"Premier League")/SUMIFS(Selections!$T$6:$T$86,Selections!$C$6:$C$86,"Premier League"))</f>
        <v>0.2710779075766395</v>
      </c>
      <c r="M13" s="20">
        <f>IF(SUMIFS(Selections!$T$6:$T$86,Selections!$C$6:$C$86,"Premier League")=0,"n.a.",SUMIFS(Selections!$S$6:$S$86,Selections!$C$6:$C$86,"Premier League")/SUMIFS(Selections!$T$6:$T$86,Selections!$C$6:$C$86,"Premier League"))</f>
        <v>0.73688098969651</v>
      </c>
      <c r="N13" s="20">
        <f>IF(SUMIFS(Selections!$T$6:$T$86,Selections!$C$6:$C$86,"Premier League")=0,"n.a.",(SUMIFS(Selections!$L$6:$L$86,Selections!$C$6:$C$86,"Premier League",Selections!$T$6:$T$86,1))/SUMIFS(Selections!$T$6:$T$86,Selections!$C$6:$C$86,"Premier League"))</f>
        <v>0.6</v>
      </c>
      <c r="O13" s="20">
        <f>IF(SUMIFS(Selections!$T$6:$T$86,Selections!$C$6:$C$86,"Premier League")=0,"n.a.",(SUMIFS(Selections!$S$6:$S$86,Selections!$C$6:$C$86,"Premier League")-(SUMIFS(Selections!$L$6:$L$86,Selections!$C$6:$C$86,"Premier League",Selections!$T$6:$T$86,1)))/SUMIFS(Selections!$T$6:$T$86,Selections!$C$6:$C$86,"Premier League"))</f>
        <v>0.13688098969650997</v>
      </c>
      <c r="P13" s="19">
        <f>SUMIFS(Selections!$T$6:$T$86,Selections!$C$6:$C$86,"Premier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COUNTIFS(Selections!$C$6:$C$86,"Primeira Liga")</f>
        <v>5</v>
      </c>
      <c r="D14" s="19">
        <f>((COUNTIFS(Selections!$C$6:$C$86,"Primeira Liga",Selections!$K$6:$K$86,"WON")+COUNTIFS(Selections!$C$6:$C$86,"Primeira Liga",Selections!$K$6:$K$86,"HALF_WON"))+(COUNTIFS(Selections!$C$6:$C$86,"Primeira Liga",Selections!$K$6:$K$86,"LOST")+COUNTIFS(Selections!$C$6:$C$86,"Primeira Liga",Selections!$K$6:$K$86,"HALF_LOST"))+COUNTIFS(Selections!$C$6:$C$86,"Primeira Liga",Selections!$K$6:$K$86,"REFUNDED"))</f>
        <v>1</v>
      </c>
      <c r="E14" s="19">
        <f>(COUNTIFS(Selections!$C$6:$C$86,"Primeira Liga",Selections!$K$6:$K$86,"WON")+COUNTIFS(Selections!$C$6:$C$86,"Primeira Liga",Selections!$K$6:$K$86,"HALF_WON"))</f>
        <v>1</v>
      </c>
      <c r="F14" s="19">
        <f>(COUNTIFS(Selections!$C$6:$C$86,"Primeira Liga",Selections!$K$6:$K$86,"LOST")+COUNTIFS(Selections!$C$6:$C$86,"Primeira Liga",Selections!$K$6:$K$86,"HALF_LOST"))</f>
        <v>0</v>
      </c>
      <c r="G14" s="19">
        <f>COUNTIFS(Selections!$C$6:$C$86,"Primeira Liga")-((COUNTIFS(Selections!$C$6:$C$86,"Primeira Liga",Selections!$K$6:$K$86,"WON")+COUNTIFS(Selections!$C$6:$C$86,"Primeira Liga",Selections!$K$6:$K$86,"HALF_WON"))+(COUNTIFS(Selections!$C$6:$C$86,"Primeira Liga",Selections!$K$6:$K$86,"LOST")+COUNTIFS(Selections!$C$6:$C$86,"Primeira Liga",Selections!$K$6:$K$86,"HALF_LOST"))+COUNTIFS(Selections!$C$6:$C$86,"Primeira Liga",Selections!$K$6:$K$86,"REFUNDED"))</f>
        <v>4</v>
      </c>
      <c r="H14" s="20">
        <f>IF(((COUNTIFS(Selections!$C$6:$C$86,"Primeira Liga",Selections!$K$6:$K$86,"WON")+COUNTIFS(Selections!$C$6:$C$86,"Primeira Liga",Selections!$K$6:$K$86,"HALF_WON"))+(COUNTIFS(Selections!$C$6:$C$86,"Primeira Liga",Selections!$K$6:$K$86,"LOST")+COUNTIFS(Selections!$C$6:$C$86,"Primeira Liga",Selections!$K$6:$K$86,"HALF_LOST"))+COUNTIFS(Selections!$C$6:$C$86,"Primeira Liga",Selections!$K$6:$K$86,"REFUNDED"))=0,"n.a.",(COUNTIFS(Selections!$C$6:$C$86,"Primeira Liga",Selections!$K$6:$K$86,"WON")+COUNTIFS(Selections!$C$6:$C$86,"Primeira Liga",Selections!$K$6:$K$86,"HALF_WON"))/((COUNTIFS(Selections!$C$6:$C$86,"Primeira Liga",Selections!$K$6:$K$86,"WON")+COUNTIFS(Selections!$C$6:$C$86,"Primeira Liga",Selections!$K$6:$K$86,"HALF_WON"))+(COUNTIFS(Selections!$C$6:$C$86,"Primeira Liga",Selections!$K$6:$K$86,"LOST")+COUNTIFS(Selections!$C$6:$C$86,"Primeira Liga",Selections!$K$6:$K$86,"HALF_LOST"))+COUNTIFS(Selections!$C$6:$C$86,"Primeira Liga",Selections!$K$6:$K$86,"REFUNDED")))</f>
        <v>1.0</v>
      </c>
      <c r="I14" s="22">
        <f>SUMIFS(Selections!$M$6:$M$86,Selections!$C$6:$C$86,"Primeira Liga")</f>
        <v>1</v>
      </c>
      <c r="J14" s="22">
        <f>SUMIFS(Selections!$N$6:$N$86,Selections!$C$6:$C$86,"Primeira Liga")</f>
        <v>1.0899999999999999</v>
      </c>
      <c r="K14" s="20">
        <f>IF(SUMIFS(Selections!$M$6:$M$86,Selections!$C$6:$C$86,"Primeira Liga")=0,"n.a.",SUMIFS(Selections!$N$6:$N$86,Selections!$C$6:$C$86,"Primeira Liga")/SUMIFS(Selections!$M$6:$M$86,Selections!$C$6:$C$86,"Primeira Liga"))</f>
        <v>1.0899999999999999</v>
      </c>
      <c r="L14" s="21">
        <f>IF(SUMIFS(Selections!$T$6:$T$86,Selections!$C$6:$C$86,"Primeira Liga")=0,"n.a.",SUMIFS(Selections!$O$6:$O$86,Selections!$C$6:$C$86,"Primeira Liga")/SUMIFS(Selections!$T$6:$T$86,Selections!$C$6:$C$86,"Primeira Liga"))</f>
        <v>0.3218146879483473</v>
      </c>
      <c r="M14" s="20">
        <f>IF(SUMIFS(Selections!$T$6:$T$86,Selections!$C$6:$C$86,"Primeira Liga")=0,"n.a.",SUMIFS(Selections!$S$6:$S$86,Selections!$C$6:$C$86,"Primeira Liga")/SUMIFS(Selections!$T$6:$T$86,Selections!$C$6:$C$86,"Primeira Liga"))</f>
        <v>0.4327128699253373</v>
      </c>
      <c r="N14" s="20">
        <f>IF(SUMIFS(Selections!$T$6:$T$86,Selections!$C$6:$C$86,"Primeira Liga")=0,"n.a.",(SUMIFS(Selections!$L$6:$L$86,Selections!$C$6:$C$86,"Primeira Liga",Selections!$T$6:$T$86,1))/SUMIFS(Selections!$T$6:$T$86,Selections!$C$6:$C$86,"Primeira Liga"))</f>
        <v>1.0</v>
      </c>
      <c r="O14" s="20">
        <f>IF(SUMIFS(Selections!$T$6:$T$86,Selections!$C$6:$C$86,"Primeira Liga")=0,"n.a.",(SUMIFS(Selections!$S$6:$S$86,Selections!$C$6:$C$86,"Primeira Liga")-(SUMIFS(Selections!$L$6:$L$86,Selections!$C$6:$C$86,"Primeira Liga",Selections!$T$6:$T$86,1)))/SUMIFS(Selections!$T$6:$T$86,Selections!$C$6:$C$86,"Primeira Liga"))</f>
        <v>-0.5672871300746627</v>
      </c>
      <c r="P14" s="19">
        <f>SUMIFS(Selections!$T$6:$T$86,Selections!$C$6:$C$86,"Primeira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COUNTIFS(Selections!$C$6:$C$86,"Serie A")</f>
        <v>16</v>
      </c>
      <c r="D15" s="19">
        <f>((COUNTIFS(Selections!$C$6:$C$86,"Serie A",Selections!$K$6:$K$86,"WON")+COUNTIFS(Selections!$C$6:$C$86,"Serie A",Selections!$K$6:$K$86,"HALF_WON"))+(COUNTIFS(Selections!$C$6:$C$86,"Serie A",Selections!$K$6:$K$86,"LOST")+COUNTIFS(Selections!$C$6:$C$86,"Serie A",Selections!$K$6:$K$86,"HALF_LOST"))+COUNTIFS(Selections!$C$6:$C$86,"Serie A",Selections!$K$6:$K$86,"REFUNDED"))</f>
        <v>14</v>
      </c>
      <c r="E15" s="19">
        <f>(COUNTIFS(Selections!$C$6:$C$86,"Serie A",Selections!$K$6:$K$86,"WON")+COUNTIFS(Selections!$C$6:$C$86,"Serie A",Selections!$K$6:$K$86,"HALF_WON"))</f>
        <v>9</v>
      </c>
      <c r="F15" s="19">
        <f>(COUNTIFS(Selections!$C$6:$C$86,"Serie A",Selections!$K$6:$K$86,"LOST")+COUNTIFS(Selections!$C$6:$C$86,"Serie A",Selections!$K$6:$K$86,"HALF_LOST"))</f>
        <v>4</v>
      </c>
      <c r="G15" s="19">
        <f>COUNTIFS(Selections!$C$6:$C$86,"Serie A")-((COUNTIFS(Selections!$C$6:$C$86,"Serie A",Selections!$K$6:$K$86,"WON")+COUNTIFS(Selections!$C$6:$C$86,"Serie A",Selections!$K$6:$K$86,"HALF_WON"))+(COUNTIFS(Selections!$C$6:$C$86,"Serie A",Selections!$K$6:$K$86,"LOST")+COUNTIFS(Selections!$C$6:$C$86,"Serie A",Selections!$K$6:$K$86,"HALF_LOST"))+COUNTIFS(Selections!$C$6:$C$86,"Serie A",Selections!$K$6:$K$86,"REFUNDED"))</f>
        <v>2</v>
      </c>
      <c r="H15" s="20">
        <f>IF(((COUNTIFS(Selections!$C$6:$C$86,"Serie A",Selections!$K$6:$K$86,"WON")+COUNTIFS(Selections!$C$6:$C$86,"Serie A",Selections!$K$6:$K$86,"HALF_WON"))+(COUNTIFS(Selections!$C$6:$C$86,"Serie A",Selections!$K$6:$K$86,"LOST")+COUNTIFS(Selections!$C$6:$C$86,"Serie A",Selections!$K$6:$K$86,"HALF_LOST"))+COUNTIFS(Selections!$C$6:$C$86,"Serie A",Selections!$K$6:$K$86,"REFUNDED"))=0,"n.a.",(COUNTIFS(Selections!$C$6:$C$86,"Serie A",Selections!$K$6:$K$86,"WON")+COUNTIFS(Selections!$C$6:$C$86,"Serie A",Selections!$K$6:$K$86,"HALF_WON"))/((COUNTIFS(Selections!$C$6:$C$86,"Serie A",Selections!$K$6:$K$86,"WON")+COUNTIFS(Selections!$C$6:$C$86,"Serie A",Selections!$K$6:$K$86,"HALF_WON"))+(COUNTIFS(Selections!$C$6:$C$86,"Serie A",Selections!$K$6:$K$86,"LOST")+COUNTIFS(Selections!$C$6:$C$86,"Serie A",Selections!$K$6:$K$86,"HALF_LOST"))+COUNTIFS(Selections!$C$6:$C$86,"Serie A",Selections!$K$6:$K$86,"REFUNDED")))</f>
        <v>0.6428571428571429</v>
      </c>
      <c r="I15" s="22">
        <f>SUMIFS(Selections!$M$6:$M$86,Selections!$C$6:$C$86,"Serie A")</f>
        <v>14</v>
      </c>
      <c r="J15" s="22">
        <f>SUMIFS(Selections!$N$6:$N$86,Selections!$C$6:$C$86,"Serie A")</f>
        <v>-0.6099999999999999</v>
      </c>
      <c r="K15" s="20">
        <f>IF(SUMIFS(Selections!$M$6:$M$86,Selections!$C$6:$C$86,"Serie A")=0,"n.a.",SUMIFS(Selections!$N$6:$N$86,Selections!$C$6:$C$86,"Serie A")/SUMIFS(Selections!$M$6:$M$86,Selections!$C$6:$C$86,"Serie A"))</f>
        <v>-0.04357142857142856</v>
      </c>
      <c r="L15" s="21">
        <f>IF(SUMIFS(Selections!$T$6:$T$86,Selections!$C$6:$C$86,"Serie A")=0,"n.a.",SUMIFS(Selections!$O$6:$O$86,Selections!$C$6:$C$86,"Serie A")/SUMIFS(Selections!$T$6:$T$86,Selections!$C$6:$C$86,"Serie A"))</f>
        <v>0.15132247257808737</v>
      </c>
      <c r="M15" s="20">
        <f>IF(SUMIFS(Selections!$T$6:$T$86,Selections!$C$6:$C$86,"Serie A")=0,"n.a.",SUMIFS(Selections!$S$6:$S$86,Selections!$C$6:$C$86,"Serie A")/SUMIFS(Selections!$T$6:$T$86,Selections!$C$6:$C$86,"Serie A"))</f>
        <v>0.7263093460073441</v>
      </c>
      <c r="N15" s="20">
        <f>IF(SUMIFS(Selections!$T$6:$T$86,Selections!$C$6:$C$86,"Serie A")=0,"n.a.",(SUMIFS(Selections!$L$6:$L$86,Selections!$C$6:$C$86,"Serie A",Selections!$T$6:$T$86,1))/SUMIFS(Selections!$T$6:$T$86,Selections!$C$6:$C$86,"Serie A"))</f>
        <v>0.7142857142857143</v>
      </c>
      <c r="O15" s="20">
        <f>IF(SUMIFS(Selections!$T$6:$T$86,Selections!$C$6:$C$86,"Serie A")=0,"n.a.",(SUMIFS(Selections!$S$6:$S$86,Selections!$C$6:$C$86,"Serie A")-(SUMIFS(Selections!$L$6:$L$86,Selections!$C$6:$C$86,"Serie A",Selections!$T$6:$T$86,1)))/SUMIFS(Selections!$T$6:$T$86,Selections!$C$6:$C$86,"Serie A"))</f>
        <v>0.01202363172162979</v>
      </c>
      <c r="P15" s="19">
        <f>SUMIFS(Selections!$T$6:$T$86,Selections!$C$6:$C$86,"Serie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Super Lig</t>
        </is>
      </c>
      <c r="C16" s="19">
        <f>COUNTIFS(Selections!$C$6:$C$86,"Super Lig")</f>
        <v>2</v>
      </c>
      <c r="D16" s="19">
        <f>((COUNTIFS(Selections!$C$6:$C$86,"Super Lig",Selections!$K$6:$K$86,"WON")+COUNTIFS(Selections!$C$6:$C$86,"Super Lig",Selections!$K$6:$K$86,"HALF_WON"))+(COUNTIFS(Selections!$C$6:$C$86,"Super Lig",Selections!$K$6:$K$86,"LOST")+COUNTIFS(Selections!$C$6:$C$86,"Super Lig",Selections!$K$6:$K$86,"HALF_LOST"))+COUNTIFS(Selections!$C$6:$C$86,"Super Lig",Selections!$K$6:$K$86,"REFUNDED"))</f>
        <v>0</v>
      </c>
      <c r="E16" s="19">
        <f>(COUNTIFS(Selections!$C$6:$C$86,"Super Lig",Selections!$K$6:$K$86,"WON")+COUNTIFS(Selections!$C$6:$C$86,"Super Lig",Selections!$K$6:$K$86,"HALF_WON"))</f>
        <v>0</v>
      </c>
      <c r="F16" s="19">
        <f>(COUNTIFS(Selections!$C$6:$C$86,"Super Lig",Selections!$K$6:$K$86,"LOST")+COUNTIFS(Selections!$C$6:$C$86,"Super Lig",Selections!$K$6:$K$86,"HALF_LOST"))</f>
        <v>0</v>
      </c>
      <c r="G16" s="19">
        <f>COUNTIFS(Selections!$C$6:$C$86,"Super Lig")-((COUNTIFS(Selections!$C$6:$C$86,"Super Lig",Selections!$K$6:$K$86,"WON")+COUNTIFS(Selections!$C$6:$C$86,"Super Lig",Selections!$K$6:$K$86,"HALF_WON"))+(COUNTIFS(Selections!$C$6:$C$86,"Super Lig",Selections!$K$6:$K$86,"LOST")+COUNTIFS(Selections!$C$6:$C$86,"Super Lig",Selections!$K$6:$K$86,"HALF_LOST"))+COUNTIFS(Selections!$C$6:$C$86,"Super Lig",Selections!$K$6:$K$86,"REFUNDED"))</f>
        <v>2</v>
      </c>
      <c r="H16" s="20" t="str">
        <f>IF(((COUNTIFS(Selections!$C$6:$C$86,"Super Lig",Selections!$K$6:$K$86,"WON")+COUNTIFS(Selections!$C$6:$C$86,"Super Lig",Selections!$K$6:$K$86,"HALF_WON"))+(COUNTIFS(Selections!$C$6:$C$86,"Super Lig",Selections!$K$6:$K$86,"LOST")+COUNTIFS(Selections!$C$6:$C$86,"Super Lig",Selections!$K$6:$K$86,"HALF_LOST"))+COUNTIFS(Selections!$C$6:$C$86,"Super Lig",Selections!$K$6:$K$86,"REFUNDED"))=0,"n.a.",(COUNTIFS(Selections!$C$6:$C$86,"Super Lig",Selections!$K$6:$K$86,"WON")+COUNTIFS(Selections!$C$6:$C$86,"Super Lig",Selections!$K$6:$K$86,"HALF_WON"))/((COUNTIFS(Selections!$C$6:$C$86,"Super Lig",Selections!$K$6:$K$86,"WON")+COUNTIFS(Selections!$C$6:$C$86,"Super Lig",Selections!$K$6:$K$86,"HALF_WON"))+(COUNTIFS(Selections!$C$6:$C$86,"Super Lig",Selections!$K$6:$K$86,"LOST")+COUNTIFS(Selections!$C$6:$C$86,"Super Lig",Selections!$K$6:$K$86,"HALF_LOST"))+COUNTIFS(Selections!$C$6:$C$86,"Super Lig",Selections!$K$6:$K$86,"REFUNDED")))</f>
        <v>n.a.</v>
      </c>
      <c r="I16" s="22">
        <f>SUMIFS(Selections!$M$6:$M$86,Selections!$C$6:$C$86,"Super Lig")</f>
        <v>0</v>
      </c>
      <c r="J16" s="22">
        <f>SUMIFS(Selections!$N$6:$N$86,Selections!$C$6:$C$86,"Super Lig")</f>
        <v>0</v>
      </c>
      <c r="K16" s="20" t="str">
        <f>IF(SUMIFS(Selections!$M$6:$M$86,Selections!$C$6:$C$86,"Super Lig")=0,"n.a.",SUMIFS(Selections!$N$6:$N$86,Selections!$C$6:$C$86,"Super Lig")/SUMIFS(Selections!$M$6:$M$86,Selections!$C$6:$C$86,"Super Lig"))</f>
        <v>n.a.</v>
      </c>
      <c r="L16" s="21" t="str">
        <f>IF(SUMIFS(Selections!$T$6:$T$86,Selections!$C$6:$C$86,"Super Lig")=0,"n.a.",SUMIFS(Selections!$O$6:$O$86,Selections!$C$6:$C$86,"Super Lig")/SUMIFS(Selections!$T$6:$T$86,Selections!$C$6:$C$86,"Super Lig"))</f>
        <v>n.a.</v>
      </c>
      <c r="M16" s="20" t="str">
        <f>IF(SUMIFS(Selections!$T$6:$T$86,Selections!$C$6:$C$86,"Super Lig")=0,"n.a.",SUMIFS(Selections!$S$6:$S$86,Selections!$C$6:$C$86,"Super Lig")/SUMIFS(Selections!$T$6:$T$86,Selections!$C$6:$C$86,"Super Lig"))</f>
        <v>n.a.</v>
      </c>
      <c r="N16" s="20" t="str">
        <f>IF(SUMIFS(Selections!$T$6:$T$86,Selections!$C$6:$C$86,"Super Lig")=0,"n.a.",(SUMIFS(Selections!$L$6:$L$86,Selections!$C$6:$C$86,"Super Lig",Selections!$T$6:$T$86,1))/SUMIFS(Selections!$T$6:$T$86,Selections!$C$6:$C$86,"Super Lig"))</f>
        <v>n.a.</v>
      </c>
      <c r="O16" s="20" t="str">
        <f>IF(SUMIFS(Selections!$T$6:$T$86,Selections!$C$6:$C$86,"Super Lig")=0,"n.a.",(SUMIFS(Selections!$S$6:$S$86,Selections!$C$6:$C$86,"Super Lig")-(SUMIFS(Selections!$L$6:$L$86,Selections!$C$6:$C$86,"Super Lig",Selections!$T$6:$T$86,1)))/SUMIFS(Selections!$T$6:$T$86,Selections!$C$6:$C$86,"Super Lig"))</f>
        <v>n.a.</v>
      </c>
      <c r="P16" s="19">
        <f>SUMIFS(Selections!$T$6:$T$86,Selections!$C$6:$C$86,"Super Lig")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League</t>
        </is>
      </c>
      <c r="B17" s="18" t="inlineStr">
        <is>
          <t>UEFA Champions League</t>
        </is>
      </c>
      <c r="C17" s="19">
        <f>COUNTIFS(Selections!$C$6:$C$86,"UEFA Champions League")</f>
        <v>14</v>
      </c>
      <c r="D17" s="19">
        <f>((COUNTIFS(Selections!$C$6:$C$86,"UEFA Champions League",Selections!$K$6:$K$86,"WON")+COUNTIFS(Selections!$C$6:$C$86,"UEFA Champions League",Selections!$K$6:$K$86,"HALF_WON"))+(COUNTIFS(Selections!$C$6:$C$86,"UEFA Champions League",Selections!$K$6:$K$86,"LOST")+COUNTIFS(Selections!$C$6:$C$86,"UEFA Champions League",Selections!$K$6:$K$86,"HALF_LOST"))+COUNTIFS(Selections!$C$6:$C$86,"UEFA Champions League",Selections!$K$6:$K$86,"REFUNDED"))</f>
        <v>12</v>
      </c>
      <c r="E17" s="19">
        <f>(COUNTIFS(Selections!$C$6:$C$86,"UEFA Champions League",Selections!$K$6:$K$86,"WON")+COUNTIFS(Selections!$C$6:$C$86,"UEFA Champions League",Selections!$K$6:$K$86,"HALF_WON"))</f>
        <v>10</v>
      </c>
      <c r="F17" s="19">
        <f>(COUNTIFS(Selections!$C$6:$C$86,"UEFA Champions League",Selections!$K$6:$K$86,"LOST")+COUNTIFS(Selections!$C$6:$C$86,"UEFA Champions League",Selections!$K$6:$K$86,"HALF_LOST"))</f>
        <v>2</v>
      </c>
      <c r="G17" s="19">
        <f>COUNTIFS(Selections!$C$6:$C$86,"UEFA Champions League")-((COUNTIFS(Selections!$C$6:$C$86,"UEFA Champions League",Selections!$K$6:$K$86,"WON")+COUNTIFS(Selections!$C$6:$C$86,"UEFA Champions League",Selections!$K$6:$K$86,"HALF_WON"))+(COUNTIFS(Selections!$C$6:$C$86,"UEFA Champions League",Selections!$K$6:$K$86,"LOST")+COUNTIFS(Selections!$C$6:$C$86,"UEFA Champions League",Selections!$K$6:$K$86,"HALF_LOST"))+COUNTIFS(Selections!$C$6:$C$86,"UEFA Champions League",Selections!$K$6:$K$86,"REFUNDED"))</f>
        <v>2</v>
      </c>
      <c r="H17" s="20">
        <f>IF(((COUNTIFS(Selections!$C$6:$C$86,"UEFA Champions League",Selections!$K$6:$K$86,"WON")+COUNTIFS(Selections!$C$6:$C$86,"UEFA Champions League",Selections!$K$6:$K$86,"HALF_WON"))+(COUNTIFS(Selections!$C$6:$C$86,"UEFA Champions League",Selections!$K$6:$K$86,"LOST")+COUNTIFS(Selections!$C$6:$C$86,"UEFA Champions League",Selections!$K$6:$K$86,"HALF_LOST"))+COUNTIFS(Selections!$C$6:$C$86,"UEFA Champions League",Selections!$K$6:$K$86,"REFUNDED"))=0,"n.a.",(COUNTIFS(Selections!$C$6:$C$86,"UEFA Champions League",Selections!$K$6:$K$86,"WON")+COUNTIFS(Selections!$C$6:$C$86,"UEFA Champions League",Selections!$K$6:$K$86,"HALF_WON"))/((COUNTIFS(Selections!$C$6:$C$86,"UEFA Champions League",Selections!$K$6:$K$86,"WON")+COUNTIFS(Selections!$C$6:$C$86,"UEFA Champions League",Selections!$K$6:$K$86,"HALF_WON"))+(COUNTIFS(Selections!$C$6:$C$86,"UEFA Champions League",Selections!$K$6:$K$86,"LOST")+COUNTIFS(Selections!$C$6:$C$86,"UEFA Champions League",Selections!$K$6:$K$86,"HALF_LOST"))+COUNTIFS(Selections!$C$6:$C$86,"UEFA Champions League",Selections!$K$6:$K$86,"REFUNDED")))</f>
        <v>0.8333333333333334</v>
      </c>
      <c r="I17" s="22">
        <f>SUMIFS(Selections!$M$6:$M$86,Selections!$C$6:$C$86,"UEFA Champions League")</f>
        <v>12</v>
      </c>
      <c r="J17" s="22">
        <f>SUMIFS(Selections!$N$6:$N$86,Selections!$C$6:$C$86,"UEFA Champions League")</f>
        <v>2.01</v>
      </c>
      <c r="K17" s="20">
        <f>IF(SUMIFS(Selections!$M$6:$M$86,Selections!$C$6:$C$86,"UEFA Champions League")=0,"n.a.",SUMIFS(Selections!$N$6:$N$86,Selections!$C$6:$C$86,"UEFA Champions League")/SUMIFS(Selections!$M$6:$M$86,Selections!$C$6:$C$86,"UEFA Champions League"))</f>
        <v>0.16749999999999998</v>
      </c>
      <c r="L17" s="21">
        <f>IF(SUMIFS(Selections!$T$6:$T$86,Selections!$C$6:$C$86,"UEFA Champions League")=0,"n.a.",SUMIFS(Selections!$O$6:$O$86,Selections!$C$6:$C$86,"UEFA Champions League")/SUMIFS(Selections!$T$6:$T$86,Selections!$C$6:$C$86,"UEFA Champions League"))</f>
        <v>0.14431274457999424</v>
      </c>
      <c r="M17" s="20">
        <f>IF(SUMIFS(Selections!$T$6:$T$86,Selections!$C$6:$C$86,"UEFA Champions League")=0,"n.a.",SUMIFS(Selections!$S$6:$S$86,Selections!$C$6:$C$86,"UEFA Champions League")/SUMIFS(Selections!$T$6:$T$86,Selections!$C$6:$C$86,"UEFA Champions League"))</f>
        <v>0.7728553874198951</v>
      </c>
      <c r="N17" s="20">
        <f>IF(SUMIFS(Selections!$T$6:$T$86,Selections!$C$6:$C$86,"UEFA Champions League")=0,"n.a.",(SUMIFS(Selections!$L$6:$L$86,Selections!$C$6:$C$86,"UEFA Champions League",Selections!$T$6:$T$86,1))/SUMIFS(Selections!$T$6:$T$86,Selections!$C$6:$C$86,"UEFA Champions League"))</f>
        <v>0.8333333333333334</v>
      </c>
      <c r="O17" s="20">
        <f>IF(SUMIFS(Selections!$T$6:$T$86,Selections!$C$6:$C$86,"UEFA Champions League")=0,"n.a.",(SUMIFS(Selections!$S$6:$S$86,Selections!$C$6:$C$86,"UEFA Champions League")-(SUMIFS(Selections!$L$6:$L$86,Selections!$C$6:$C$86,"UEFA Champions League",Selections!$T$6:$T$86,1)))/SUMIFS(Selections!$T$6:$T$86,Selections!$C$6:$C$86,"UEFA Champions League"))</f>
        <v>-0.06047794591343825</v>
      </c>
      <c r="P17" s="19">
        <f>SUMIFS(Selections!$T$6:$T$86,Selections!$C$6:$C$86,"UEFA Champions League")</f>
        <v>12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+1.00</t>
        </is>
      </c>
      <c r="C18" s="19">
        <f>COUNTIFS(Selections!$E$6:$E$86,"Asian Handicap Away +1.00")</f>
        <v>2</v>
      </c>
      <c r="D18" s="19">
        <f>((COUNTIFS(Selections!$E$6:$E$86,"Asian Handicap Away +1.00",Selections!$K$6:$K$86,"WON")+COUNTIFS(Selections!$E$6:$E$86,"Asian Handicap Away +1.00",Selections!$K$6:$K$86,"HALF_WON"))+(COUNTIFS(Selections!$E$6:$E$86,"Asian Handicap Away +1.00",Selections!$K$6:$K$86,"LOST")+COUNTIFS(Selections!$E$6:$E$86,"Asian Handicap Away +1.00",Selections!$K$6:$K$86,"HALF_LOST"))+COUNTIFS(Selections!$E$6:$E$86,"Asian Handicap Away +1.00",Selections!$K$6:$K$86,"REFUNDED"))</f>
        <v>2</v>
      </c>
      <c r="E18" s="19">
        <f>(COUNTIFS(Selections!$E$6:$E$86,"Asian Handicap Away +1.00",Selections!$K$6:$K$86,"WON")+COUNTIFS(Selections!$E$6:$E$86,"Asian Handicap Away +1.00",Selections!$K$6:$K$86,"HALF_WON"))</f>
        <v>2</v>
      </c>
      <c r="F18" s="19">
        <f>(COUNTIFS(Selections!$E$6:$E$86,"Asian Handicap Away +1.00",Selections!$K$6:$K$86,"LOST")+COUNTIFS(Selections!$E$6:$E$86,"Asian Handicap Away +1.00",Selections!$K$6:$K$86,"HALF_LOST"))</f>
        <v>0</v>
      </c>
      <c r="G18" s="19">
        <f>COUNTIFS(Selections!$E$6:$E$86,"Asian Handicap Away +1.00")-((COUNTIFS(Selections!$E$6:$E$86,"Asian Handicap Away +1.00",Selections!$K$6:$K$86,"WON")+COUNTIFS(Selections!$E$6:$E$86,"Asian Handicap Away +1.00",Selections!$K$6:$K$86,"HALF_WON"))+(COUNTIFS(Selections!$E$6:$E$86,"Asian Handicap Away +1.00",Selections!$K$6:$K$86,"LOST")+COUNTIFS(Selections!$E$6:$E$86,"Asian Handicap Away +1.00",Selections!$K$6:$K$86,"HALF_LOST"))+COUNTIFS(Selections!$E$6:$E$86,"Asian Handicap Away +1.00",Selections!$K$6:$K$86,"REFUNDED"))</f>
        <v>0</v>
      </c>
      <c r="H18" s="20">
        <f>IF(((COUNTIFS(Selections!$E$6:$E$86,"Asian Handicap Away +1.00",Selections!$K$6:$K$86,"WON")+COUNTIFS(Selections!$E$6:$E$86,"Asian Handicap Away +1.00",Selections!$K$6:$K$86,"HALF_WON"))+(COUNTIFS(Selections!$E$6:$E$86,"Asian Handicap Away +1.00",Selections!$K$6:$K$86,"LOST")+COUNTIFS(Selections!$E$6:$E$86,"Asian Handicap Away +1.00",Selections!$K$6:$K$86,"HALF_LOST"))+COUNTIFS(Selections!$E$6:$E$86,"Asian Handicap Away +1.00",Selections!$K$6:$K$86,"REFUNDED"))=0,"n.a.",(COUNTIFS(Selections!$E$6:$E$86,"Asian Handicap Away +1.00",Selections!$K$6:$K$86,"WON")+COUNTIFS(Selections!$E$6:$E$86,"Asian Handicap Away +1.00",Selections!$K$6:$K$86,"HALF_WON"))/((COUNTIFS(Selections!$E$6:$E$86,"Asian Handicap Away +1.00",Selections!$K$6:$K$86,"WON")+COUNTIFS(Selections!$E$6:$E$86,"Asian Handicap Away +1.00",Selections!$K$6:$K$86,"HALF_WON"))+(COUNTIFS(Selections!$E$6:$E$86,"Asian Handicap Away +1.00",Selections!$K$6:$K$86,"LOST")+COUNTIFS(Selections!$E$6:$E$86,"Asian Handicap Away +1.00",Selections!$K$6:$K$86,"HALF_LOST"))+COUNTIFS(Selections!$E$6:$E$86,"Asian Handicap Away +1.00",Selections!$K$6:$K$86,"REFUNDED")))</f>
        <v>1.0</v>
      </c>
      <c r="I18" s="22">
        <f>SUMIFS(Selections!$M$6:$M$86,Selections!$E$6:$E$86,"Asian Handicap Away +1.00")</f>
        <v>2</v>
      </c>
      <c r="J18" s="22">
        <f>SUMIFS(Selections!$N$6:$N$86,Selections!$E$6:$E$86,"Asian Handicap Away +1.00")</f>
        <v>0.9199999999999999</v>
      </c>
      <c r="K18" s="20">
        <f>IF(SUMIFS(Selections!$M$6:$M$86,Selections!$E$6:$E$86,"Asian Handicap Away +1.00")=0,"n.a.",SUMIFS(Selections!$N$6:$N$86,Selections!$E$6:$E$86,"Asian Handicap Away +1.00")/SUMIFS(Selections!$M$6:$M$86,Selections!$E$6:$E$86,"Asian Handicap Away +1.00"))</f>
        <v>0.45999999999999996</v>
      </c>
      <c r="L18" s="21">
        <f>IF(SUMIFS(Selections!$T$6:$T$86,Selections!$E$6:$E$86,"Asian Handicap Away +1.00")=0,"n.a.",SUMIFS(Selections!$O$6:$O$86,Selections!$E$6:$E$86,"Asian Handicap Away +1.00")/SUMIFS(Selections!$T$6:$T$86,Selections!$E$6:$E$86,"Asian Handicap Away +1.00"))</f>
        <v>0.04591604481564195</v>
      </c>
      <c r="M18" s="20">
        <f>IF(SUMIFS(Selections!$T$6:$T$86,Selections!$E$6:$E$86,"Asian Handicap Away +1.00")=0,"n.a.",SUMIFS(Selections!$S$6:$S$86,Selections!$E$6:$E$86,"Asian Handicap Away +1.00")/SUMIFS(Selections!$T$6:$T$86,Selections!$E$6:$E$86,"Asian Handicap Away +1.00"))</f>
        <v>0.7890372906026677</v>
      </c>
      <c r="N18" s="20">
        <f>IF(SUMIFS(Selections!$T$6:$T$86,Selections!$E$6:$E$86,"Asian Handicap Away +1.00")=0,"n.a.",(SUMIFS(Selections!$L$6:$L$86,Selections!$E$6:$E$86,"Asian Handicap Away +1.00",Selections!$T$6:$T$86,1))/SUMIFS(Selections!$T$6:$T$86,Selections!$E$6:$E$86,"Asian Handicap Away +1.00"))</f>
        <v>1.0</v>
      </c>
      <c r="O18" s="20">
        <f>IF(SUMIFS(Selections!$T$6:$T$86,Selections!$E$6:$E$86,"Asian Handicap Away +1.00")=0,"n.a.",(SUMIFS(Selections!$S$6:$S$86,Selections!$E$6:$E$86,"Asian Handicap Away +1.00")-(SUMIFS(Selections!$L$6:$L$86,Selections!$E$6:$E$86,"Asian Handicap Away +1.00",Selections!$T$6:$T$86,1)))/SUMIFS(Selections!$T$6:$T$86,Selections!$E$6:$E$86,"Asian Handicap Away +1.00"))</f>
        <v>-0.2109627093973323</v>
      </c>
      <c r="P18" s="19">
        <f>SUMIFS(Selections!$T$6:$T$86,Selections!$E$6:$E$86,"Asian Handicap Away +1.00")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+1.25</t>
        </is>
      </c>
      <c r="C19" s="19">
        <f>COUNTIFS(Selections!$E$6:$E$86,"Asian Handicap Away +1.25")</f>
        <v>1</v>
      </c>
      <c r="D19" s="19">
        <f>((COUNTIFS(Selections!$E$6:$E$86,"Asian Handicap Away +1.25",Selections!$K$6:$K$86,"WON")+COUNTIFS(Selections!$E$6:$E$86,"Asian Handicap Away +1.25",Selections!$K$6:$K$86,"HALF_WON"))+(COUNTIFS(Selections!$E$6:$E$86,"Asian Handicap Away +1.25",Selections!$K$6:$K$86,"LOST")+COUNTIFS(Selections!$E$6:$E$86,"Asian Handicap Away +1.25",Selections!$K$6:$K$86,"HALF_LOST"))+COUNTIFS(Selections!$E$6:$E$86,"Asian Handicap Away +1.25",Selections!$K$6:$K$86,"REFUNDED"))</f>
        <v>1</v>
      </c>
      <c r="E19" s="19">
        <f>(COUNTIFS(Selections!$E$6:$E$86,"Asian Handicap Away +1.25",Selections!$K$6:$K$86,"WON")+COUNTIFS(Selections!$E$6:$E$86,"Asian Handicap Away +1.25",Selections!$K$6:$K$86,"HALF_WON"))</f>
        <v>1</v>
      </c>
      <c r="F19" s="19">
        <f>(COUNTIFS(Selections!$E$6:$E$86,"Asian Handicap Away +1.25",Selections!$K$6:$K$86,"LOST")+COUNTIFS(Selections!$E$6:$E$86,"Asian Handicap Away +1.25",Selections!$K$6:$K$86,"HALF_LOST"))</f>
        <v>0</v>
      </c>
      <c r="G19" s="19">
        <f>COUNTIFS(Selections!$E$6:$E$86,"Asian Handicap Away +1.25")-((COUNTIFS(Selections!$E$6:$E$86,"Asian Handicap Away +1.25",Selections!$K$6:$K$86,"WON")+COUNTIFS(Selections!$E$6:$E$86,"Asian Handicap Away +1.25",Selections!$K$6:$K$86,"HALF_WON"))+(COUNTIFS(Selections!$E$6:$E$86,"Asian Handicap Away +1.25",Selections!$K$6:$K$86,"LOST")+COUNTIFS(Selections!$E$6:$E$86,"Asian Handicap Away +1.25",Selections!$K$6:$K$86,"HALF_LOST"))+COUNTIFS(Selections!$E$6:$E$86,"Asian Handicap Away +1.25",Selections!$K$6:$K$86,"REFUNDED"))</f>
        <v>0</v>
      </c>
      <c r="H19" s="20">
        <f>IF(((COUNTIFS(Selections!$E$6:$E$86,"Asian Handicap Away +1.25",Selections!$K$6:$K$86,"WON")+COUNTIFS(Selections!$E$6:$E$86,"Asian Handicap Away +1.25",Selections!$K$6:$K$86,"HALF_WON"))+(COUNTIFS(Selections!$E$6:$E$86,"Asian Handicap Away +1.25",Selections!$K$6:$K$86,"LOST")+COUNTIFS(Selections!$E$6:$E$86,"Asian Handicap Away +1.25",Selections!$K$6:$K$86,"HALF_LOST"))+COUNTIFS(Selections!$E$6:$E$86,"Asian Handicap Away +1.25",Selections!$K$6:$K$86,"REFUNDED"))=0,"n.a.",(COUNTIFS(Selections!$E$6:$E$86,"Asian Handicap Away +1.25",Selections!$K$6:$K$86,"WON")+COUNTIFS(Selections!$E$6:$E$86,"Asian Handicap Away +1.25",Selections!$K$6:$K$86,"HALF_WON"))/((COUNTIFS(Selections!$E$6:$E$86,"Asian Handicap Away +1.25",Selections!$K$6:$K$86,"WON")+COUNTIFS(Selections!$E$6:$E$86,"Asian Handicap Away +1.25",Selections!$K$6:$K$86,"HALF_WON"))+(COUNTIFS(Selections!$E$6:$E$86,"Asian Handicap Away +1.25",Selections!$K$6:$K$86,"LOST")+COUNTIFS(Selections!$E$6:$E$86,"Asian Handicap Away +1.25",Selections!$K$6:$K$86,"HALF_LOST"))+COUNTIFS(Selections!$E$6:$E$86,"Asian Handicap Away +1.25",Selections!$K$6:$K$86,"REFUNDED")))</f>
        <v>1.0</v>
      </c>
      <c r="I19" s="22">
        <f>SUMIFS(Selections!$M$6:$M$86,Selections!$E$6:$E$86,"Asian Handicap Away +1.25")</f>
        <v>1</v>
      </c>
      <c r="J19" s="22">
        <f>SUMIFS(Selections!$N$6:$N$86,Selections!$E$6:$E$86,"Asian Handicap Away +1.25")</f>
        <v>0.16</v>
      </c>
      <c r="K19" s="20">
        <f>IF(SUMIFS(Selections!$M$6:$M$86,Selections!$E$6:$E$86,"Asian Handicap Away +1.25")=0,"n.a.",SUMIFS(Selections!$N$6:$N$86,Selections!$E$6:$E$86,"Asian Handicap Away +1.25")/SUMIFS(Selections!$M$6:$M$86,Selections!$E$6:$E$86,"Asian Handicap Away +1.25"))</f>
        <v>0.16</v>
      </c>
      <c r="L19" s="21">
        <f>IF(SUMIFS(Selections!$T$6:$T$86,Selections!$E$6:$E$86,"Asian Handicap Away +1.25")=0,"n.a.",SUMIFS(Selections!$O$6:$O$86,Selections!$E$6:$E$86,"Asian Handicap Away +1.25")/SUMIFS(Selections!$T$6:$T$86,Selections!$E$6:$E$86,"Asian Handicap Away +1.25"))</f>
        <v>0.024359397046770922</v>
      </c>
      <c r="M19" s="20">
        <f>IF(SUMIFS(Selections!$T$6:$T$86,Selections!$E$6:$E$86,"Asian Handicap Away +1.25")=0,"n.a.",SUMIFS(Selections!$S$6:$S$86,Selections!$E$6:$E$86,"Asian Handicap Away +1.25")/SUMIFS(Selections!$T$6:$T$86,Selections!$E$6:$E$86,"Asian Handicap Away +1.25"))</f>
        <v>0.8439250274811143</v>
      </c>
      <c r="N19" s="20">
        <f>IF(SUMIFS(Selections!$T$6:$T$86,Selections!$E$6:$E$86,"Asian Handicap Away +1.25")=0,"n.a.",(SUMIFS(Selections!$L$6:$L$86,Selections!$E$6:$E$86,"Asian Handicap Away +1.25",Selections!$T$6:$T$86,1))/SUMIFS(Selections!$T$6:$T$86,Selections!$E$6:$E$86,"Asian Handicap Away +1.25"))</f>
        <v>1.0</v>
      </c>
      <c r="O19" s="20">
        <f>IF(SUMIFS(Selections!$T$6:$T$86,Selections!$E$6:$E$86,"Asian Handicap Away +1.25")=0,"n.a.",(SUMIFS(Selections!$S$6:$S$86,Selections!$E$6:$E$86,"Asian Handicap Away +1.25")-(SUMIFS(Selections!$L$6:$L$86,Selections!$E$6:$E$86,"Asian Handicap Away +1.25",Selections!$T$6:$T$86,1)))/SUMIFS(Selections!$T$6:$T$86,Selections!$E$6:$E$86,"Asian Handicap Away +1.25"))</f>
        <v>-0.1560749725188857</v>
      </c>
      <c r="P19" s="19">
        <f>SUMIFS(Selections!$T$6:$T$86,Selections!$E$6:$E$86,"Asian Handicap Away +1.25")</f>
        <v>1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(n=1).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+2.00</t>
        </is>
      </c>
      <c r="C20" s="19">
        <f>COUNTIFS(Selections!$E$6:$E$86,"Asian Handicap Away +2.00")</f>
        <v>6</v>
      </c>
      <c r="D20" s="19">
        <f>((COUNTIFS(Selections!$E$6:$E$86,"Asian Handicap Away +2.00",Selections!$K$6:$K$86,"WON")+COUNTIFS(Selections!$E$6:$E$86,"Asian Handicap Away +2.00",Selections!$K$6:$K$86,"HALF_WON"))+(COUNTIFS(Selections!$E$6:$E$86,"Asian Handicap Away +2.00",Selections!$K$6:$K$86,"LOST")+COUNTIFS(Selections!$E$6:$E$86,"Asian Handicap Away +2.00",Selections!$K$6:$K$86,"HALF_LOST"))+COUNTIFS(Selections!$E$6:$E$86,"Asian Handicap Away +2.00",Selections!$K$6:$K$86,"REFUNDED"))</f>
        <v>4</v>
      </c>
      <c r="E20" s="19">
        <f>(COUNTIFS(Selections!$E$6:$E$86,"Asian Handicap Away +2.00",Selections!$K$6:$K$86,"WON")+COUNTIFS(Selections!$E$6:$E$86,"Asian Handicap Away +2.00",Selections!$K$6:$K$86,"HALF_WON"))</f>
        <v>3</v>
      </c>
      <c r="F20" s="19">
        <f>(COUNTIFS(Selections!$E$6:$E$86,"Asian Handicap Away +2.00",Selections!$K$6:$K$86,"LOST")+COUNTIFS(Selections!$E$6:$E$86,"Asian Handicap Away +2.00",Selections!$K$6:$K$86,"HALF_LOST"))</f>
        <v>0</v>
      </c>
      <c r="G20" s="19">
        <f>COUNTIFS(Selections!$E$6:$E$86,"Asian Handicap Away +2.00")-((COUNTIFS(Selections!$E$6:$E$86,"Asian Handicap Away +2.00",Selections!$K$6:$K$86,"WON")+COUNTIFS(Selections!$E$6:$E$86,"Asian Handicap Away +2.00",Selections!$K$6:$K$86,"HALF_WON"))+(COUNTIFS(Selections!$E$6:$E$86,"Asian Handicap Away +2.00",Selections!$K$6:$K$86,"LOST")+COUNTIFS(Selections!$E$6:$E$86,"Asian Handicap Away +2.00",Selections!$K$6:$K$86,"HALF_LOST"))+COUNTIFS(Selections!$E$6:$E$86,"Asian Handicap Away +2.00",Selections!$K$6:$K$86,"REFUNDED"))</f>
        <v>2</v>
      </c>
      <c r="H20" s="20">
        <f>IF(((COUNTIFS(Selections!$E$6:$E$86,"Asian Handicap Away +2.00",Selections!$K$6:$K$86,"WON")+COUNTIFS(Selections!$E$6:$E$86,"Asian Handicap Away +2.00",Selections!$K$6:$K$86,"HALF_WON"))+(COUNTIFS(Selections!$E$6:$E$86,"Asian Handicap Away +2.00",Selections!$K$6:$K$86,"LOST")+COUNTIFS(Selections!$E$6:$E$86,"Asian Handicap Away +2.00",Selections!$K$6:$K$86,"HALF_LOST"))+COUNTIFS(Selections!$E$6:$E$86,"Asian Handicap Away +2.00",Selections!$K$6:$K$86,"REFUNDED"))=0,"n.a.",(COUNTIFS(Selections!$E$6:$E$86,"Asian Handicap Away +2.00",Selections!$K$6:$K$86,"WON")+COUNTIFS(Selections!$E$6:$E$86,"Asian Handicap Away +2.00",Selections!$K$6:$K$86,"HALF_WON"))/((COUNTIFS(Selections!$E$6:$E$86,"Asian Handicap Away +2.00",Selections!$K$6:$K$86,"WON")+COUNTIFS(Selections!$E$6:$E$86,"Asian Handicap Away +2.00",Selections!$K$6:$K$86,"HALF_WON"))+(COUNTIFS(Selections!$E$6:$E$86,"Asian Handicap Away +2.00",Selections!$K$6:$K$86,"LOST")+COUNTIFS(Selections!$E$6:$E$86,"Asian Handicap Away +2.00",Selections!$K$6:$K$86,"HALF_LOST"))+COUNTIFS(Selections!$E$6:$E$86,"Asian Handicap Away +2.00",Selections!$K$6:$K$86,"REFUNDED")))</f>
        <v>0.75</v>
      </c>
      <c r="I20" s="22">
        <f>SUMIFS(Selections!$M$6:$M$86,Selections!$E$6:$E$86,"Asian Handicap Away +2.00")</f>
        <v>4</v>
      </c>
      <c r="J20" s="22">
        <f>SUMIFS(Selections!$N$6:$N$86,Selections!$E$6:$E$86,"Asian Handicap Away +2.00")</f>
        <v>1.17</v>
      </c>
      <c r="K20" s="20">
        <f>IF(SUMIFS(Selections!$M$6:$M$86,Selections!$E$6:$E$86,"Asian Handicap Away +2.00")=0,"n.a.",SUMIFS(Selections!$N$6:$N$86,Selections!$E$6:$E$86,"Asian Handicap Away +2.00")/SUMIFS(Selections!$M$6:$M$86,Selections!$E$6:$E$86,"Asian Handicap Away +2.00"))</f>
        <v>0.2925</v>
      </c>
      <c r="L20" s="21">
        <f>IF(SUMIFS(Selections!$T$6:$T$86,Selections!$E$6:$E$86,"Asian Handicap Away +2.00")=0,"n.a.",SUMIFS(Selections!$O$6:$O$86,Selections!$E$6:$E$86,"Asian Handicap Away +2.00")/SUMIFS(Selections!$T$6:$T$86,Selections!$E$6:$E$86,"Asian Handicap Away +2.00"))</f>
        <v>0.030287940809718607</v>
      </c>
      <c r="M20" s="20">
        <f>IF(SUMIFS(Selections!$T$6:$T$86,Selections!$E$6:$E$86,"Asian Handicap Away +2.00")=0,"n.a.",SUMIFS(Selections!$S$6:$S$86,Selections!$E$6:$E$86,"Asian Handicap Away +2.00")/SUMIFS(Selections!$T$6:$T$86,Selections!$E$6:$E$86,"Asian Handicap Away +2.00"))</f>
        <v>0.8352097137017651</v>
      </c>
      <c r="N20" s="20">
        <f>IF(SUMIFS(Selections!$T$6:$T$86,Selections!$E$6:$E$86,"Asian Handicap Away +2.00")=0,"n.a.",(SUMIFS(Selections!$L$6:$L$86,Selections!$E$6:$E$86,"Asian Handicap Away +2.00",Selections!$T$6:$T$86,1))/SUMIFS(Selections!$T$6:$T$86,Selections!$E$6:$E$86,"Asian Handicap Away +2.00"))</f>
        <v>1.0</v>
      </c>
      <c r="O20" s="20">
        <f>IF(SUMIFS(Selections!$T$6:$T$86,Selections!$E$6:$E$86,"Asian Handicap Away +2.00")=0,"n.a.",(SUMIFS(Selections!$S$6:$S$86,Selections!$E$6:$E$86,"Asian Handicap Away +2.00")-(SUMIFS(Selections!$L$6:$L$86,Selections!$E$6:$E$86,"Asian Handicap Away +2.00",Selections!$T$6:$T$86,1)))/SUMIFS(Selections!$T$6:$T$86,Selections!$E$6:$E$86,"Asian Handicap Away +2.00"))</f>
        <v>-0.1647902862982349</v>
      </c>
      <c r="P20" s="19">
        <f>SUMIFS(Selections!$T$6:$T$86,Selections!$E$6:$E$86,"Asian Handicap Away +2.00")</f>
        <v>4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8"/>
    </row>
    <row r="21" ht="36" customHeight="1">
      <c r="A21" s="18" t="inlineStr">
        <is>
          <t>Market</t>
        </is>
      </c>
      <c r="B21" s="18" t="inlineStr">
        <is>
          <t>Asian Handicap Away +2.25</t>
        </is>
      </c>
      <c r="C21" s="19">
        <f>COUNTIFS(Selections!$E$6:$E$86,"Asian Handicap Away +2.25")</f>
        <v>1</v>
      </c>
      <c r="D21" s="19">
        <f>((COUNTIFS(Selections!$E$6:$E$86,"Asian Handicap Away +2.25",Selections!$K$6:$K$86,"WON")+COUNTIFS(Selections!$E$6:$E$86,"Asian Handicap Away +2.25",Selections!$K$6:$K$86,"HALF_WON"))+(COUNTIFS(Selections!$E$6:$E$86,"Asian Handicap Away +2.25",Selections!$K$6:$K$86,"LOST")+COUNTIFS(Selections!$E$6:$E$86,"Asian Handicap Away +2.25",Selections!$K$6:$K$86,"HALF_LOST"))+COUNTIFS(Selections!$E$6:$E$86,"Asian Handicap Away +2.25",Selections!$K$6:$K$86,"REFUNDED"))</f>
        <v>0</v>
      </c>
      <c r="E21" s="19">
        <f>(COUNTIFS(Selections!$E$6:$E$86,"Asian Handicap Away +2.25",Selections!$K$6:$K$86,"WON")+COUNTIFS(Selections!$E$6:$E$86,"Asian Handicap Away +2.25",Selections!$K$6:$K$86,"HALF_WON"))</f>
        <v>0</v>
      </c>
      <c r="F21" s="19">
        <f>(COUNTIFS(Selections!$E$6:$E$86,"Asian Handicap Away +2.25",Selections!$K$6:$K$86,"LOST")+COUNTIFS(Selections!$E$6:$E$86,"Asian Handicap Away +2.25",Selections!$K$6:$K$86,"HALF_LOST"))</f>
        <v>0</v>
      </c>
      <c r="G21" s="19">
        <f>COUNTIFS(Selections!$E$6:$E$86,"Asian Handicap Away +2.25")-((COUNTIFS(Selections!$E$6:$E$86,"Asian Handicap Away +2.25",Selections!$K$6:$K$86,"WON")+COUNTIFS(Selections!$E$6:$E$86,"Asian Handicap Away +2.25",Selections!$K$6:$K$86,"HALF_WON"))+(COUNTIFS(Selections!$E$6:$E$86,"Asian Handicap Away +2.25",Selections!$K$6:$K$86,"LOST")+COUNTIFS(Selections!$E$6:$E$86,"Asian Handicap Away +2.25",Selections!$K$6:$K$86,"HALF_LOST"))+COUNTIFS(Selections!$E$6:$E$86,"Asian Handicap Away +2.25",Selections!$K$6:$K$86,"REFUNDED"))</f>
        <v>1</v>
      </c>
      <c r="H21" s="20" t="str">
        <f>IF(((COUNTIFS(Selections!$E$6:$E$86,"Asian Handicap Away +2.25",Selections!$K$6:$K$86,"WON")+COUNTIFS(Selections!$E$6:$E$86,"Asian Handicap Away +2.25",Selections!$K$6:$K$86,"HALF_WON"))+(COUNTIFS(Selections!$E$6:$E$86,"Asian Handicap Away +2.25",Selections!$K$6:$K$86,"LOST")+COUNTIFS(Selections!$E$6:$E$86,"Asian Handicap Away +2.25",Selections!$K$6:$K$86,"HALF_LOST"))+COUNTIFS(Selections!$E$6:$E$86,"Asian Handicap Away +2.25",Selections!$K$6:$K$86,"REFUNDED"))=0,"n.a.",(COUNTIFS(Selections!$E$6:$E$86,"Asian Handicap Away +2.25",Selections!$K$6:$K$86,"WON")+COUNTIFS(Selections!$E$6:$E$86,"Asian Handicap Away +2.25",Selections!$K$6:$K$86,"HALF_WON"))/((COUNTIFS(Selections!$E$6:$E$86,"Asian Handicap Away +2.25",Selections!$K$6:$K$86,"WON")+COUNTIFS(Selections!$E$6:$E$86,"Asian Handicap Away +2.25",Selections!$K$6:$K$86,"HALF_WON"))+(COUNTIFS(Selections!$E$6:$E$86,"Asian Handicap Away +2.25",Selections!$K$6:$K$86,"LOST")+COUNTIFS(Selections!$E$6:$E$86,"Asian Handicap Away +2.25",Selections!$K$6:$K$86,"HALF_LOST"))+COUNTIFS(Selections!$E$6:$E$86,"Asian Handicap Away +2.25",Selections!$K$6:$K$86,"REFUNDED")))</f>
        <v>n.a.</v>
      </c>
      <c r="I21" s="22">
        <f>SUMIFS(Selections!$M$6:$M$86,Selections!$E$6:$E$86,"Asian Handicap Away +2.25")</f>
        <v>0</v>
      </c>
      <c r="J21" s="22">
        <f>SUMIFS(Selections!$N$6:$N$86,Selections!$E$6:$E$86,"Asian Handicap Away +2.25")</f>
        <v>0</v>
      </c>
      <c r="K21" s="20" t="str">
        <f>IF(SUMIFS(Selections!$M$6:$M$86,Selections!$E$6:$E$86,"Asian Handicap Away +2.25")=0,"n.a.",SUMIFS(Selections!$N$6:$N$86,Selections!$E$6:$E$86,"Asian Handicap Away +2.25")/SUMIFS(Selections!$M$6:$M$86,Selections!$E$6:$E$86,"Asian Handicap Away +2.25"))</f>
        <v>n.a.</v>
      </c>
      <c r="L21" s="21" t="str">
        <f>IF(SUMIFS(Selections!$T$6:$T$86,Selections!$E$6:$E$86,"Asian Handicap Away +2.25")=0,"n.a.",SUMIFS(Selections!$O$6:$O$86,Selections!$E$6:$E$86,"Asian Handicap Away +2.25")/SUMIFS(Selections!$T$6:$T$86,Selections!$E$6:$E$86,"Asian Handicap Away +2.25"))</f>
        <v>n.a.</v>
      </c>
      <c r="M21" s="20" t="str">
        <f>IF(SUMIFS(Selections!$T$6:$T$86,Selections!$E$6:$E$86,"Asian Handicap Away +2.25")=0,"n.a.",SUMIFS(Selections!$S$6:$S$86,Selections!$E$6:$E$86,"Asian Handicap Away +2.25")/SUMIFS(Selections!$T$6:$T$86,Selections!$E$6:$E$86,"Asian Handicap Away +2.25"))</f>
        <v>n.a.</v>
      </c>
      <c r="N21" s="20" t="str">
        <f>IF(SUMIFS(Selections!$T$6:$T$86,Selections!$E$6:$E$86,"Asian Handicap Away +2.25")=0,"n.a.",(SUMIFS(Selections!$L$6:$L$86,Selections!$E$6:$E$86,"Asian Handicap Away +2.25",Selections!$T$6:$T$86,1))/SUMIFS(Selections!$T$6:$T$86,Selections!$E$6:$E$86,"Asian Handicap Away +2.25"))</f>
        <v>n.a.</v>
      </c>
      <c r="O21" s="20" t="str">
        <f>IF(SUMIFS(Selections!$T$6:$T$86,Selections!$E$6:$E$86,"Asian Handicap Away +2.25")=0,"n.a.",(SUMIFS(Selections!$S$6:$S$86,Selections!$E$6:$E$86,"Asian Handicap Away +2.25")-(SUMIFS(Selections!$L$6:$L$86,Selections!$E$6:$E$86,"Asian Handicap Away +2.25",Selections!$T$6:$T$86,1)))/SUMIFS(Selections!$T$6:$T$86,Selections!$E$6:$E$86,"Asian Handicap Away +2.25"))</f>
        <v>n.a.</v>
      </c>
      <c r="P21" s="19">
        <f>SUMIFS(Selections!$T$6:$T$86,Selections!$E$6:$E$86,"Asian Handicap Away +2.25")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+1.00</t>
        </is>
      </c>
      <c r="C22" s="19">
        <f>COUNTIFS(Selections!$E$6:$E$86,"Asian Handicap Home +1.00")</f>
        <v>3</v>
      </c>
      <c r="D22" s="19">
        <f>((COUNTIFS(Selections!$E$6:$E$86,"Asian Handicap Home +1.00",Selections!$K$6:$K$86,"WON")+COUNTIFS(Selections!$E$6:$E$86,"Asian Handicap Home +1.00",Selections!$K$6:$K$86,"HALF_WON"))+(COUNTIFS(Selections!$E$6:$E$86,"Asian Handicap Home +1.00",Selections!$K$6:$K$86,"LOST")+COUNTIFS(Selections!$E$6:$E$86,"Asian Handicap Home +1.00",Selections!$K$6:$K$86,"HALF_LOST"))+COUNTIFS(Selections!$E$6:$E$86,"Asian Handicap Home +1.00",Selections!$K$6:$K$86,"REFUNDED"))</f>
        <v>0</v>
      </c>
      <c r="E22" s="19">
        <f>(COUNTIFS(Selections!$E$6:$E$86,"Asian Handicap Home +1.00",Selections!$K$6:$K$86,"WON")+COUNTIFS(Selections!$E$6:$E$86,"Asian Handicap Home +1.00",Selections!$K$6:$K$86,"HALF_WON"))</f>
        <v>0</v>
      </c>
      <c r="F22" s="19">
        <f>(COUNTIFS(Selections!$E$6:$E$86,"Asian Handicap Home +1.00",Selections!$K$6:$K$86,"LOST")+COUNTIFS(Selections!$E$6:$E$86,"Asian Handicap Home +1.00",Selections!$K$6:$K$86,"HALF_LOST"))</f>
        <v>0</v>
      </c>
      <c r="G22" s="19">
        <f>COUNTIFS(Selections!$E$6:$E$86,"Asian Handicap Home +1.00")-((COUNTIFS(Selections!$E$6:$E$86,"Asian Handicap Home +1.00",Selections!$K$6:$K$86,"WON")+COUNTIFS(Selections!$E$6:$E$86,"Asian Handicap Home +1.00",Selections!$K$6:$K$86,"HALF_WON"))+(COUNTIFS(Selections!$E$6:$E$86,"Asian Handicap Home +1.00",Selections!$K$6:$K$86,"LOST")+COUNTIFS(Selections!$E$6:$E$86,"Asian Handicap Home +1.00",Selections!$K$6:$K$86,"HALF_LOST"))+COUNTIFS(Selections!$E$6:$E$86,"Asian Handicap Home +1.00",Selections!$K$6:$K$86,"REFUNDED"))</f>
        <v>3</v>
      </c>
      <c r="H22" s="20" t="str">
        <f>IF(((COUNTIFS(Selections!$E$6:$E$86,"Asian Handicap Home +1.00",Selections!$K$6:$K$86,"WON")+COUNTIFS(Selections!$E$6:$E$86,"Asian Handicap Home +1.00",Selections!$K$6:$K$86,"HALF_WON"))+(COUNTIFS(Selections!$E$6:$E$86,"Asian Handicap Home +1.00",Selections!$K$6:$K$86,"LOST")+COUNTIFS(Selections!$E$6:$E$86,"Asian Handicap Home +1.00",Selections!$K$6:$K$86,"HALF_LOST"))+COUNTIFS(Selections!$E$6:$E$86,"Asian Handicap Home +1.00",Selections!$K$6:$K$86,"REFUNDED"))=0,"n.a.",(COUNTIFS(Selections!$E$6:$E$86,"Asian Handicap Home +1.00",Selections!$K$6:$K$86,"WON")+COUNTIFS(Selections!$E$6:$E$86,"Asian Handicap Home +1.00",Selections!$K$6:$K$86,"HALF_WON"))/((COUNTIFS(Selections!$E$6:$E$86,"Asian Handicap Home +1.00",Selections!$K$6:$K$86,"WON")+COUNTIFS(Selections!$E$6:$E$86,"Asian Handicap Home +1.00",Selections!$K$6:$K$86,"HALF_WON"))+(COUNTIFS(Selections!$E$6:$E$86,"Asian Handicap Home +1.00",Selections!$K$6:$K$86,"LOST")+COUNTIFS(Selections!$E$6:$E$86,"Asian Handicap Home +1.00",Selections!$K$6:$K$86,"HALF_LOST"))+COUNTIFS(Selections!$E$6:$E$86,"Asian Handicap Home +1.00",Selections!$K$6:$K$86,"REFUNDED")))</f>
        <v>n.a.</v>
      </c>
      <c r="I22" s="22">
        <f>SUMIFS(Selections!$M$6:$M$86,Selections!$E$6:$E$86,"Asian Handicap Home +1.00")</f>
        <v>0</v>
      </c>
      <c r="J22" s="22">
        <f>SUMIFS(Selections!$N$6:$N$86,Selections!$E$6:$E$86,"Asian Handicap Home +1.00")</f>
        <v>0</v>
      </c>
      <c r="K22" s="20" t="str">
        <f>IF(SUMIFS(Selections!$M$6:$M$86,Selections!$E$6:$E$86,"Asian Handicap Home +1.00")=0,"n.a.",SUMIFS(Selections!$N$6:$N$86,Selections!$E$6:$E$86,"Asian Handicap Home +1.00")/SUMIFS(Selections!$M$6:$M$86,Selections!$E$6:$E$86,"Asian Handicap Home +1.00"))</f>
        <v>n.a.</v>
      </c>
      <c r="L22" s="21" t="str">
        <f>IF(SUMIFS(Selections!$T$6:$T$86,Selections!$E$6:$E$86,"Asian Handicap Home +1.00")=0,"n.a.",SUMIFS(Selections!$O$6:$O$86,Selections!$E$6:$E$86,"Asian Handicap Home +1.00")/SUMIFS(Selections!$T$6:$T$86,Selections!$E$6:$E$86,"Asian Handicap Home +1.00"))</f>
        <v>n.a.</v>
      </c>
      <c r="M22" s="20" t="str">
        <f>IF(SUMIFS(Selections!$T$6:$T$86,Selections!$E$6:$E$86,"Asian Handicap Home +1.00")=0,"n.a.",SUMIFS(Selections!$S$6:$S$86,Selections!$E$6:$E$86,"Asian Handicap Home +1.00")/SUMIFS(Selections!$T$6:$T$86,Selections!$E$6:$E$86,"Asian Handicap Home +1.00"))</f>
        <v>n.a.</v>
      </c>
      <c r="N22" s="20" t="str">
        <f>IF(SUMIFS(Selections!$T$6:$T$86,Selections!$E$6:$E$86,"Asian Handicap Home +1.00")=0,"n.a.",(SUMIFS(Selections!$L$6:$L$86,Selections!$E$6:$E$86,"Asian Handicap Home +1.00",Selections!$T$6:$T$86,1))/SUMIFS(Selections!$T$6:$T$86,Selections!$E$6:$E$86,"Asian Handicap Home +1.00"))</f>
        <v>n.a.</v>
      </c>
      <c r="O22" s="20" t="str">
        <f>IF(SUMIFS(Selections!$T$6:$T$86,Selections!$E$6:$E$86,"Asian Handicap Home +1.00")=0,"n.a.",(SUMIFS(Selections!$S$6:$S$86,Selections!$E$6:$E$86,"Asian Handicap Home +1.00")-(SUMIFS(Selections!$L$6:$L$86,Selections!$E$6:$E$86,"Asian Handicap Home +1.00",Selections!$T$6:$T$86,1)))/SUMIFS(Selections!$T$6:$T$86,Selections!$E$6:$E$86,"Asian Handicap Home +1.00"))</f>
        <v>n.a.</v>
      </c>
      <c r="P22" s="19">
        <f>SUMIFS(Selections!$T$6:$T$86,Selections!$E$6:$E$86,"Asian Handicap Home +1.00")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+1.25</t>
        </is>
      </c>
      <c r="C23" s="19">
        <f>COUNTIFS(Selections!$E$6:$E$86,"Asian Handicap Home +1.25")</f>
        <v>1</v>
      </c>
      <c r="D23" s="19">
        <f>((COUNTIFS(Selections!$E$6:$E$86,"Asian Handicap Home +1.25",Selections!$K$6:$K$86,"WON")+COUNTIFS(Selections!$E$6:$E$86,"Asian Handicap Home +1.25",Selections!$K$6:$K$86,"HALF_WON"))+(COUNTIFS(Selections!$E$6:$E$86,"Asian Handicap Home +1.25",Selections!$K$6:$K$86,"LOST")+COUNTIFS(Selections!$E$6:$E$86,"Asian Handicap Home +1.25",Selections!$K$6:$K$86,"HALF_LOST"))+COUNTIFS(Selections!$E$6:$E$86,"Asian Handicap Home +1.25",Selections!$K$6:$K$86,"REFUNDED"))</f>
        <v>1</v>
      </c>
      <c r="E23" s="19">
        <f>(COUNTIFS(Selections!$E$6:$E$86,"Asian Handicap Home +1.25",Selections!$K$6:$K$86,"WON")+COUNTIFS(Selections!$E$6:$E$86,"Asian Handicap Home +1.25",Selections!$K$6:$K$86,"HALF_WON"))</f>
        <v>1</v>
      </c>
      <c r="F23" s="19">
        <f>(COUNTIFS(Selections!$E$6:$E$86,"Asian Handicap Home +1.25",Selections!$K$6:$K$86,"LOST")+COUNTIFS(Selections!$E$6:$E$86,"Asian Handicap Home +1.25",Selections!$K$6:$K$86,"HALF_LOST"))</f>
        <v>0</v>
      </c>
      <c r="G23" s="19">
        <f>COUNTIFS(Selections!$E$6:$E$86,"Asian Handicap Home +1.25")-((COUNTIFS(Selections!$E$6:$E$86,"Asian Handicap Home +1.25",Selections!$K$6:$K$86,"WON")+COUNTIFS(Selections!$E$6:$E$86,"Asian Handicap Home +1.25",Selections!$K$6:$K$86,"HALF_WON"))+(COUNTIFS(Selections!$E$6:$E$86,"Asian Handicap Home +1.25",Selections!$K$6:$K$86,"LOST")+COUNTIFS(Selections!$E$6:$E$86,"Asian Handicap Home +1.25",Selections!$K$6:$K$86,"HALF_LOST"))+COUNTIFS(Selections!$E$6:$E$86,"Asian Handicap Home +1.25",Selections!$K$6:$K$86,"REFUNDED"))</f>
        <v>0</v>
      </c>
      <c r="H23" s="20">
        <f>IF(((COUNTIFS(Selections!$E$6:$E$86,"Asian Handicap Home +1.25",Selections!$K$6:$K$86,"WON")+COUNTIFS(Selections!$E$6:$E$86,"Asian Handicap Home +1.25",Selections!$K$6:$K$86,"HALF_WON"))+(COUNTIFS(Selections!$E$6:$E$86,"Asian Handicap Home +1.25",Selections!$K$6:$K$86,"LOST")+COUNTIFS(Selections!$E$6:$E$86,"Asian Handicap Home +1.25",Selections!$K$6:$K$86,"HALF_LOST"))+COUNTIFS(Selections!$E$6:$E$86,"Asian Handicap Home +1.25",Selections!$K$6:$K$86,"REFUNDED"))=0,"n.a.",(COUNTIFS(Selections!$E$6:$E$86,"Asian Handicap Home +1.25",Selections!$K$6:$K$86,"WON")+COUNTIFS(Selections!$E$6:$E$86,"Asian Handicap Home +1.25",Selections!$K$6:$K$86,"HALF_WON"))/((COUNTIFS(Selections!$E$6:$E$86,"Asian Handicap Home +1.25",Selections!$K$6:$K$86,"WON")+COUNTIFS(Selections!$E$6:$E$86,"Asian Handicap Home +1.25",Selections!$K$6:$K$86,"HALF_WON"))+(COUNTIFS(Selections!$E$6:$E$86,"Asian Handicap Home +1.25",Selections!$K$6:$K$86,"LOST")+COUNTIFS(Selections!$E$6:$E$86,"Asian Handicap Home +1.25",Selections!$K$6:$K$86,"HALF_LOST"))+COUNTIFS(Selections!$E$6:$E$86,"Asian Handicap Home +1.25",Selections!$K$6:$K$86,"REFUNDED")))</f>
        <v>1.0</v>
      </c>
      <c r="I23" s="22">
        <f>SUMIFS(Selections!$M$6:$M$86,Selections!$E$6:$E$86,"Asian Handicap Home +1.25")</f>
        <v>1</v>
      </c>
      <c r="J23" s="22">
        <f>SUMIFS(Selections!$N$6:$N$86,Selections!$E$6:$E$86,"Asian Handicap Home +1.25")</f>
        <v>0.6</v>
      </c>
      <c r="K23" s="20">
        <f>IF(SUMIFS(Selections!$M$6:$M$86,Selections!$E$6:$E$86,"Asian Handicap Home +1.25")=0,"n.a.",SUMIFS(Selections!$N$6:$N$86,Selections!$E$6:$E$86,"Asian Handicap Home +1.25")/SUMIFS(Selections!$M$6:$M$86,Selections!$E$6:$E$86,"Asian Handicap Home +1.25"))</f>
        <v>0.6</v>
      </c>
      <c r="L23" s="21">
        <f>IF(SUMIFS(Selections!$T$6:$T$86,Selections!$E$6:$E$86,"Asian Handicap Home +1.25")=0,"n.a.",SUMIFS(Selections!$O$6:$O$86,Selections!$E$6:$E$86,"Asian Handicap Home +1.25")/SUMIFS(Selections!$T$6:$T$86,Selections!$E$6:$E$86,"Asian Handicap Home +1.25"))</f>
        <v>0.040902088882518665</v>
      </c>
      <c r="M23" s="20">
        <f>IF(SUMIFS(Selections!$T$6:$T$86,Selections!$E$6:$E$86,"Asian Handicap Home +1.25")=0,"n.a.",SUMIFS(Selections!$S$6:$S$86,Selections!$E$6:$E$86,"Asian Handicap Home +1.25")/SUMIFS(Selections!$T$6:$T$86,Selections!$E$6:$E$86,"Asian Handicap Home +1.25"))</f>
        <v>0.7977573514747232</v>
      </c>
      <c r="N23" s="20">
        <f>IF(SUMIFS(Selections!$T$6:$T$86,Selections!$E$6:$E$86,"Asian Handicap Home +1.25")=0,"n.a.",(SUMIFS(Selections!$L$6:$L$86,Selections!$E$6:$E$86,"Asian Handicap Home +1.25",Selections!$T$6:$T$86,1))/SUMIFS(Selections!$T$6:$T$86,Selections!$E$6:$E$86,"Asian Handicap Home +1.25"))</f>
        <v>1.0</v>
      </c>
      <c r="O23" s="20">
        <f>IF(SUMIFS(Selections!$T$6:$T$86,Selections!$E$6:$E$86,"Asian Handicap Home +1.25")=0,"n.a.",(SUMIFS(Selections!$S$6:$S$86,Selections!$E$6:$E$86,"Asian Handicap Home +1.25")-(SUMIFS(Selections!$L$6:$L$86,Selections!$E$6:$E$86,"Asian Handicap Home +1.25",Selections!$T$6:$T$86,1)))/SUMIFS(Selections!$T$6:$T$86,Selections!$E$6:$E$86,"Asian Handicap Home +1.25"))</f>
        <v>-0.20224264852527685</v>
      </c>
      <c r="P23" s="19">
        <f>SUMIFS(Selections!$T$6:$T$86,Selections!$E$6:$E$86,"Asian Handicap Home +1.25")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Asian Handicap Home +2.00</t>
        </is>
      </c>
      <c r="C24" s="19">
        <f>COUNTIFS(Selections!$E$6:$E$86,"Asian Handicap Home +2.00")</f>
        <v>4</v>
      </c>
      <c r="D24" s="19">
        <f>((COUNTIFS(Selections!$E$6:$E$86,"Asian Handicap Home +2.00",Selections!$K$6:$K$86,"WON")+COUNTIFS(Selections!$E$6:$E$86,"Asian Handicap Home +2.00",Selections!$K$6:$K$86,"HALF_WON"))+(COUNTIFS(Selections!$E$6:$E$86,"Asian Handicap Home +2.00",Selections!$K$6:$K$86,"LOST")+COUNTIFS(Selections!$E$6:$E$86,"Asian Handicap Home +2.00",Selections!$K$6:$K$86,"HALF_LOST"))+COUNTIFS(Selections!$E$6:$E$86,"Asian Handicap Home +2.00",Selections!$K$6:$K$86,"REFUNDED"))</f>
        <v>1</v>
      </c>
      <c r="E24" s="19">
        <f>(COUNTIFS(Selections!$E$6:$E$86,"Asian Handicap Home +2.00",Selections!$K$6:$K$86,"WON")+COUNTIFS(Selections!$E$6:$E$86,"Asian Handicap Home +2.00",Selections!$K$6:$K$86,"HALF_WON"))</f>
        <v>1</v>
      </c>
      <c r="F24" s="19">
        <f>(COUNTIFS(Selections!$E$6:$E$86,"Asian Handicap Home +2.00",Selections!$K$6:$K$86,"LOST")+COUNTIFS(Selections!$E$6:$E$86,"Asian Handicap Home +2.00",Selections!$K$6:$K$86,"HALF_LOST"))</f>
        <v>0</v>
      </c>
      <c r="G24" s="19">
        <f>COUNTIFS(Selections!$E$6:$E$86,"Asian Handicap Home +2.00")-((COUNTIFS(Selections!$E$6:$E$86,"Asian Handicap Home +2.00",Selections!$K$6:$K$86,"WON")+COUNTIFS(Selections!$E$6:$E$86,"Asian Handicap Home +2.00",Selections!$K$6:$K$86,"HALF_WON"))+(COUNTIFS(Selections!$E$6:$E$86,"Asian Handicap Home +2.00",Selections!$K$6:$K$86,"LOST")+COUNTIFS(Selections!$E$6:$E$86,"Asian Handicap Home +2.00",Selections!$K$6:$K$86,"HALF_LOST"))+COUNTIFS(Selections!$E$6:$E$86,"Asian Handicap Home +2.00",Selections!$K$6:$K$86,"REFUNDED"))</f>
        <v>3</v>
      </c>
      <c r="H24" s="20">
        <f>IF(((COUNTIFS(Selections!$E$6:$E$86,"Asian Handicap Home +2.00",Selections!$K$6:$K$86,"WON")+COUNTIFS(Selections!$E$6:$E$86,"Asian Handicap Home +2.00",Selections!$K$6:$K$86,"HALF_WON"))+(COUNTIFS(Selections!$E$6:$E$86,"Asian Handicap Home +2.00",Selections!$K$6:$K$86,"LOST")+COUNTIFS(Selections!$E$6:$E$86,"Asian Handicap Home +2.00",Selections!$K$6:$K$86,"HALF_LOST"))+COUNTIFS(Selections!$E$6:$E$86,"Asian Handicap Home +2.00",Selections!$K$6:$K$86,"REFUNDED"))=0,"n.a.",(COUNTIFS(Selections!$E$6:$E$86,"Asian Handicap Home +2.00",Selections!$K$6:$K$86,"WON")+COUNTIFS(Selections!$E$6:$E$86,"Asian Handicap Home +2.00",Selections!$K$6:$K$86,"HALF_WON"))/((COUNTIFS(Selections!$E$6:$E$86,"Asian Handicap Home +2.00",Selections!$K$6:$K$86,"WON")+COUNTIFS(Selections!$E$6:$E$86,"Asian Handicap Home +2.00",Selections!$K$6:$K$86,"HALF_WON"))+(COUNTIFS(Selections!$E$6:$E$86,"Asian Handicap Home +2.00",Selections!$K$6:$K$86,"LOST")+COUNTIFS(Selections!$E$6:$E$86,"Asian Handicap Home +2.00",Selections!$K$6:$K$86,"HALF_LOST"))+COUNTIFS(Selections!$E$6:$E$86,"Asian Handicap Home +2.00",Selections!$K$6:$K$86,"REFUNDED")))</f>
        <v>1.0</v>
      </c>
      <c r="I24" s="22">
        <f>SUMIFS(Selections!$M$6:$M$86,Selections!$E$6:$E$86,"Asian Handicap Home +2.00")</f>
        <v>1</v>
      </c>
      <c r="J24" s="22">
        <f>SUMIFS(Selections!$N$6:$N$86,Selections!$E$6:$E$86,"Asian Handicap Home +2.00")</f>
        <v>0.26</v>
      </c>
      <c r="K24" s="20">
        <f>IF(SUMIFS(Selections!$M$6:$M$86,Selections!$E$6:$E$86,"Asian Handicap Home +2.00")=0,"n.a.",SUMIFS(Selections!$N$6:$N$86,Selections!$E$6:$E$86,"Asian Handicap Home +2.00")/SUMIFS(Selections!$M$6:$M$86,Selections!$E$6:$E$86,"Asian Handicap Home +2.00"))</f>
        <v>0.26</v>
      </c>
      <c r="L24" s="21">
        <f>IF(SUMIFS(Selections!$T$6:$T$86,Selections!$E$6:$E$86,"Asian Handicap Home +2.00")=0,"n.a.",SUMIFS(Selections!$O$6:$O$86,Selections!$E$6:$E$86,"Asian Handicap Home +2.00")/SUMIFS(Selections!$T$6:$T$86,Selections!$E$6:$E$86,"Asian Handicap Home +2.00"))</f>
        <v>0.022096178165030404</v>
      </c>
      <c r="M24" s="20">
        <f>IF(SUMIFS(Selections!$T$6:$T$86,Selections!$E$6:$E$86,"Asian Handicap Home +2.00")=0,"n.a.",SUMIFS(Selections!$S$6:$S$86,Selections!$E$6:$E$86,"Asian Handicap Home +2.00")/SUMIFS(Selections!$T$6:$T$86,Selections!$E$6:$E$86,"Asian Handicap Home +2.00"))</f>
        <v>0.851352167304631</v>
      </c>
      <c r="N24" s="20">
        <f>IF(SUMIFS(Selections!$T$6:$T$86,Selections!$E$6:$E$86,"Asian Handicap Home +2.00")=0,"n.a.",(SUMIFS(Selections!$L$6:$L$86,Selections!$E$6:$E$86,"Asian Handicap Home +2.00",Selections!$T$6:$T$86,1))/SUMIFS(Selections!$T$6:$T$86,Selections!$E$6:$E$86,"Asian Handicap Home +2.00"))</f>
        <v>1.0</v>
      </c>
      <c r="O24" s="20">
        <f>IF(SUMIFS(Selections!$T$6:$T$86,Selections!$E$6:$E$86,"Asian Handicap Home +2.00")=0,"n.a.",(SUMIFS(Selections!$S$6:$S$86,Selections!$E$6:$E$86,"Asian Handicap Home +2.00")-(SUMIFS(Selections!$L$6:$L$86,Selections!$E$6:$E$86,"Asian Handicap Home +2.00",Selections!$T$6:$T$86,1)))/SUMIFS(Selections!$T$6:$T$86,Selections!$E$6:$E$86,"Asian Handicap Home +2.00"))</f>
        <v>-0.14864783269536896</v>
      </c>
      <c r="P24" s="19">
        <f>SUMIFS(Selections!$T$6:$T$86,Selections!$E$6:$E$86,"Asian Handicap Home +2.00")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Asian Handicap Home +2.25</t>
        </is>
      </c>
      <c r="C25" s="19">
        <f>COUNTIFS(Selections!$E$6:$E$86,"Asian Handicap Home +2.25")</f>
        <v>1</v>
      </c>
      <c r="D25" s="19">
        <f>((COUNTIFS(Selections!$E$6:$E$86,"Asian Handicap Home +2.25",Selections!$K$6:$K$86,"WON")+COUNTIFS(Selections!$E$6:$E$86,"Asian Handicap Home +2.25",Selections!$K$6:$K$86,"HALF_WON"))+(COUNTIFS(Selections!$E$6:$E$86,"Asian Handicap Home +2.25",Selections!$K$6:$K$86,"LOST")+COUNTIFS(Selections!$E$6:$E$86,"Asian Handicap Home +2.25",Selections!$K$6:$K$86,"HALF_LOST"))+COUNTIFS(Selections!$E$6:$E$86,"Asian Handicap Home +2.25",Selections!$K$6:$K$86,"REFUNDED"))</f>
        <v>1</v>
      </c>
      <c r="E25" s="19">
        <f>(COUNTIFS(Selections!$E$6:$E$86,"Asian Handicap Home +2.25",Selections!$K$6:$K$86,"WON")+COUNTIFS(Selections!$E$6:$E$86,"Asian Handicap Home +2.25",Selections!$K$6:$K$86,"HALF_WON"))</f>
        <v>1</v>
      </c>
      <c r="F25" s="19">
        <f>(COUNTIFS(Selections!$E$6:$E$86,"Asian Handicap Home +2.25",Selections!$K$6:$K$86,"LOST")+COUNTIFS(Selections!$E$6:$E$86,"Asian Handicap Home +2.25",Selections!$K$6:$K$86,"HALF_LOST"))</f>
        <v>0</v>
      </c>
      <c r="G25" s="19">
        <f>COUNTIFS(Selections!$E$6:$E$86,"Asian Handicap Home +2.25")-((COUNTIFS(Selections!$E$6:$E$86,"Asian Handicap Home +2.25",Selections!$K$6:$K$86,"WON")+COUNTIFS(Selections!$E$6:$E$86,"Asian Handicap Home +2.25",Selections!$K$6:$K$86,"HALF_WON"))+(COUNTIFS(Selections!$E$6:$E$86,"Asian Handicap Home +2.25",Selections!$K$6:$K$86,"LOST")+COUNTIFS(Selections!$E$6:$E$86,"Asian Handicap Home +2.25",Selections!$K$6:$K$86,"HALF_LOST"))+COUNTIFS(Selections!$E$6:$E$86,"Asian Handicap Home +2.25",Selections!$K$6:$K$86,"REFUNDED"))</f>
        <v>0</v>
      </c>
      <c r="H25" s="20">
        <f>IF(((COUNTIFS(Selections!$E$6:$E$86,"Asian Handicap Home +2.25",Selections!$K$6:$K$86,"WON")+COUNTIFS(Selections!$E$6:$E$86,"Asian Handicap Home +2.25",Selections!$K$6:$K$86,"HALF_WON"))+(COUNTIFS(Selections!$E$6:$E$86,"Asian Handicap Home +2.25",Selections!$K$6:$K$86,"LOST")+COUNTIFS(Selections!$E$6:$E$86,"Asian Handicap Home +2.25",Selections!$K$6:$K$86,"HALF_LOST"))+COUNTIFS(Selections!$E$6:$E$86,"Asian Handicap Home +2.25",Selections!$K$6:$K$86,"REFUNDED"))=0,"n.a.",(COUNTIFS(Selections!$E$6:$E$86,"Asian Handicap Home +2.25",Selections!$K$6:$K$86,"WON")+COUNTIFS(Selections!$E$6:$E$86,"Asian Handicap Home +2.25",Selections!$K$6:$K$86,"HALF_WON"))/((COUNTIFS(Selections!$E$6:$E$86,"Asian Handicap Home +2.25",Selections!$K$6:$K$86,"WON")+COUNTIFS(Selections!$E$6:$E$86,"Asian Handicap Home +2.25",Selections!$K$6:$K$86,"HALF_WON"))+(COUNTIFS(Selections!$E$6:$E$86,"Asian Handicap Home +2.25",Selections!$K$6:$K$86,"LOST")+COUNTIFS(Selections!$E$6:$E$86,"Asian Handicap Home +2.25",Selections!$K$6:$K$86,"HALF_LOST"))+COUNTIFS(Selections!$E$6:$E$86,"Asian Handicap Home +2.25",Selections!$K$6:$K$86,"REFUNDED")))</f>
        <v>1.0</v>
      </c>
      <c r="I25" s="22">
        <f>SUMIFS(Selections!$M$6:$M$86,Selections!$E$6:$E$86,"Asian Handicap Home +2.25")</f>
        <v>1</v>
      </c>
      <c r="J25" s="22">
        <f>SUMIFS(Selections!$N$6:$N$86,Selections!$E$6:$E$86,"Asian Handicap Home +2.25")</f>
        <v>0.35</v>
      </c>
      <c r="K25" s="20">
        <f>IF(SUMIFS(Selections!$M$6:$M$86,Selections!$E$6:$E$86,"Asian Handicap Home +2.25")=0,"n.a.",SUMIFS(Selections!$N$6:$N$86,Selections!$E$6:$E$86,"Asian Handicap Home +2.25")/SUMIFS(Selections!$M$6:$M$86,Selections!$E$6:$E$86,"Asian Handicap Home +2.25"))</f>
        <v>0.35</v>
      </c>
      <c r="L25" s="21">
        <f>IF(SUMIFS(Selections!$T$6:$T$86,Selections!$E$6:$E$86,"Asian Handicap Home +2.25")=0,"n.a.",SUMIFS(Selections!$O$6:$O$86,Selections!$E$6:$E$86,"Asian Handicap Home +2.25")/SUMIFS(Selections!$T$6:$T$86,Selections!$E$6:$E$86,"Asian Handicap Home +2.25"))</f>
        <v>0.03828819671116923</v>
      </c>
      <c r="M25" s="20">
        <f>IF(SUMIFS(Selections!$T$6:$T$86,Selections!$E$6:$E$86,"Asian Handicap Home +2.25")=0,"n.a.",SUMIFS(Selections!$S$6:$S$86,Selections!$E$6:$E$86,"Asian Handicap Home +2.25")/SUMIFS(Selections!$T$6:$T$86,Selections!$E$6:$E$86,"Asian Handicap Home +2.25"))</f>
        <v>0.8043263004101746</v>
      </c>
      <c r="N25" s="20">
        <f>IF(SUMIFS(Selections!$T$6:$T$86,Selections!$E$6:$E$86,"Asian Handicap Home +2.25")=0,"n.a.",(SUMIFS(Selections!$L$6:$L$86,Selections!$E$6:$E$86,"Asian Handicap Home +2.25",Selections!$T$6:$T$86,1))/SUMIFS(Selections!$T$6:$T$86,Selections!$E$6:$E$86,"Asian Handicap Home +2.25"))</f>
        <v>1.0</v>
      </c>
      <c r="O25" s="20">
        <f>IF(SUMIFS(Selections!$T$6:$T$86,Selections!$E$6:$E$86,"Asian Handicap Home +2.25")=0,"n.a.",(SUMIFS(Selections!$S$6:$S$86,Selections!$E$6:$E$86,"Asian Handicap Home +2.25")-(SUMIFS(Selections!$L$6:$L$86,Selections!$E$6:$E$86,"Asian Handicap Home +2.25",Selections!$T$6:$T$86,1)))/SUMIFS(Selections!$T$6:$T$86,Selections!$E$6:$E$86,"Asian Handicap Home +2.25"))</f>
        <v>-0.1956736995898254</v>
      </c>
      <c r="P25" s="19">
        <f>SUMIFS(Selections!$T$6:$T$86,Selections!$E$6:$E$86,"Asian Handicap Home +2.25")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Market</t>
        </is>
      </c>
      <c r="B26" s="18" t="inlineStr">
        <is>
          <t>Away win</t>
        </is>
      </c>
      <c r="C26" s="19">
        <f>COUNTIFS(Selections!$E$6:$E$86,"Away win")</f>
        <v>4</v>
      </c>
      <c r="D26" s="19">
        <f>((COUNTIFS(Selections!$E$6:$E$86,"Away win",Selections!$K$6:$K$86,"WON")+COUNTIFS(Selections!$E$6:$E$86,"Away win",Selections!$K$6:$K$86,"HALF_WON"))+(COUNTIFS(Selections!$E$6:$E$86,"Away win",Selections!$K$6:$K$86,"LOST")+COUNTIFS(Selections!$E$6:$E$86,"Away win",Selections!$K$6:$K$86,"HALF_LOST"))+COUNTIFS(Selections!$E$6:$E$86,"Away win",Selections!$K$6:$K$86,"REFUNDED"))</f>
        <v>4</v>
      </c>
      <c r="E26" s="19">
        <f>(COUNTIFS(Selections!$E$6:$E$86,"Away win",Selections!$K$6:$K$86,"WON")+COUNTIFS(Selections!$E$6:$E$86,"Away win",Selections!$K$6:$K$86,"HALF_WON"))</f>
        <v>2</v>
      </c>
      <c r="F26" s="19">
        <f>(COUNTIFS(Selections!$E$6:$E$86,"Away win",Selections!$K$6:$K$86,"LOST")+COUNTIFS(Selections!$E$6:$E$86,"Away win",Selections!$K$6:$K$86,"HALF_LOST"))</f>
        <v>2</v>
      </c>
      <c r="G26" s="19">
        <f>COUNTIFS(Selections!$E$6:$E$86,"Away win")-((COUNTIFS(Selections!$E$6:$E$86,"Away win",Selections!$K$6:$K$86,"WON")+COUNTIFS(Selections!$E$6:$E$86,"Away win",Selections!$K$6:$K$86,"HALF_WON"))+(COUNTIFS(Selections!$E$6:$E$86,"Away win",Selections!$K$6:$K$86,"LOST")+COUNTIFS(Selections!$E$6:$E$86,"Away win",Selections!$K$6:$K$86,"HALF_LOST"))+COUNTIFS(Selections!$E$6:$E$86,"Away win",Selections!$K$6:$K$86,"REFUNDED"))</f>
        <v>0</v>
      </c>
      <c r="H26" s="20">
        <f>IF(((COUNTIFS(Selections!$E$6:$E$86,"Away win",Selections!$K$6:$K$86,"WON")+COUNTIFS(Selections!$E$6:$E$86,"Away win",Selections!$K$6:$K$86,"HALF_WON"))+(COUNTIFS(Selections!$E$6:$E$86,"Away win",Selections!$K$6:$K$86,"LOST")+COUNTIFS(Selections!$E$6:$E$86,"Away win",Selections!$K$6:$K$86,"HALF_LOST"))+COUNTIFS(Selections!$E$6:$E$86,"Away win",Selections!$K$6:$K$86,"REFUNDED"))=0,"n.a.",(COUNTIFS(Selections!$E$6:$E$86,"Away win",Selections!$K$6:$K$86,"WON")+COUNTIFS(Selections!$E$6:$E$86,"Away win",Selections!$K$6:$K$86,"HALF_WON"))/((COUNTIFS(Selections!$E$6:$E$86,"Away win",Selections!$K$6:$K$86,"WON")+COUNTIFS(Selections!$E$6:$E$86,"Away win",Selections!$K$6:$K$86,"HALF_WON"))+(COUNTIFS(Selections!$E$6:$E$86,"Away win",Selections!$K$6:$K$86,"LOST")+COUNTIFS(Selections!$E$6:$E$86,"Away win",Selections!$K$6:$K$86,"HALF_LOST"))+COUNTIFS(Selections!$E$6:$E$86,"Away win",Selections!$K$6:$K$86,"REFUNDED")))</f>
        <v>0.5</v>
      </c>
      <c r="I26" s="22">
        <f>SUMIFS(Selections!$M$6:$M$86,Selections!$E$6:$E$86,"Away win")</f>
        <v>4</v>
      </c>
      <c r="J26" s="22">
        <f>SUMIFS(Selections!$N$6:$N$86,Selections!$E$6:$E$86,"Away win")</f>
        <v>0.45999999999999996</v>
      </c>
      <c r="K26" s="20">
        <f>IF(SUMIFS(Selections!$M$6:$M$86,Selections!$E$6:$E$86,"Away win")=0,"n.a.",SUMIFS(Selections!$N$6:$N$86,Selections!$E$6:$E$86,"Away win")/SUMIFS(Selections!$M$6:$M$86,Selections!$E$6:$E$86,"Away win"))</f>
        <v>0.11499999999999999</v>
      </c>
      <c r="L26" s="21">
        <f>IF(SUMIFS(Selections!$T$6:$T$86,Selections!$E$6:$E$86,"Away win")=0,"n.a.",SUMIFS(Selections!$O$6:$O$86,Selections!$E$6:$E$86,"Away win")/SUMIFS(Selections!$T$6:$T$86,Selections!$E$6:$E$86,"Away win"))</f>
        <v>0.33482070932030694</v>
      </c>
      <c r="M26" s="20">
        <f>IF(SUMIFS(Selections!$T$6:$T$86,Selections!$E$6:$E$86,"Away win")=0,"n.a.",SUMIFS(Selections!$S$6:$S$86,Selections!$E$6:$E$86,"Away win")/SUMIFS(Selections!$T$6:$T$86,Selections!$E$6:$E$86,"Away win"))</f>
        <v>0.4847194437283757</v>
      </c>
      <c r="N26" s="20">
        <f>IF(SUMIFS(Selections!$T$6:$T$86,Selections!$E$6:$E$86,"Away win")=0,"n.a.",(SUMIFS(Selections!$L$6:$L$86,Selections!$E$6:$E$86,"Away win",Selections!$T$6:$T$86,1))/SUMIFS(Selections!$T$6:$T$86,Selections!$E$6:$E$86,"Away win"))</f>
        <v>0.5</v>
      </c>
      <c r="O26" s="20">
        <f>IF(SUMIFS(Selections!$T$6:$T$86,Selections!$E$6:$E$86,"Away win")=0,"n.a.",(SUMIFS(Selections!$S$6:$S$86,Selections!$E$6:$E$86,"Away win")-(SUMIFS(Selections!$L$6:$L$86,Selections!$E$6:$E$86,"Away win",Selections!$T$6:$T$86,1)))/SUMIFS(Selections!$T$6:$T$86,Selections!$E$6:$E$86,"Away win"))</f>
        <v>-0.01528055627162428</v>
      </c>
      <c r="P26" s="19">
        <f>SUMIFS(Selections!$T$6:$T$86,Selections!$E$6:$E$86,"Away win")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Market</t>
        </is>
      </c>
      <c r="B27" s="18" t="inlineStr">
        <is>
          <t>Both Teams to Score - Yes</t>
        </is>
      </c>
      <c r="C27" s="19">
        <f>COUNTIFS(Selections!$E$6:$E$86,"Both Teams to Score - Yes")</f>
        <v>3</v>
      </c>
      <c r="D27" s="19">
        <f>((COUNTIFS(Selections!$E$6:$E$86,"Both Teams to Score - Yes",Selections!$K$6:$K$86,"WON")+COUNTIFS(Selections!$E$6:$E$86,"Both Teams to Score - Yes",Selections!$K$6:$K$86,"HALF_WON"))+(COUNTIFS(Selections!$E$6:$E$86,"Both Teams to Score - Yes",Selections!$K$6:$K$86,"LOST")+COUNTIFS(Selections!$E$6:$E$86,"Both Teams to Score - Yes",Selections!$K$6:$K$86,"HALF_LOST"))+COUNTIFS(Selections!$E$6:$E$86,"Both Teams to Score - Yes",Selections!$K$6:$K$86,"REFUNDED"))</f>
        <v>3</v>
      </c>
      <c r="E27" s="19">
        <f>(COUNTIFS(Selections!$E$6:$E$86,"Both Teams to Score - Yes",Selections!$K$6:$K$86,"WON")+COUNTIFS(Selections!$E$6:$E$86,"Both Teams to Score - Yes",Selections!$K$6:$K$86,"HALF_WON"))</f>
        <v>2</v>
      </c>
      <c r="F27" s="19">
        <f>(COUNTIFS(Selections!$E$6:$E$86,"Both Teams to Score - Yes",Selections!$K$6:$K$86,"LOST")+COUNTIFS(Selections!$E$6:$E$86,"Both Teams to Score - Yes",Selections!$K$6:$K$86,"HALF_LOST"))</f>
        <v>1</v>
      </c>
      <c r="G27" s="19">
        <f>COUNTIFS(Selections!$E$6:$E$86,"Both Teams to Score - Yes")-((COUNTIFS(Selections!$E$6:$E$86,"Both Teams to Score - Yes",Selections!$K$6:$K$86,"WON")+COUNTIFS(Selections!$E$6:$E$86,"Both Teams to Score - Yes",Selections!$K$6:$K$86,"HALF_WON"))+(COUNTIFS(Selections!$E$6:$E$86,"Both Teams to Score - Yes",Selections!$K$6:$K$86,"LOST")+COUNTIFS(Selections!$E$6:$E$86,"Both Teams to Score - Yes",Selections!$K$6:$K$86,"HALF_LOST"))+COUNTIFS(Selections!$E$6:$E$86,"Both Teams to Score - Yes",Selections!$K$6:$K$86,"REFUNDED"))</f>
        <v>0</v>
      </c>
      <c r="H27" s="20">
        <f>IF(((COUNTIFS(Selections!$E$6:$E$86,"Both Teams to Score - Yes",Selections!$K$6:$K$86,"WON")+COUNTIFS(Selections!$E$6:$E$86,"Both Teams to Score - Yes",Selections!$K$6:$K$86,"HALF_WON"))+(COUNTIFS(Selections!$E$6:$E$86,"Both Teams to Score - Yes",Selections!$K$6:$K$86,"LOST")+COUNTIFS(Selections!$E$6:$E$86,"Both Teams to Score - Yes",Selections!$K$6:$K$86,"HALF_LOST"))+COUNTIFS(Selections!$E$6:$E$86,"Both Teams to Score - Yes",Selections!$K$6:$K$86,"REFUNDED"))=0,"n.a.",(COUNTIFS(Selections!$E$6:$E$86,"Both Teams to Score - Yes",Selections!$K$6:$K$86,"WON")+COUNTIFS(Selections!$E$6:$E$86,"Both Teams to Score - Yes",Selections!$K$6:$K$86,"HALF_WON"))/((COUNTIFS(Selections!$E$6:$E$86,"Both Teams to Score - Yes",Selections!$K$6:$K$86,"WON")+COUNTIFS(Selections!$E$6:$E$86,"Both Teams to Score - Yes",Selections!$K$6:$K$86,"HALF_WON"))+(COUNTIFS(Selections!$E$6:$E$86,"Both Teams to Score - Yes",Selections!$K$6:$K$86,"LOST")+COUNTIFS(Selections!$E$6:$E$86,"Both Teams to Score - Yes",Selections!$K$6:$K$86,"HALF_LOST"))+COUNTIFS(Selections!$E$6:$E$86,"Both Teams to Score - Yes",Selections!$K$6:$K$86,"REFUNDED")))</f>
        <v>0.6666666666666666</v>
      </c>
      <c r="I27" s="22">
        <f>SUMIFS(Selections!$M$6:$M$86,Selections!$E$6:$E$86,"Both Teams to Score - Yes")</f>
        <v>3</v>
      </c>
      <c r="J27" s="22">
        <f>SUMIFS(Selections!$N$6:$N$86,Selections!$E$6:$E$86,"Both Teams to Score - Yes")</f>
        <v>0.020000000000000018</v>
      </c>
      <c r="K27" s="20">
        <f>IF(SUMIFS(Selections!$M$6:$M$86,Selections!$E$6:$E$86,"Both Teams to Score - Yes")=0,"n.a.",SUMIFS(Selections!$N$6:$N$86,Selections!$E$6:$E$86,"Both Teams to Score - Yes")/SUMIFS(Selections!$M$6:$M$86,Selections!$E$6:$E$86,"Both Teams to Score - Yes"))</f>
        <v>0.006666666666666672</v>
      </c>
      <c r="L27" s="21">
        <f>IF(SUMIFS(Selections!$T$6:$T$86,Selections!$E$6:$E$86,"Both Teams to Score - Yes")=0,"n.a.",SUMIFS(Selections!$O$6:$O$86,Selections!$E$6:$E$86,"Both Teams to Score - Yes")/SUMIFS(Selections!$T$6:$T$86,Selections!$E$6:$E$86,"Both Teams to Score - Yes"))</f>
        <v>0.2227178753914428</v>
      </c>
      <c r="M27" s="20">
        <f>IF(SUMIFS(Selections!$T$6:$T$86,Selections!$E$6:$E$86,"Both Teams to Score - Yes")=0,"n.a.",SUMIFS(Selections!$S$6:$S$86,Selections!$E$6:$E$86,"Both Teams to Score - Yes")/SUMIFS(Selections!$T$6:$T$86,Selections!$E$6:$E$86,"Both Teams to Score - Yes"))</f>
        <v>0.7130523653970714</v>
      </c>
      <c r="N27" s="20">
        <f>IF(SUMIFS(Selections!$T$6:$T$86,Selections!$E$6:$E$86,"Both Teams to Score - Yes")=0,"n.a.",(SUMIFS(Selections!$L$6:$L$86,Selections!$E$6:$E$86,"Both Teams to Score - Yes",Selections!$T$6:$T$86,1))/SUMIFS(Selections!$T$6:$T$86,Selections!$E$6:$E$86,"Both Teams to Score - Yes"))</f>
        <v>0.6666666666666666</v>
      </c>
      <c r="O27" s="20">
        <f>IF(SUMIFS(Selections!$T$6:$T$86,Selections!$E$6:$E$86,"Both Teams to Score - Yes")=0,"n.a.",(SUMIFS(Selections!$S$6:$S$86,Selections!$E$6:$E$86,"Both Teams to Score - Yes")-(SUMIFS(Selections!$L$6:$L$86,Selections!$E$6:$E$86,"Both Teams to Score - Yes",Selections!$T$6:$T$86,1)))/SUMIFS(Selections!$T$6:$T$86,Selections!$E$6:$E$86,"Both Teams to Score - Yes"))</f>
        <v>0.04638569873040477</v>
      </c>
      <c r="P27" s="19">
        <f>SUMIFS(Selections!$T$6:$T$86,Selections!$E$6:$E$86,"Both Teams to Score - Yes")</f>
        <v>3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(n=3).</v>
      </c>
      <c r="R27" s="18"/>
    </row>
    <row r="28" ht="36" customHeight="1">
      <c r="A28" s="18" t="inlineStr">
        <is>
          <t>Market</t>
        </is>
      </c>
      <c r="B28" s="18" t="inlineStr">
        <is>
          <t>Corners Under 10.5</t>
        </is>
      </c>
      <c r="C28" s="19">
        <f>COUNTIFS(Selections!$E$6:$E$86,"Corners Under 10.5")</f>
        <v>2</v>
      </c>
      <c r="D28" s="19">
        <f>((COUNTIFS(Selections!$E$6:$E$86,"Corners Under 10.5",Selections!$K$6:$K$86,"WON")+COUNTIFS(Selections!$E$6:$E$86,"Corners Under 10.5",Selections!$K$6:$K$86,"HALF_WON"))+(COUNTIFS(Selections!$E$6:$E$86,"Corners Under 10.5",Selections!$K$6:$K$86,"LOST")+COUNTIFS(Selections!$E$6:$E$86,"Corners Under 10.5",Selections!$K$6:$K$86,"HALF_LOST"))+COUNTIFS(Selections!$E$6:$E$86,"Corners Under 10.5",Selections!$K$6:$K$86,"REFUNDED"))</f>
        <v>1</v>
      </c>
      <c r="E28" s="19">
        <f>(COUNTIFS(Selections!$E$6:$E$86,"Corners Under 10.5",Selections!$K$6:$K$86,"WON")+COUNTIFS(Selections!$E$6:$E$86,"Corners Under 10.5",Selections!$K$6:$K$86,"HALF_WON"))</f>
        <v>1</v>
      </c>
      <c r="F28" s="19">
        <f>(COUNTIFS(Selections!$E$6:$E$86,"Corners Under 10.5",Selections!$K$6:$K$86,"LOST")+COUNTIFS(Selections!$E$6:$E$86,"Corners Under 10.5",Selections!$K$6:$K$86,"HALF_LOST"))</f>
        <v>0</v>
      </c>
      <c r="G28" s="19">
        <f>COUNTIFS(Selections!$E$6:$E$86,"Corners Under 10.5")-((COUNTIFS(Selections!$E$6:$E$86,"Corners Under 10.5",Selections!$K$6:$K$86,"WON")+COUNTIFS(Selections!$E$6:$E$86,"Corners Under 10.5",Selections!$K$6:$K$86,"HALF_WON"))+(COUNTIFS(Selections!$E$6:$E$86,"Corners Under 10.5",Selections!$K$6:$K$86,"LOST")+COUNTIFS(Selections!$E$6:$E$86,"Corners Under 10.5",Selections!$K$6:$K$86,"HALF_LOST"))+COUNTIFS(Selections!$E$6:$E$86,"Corners Under 10.5",Selections!$K$6:$K$86,"REFUNDED"))</f>
        <v>1</v>
      </c>
      <c r="H28" s="20">
        <f>IF(((COUNTIFS(Selections!$E$6:$E$86,"Corners Under 10.5",Selections!$K$6:$K$86,"WON")+COUNTIFS(Selections!$E$6:$E$86,"Corners Under 10.5",Selections!$K$6:$K$86,"HALF_WON"))+(COUNTIFS(Selections!$E$6:$E$86,"Corners Under 10.5",Selections!$K$6:$K$86,"LOST")+COUNTIFS(Selections!$E$6:$E$86,"Corners Under 10.5",Selections!$K$6:$K$86,"HALF_LOST"))+COUNTIFS(Selections!$E$6:$E$86,"Corners Under 10.5",Selections!$K$6:$K$86,"REFUNDED"))=0,"n.a.",(COUNTIFS(Selections!$E$6:$E$86,"Corners Under 10.5",Selections!$K$6:$K$86,"WON")+COUNTIFS(Selections!$E$6:$E$86,"Corners Under 10.5",Selections!$K$6:$K$86,"HALF_WON"))/((COUNTIFS(Selections!$E$6:$E$86,"Corners Under 10.5",Selections!$K$6:$K$86,"WON")+COUNTIFS(Selections!$E$6:$E$86,"Corners Under 10.5",Selections!$K$6:$K$86,"HALF_WON"))+(COUNTIFS(Selections!$E$6:$E$86,"Corners Under 10.5",Selections!$K$6:$K$86,"LOST")+COUNTIFS(Selections!$E$6:$E$86,"Corners Under 10.5",Selections!$K$6:$K$86,"HALF_LOST"))+COUNTIFS(Selections!$E$6:$E$86,"Corners Under 10.5",Selections!$K$6:$K$86,"REFUNDED")))</f>
        <v>1.0</v>
      </c>
      <c r="I28" s="22">
        <f>SUMIFS(Selections!$M$6:$M$86,Selections!$E$6:$E$86,"Corners Under 10.5")</f>
        <v>1</v>
      </c>
      <c r="J28" s="22">
        <f>SUMIFS(Selections!$N$6:$N$86,Selections!$E$6:$E$86,"Corners Under 10.5")</f>
        <v>0.53</v>
      </c>
      <c r="K28" s="20">
        <f>IF(SUMIFS(Selections!$M$6:$M$86,Selections!$E$6:$E$86,"Corners Under 10.5")=0,"n.a.",SUMIFS(Selections!$N$6:$N$86,Selections!$E$6:$E$86,"Corners Under 10.5")/SUMIFS(Selections!$M$6:$M$86,Selections!$E$6:$E$86,"Corners Under 10.5"))</f>
        <v>0.53</v>
      </c>
      <c r="L28" s="21">
        <f>IF(SUMIFS(Selections!$T$6:$T$86,Selections!$E$6:$E$86,"Corners Under 10.5")=0,"n.a.",SUMIFS(Selections!$O$6:$O$86,Selections!$E$6:$E$86,"Corners Under 10.5")/SUMIFS(Selections!$T$6:$T$86,Selections!$E$6:$E$86,"Corners Under 10.5"))</f>
        <v>0.07225612473142058</v>
      </c>
      <c r="M28" s="20">
        <f>IF(SUMIFS(Selections!$T$6:$T$86,Selections!$E$6:$E$86,"Corners Under 10.5")=0,"n.a.",SUMIFS(Selections!$S$6:$S$86,Selections!$E$6:$E$86,"Corners Under 10.5")/SUMIFS(Selections!$T$6:$T$86,Selections!$E$6:$E$86,"Corners Under 10.5"))</f>
        <v>0.7311950061263359</v>
      </c>
      <c r="N28" s="20">
        <f>IF(SUMIFS(Selections!$T$6:$T$86,Selections!$E$6:$E$86,"Corners Under 10.5")=0,"n.a.",(SUMIFS(Selections!$L$6:$L$86,Selections!$E$6:$E$86,"Corners Under 10.5",Selections!$T$6:$T$86,1))/SUMIFS(Selections!$T$6:$T$86,Selections!$E$6:$E$86,"Corners Under 10.5"))</f>
        <v>1.0</v>
      </c>
      <c r="O28" s="20">
        <f>IF(SUMIFS(Selections!$T$6:$T$86,Selections!$E$6:$E$86,"Corners Under 10.5")=0,"n.a.",(SUMIFS(Selections!$S$6:$S$86,Selections!$E$6:$E$86,"Corners Under 10.5")-(SUMIFS(Selections!$L$6:$L$86,Selections!$E$6:$E$86,"Corners Under 10.5",Selections!$T$6:$T$86,1)))/SUMIFS(Selections!$T$6:$T$86,Selections!$E$6:$E$86,"Corners Under 10.5"))</f>
        <v>-0.2688049938736641</v>
      </c>
      <c r="P28" s="19">
        <f>SUMIFS(Selections!$T$6:$T$86,Selections!$E$6:$E$86,"Corners Under 10.5")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Market</t>
        </is>
      </c>
      <c r="B29" s="18" t="inlineStr">
        <is>
          <t>Double Chance 12</t>
        </is>
      </c>
      <c r="C29" s="19">
        <f>COUNTIFS(Selections!$E$6:$E$86,"Double Chance 12")</f>
        <v>8</v>
      </c>
      <c r="D29" s="19">
        <f>((COUNTIFS(Selections!$E$6:$E$86,"Double Chance 12",Selections!$K$6:$K$86,"WON")+COUNTIFS(Selections!$E$6:$E$86,"Double Chance 12",Selections!$K$6:$K$86,"HALF_WON"))+(COUNTIFS(Selections!$E$6:$E$86,"Double Chance 12",Selections!$K$6:$K$86,"LOST")+COUNTIFS(Selections!$E$6:$E$86,"Double Chance 12",Selections!$K$6:$K$86,"HALF_LOST"))+COUNTIFS(Selections!$E$6:$E$86,"Double Chance 12",Selections!$K$6:$K$86,"REFUNDED"))</f>
        <v>7</v>
      </c>
      <c r="E29" s="19">
        <f>(COUNTIFS(Selections!$E$6:$E$86,"Double Chance 12",Selections!$K$6:$K$86,"WON")+COUNTIFS(Selections!$E$6:$E$86,"Double Chance 12",Selections!$K$6:$K$86,"HALF_WON"))</f>
        <v>6</v>
      </c>
      <c r="F29" s="19">
        <f>(COUNTIFS(Selections!$E$6:$E$86,"Double Chance 12",Selections!$K$6:$K$86,"LOST")+COUNTIFS(Selections!$E$6:$E$86,"Double Chance 12",Selections!$K$6:$K$86,"HALF_LOST"))</f>
        <v>1</v>
      </c>
      <c r="G29" s="19">
        <f>COUNTIFS(Selections!$E$6:$E$86,"Double Chance 12")-((COUNTIFS(Selections!$E$6:$E$86,"Double Chance 12",Selections!$K$6:$K$86,"WON")+COUNTIFS(Selections!$E$6:$E$86,"Double Chance 12",Selections!$K$6:$K$86,"HALF_WON"))+(COUNTIFS(Selections!$E$6:$E$86,"Double Chance 12",Selections!$K$6:$K$86,"LOST")+COUNTIFS(Selections!$E$6:$E$86,"Double Chance 12",Selections!$K$6:$K$86,"HALF_LOST"))+COUNTIFS(Selections!$E$6:$E$86,"Double Chance 12",Selections!$K$6:$K$86,"REFUNDED"))</f>
        <v>1</v>
      </c>
      <c r="H29" s="20">
        <f>IF(((COUNTIFS(Selections!$E$6:$E$86,"Double Chance 12",Selections!$K$6:$K$86,"WON")+COUNTIFS(Selections!$E$6:$E$86,"Double Chance 12",Selections!$K$6:$K$86,"HALF_WON"))+(COUNTIFS(Selections!$E$6:$E$86,"Double Chance 12",Selections!$K$6:$K$86,"LOST")+COUNTIFS(Selections!$E$6:$E$86,"Double Chance 12",Selections!$K$6:$K$86,"HALF_LOST"))+COUNTIFS(Selections!$E$6:$E$86,"Double Chance 12",Selections!$K$6:$K$86,"REFUNDED"))=0,"n.a.",(COUNTIFS(Selections!$E$6:$E$86,"Double Chance 12",Selections!$K$6:$K$86,"WON")+COUNTIFS(Selections!$E$6:$E$86,"Double Chance 12",Selections!$K$6:$K$86,"HALF_WON"))/((COUNTIFS(Selections!$E$6:$E$86,"Double Chance 12",Selections!$K$6:$K$86,"WON")+COUNTIFS(Selections!$E$6:$E$86,"Double Chance 12",Selections!$K$6:$K$86,"HALF_WON"))+(COUNTIFS(Selections!$E$6:$E$86,"Double Chance 12",Selections!$K$6:$K$86,"LOST")+COUNTIFS(Selections!$E$6:$E$86,"Double Chance 12",Selections!$K$6:$K$86,"HALF_LOST"))+COUNTIFS(Selections!$E$6:$E$86,"Double Chance 12",Selections!$K$6:$K$86,"REFUNDED")))</f>
        <v>0.8571428571428571</v>
      </c>
      <c r="I29" s="22">
        <f>SUMIFS(Selections!$M$6:$M$86,Selections!$E$6:$E$86,"Double Chance 12")</f>
        <v>7</v>
      </c>
      <c r="J29" s="22">
        <f>SUMIFS(Selections!$N$6:$N$86,Selections!$E$6:$E$86,"Double Chance 12")</f>
        <v>0.3799999999999999</v>
      </c>
      <c r="K29" s="20">
        <f>IF(SUMIFS(Selections!$M$6:$M$86,Selections!$E$6:$E$86,"Double Chance 12")=0,"n.a.",SUMIFS(Selections!$N$6:$N$86,Selections!$E$6:$E$86,"Double Chance 12")/SUMIFS(Selections!$M$6:$M$86,Selections!$E$6:$E$86,"Double Chance 12"))</f>
        <v>0.05428571428571427</v>
      </c>
      <c r="L29" s="21">
        <f>IF(SUMIFS(Selections!$T$6:$T$86,Selections!$E$6:$E$86,"Double Chance 12")=0,"n.a.",SUMIFS(Selections!$O$6:$O$86,Selections!$E$6:$E$86,"Double Chance 12")/SUMIFS(Selections!$T$6:$T$86,Selections!$E$6:$E$86,"Double Chance 12"))</f>
        <v>0.1271285110309219</v>
      </c>
      <c r="M29" s="20">
        <f>IF(SUMIFS(Selections!$T$6:$T$86,Selections!$E$6:$E$86,"Double Chance 12")=0,"n.a.",SUMIFS(Selections!$S$6:$S$86,Selections!$E$6:$E$86,"Double Chance 12")/SUMIFS(Selections!$T$6:$T$86,Selections!$E$6:$E$86,"Double Chance 12"))</f>
        <v>0.7824061665594064</v>
      </c>
      <c r="N29" s="20">
        <f>IF(SUMIFS(Selections!$T$6:$T$86,Selections!$E$6:$E$86,"Double Chance 12")=0,"n.a.",(SUMIFS(Selections!$L$6:$L$86,Selections!$E$6:$E$86,"Double Chance 12",Selections!$T$6:$T$86,1))/SUMIFS(Selections!$T$6:$T$86,Selections!$E$6:$E$86,"Double Chance 12"))</f>
        <v>0.8571428571428571</v>
      </c>
      <c r="O29" s="20">
        <f>IF(SUMIFS(Selections!$T$6:$T$86,Selections!$E$6:$E$86,"Double Chance 12")=0,"n.a.",(SUMIFS(Selections!$S$6:$S$86,Selections!$E$6:$E$86,"Double Chance 12")-(SUMIFS(Selections!$L$6:$L$86,Selections!$E$6:$E$86,"Double Chance 12",Selections!$T$6:$T$86,1)))/SUMIFS(Selections!$T$6:$T$86,Selections!$E$6:$E$86,"Double Chance 12"))</f>
        <v>-0.07473669058345067</v>
      </c>
      <c r="P29" s="19">
        <f>SUMIFS(Selections!$T$6:$T$86,Selections!$E$6:$E$86,"Double Chance 12")</f>
        <v>7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(n=7).</v>
      </c>
      <c r="R29" s="18"/>
    </row>
    <row r="30" ht="36" customHeight="1">
      <c r="A30" s="18" t="inlineStr">
        <is>
          <t>Market</t>
        </is>
      </c>
      <c r="B30" s="18" t="inlineStr">
        <is>
          <t>Double Chance 1X</t>
        </is>
      </c>
      <c r="C30" s="19">
        <f>COUNTIFS(Selections!$E$6:$E$86,"Double Chance 1X")</f>
        <v>11</v>
      </c>
      <c r="D30" s="19">
        <f>((COUNTIFS(Selections!$E$6:$E$86,"Double Chance 1X",Selections!$K$6:$K$86,"WON")+COUNTIFS(Selections!$E$6:$E$86,"Double Chance 1X",Selections!$K$6:$K$86,"HALF_WON"))+(COUNTIFS(Selections!$E$6:$E$86,"Double Chance 1X",Selections!$K$6:$K$86,"LOST")+COUNTIFS(Selections!$E$6:$E$86,"Double Chance 1X",Selections!$K$6:$K$86,"HALF_LOST"))+COUNTIFS(Selections!$E$6:$E$86,"Double Chance 1X",Selections!$K$6:$K$86,"REFUNDED"))</f>
        <v>8</v>
      </c>
      <c r="E30" s="19">
        <f>(COUNTIFS(Selections!$E$6:$E$86,"Double Chance 1X",Selections!$K$6:$K$86,"WON")+COUNTIFS(Selections!$E$6:$E$86,"Double Chance 1X",Selections!$K$6:$K$86,"HALF_WON"))</f>
        <v>7</v>
      </c>
      <c r="F30" s="19">
        <f>(COUNTIFS(Selections!$E$6:$E$86,"Double Chance 1X",Selections!$K$6:$K$86,"LOST")+COUNTIFS(Selections!$E$6:$E$86,"Double Chance 1X",Selections!$K$6:$K$86,"HALF_LOST"))</f>
        <v>1</v>
      </c>
      <c r="G30" s="19">
        <f>COUNTIFS(Selections!$E$6:$E$86,"Double Chance 1X")-((COUNTIFS(Selections!$E$6:$E$86,"Double Chance 1X",Selections!$K$6:$K$86,"WON")+COUNTIFS(Selections!$E$6:$E$86,"Double Chance 1X",Selections!$K$6:$K$86,"HALF_WON"))+(COUNTIFS(Selections!$E$6:$E$86,"Double Chance 1X",Selections!$K$6:$K$86,"LOST")+COUNTIFS(Selections!$E$6:$E$86,"Double Chance 1X",Selections!$K$6:$K$86,"HALF_LOST"))+COUNTIFS(Selections!$E$6:$E$86,"Double Chance 1X",Selections!$K$6:$K$86,"REFUNDED"))</f>
        <v>3</v>
      </c>
      <c r="H30" s="20">
        <f>IF(((COUNTIFS(Selections!$E$6:$E$86,"Double Chance 1X",Selections!$K$6:$K$86,"WON")+COUNTIFS(Selections!$E$6:$E$86,"Double Chance 1X",Selections!$K$6:$K$86,"HALF_WON"))+(COUNTIFS(Selections!$E$6:$E$86,"Double Chance 1X",Selections!$K$6:$K$86,"LOST")+COUNTIFS(Selections!$E$6:$E$86,"Double Chance 1X",Selections!$K$6:$K$86,"HALF_LOST"))+COUNTIFS(Selections!$E$6:$E$86,"Double Chance 1X",Selections!$K$6:$K$86,"REFUNDED"))=0,"n.a.",(COUNTIFS(Selections!$E$6:$E$86,"Double Chance 1X",Selections!$K$6:$K$86,"WON")+COUNTIFS(Selections!$E$6:$E$86,"Double Chance 1X",Selections!$K$6:$K$86,"HALF_WON"))/((COUNTIFS(Selections!$E$6:$E$86,"Double Chance 1X",Selections!$K$6:$K$86,"WON")+COUNTIFS(Selections!$E$6:$E$86,"Double Chance 1X",Selections!$K$6:$K$86,"HALF_WON"))+(COUNTIFS(Selections!$E$6:$E$86,"Double Chance 1X",Selections!$K$6:$K$86,"LOST")+COUNTIFS(Selections!$E$6:$E$86,"Double Chance 1X",Selections!$K$6:$K$86,"HALF_LOST"))+COUNTIFS(Selections!$E$6:$E$86,"Double Chance 1X",Selections!$K$6:$K$86,"REFUNDED")))</f>
        <v>0.875</v>
      </c>
      <c r="I30" s="22">
        <f>SUMIFS(Selections!$M$6:$M$86,Selections!$E$6:$E$86,"Double Chance 1X")</f>
        <v>8</v>
      </c>
      <c r="J30" s="22">
        <f>SUMIFS(Selections!$N$6:$N$86,Selections!$E$6:$E$86,"Double Chance 1X")</f>
        <v>0.6199999999999999</v>
      </c>
      <c r="K30" s="20">
        <f>IF(SUMIFS(Selections!$M$6:$M$86,Selections!$E$6:$E$86,"Double Chance 1X")=0,"n.a.",SUMIFS(Selections!$N$6:$N$86,Selections!$E$6:$E$86,"Double Chance 1X")/SUMIFS(Selections!$M$6:$M$86,Selections!$E$6:$E$86,"Double Chance 1X"))</f>
        <v>0.07749999999999999</v>
      </c>
      <c r="L30" s="21">
        <f>IF(SUMIFS(Selections!$T$6:$T$86,Selections!$E$6:$E$86,"Double Chance 1X")=0,"n.a.",SUMIFS(Selections!$O$6:$O$86,Selections!$E$6:$E$86,"Double Chance 1X")/SUMIFS(Selections!$T$6:$T$86,Selections!$E$6:$E$86,"Double Chance 1X"))</f>
        <v>0.07791461736616206</v>
      </c>
      <c r="M30" s="20">
        <f>IF(SUMIFS(Selections!$T$6:$T$86,Selections!$E$6:$E$86,"Double Chance 1X")=0,"n.a.",SUMIFS(Selections!$S$6:$S$86,Selections!$E$6:$E$86,"Double Chance 1X")/SUMIFS(Selections!$T$6:$T$86,Selections!$E$6:$E$86,"Double Chance 1X"))</f>
        <v>0.79596299912058</v>
      </c>
      <c r="N30" s="20">
        <f>IF(SUMIFS(Selections!$T$6:$T$86,Selections!$E$6:$E$86,"Double Chance 1X")=0,"n.a.",(SUMIFS(Selections!$L$6:$L$86,Selections!$E$6:$E$86,"Double Chance 1X",Selections!$T$6:$T$86,1))/SUMIFS(Selections!$T$6:$T$86,Selections!$E$6:$E$86,"Double Chance 1X"))</f>
        <v>0.875</v>
      </c>
      <c r="O30" s="20">
        <f>IF(SUMIFS(Selections!$T$6:$T$86,Selections!$E$6:$E$86,"Double Chance 1X")=0,"n.a.",(SUMIFS(Selections!$S$6:$S$86,Selections!$E$6:$E$86,"Double Chance 1X")-(SUMIFS(Selections!$L$6:$L$86,Selections!$E$6:$E$86,"Double Chance 1X",Selections!$T$6:$T$86,1)))/SUMIFS(Selections!$T$6:$T$86,Selections!$E$6:$E$86,"Double Chance 1X"))</f>
        <v>-0.07903700087942</v>
      </c>
      <c r="P30" s="19">
        <f>SUMIFS(Selections!$T$6:$T$86,Selections!$E$6:$E$86,"Double Chance 1X")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Double Chance X2</t>
        </is>
      </c>
      <c r="C31" s="19">
        <f>COUNTIFS(Selections!$E$6:$E$86,"Double Chance X2")</f>
        <v>8</v>
      </c>
      <c r="D31" s="19">
        <f>((COUNTIFS(Selections!$E$6:$E$86,"Double Chance X2",Selections!$K$6:$K$86,"WON")+COUNTIFS(Selections!$E$6:$E$86,"Double Chance X2",Selections!$K$6:$K$86,"HALF_WON"))+(COUNTIFS(Selections!$E$6:$E$86,"Double Chance X2",Selections!$K$6:$K$86,"LOST")+COUNTIFS(Selections!$E$6:$E$86,"Double Chance X2",Selections!$K$6:$K$86,"HALF_LOST"))+COUNTIFS(Selections!$E$6:$E$86,"Double Chance X2",Selections!$K$6:$K$86,"REFUNDED"))</f>
        <v>8</v>
      </c>
      <c r="E31" s="19">
        <f>(COUNTIFS(Selections!$E$6:$E$86,"Double Chance X2",Selections!$K$6:$K$86,"WON")+COUNTIFS(Selections!$E$6:$E$86,"Double Chance X2",Selections!$K$6:$K$86,"HALF_WON"))</f>
        <v>6</v>
      </c>
      <c r="F31" s="19">
        <f>(COUNTIFS(Selections!$E$6:$E$86,"Double Chance X2",Selections!$K$6:$K$86,"LOST")+COUNTIFS(Selections!$E$6:$E$86,"Double Chance X2",Selections!$K$6:$K$86,"HALF_LOST"))</f>
        <v>2</v>
      </c>
      <c r="G31" s="19">
        <f>COUNTIFS(Selections!$E$6:$E$86,"Double Chance X2")-((COUNTIFS(Selections!$E$6:$E$86,"Double Chance X2",Selections!$K$6:$K$86,"WON")+COUNTIFS(Selections!$E$6:$E$86,"Double Chance X2",Selections!$K$6:$K$86,"HALF_WON"))+(COUNTIFS(Selections!$E$6:$E$86,"Double Chance X2",Selections!$K$6:$K$86,"LOST")+COUNTIFS(Selections!$E$6:$E$86,"Double Chance X2",Selections!$K$6:$K$86,"HALF_LOST"))+COUNTIFS(Selections!$E$6:$E$86,"Double Chance X2",Selections!$K$6:$K$86,"REFUNDED"))</f>
        <v>0</v>
      </c>
      <c r="H31" s="20">
        <f>IF(((COUNTIFS(Selections!$E$6:$E$86,"Double Chance X2",Selections!$K$6:$K$86,"WON")+COUNTIFS(Selections!$E$6:$E$86,"Double Chance X2",Selections!$K$6:$K$86,"HALF_WON"))+(COUNTIFS(Selections!$E$6:$E$86,"Double Chance X2",Selections!$K$6:$K$86,"LOST")+COUNTIFS(Selections!$E$6:$E$86,"Double Chance X2",Selections!$K$6:$K$86,"HALF_LOST"))+COUNTIFS(Selections!$E$6:$E$86,"Double Chance X2",Selections!$K$6:$K$86,"REFUNDED"))=0,"n.a.",(COUNTIFS(Selections!$E$6:$E$86,"Double Chance X2",Selections!$K$6:$K$86,"WON")+COUNTIFS(Selections!$E$6:$E$86,"Double Chance X2",Selections!$K$6:$K$86,"HALF_WON"))/((COUNTIFS(Selections!$E$6:$E$86,"Double Chance X2",Selections!$K$6:$K$86,"WON")+COUNTIFS(Selections!$E$6:$E$86,"Double Chance X2",Selections!$K$6:$K$86,"HALF_WON"))+(COUNTIFS(Selections!$E$6:$E$86,"Double Chance X2",Selections!$K$6:$K$86,"LOST")+COUNTIFS(Selections!$E$6:$E$86,"Double Chance X2",Selections!$K$6:$K$86,"HALF_LOST"))+COUNTIFS(Selections!$E$6:$E$86,"Double Chance X2",Selections!$K$6:$K$86,"REFUNDED")))</f>
        <v>0.75</v>
      </c>
      <c r="I31" s="22">
        <f>SUMIFS(Selections!$M$6:$M$86,Selections!$E$6:$E$86,"Double Chance X2")</f>
        <v>8</v>
      </c>
      <c r="J31" s="22">
        <f>SUMIFS(Selections!$N$6:$N$86,Selections!$E$6:$E$86,"Double Chance X2")</f>
        <v>0.8999999999999995</v>
      </c>
      <c r="K31" s="20">
        <f>IF(SUMIFS(Selections!$M$6:$M$86,Selections!$E$6:$E$86,"Double Chance X2")=0,"n.a.",SUMIFS(Selections!$N$6:$N$86,Selections!$E$6:$E$86,"Double Chance X2")/SUMIFS(Selections!$M$6:$M$86,Selections!$E$6:$E$86,"Double Chance X2"))</f>
        <v>0.11249999999999993</v>
      </c>
      <c r="L31" s="21">
        <f>IF(SUMIFS(Selections!$T$6:$T$86,Selections!$E$6:$E$86,"Double Chance X2")=0,"n.a.",SUMIFS(Selections!$O$6:$O$86,Selections!$E$6:$E$86,"Double Chance X2")/SUMIFS(Selections!$T$6:$T$86,Selections!$E$6:$E$86,"Double Chance X2"))</f>
        <v>0.14280778054839663</v>
      </c>
      <c r="M31" s="20">
        <f>IF(SUMIFS(Selections!$T$6:$T$86,Selections!$E$6:$E$86,"Double Chance X2")=0,"n.a.",SUMIFS(Selections!$S$6:$S$86,Selections!$E$6:$E$86,"Double Chance X2")/SUMIFS(Selections!$T$6:$T$86,Selections!$E$6:$E$86,"Double Chance X2"))</f>
        <v>0.6766958022298177</v>
      </c>
      <c r="N31" s="20">
        <f>IF(SUMIFS(Selections!$T$6:$T$86,Selections!$E$6:$E$86,"Double Chance X2")=0,"n.a.",(SUMIFS(Selections!$L$6:$L$86,Selections!$E$6:$E$86,"Double Chance X2",Selections!$T$6:$T$86,1))/SUMIFS(Selections!$T$6:$T$86,Selections!$E$6:$E$86,"Double Chance X2"))</f>
        <v>0.75</v>
      </c>
      <c r="O31" s="20">
        <f>IF(SUMIFS(Selections!$T$6:$T$86,Selections!$E$6:$E$86,"Double Chance X2")=0,"n.a.",(SUMIFS(Selections!$S$6:$S$86,Selections!$E$6:$E$86,"Double Chance X2")-(SUMIFS(Selections!$L$6:$L$86,Selections!$E$6:$E$86,"Double Chance X2",Selections!$T$6:$T$86,1)))/SUMIFS(Selections!$T$6:$T$86,Selections!$E$6:$E$86,"Double Chance X2"))</f>
        <v>-0.07330419777018227</v>
      </c>
      <c r="P31" s="19">
        <f>SUMIFS(Selections!$T$6:$T$86,Selections!$E$6:$E$86,"Double Chance X2")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Home win</t>
        </is>
      </c>
      <c r="C32" s="19">
        <f>COUNTIFS(Selections!$E$6:$E$86,"Home win")</f>
        <v>9</v>
      </c>
      <c r="D32" s="19">
        <f>((COUNTIFS(Selections!$E$6:$E$86,"Home win",Selections!$K$6:$K$86,"WON")+COUNTIFS(Selections!$E$6:$E$86,"Home win",Selections!$K$6:$K$86,"HALF_WON"))+(COUNTIFS(Selections!$E$6:$E$86,"Home win",Selections!$K$6:$K$86,"LOST")+COUNTIFS(Selections!$E$6:$E$86,"Home win",Selections!$K$6:$K$86,"HALF_LOST"))+COUNTIFS(Selections!$E$6:$E$86,"Home win",Selections!$K$6:$K$86,"REFUNDED"))</f>
        <v>8</v>
      </c>
      <c r="E32" s="19">
        <f>(COUNTIFS(Selections!$E$6:$E$86,"Home win",Selections!$K$6:$K$86,"WON")+COUNTIFS(Selections!$E$6:$E$86,"Home win",Selections!$K$6:$K$86,"HALF_WON"))</f>
        <v>5</v>
      </c>
      <c r="F32" s="19">
        <f>(COUNTIFS(Selections!$E$6:$E$86,"Home win",Selections!$K$6:$K$86,"LOST")+COUNTIFS(Selections!$E$6:$E$86,"Home win",Selections!$K$6:$K$86,"HALF_LOST"))</f>
        <v>3</v>
      </c>
      <c r="G32" s="19">
        <f>COUNTIFS(Selections!$E$6:$E$86,"Home win")-((COUNTIFS(Selections!$E$6:$E$86,"Home win",Selections!$K$6:$K$86,"WON")+COUNTIFS(Selections!$E$6:$E$86,"Home win",Selections!$K$6:$K$86,"HALF_WON"))+(COUNTIFS(Selections!$E$6:$E$86,"Home win",Selections!$K$6:$K$86,"LOST")+COUNTIFS(Selections!$E$6:$E$86,"Home win",Selections!$K$6:$K$86,"HALF_LOST"))+COUNTIFS(Selections!$E$6:$E$86,"Home win",Selections!$K$6:$K$86,"REFUNDED"))</f>
        <v>1</v>
      </c>
      <c r="H32" s="20">
        <f>IF(((COUNTIFS(Selections!$E$6:$E$86,"Home win",Selections!$K$6:$K$86,"WON")+COUNTIFS(Selections!$E$6:$E$86,"Home win",Selections!$K$6:$K$86,"HALF_WON"))+(COUNTIFS(Selections!$E$6:$E$86,"Home win",Selections!$K$6:$K$86,"LOST")+COUNTIFS(Selections!$E$6:$E$86,"Home win",Selections!$K$6:$K$86,"HALF_LOST"))+COUNTIFS(Selections!$E$6:$E$86,"Home win",Selections!$K$6:$K$86,"REFUNDED"))=0,"n.a.",(COUNTIFS(Selections!$E$6:$E$86,"Home win",Selections!$K$6:$K$86,"WON")+COUNTIFS(Selections!$E$6:$E$86,"Home win",Selections!$K$6:$K$86,"HALF_WON"))/((COUNTIFS(Selections!$E$6:$E$86,"Home win",Selections!$K$6:$K$86,"WON")+COUNTIFS(Selections!$E$6:$E$86,"Home win",Selections!$K$6:$K$86,"HALF_WON"))+(COUNTIFS(Selections!$E$6:$E$86,"Home win",Selections!$K$6:$K$86,"LOST")+COUNTIFS(Selections!$E$6:$E$86,"Home win",Selections!$K$6:$K$86,"HALF_LOST"))+COUNTIFS(Selections!$E$6:$E$86,"Home win",Selections!$K$6:$K$86,"REFUNDED")))</f>
        <v>0.625</v>
      </c>
      <c r="I32" s="22">
        <f>SUMIFS(Selections!$M$6:$M$86,Selections!$E$6:$E$86,"Home win")</f>
        <v>8</v>
      </c>
      <c r="J32" s="22">
        <f>SUMIFS(Selections!$N$6:$N$86,Selections!$E$6:$E$86,"Home win")</f>
        <v>-0.47</v>
      </c>
      <c r="K32" s="20">
        <f>IF(SUMIFS(Selections!$M$6:$M$86,Selections!$E$6:$E$86,"Home win")=0,"n.a.",SUMIFS(Selections!$N$6:$N$86,Selections!$E$6:$E$86,"Home win")/SUMIFS(Selections!$M$6:$M$86,Selections!$E$6:$E$86,"Home win"))</f>
        <v>-0.05875</v>
      </c>
      <c r="L32" s="21">
        <f>IF(SUMIFS(Selections!$T$6:$T$86,Selections!$E$6:$E$86,"Home win")=0,"n.a.",SUMIFS(Selections!$O$6:$O$86,Selections!$E$6:$E$86,"Home win")/SUMIFS(Selections!$T$6:$T$86,Selections!$E$6:$E$86,"Home win"))</f>
        <v>0.17119356220977308</v>
      </c>
      <c r="M32" s="20">
        <f>IF(SUMIFS(Selections!$T$6:$T$86,Selections!$E$6:$E$86,"Home win")=0,"n.a.",SUMIFS(Selections!$S$6:$S$86,Selections!$E$6:$E$86,"Home win")/SUMIFS(Selections!$T$6:$T$86,Selections!$E$6:$E$86,"Home win"))</f>
        <v>0.6586625192942568</v>
      </c>
      <c r="N32" s="20">
        <f>IF(SUMIFS(Selections!$T$6:$T$86,Selections!$E$6:$E$86,"Home win")=0,"n.a.",(SUMIFS(Selections!$L$6:$L$86,Selections!$E$6:$E$86,"Home win",Selections!$T$6:$T$86,1))/SUMIFS(Selections!$T$6:$T$86,Selections!$E$6:$E$86,"Home win"))</f>
        <v>0.625</v>
      </c>
      <c r="O32" s="20">
        <f>IF(SUMIFS(Selections!$T$6:$T$86,Selections!$E$6:$E$86,"Home win")=0,"n.a.",(SUMIFS(Selections!$S$6:$S$86,Selections!$E$6:$E$86,"Home win")-(SUMIFS(Selections!$L$6:$L$86,Selections!$E$6:$E$86,"Home win",Selections!$T$6:$T$86,1)))/SUMIFS(Selections!$T$6:$T$86,Selections!$E$6:$E$86,"Home win"))</f>
        <v>0.03366251929425679</v>
      </c>
      <c r="P32" s="19">
        <f>SUMIFS(Selections!$T$6:$T$86,Selections!$E$6:$E$86,"Home win")</f>
        <v>8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(n=8).</v>
      </c>
      <c r="R32" s="18"/>
    </row>
    <row r="33" ht="36" customHeight="1">
      <c r="A33" s="18" t="inlineStr">
        <is>
          <t>Market</t>
        </is>
      </c>
      <c r="B33" s="18" t="inlineStr">
        <is>
          <t>Over 1.5</t>
        </is>
      </c>
      <c r="C33" s="19">
        <f>COUNTIFS(Selections!$E$6:$E$86,"Over 1.5")</f>
        <v>12</v>
      </c>
      <c r="D33" s="19">
        <f>((COUNTIFS(Selections!$E$6:$E$86,"Over 1.5",Selections!$K$6:$K$86,"WON")+COUNTIFS(Selections!$E$6:$E$86,"Over 1.5",Selections!$K$6:$K$86,"HALF_WON"))+(COUNTIFS(Selections!$E$6:$E$86,"Over 1.5",Selections!$K$6:$K$86,"LOST")+COUNTIFS(Selections!$E$6:$E$86,"Over 1.5",Selections!$K$6:$K$86,"HALF_LOST"))+COUNTIFS(Selections!$E$6:$E$86,"Over 1.5",Selections!$K$6:$K$86,"REFUNDED"))</f>
        <v>8</v>
      </c>
      <c r="E33" s="19">
        <f>(COUNTIFS(Selections!$E$6:$E$86,"Over 1.5",Selections!$K$6:$K$86,"WON")+COUNTIFS(Selections!$E$6:$E$86,"Over 1.5",Selections!$K$6:$K$86,"HALF_WON"))</f>
        <v>7</v>
      </c>
      <c r="F33" s="19">
        <f>(COUNTIFS(Selections!$E$6:$E$86,"Over 1.5",Selections!$K$6:$K$86,"LOST")+COUNTIFS(Selections!$E$6:$E$86,"Over 1.5",Selections!$K$6:$K$86,"HALF_LOST"))</f>
        <v>1</v>
      </c>
      <c r="G33" s="19">
        <f>COUNTIFS(Selections!$E$6:$E$86,"Over 1.5")-((COUNTIFS(Selections!$E$6:$E$86,"Over 1.5",Selections!$K$6:$K$86,"WON")+COUNTIFS(Selections!$E$6:$E$86,"Over 1.5",Selections!$K$6:$K$86,"HALF_WON"))+(COUNTIFS(Selections!$E$6:$E$86,"Over 1.5",Selections!$K$6:$K$86,"LOST")+COUNTIFS(Selections!$E$6:$E$86,"Over 1.5",Selections!$K$6:$K$86,"HALF_LOST"))+COUNTIFS(Selections!$E$6:$E$86,"Over 1.5",Selections!$K$6:$K$86,"REFUNDED"))</f>
        <v>4</v>
      </c>
      <c r="H33" s="20">
        <f>IF(((COUNTIFS(Selections!$E$6:$E$86,"Over 1.5",Selections!$K$6:$K$86,"WON")+COUNTIFS(Selections!$E$6:$E$86,"Over 1.5",Selections!$K$6:$K$86,"HALF_WON"))+(COUNTIFS(Selections!$E$6:$E$86,"Over 1.5",Selections!$K$6:$K$86,"LOST")+COUNTIFS(Selections!$E$6:$E$86,"Over 1.5",Selections!$K$6:$K$86,"HALF_LOST"))+COUNTIFS(Selections!$E$6:$E$86,"Over 1.5",Selections!$K$6:$K$86,"REFUNDED"))=0,"n.a.",(COUNTIFS(Selections!$E$6:$E$86,"Over 1.5",Selections!$K$6:$K$86,"WON")+COUNTIFS(Selections!$E$6:$E$86,"Over 1.5",Selections!$K$6:$K$86,"HALF_WON"))/((COUNTIFS(Selections!$E$6:$E$86,"Over 1.5",Selections!$K$6:$K$86,"WON")+COUNTIFS(Selections!$E$6:$E$86,"Over 1.5",Selections!$K$6:$K$86,"HALF_WON"))+(COUNTIFS(Selections!$E$6:$E$86,"Over 1.5",Selections!$K$6:$K$86,"LOST")+COUNTIFS(Selections!$E$6:$E$86,"Over 1.5",Selections!$K$6:$K$86,"HALF_LOST"))+COUNTIFS(Selections!$E$6:$E$86,"Over 1.5",Selections!$K$6:$K$86,"REFUNDED")))</f>
        <v>0.875</v>
      </c>
      <c r="I33" s="22">
        <f>SUMIFS(Selections!$M$6:$M$86,Selections!$E$6:$E$86,"Over 1.5")</f>
        <v>8</v>
      </c>
      <c r="J33" s="22">
        <f>SUMIFS(Selections!$N$6:$N$86,Selections!$E$6:$E$86,"Over 1.5")</f>
        <v>0.6199999999999999</v>
      </c>
      <c r="K33" s="20">
        <f>IF(SUMIFS(Selections!$M$6:$M$86,Selections!$E$6:$E$86,"Over 1.5")=0,"n.a.",SUMIFS(Selections!$N$6:$N$86,Selections!$E$6:$E$86,"Over 1.5")/SUMIFS(Selections!$M$6:$M$86,Selections!$E$6:$E$86,"Over 1.5"))</f>
        <v>0.07749999999999999</v>
      </c>
      <c r="L33" s="21">
        <f>IF(SUMIFS(Selections!$T$6:$T$86,Selections!$E$6:$E$86,"Over 1.5")=0,"n.a.",SUMIFS(Selections!$O$6:$O$86,Selections!$E$6:$E$86,"Over 1.5")/SUMIFS(Selections!$T$6:$T$86,Selections!$E$6:$E$86,"Over 1.5"))</f>
        <v>0.09729999767437307</v>
      </c>
      <c r="M33" s="20">
        <f>IF(SUMIFS(Selections!$T$6:$T$86,Selections!$E$6:$E$86,"Over 1.5")=0,"n.a.",SUMIFS(Selections!$S$6:$S$86,Selections!$E$6:$E$86,"Over 1.5")/SUMIFS(Selections!$T$6:$T$86,Selections!$E$6:$E$86,"Over 1.5"))</f>
        <v>0.8532929638063016</v>
      </c>
      <c r="N33" s="20">
        <f>IF(SUMIFS(Selections!$T$6:$T$86,Selections!$E$6:$E$86,"Over 1.5")=0,"n.a.",(SUMIFS(Selections!$L$6:$L$86,Selections!$E$6:$E$86,"Over 1.5",Selections!$T$6:$T$86,1))/SUMIFS(Selections!$T$6:$T$86,Selections!$E$6:$E$86,"Over 1.5"))</f>
        <v>0.875</v>
      </c>
      <c r="O33" s="20">
        <f>IF(SUMIFS(Selections!$T$6:$T$86,Selections!$E$6:$E$86,"Over 1.5")=0,"n.a.",(SUMIFS(Selections!$S$6:$S$86,Selections!$E$6:$E$86,"Over 1.5")-(SUMIFS(Selections!$L$6:$L$86,Selections!$E$6:$E$86,"Over 1.5",Selections!$T$6:$T$86,1)))/SUMIFS(Selections!$T$6:$T$86,Selections!$E$6:$E$86,"Over 1.5"))</f>
        <v>-0.021707036193698404</v>
      </c>
      <c r="P33" s="19">
        <f>SUMIFS(Selections!$T$6:$T$86,Selections!$E$6:$E$86,"Over 1.5")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Market</t>
        </is>
      </c>
      <c r="B34" s="18" t="inlineStr">
        <is>
          <t>Under 3.5</t>
        </is>
      </c>
      <c r="C34" s="19">
        <f>COUNTIFS(Selections!$E$6:$E$86,"Under 3.5")</f>
        <v>5</v>
      </c>
      <c r="D34" s="19">
        <f>((COUNTIFS(Selections!$E$6:$E$86,"Under 3.5",Selections!$K$6:$K$86,"WON")+COUNTIFS(Selections!$E$6:$E$86,"Under 3.5",Selections!$K$6:$K$86,"HALF_WON"))+(COUNTIFS(Selections!$E$6:$E$86,"Under 3.5",Selections!$K$6:$K$86,"LOST")+COUNTIFS(Selections!$E$6:$E$86,"Under 3.5",Selections!$K$6:$K$86,"HALF_LOST"))+COUNTIFS(Selections!$E$6:$E$86,"Under 3.5",Selections!$K$6:$K$86,"REFUNDED"))</f>
        <v>5</v>
      </c>
      <c r="E34" s="19">
        <f>(COUNTIFS(Selections!$E$6:$E$86,"Under 3.5",Selections!$K$6:$K$86,"WON")+COUNTIFS(Selections!$E$6:$E$86,"Under 3.5",Selections!$K$6:$K$86,"HALF_WON"))</f>
        <v>2</v>
      </c>
      <c r="F34" s="19">
        <f>(COUNTIFS(Selections!$E$6:$E$86,"Under 3.5",Selections!$K$6:$K$86,"LOST")+COUNTIFS(Selections!$E$6:$E$86,"Under 3.5",Selections!$K$6:$K$86,"HALF_LOST"))</f>
        <v>3</v>
      </c>
      <c r="G34" s="19">
        <f>COUNTIFS(Selections!$E$6:$E$86,"Under 3.5")-((COUNTIFS(Selections!$E$6:$E$86,"Under 3.5",Selections!$K$6:$K$86,"WON")+COUNTIFS(Selections!$E$6:$E$86,"Under 3.5",Selections!$K$6:$K$86,"HALF_WON"))+(COUNTIFS(Selections!$E$6:$E$86,"Under 3.5",Selections!$K$6:$K$86,"LOST")+COUNTIFS(Selections!$E$6:$E$86,"Under 3.5",Selections!$K$6:$K$86,"HALF_LOST"))+COUNTIFS(Selections!$E$6:$E$86,"Under 3.5",Selections!$K$6:$K$86,"REFUNDED"))</f>
        <v>0</v>
      </c>
      <c r="H34" s="20">
        <f>IF(((COUNTIFS(Selections!$E$6:$E$86,"Under 3.5",Selections!$K$6:$K$86,"WON")+COUNTIFS(Selections!$E$6:$E$86,"Under 3.5",Selections!$K$6:$K$86,"HALF_WON"))+(COUNTIFS(Selections!$E$6:$E$86,"Under 3.5",Selections!$K$6:$K$86,"LOST")+COUNTIFS(Selections!$E$6:$E$86,"Under 3.5",Selections!$K$6:$K$86,"HALF_LOST"))+COUNTIFS(Selections!$E$6:$E$86,"Under 3.5",Selections!$K$6:$K$86,"REFUNDED"))=0,"n.a.",(COUNTIFS(Selections!$E$6:$E$86,"Under 3.5",Selections!$K$6:$K$86,"WON")+COUNTIFS(Selections!$E$6:$E$86,"Under 3.5",Selections!$K$6:$K$86,"HALF_WON"))/((COUNTIFS(Selections!$E$6:$E$86,"Under 3.5",Selections!$K$6:$K$86,"WON")+COUNTIFS(Selections!$E$6:$E$86,"Under 3.5",Selections!$K$6:$K$86,"HALF_WON"))+(COUNTIFS(Selections!$E$6:$E$86,"Under 3.5",Selections!$K$6:$K$86,"LOST")+COUNTIFS(Selections!$E$6:$E$86,"Under 3.5",Selections!$K$6:$K$86,"HALF_LOST"))+COUNTIFS(Selections!$E$6:$E$86,"Under 3.5",Selections!$K$6:$K$86,"REFUNDED")))</f>
        <v>0.4</v>
      </c>
      <c r="I34" s="22">
        <f>SUMIFS(Selections!$M$6:$M$86,Selections!$E$6:$E$86,"Under 3.5")</f>
        <v>5</v>
      </c>
      <c r="J34" s="22">
        <f>SUMIFS(Selections!$N$6:$N$86,Selections!$E$6:$E$86,"Under 3.5")</f>
        <v>-2.3</v>
      </c>
      <c r="K34" s="20">
        <f>IF(SUMIFS(Selections!$M$6:$M$86,Selections!$E$6:$E$86,"Under 3.5")=0,"n.a.",SUMIFS(Selections!$N$6:$N$86,Selections!$E$6:$E$86,"Under 3.5")/SUMIFS(Selections!$M$6:$M$86,Selections!$E$6:$E$86,"Under 3.5"))</f>
        <v>-0.45999999999999996</v>
      </c>
      <c r="L34" s="21">
        <f>IF(SUMIFS(Selections!$T$6:$T$86,Selections!$E$6:$E$86,"Under 3.5")=0,"n.a.",SUMIFS(Selections!$O$6:$O$86,Selections!$E$6:$E$86,"Under 3.5")/SUMIFS(Selections!$T$6:$T$86,Selections!$E$6:$E$86,"Under 3.5"))</f>
        <v>0.4093699233539641</v>
      </c>
      <c r="M34" s="20">
        <f>IF(SUMIFS(Selections!$T$6:$T$86,Selections!$E$6:$E$86,"Under 3.5")=0,"n.a.",SUMIFS(Selections!$S$6:$S$86,Selections!$E$6:$E$86,"Under 3.5")/SUMIFS(Selections!$T$6:$T$86,Selections!$E$6:$E$86,"Under 3.5"))</f>
        <v>0.8049432015044351</v>
      </c>
      <c r="N34" s="20">
        <f>IF(SUMIFS(Selections!$T$6:$T$86,Selections!$E$6:$E$86,"Under 3.5")=0,"n.a.",(SUMIFS(Selections!$L$6:$L$86,Selections!$E$6:$E$86,"Under 3.5",Selections!$T$6:$T$86,1))/SUMIFS(Selections!$T$6:$T$86,Selections!$E$6:$E$86,"Under 3.5"))</f>
        <v>0.4</v>
      </c>
      <c r="O34" s="20">
        <f>IF(SUMIFS(Selections!$T$6:$T$86,Selections!$E$6:$E$86,"Under 3.5")=0,"n.a.",(SUMIFS(Selections!$S$6:$S$86,Selections!$E$6:$E$86,"Under 3.5")-(SUMIFS(Selections!$L$6:$L$86,Selections!$E$6:$E$86,"Under 3.5",Selections!$T$6:$T$86,1)))/SUMIFS(Selections!$T$6:$T$86,Selections!$E$6:$E$86,"Under 3.5"))</f>
        <v>0.4049432015044351</v>
      </c>
      <c r="P34" s="19">
        <f>SUMIFS(Selections!$T$6:$T$86,Selections!$E$6:$E$86,"Under 3.5")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48h-top-ten-probability-ev-no-under35-v14</t>
        </is>
      </c>
      <c r="C35" s="19">
        <f>COUNTIFS(Selections!$G$6:$G$86,"48h-top-ten-probability-ev-no-under35-v14")</f>
        <v>9</v>
      </c>
      <c r="D35" s="19">
        <f>((COUNTIFS(Selections!$G$6:$G$86,"48h-top-ten-probability-ev-no-under35-v14",Selections!$K$6:$K$86,"WON")+COUNTIFS(Selections!$G$6:$G$86,"48h-top-ten-probability-ev-no-under35-v14",Selections!$K$6:$K$86,"HALF_WON"))+(COUNTIFS(Selections!$G$6:$G$86,"48h-top-ten-probability-ev-no-under35-v14",Selections!$K$6:$K$86,"LOST")+COUNTIFS(Selections!$G$6:$G$86,"48h-top-ten-probability-ev-no-under35-v14",Selections!$K$6:$K$86,"HALF_LOST"))+COUNTIFS(Selections!$G$6:$G$86,"48h-top-ten-probability-ev-no-under35-v14",Selections!$K$6:$K$86,"REFUNDED"))</f>
        <v>8</v>
      </c>
      <c r="E35" s="19">
        <f>(COUNTIFS(Selections!$G$6:$G$86,"48h-top-ten-probability-ev-no-under35-v14",Selections!$K$6:$K$86,"WON")+COUNTIFS(Selections!$G$6:$G$86,"48h-top-ten-probability-ev-no-under35-v14",Selections!$K$6:$K$86,"HALF_WON"))</f>
        <v>6</v>
      </c>
      <c r="F35" s="19">
        <f>(COUNTIFS(Selections!$G$6:$G$86,"48h-top-ten-probability-ev-no-under35-v14",Selections!$K$6:$K$86,"LOST")+COUNTIFS(Selections!$G$6:$G$86,"48h-top-ten-probability-ev-no-under35-v14",Selections!$K$6:$K$86,"HALF_LOST"))</f>
        <v>2</v>
      </c>
      <c r="G35" s="19">
        <f>COUNTIFS(Selections!$G$6:$G$86,"48h-top-ten-probability-ev-no-under35-v14")-((COUNTIFS(Selections!$G$6:$G$86,"48h-top-ten-probability-ev-no-under35-v14",Selections!$K$6:$K$86,"WON")+COUNTIFS(Selections!$G$6:$G$86,"48h-top-ten-probability-ev-no-under35-v14",Selections!$K$6:$K$86,"HALF_WON"))+(COUNTIFS(Selections!$G$6:$G$86,"48h-top-ten-probability-ev-no-under35-v14",Selections!$K$6:$K$86,"LOST")+COUNTIFS(Selections!$G$6:$G$86,"48h-top-ten-probability-ev-no-under35-v14",Selections!$K$6:$K$86,"HALF_LOST"))+COUNTIFS(Selections!$G$6:$G$86,"48h-top-ten-probability-ev-no-under35-v14",Selections!$K$6:$K$86,"REFUNDED"))</f>
        <v>1</v>
      </c>
      <c r="H35" s="20">
        <f>IF(((COUNTIFS(Selections!$G$6:$G$86,"48h-top-ten-probability-ev-no-under35-v14",Selections!$K$6:$K$86,"WON")+COUNTIFS(Selections!$G$6:$G$86,"48h-top-ten-probability-ev-no-under35-v14",Selections!$K$6:$K$86,"HALF_WON"))+(COUNTIFS(Selections!$G$6:$G$86,"48h-top-ten-probability-ev-no-under35-v14",Selections!$K$6:$K$86,"LOST")+COUNTIFS(Selections!$G$6:$G$86,"48h-top-ten-probability-ev-no-under35-v14",Selections!$K$6:$K$86,"HALF_LOST"))+COUNTIFS(Selections!$G$6:$G$86,"48h-top-ten-probability-ev-no-under35-v14",Selections!$K$6:$K$86,"REFUNDED"))=0,"n.a.",(COUNTIFS(Selections!$G$6:$G$86,"48h-top-ten-probability-ev-no-under35-v14",Selections!$K$6:$K$86,"WON")+COUNTIFS(Selections!$G$6:$G$86,"48h-top-ten-probability-ev-no-under35-v14",Selections!$K$6:$K$86,"HALF_WON"))/((COUNTIFS(Selections!$G$6:$G$86,"48h-top-ten-probability-ev-no-under35-v14",Selections!$K$6:$K$86,"WON")+COUNTIFS(Selections!$G$6:$G$86,"48h-top-ten-probability-ev-no-under35-v14",Selections!$K$6:$K$86,"HALF_WON"))+(COUNTIFS(Selections!$G$6:$G$86,"48h-top-ten-probability-ev-no-under35-v14",Selections!$K$6:$K$86,"LOST")+COUNTIFS(Selections!$G$6:$G$86,"48h-top-ten-probability-ev-no-under35-v14",Selections!$K$6:$K$86,"HALF_LOST"))+COUNTIFS(Selections!$G$6:$G$86,"48h-top-ten-probability-ev-no-under35-v14",Selections!$K$6:$K$86,"REFUNDED")))</f>
        <v>0.75</v>
      </c>
      <c r="I35" s="22">
        <f>SUMIFS(Selections!$M$6:$M$86,Selections!$G$6:$G$86,"48h-top-ten-probability-ev-no-under35-v14")</f>
        <v>8</v>
      </c>
      <c r="J35" s="22">
        <f>SUMIFS(Selections!$N$6:$N$86,Selections!$G$6:$G$86,"48h-top-ten-probability-ev-no-under35-v14")</f>
        <v>0.04999999999999982</v>
      </c>
      <c r="K35" s="20">
        <f>IF(SUMIFS(Selections!$M$6:$M$86,Selections!$G$6:$G$86,"48h-top-ten-probability-ev-no-under35-v14")=0,"n.a.",SUMIFS(Selections!$N$6:$N$86,Selections!$G$6:$G$86,"48h-top-ten-probability-ev-no-under35-v14")/SUMIFS(Selections!$M$6:$M$86,Selections!$G$6:$G$86,"48h-top-ten-probability-ev-no-under35-v14"))</f>
        <v>0.006249999999999978</v>
      </c>
      <c r="L35" s="21">
        <f>IF(SUMIFS(Selections!$T$6:$T$86,Selections!$G$6:$G$86,"48h-top-ten-probability-ev-no-under35-v14")=0,"n.a.",SUMIFS(Selections!$O$6:$O$86,Selections!$G$6:$G$86,"48h-top-ten-probability-ev-no-under35-v14")/SUMIFS(Selections!$T$6:$T$86,Selections!$G$6:$G$86,"48h-top-ten-probability-ev-no-under35-v14"))</f>
        <v>0.17867353798981395</v>
      </c>
      <c r="M35" s="20">
        <f>IF(SUMIFS(Selections!$T$6:$T$86,Selections!$G$6:$G$86,"48h-top-ten-probability-ev-no-under35-v14")=0,"n.a.",SUMIFS(Selections!$S$6:$S$86,Selections!$G$6:$G$86,"48h-top-ten-probability-ev-no-under35-v14")/SUMIFS(Selections!$T$6:$T$86,Selections!$G$6:$G$86,"48h-top-ten-probability-ev-no-under35-v14"))</f>
        <v>0.7347857301737204</v>
      </c>
      <c r="N35" s="20">
        <f>IF(SUMIFS(Selections!$T$6:$T$86,Selections!$G$6:$G$86,"48h-top-ten-probability-ev-no-under35-v14")=0,"n.a.",(SUMIFS(Selections!$L$6:$L$86,Selections!$G$6:$G$86,"48h-top-ten-probability-ev-no-under35-v14",Selections!$T$6:$T$86,1))/SUMIFS(Selections!$T$6:$T$86,Selections!$G$6:$G$86,"48h-top-ten-probability-ev-no-under35-v14"))</f>
        <v>0.75</v>
      </c>
      <c r="O35" s="20">
        <f>IF(SUMIFS(Selections!$T$6:$T$86,Selections!$G$6:$G$86,"48h-top-ten-probability-ev-no-under35-v14")=0,"n.a.",(SUMIFS(Selections!$S$6:$S$86,Selections!$G$6:$G$86,"48h-top-ten-probability-ev-no-under35-v14")-(SUMIFS(Selections!$L$6:$L$86,Selections!$G$6:$G$86,"48h-top-ten-probability-ev-no-under35-v14",Selections!$T$6:$T$86,1)))/SUMIFS(Selections!$T$6:$T$86,Selections!$G$6:$G$86,"48h-top-ten-probability-ev-no-under35-v14"))</f>
        <v>-0.015214269826279603</v>
      </c>
      <c r="P35" s="19">
        <f>SUMIFS(Selections!$T$6:$T$86,Selections!$G$6:$G$86,"48h-top-ten-probability-ev-no-under35-v14")</f>
        <v>8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(n=8).</v>
      </c>
      <c r="R35" s="18"/>
    </row>
    <row r="36" ht="36" customHeight="1">
      <c r="A36" s="18" t="inlineStr">
        <is>
          <t>Policy</t>
        </is>
      </c>
      <c r="B36" s="18" t="inlineStr">
        <is>
          <t>48h-top-twelve-probability-ev-no-under35-v15</t>
        </is>
      </c>
      <c r="C36" s="19">
        <f>COUNTIFS(Selections!$G$6:$G$86,"48h-top-twelve-probability-ev-no-under35-v15")</f>
        <v>12</v>
      </c>
      <c r="D36" s="19">
        <f>((COUNTIFS(Selections!$G$6:$G$86,"48h-top-twelve-probability-ev-no-under35-v15",Selections!$K$6:$K$86,"WON")+COUNTIFS(Selections!$G$6:$G$86,"48h-top-twelve-probability-ev-no-under35-v15",Selections!$K$6:$K$86,"HALF_WON"))+(COUNTIFS(Selections!$G$6:$G$86,"48h-top-twelve-probability-ev-no-under35-v15",Selections!$K$6:$K$86,"LOST")+COUNTIFS(Selections!$G$6:$G$86,"48h-top-twelve-probability-ev-no-under35-v15",Selections!$K$6:$K$86,"HALF_LOST"))+COUNTIFS(Selections!$G$6:$G$86,"48h-top-twelve-probability-ev-no-under35-v15",Selections!$K$6:$K$86,"REFUNDED"))</f>
        <v>11</v>
      </c>
      <c r="E36" s="19">
        <f>(COUNTIFS(Selections!$G$6:$G$86,"48h-top-twelve-probability-ev-no-under35-v15",Selections!$K$6:$K$86,"WON")+COUNTIFS(Selections!$G$6:$G$86,"48h-top-twelve-probability-ev-no-under35-v15",Selections!$K$6:$K$86,"HALF_WON"))</f>
        <v>7</v>
      </c>
      <c r="F36" s="19">
        <f>(COUNTIFS(Selections!$G$6:$G$86,"48h-top-twelve-probability-ev-no-under35-v15",Selections!$K$6:$K$86,"LOST")+COUNTIFS(Selections!$G$6:$G$86,"48h-top-twelve-probability-ev-no-under35-v15",Selections!$K$6:$K$86,"HALF_LOST"))</f>
        <v>4</v>
      </c>
      <c r="G36" s="19">
        <f>COUNTIFS(Selections!$G$6:$G$86,"48h-top-twelve-probability-ev-no-under35-v15")-((COUNTIFS(Selections!$G$6:$G$86,"48h-top-twelve-probability-ev-no-under35-v15",Selections!$K$6:$K$86,"WON")+COUNTIFS(Selections!$G$6:$G$86,"48h-top-twelve-probability-ev-no-under35-v15",Selections!$K$6:$K$86,"HALF_WON"))+(COUNTIFS(Selections!$G$6:$G$86,"48h-top-twelve-probability-ev-no-under35-v15",Selections!$K$6:$K$86,"LOST")+COUNTIFS(Selections!$G$6:$G$86,"48h-top-twelve-probability-ev-no-under35-v15",Selections!$K$6:$K$86,"HALF_LOST"))+COUNTIFS(Selections!$G$6:$G$86,"48h-top-twelve-probability-ev-no-under35-v15",Selections!$K$6:$K$86,"REFUNDED"))</f>
        <v>1</v>
      </c>
      <c r="H36" s="20">
        <f>IF(((COUNTIFS(Selections!$G$6:$G$86,"48h-top-twelve-probability-ev-no-under35-v15",Selections!$K$6:$K$86,"WON")+COUNTIFS(Selections!$G$6:$G$86,"48h-top-twelve-probability-ev-no-under35-v15",Selections!$K$6:$K$86,"HALF_WON"))+(COUNTIFS(Selections!$G$6:$G$86,"48h-top-twelve-probability-ev-no-under35-v15",Selections!$K$6:$K$86,"LOST")+COUNTIFS(Selections!$G$6:$G$86,"48h-top-twelve-probability-ev-no-under35-v15",Selections!$K$6:$K$86,"HALF_LOST"))+COUNTIFS(Selections!$G$6:$G$86,"48h-top-twelve-probability-ev-no-under35-v15",Selections!$K$6:$K$86,"REFUNDED"))=0,"n.a.",(COUNTIFS(Selections!$G$6:$G$86,"48h-top-twelve-probability-ev-no-under35-v15",Selections!$K$6:$K$86,"WON")+COUNTIFS(Selections!$G$6:$G$86,"48h-top-twelve-probability-ev-no-under35-v15",Selections!$K$6:$K$86,"HALF_WON"))/((COUNTIFS(Selections!$G$6:$G$86,"48h-top-twelve-probability-ev-no-under35-v15",Selections!$K$6:$K$86,"WON")+COUNTIFS(Selections!$G$6:$G$86,"48h-top-twelve-probability-ev-no-under35-v15",Selections!$K$6:$K$86,"HALF_WON"))+(COUNTIFS(Selections!$G$6:$G$86,"48h-top-twelve-probability-ev-no-under35-v15",Selections!$K$6:$K$86,"LOST")+COUNTIFS(Selections!$G$6:$G$86,"48h-top-twelve-probability-ev-no-under35-v15",Selections!$K$6:$K$86,"HALF_LOST"))+COUNTIFS(Selections!$G$6:$G$86,"48h-top-twelve-probability-ev-no-under35-v15",Selections!$K$6:$K$86,"REFUNDED")))</f>
        <v>0.6363636363636364</v>
      </c>
      <c r="I36" s="22">
        <f>SUMIFS(Selections!$M$6:$M$86,Selections!$G$6:$G$86,"48h-top-twelve-probability-ev-no-under35-v15")</f>
        <v>11</v>
      </c>
      <c r="J36" s="22">
        <f>SUMIFS(Selections!$N$6:$N$86,Selections!$G$6:$G$86,"48h-top-twelve-probability-ev-no-under35-v15")</f>
        <v>-1.3800000000000003</v>
      </c>
      <c r="K36" s="20">
        <f>IF(SUMIFS(Selections!$M$6:$M$86,Selections!$G$6:$G$86,"48h-top-twelve-probability-ev-no-under35-v15")=0,"n.a.",SUMIFS(Selections!$N$6:$N$86,Selections!$G$6:$G$86,"48h-top-twelve-probability-ev-no-under35-v15")/SUMIFS(Selections!$M$6:$M$86,Selections!$G$6:$G$86,"48h-top-twelve-probability-ev-no-under35-v15"))</f>
        <v>-0.12545454545454549</v>
      </c>
      <c r="L36" s="21">
        <f>IF(SUMIFS(Selections!$T$6:$T$86,Selections!$G$6:$G$86,"48h-top-twelve-probability-ev-no-under35-v15")=0,"n.a.",SUMIFS(Selections!$O$6:$O$86,Selections!$G$6:$G$86,"48h-top-twelve-probability-ev-no-under35-v15")/SUMIFS(Selections!$T$6:$T$86,Selections!$G$6:$G$86,"48h-top-twelve-probability-ev-no-under35-v15"))</f>
        <v>0.19421744781096573</v>
      </c>
      <c r="M36" s="20">
        <f>IF(SUMIFS(Selections!$T$6:$T$86,Selections!$G$6:$G$86,"48h-top-twelve-probability-ev-no-under35-v15")=0,"n.a.",SUMIFS(Selections!$S$6:$S$86,Selections!$G$6:$G$86,"48h-top-twelve-probability-ev-no-under35-v15")/SUMIFS(Selections!$T$6:$T$86,Selections!$G$6:$G$86,"48h-top-twelve-probability-ev-no-under35-v15"))</f>
        <v>0.7256811914176179</v>
      </c>
      <c r="N36" s="20">
        <f>IF(SUMIFS(Selections!$T$6:$T$86,Selections!$G$6:$G$86,"48h-top-twelve-probability-ev-no-under35-v15")=0,"n.a.",(SUMIFS(Selections!$L$6:$L$86,Selections!$G$6:$G$86,"48h-top-twelve-probability-ev-no-under35-v15",Selections!$T$6:$T$86,1))/SUMIFS(Selections!$T$6:$T$86,Selections!$G$6:$G$86,"48h-top-twelve-probability-ev-no-under35-v15"))</f>
        <v>0.6363636363636364</v>
      </c>
      <c r="O36" s="20">
        <f>IF(SUMIFS(Selections!$T$6:$T$86,Selections!$G$6:$G$86,"48h-top-twelve-probability-ev-no-under35-v15")=0,"n.a.",(SUMIFS(Selections!$S$6:$S$86,Selections!$G$6:$G$86,"48h-top-twelve-probability-ev-no-under35-v15")-(SUMIFS(Selections!$L$6:$L$86,Selections!$G$6:$G$86,"48h-top-twelve-probability-ev-no-under35-v15",Selections!$T$6:$T$86,1)))/SUMIFS(Selections!$T$6:$T$86,Selections!$G$6:$G$86,"48h-top-twelve-probability-ev-no-under35-v15"))</f>
        <v>0.08931755505398153</v>
      </c>
      <c r="P36" s="19">
        <f>SUMIFS(Selections!$T$6:$T$86,Selections!$G$6:$G$86,"48h-top-twelve-probability-ev-no-under35-v15")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48h-top-twelve-profitable-win-probability-v23</t>
        </is>
      </c>
      <c r="C37" s="19">
        <f>COUNTIFS(Selections!$G$6:$G$86,"48h-top-twelve-profitable-win-probability-v23")</f>
        <v>1</v>
      </c>
      <c r="D37" s="19">
        <f>((COUNTIFS(Selections!$G$6:$G$86,"48h-top-twelve-profitable-win-probability-v23",Selections!$K$6:$K$86,"WON")+COUNTIFS(Selections!$G$6:$G$86,"48h-top-twelve-profitable-win-probability-v23",Selections!$K$6:$K$86,"HALF_WON"))+(COUNTIFS(Selections!$G$6:$G$86,"48h-top-twelve-profitable-win-probability-v23",Selections!$K$6:$K$86,"LOST")+COUNTIFS(Selections!$G$6:$G$86,"48h-top-twelve-profitable-win-probability-v23",Selections!$K$6:$K$86,"HALF_LOST"))+COUNTIFS(Selections!$G$6:$G$86,"48h-top-twelve-profitable-win-probability-v23",Selections!$K$6:$K$86,"REFUNDED"))</f>
        <v>0</v>
      </c>
      <c r="E37" s="19">
        <f>(COUNTIFS(Selections!$G$6:$G$86,"48h-top-twelve-profitable-win-probability-v23",Selections!$K$6:$K$86,"WON")+COUNTIFS(Selections!$G$6:$G$86,"48h-top-twelve-profitable-win-probability-v23",Selections!$K$6:$K$86,"HALF_WON"))</f>
        <v>0</v>
      </c>
      <c r="F37" s="19">
        <f>(COUNTIFS(Selections!$G$6:$G$86,"48h-top-twelve-profitable-win-probability-v23",Selections!$K$6:$K$86,"LOST")+COUNTIFS(Selections!$G$6:$G$86,"48h-top-twelve-profitable-win-probability-v23",Selections!$K$6:$K$86,"HALF_LOST"))</f>
        <v>0</v>
      </c>
      <c r="G37" s="19">
        <f>COUNTIFS(Selections!$G$6:$G$86,"48h-top-twelve-profitable-win-probability-v23")-((COUNTIFS(Selections!$G$6:$G$86,"48h-top-twelve-profitable-win-probability-v23",Selections!$K$6:$K$86,"WON")+COUNTIFS(Selections!$G$6:$G$86,"48h-top-twelve-profitable-win-probability-v23",Selections!$K$6:$K$86,"HALF_WON"))+(COUNTIFS(Selections!$G$6:$G$86,"48h-top-twelve-profitable-win-probability-v23",Selections!$K$6:$K$86,"LOST")+COUNTIFS(Selections!$G$6:$G$86,"48h-top-twelve-profitable-win-probability-v23",Selections!$K$6:$K$86,"HALF_LOST"))+COUNTIFS(Selections!$G$6:$G$86,"48h-top-twelve-profitable-win-probability-v23",Selections!$K$6:$K$86,"REFUNDED"))</f>
        <v>1</v>
      </c>
      <c r="H37" s="20" t="str">
        <f>IF(((COUNTIFS(Selections!$G$6:$G$86,"48h-top-twelve-profitable-win-probability-v23",Selections!$K$6:$K$86,"WON")+COUNTIFS(Selections!$G$6:$G$86,"48h-top-twelve-profitable-win-probability-v23",Selections!$K$6:$K$86,"HALF_WON"))+(COUNTIFS(Selections!$G$6:$G$86,"48h-top-twelve-profitable-win-probability-v23",Selections!$K$6:$K$86,"LOST")+COUNTIFS(Selections!$G$6:$G$86,"48h-top-twelve-profitable-win-probability-v23",Selections!$K$6:$K$86,"HALF_LOST"))+COUNTIFS(Selections!$G$6:$G$86,"48h-top-twelve-profitable-win-probability-v23",Selections!$K$6:$K$86,"REFUNDED"))=0,"n.a.",(COUNTIFS(Selections!$G$6:$G$86,"48h-top-twelve-profitable-win-probability-v23",Selections!$K$6:$K$86,"WON")+COUNTIFS(Selections!$G$6:$G$86,"48h-top-twelve-profitable-win-probability-v23",Selections!$K$6:$K$86,"HALF_WON"))/((COUNTIFS(Selections!$G$6:$G$86,"48h-top-twelve-profitable-win-probability-v23",Selections!$K$6:$K$86,"WON")+COUNTIFS(Selections!$G$6:$G$86,"48h-top-twelve-profitable-win-probability-v23",Selections!$K$6:$K$86,"HALF_WON"))+(COUNTIFS(Selections!$G$6:$G$86,"48h-top-twelve-profitable-win-probability-v23",Selections!$K$6:$K$86,"LOST")+COUNTIFS(Selections!$G$6:$G$86,"48h-top-twelve-profitable-win-probability-v23",Selections!$K$6:$K$86,"HALF_LOST"))+COUNTIFS(Selections!$G$6:$G$86,"48h-top-twelve-profitable-win-probability-v23",Selections!$K$6:$K$86,"REFUNDED")))</f>
        <v>n.a.</v>
      </c>
      <c r="I37" s="22">
        <f>SUMIFS(Selections!$M$6:$M$86,Selections!$G$6:$G$86,"48h-top-twelve-profitable-win-probability-v23")</f>
        <v>0</v>
      </c>
      <c r="J37" s="22">
        <f>SUMIFS(Selections!$N$6:$N$86,Selections!$G$6:$G$86,"48h-top-twelve-profitable-win-probability-v23")</f>
        <v>0</v>
      </c>
      <c r="K37" s="20" t="str">
        <f>IF(SUMIFS(Selections!$M$6:$M$86,Selections!$G$6:$G$86,"48h-top-twelve-profitable-win-probability-v23")=0,"n.a.",SUMIFS(Selections!$N$6:$N$86,Selections!$G$6:$G$86,"48h-top-twelve-profitable-win-probability-v23")/SUMIFS(Selections!$M$6:$M$86,Selections!$G$6:$G$86,"48h-top-twelve-profitable-win-probability-v23"))</f>
        <v>n.a.</v>
      </c>
      <c r="L37" s="21" t="str">
        <f>IF(SUMIFS(Selections!$T$6:$T$86,Selections!$G$6:$G$86,"48h-top-twelve-profitable-win-probability-v23")=0,"n.a.",SUMIFS(Selections!$O$6:$O$86,Selections!$G$6:$G$86,"48h-top-twelve-profitable-win-probability-v23")/SUMIFS(Selections!$T$6:$T$86,Selections!$G$6:$G$86,"48h-top-twelve-profitable-win-probability-v23"))</f>
        <v>n.a.</v>
      </c>
      <c r="M37" s="20" t="str">
        <f>IF(SUMIFS(Selections!$T$6:$T$86,Selections!$G$6:$G$86,"48h-top-twelve-profitable-win-probability-v23")=0,"n.a.",SUMIFS(Selections!$S$6:$S$86,Selections!$G$6:$G$86,"48h-top-twelve-profitable-win-probability-v23")/SUMIFS(Selections!$T$6:$T$86,Selections!$G$6:$G$86,"48h-top-twelve-profitable-win-probability-v23"))</f>
        <v>n.a.</v>
      </c>
      <c r="N37" s="20" t="str">
        <f>IF(SUMIFS(Selections!$T$6:$T$86,Selections!$G$6:$G$86,"48h-top-twelve-profitable-win-probability-v23")=0,"n.a.",(SUMIFS(Selections!$L$6:$L$86,Selections!$G$6:$G$86,"48h-top-twelve-profitable-win-probability-v23",Selections!$T$6:$T$86,1))/SUMIFS(Selections!$T$6:$T$86,Selections!$G$6:$G$86,"48h-top-twelve-profitable-win-probability-v23"))</f>
        <v>n.a.</v>
      </c>
      <c r="O37" s="20" t="str">
        <f>IF(SUMIFS(Selections!$T$6:$T$86,Selections!$G$6:$G$86,"48h-top-twelve-profitable-win-probability-v23")=0,"n.a.",(SUMIFS(Selections!$S$6:$S$86,Selections!$G$6:$G$86,"48h-top-twelve-profitable-win-probability-v23")-(SUMIFS(Selections!$L$6:$L$86,Selections!$G$6:$G$86,"48h-top-twelve-profitable-win-probability-v23",Selections!$T$6:$T$86,1)))/SUMIFS(Selections!$T$6:$T$86,Selections!$G$6:$G$86,"48h-top-twelve-profitable-win-probability-v23"))</f>
        <v>n.a.</v>
      </c>
      <c r="P37" s="19">
        <f>SUMIFS(Selections!$T$6:$T$86,Selections!$G$6:$G$86,"48h-top-twelve-profitable-win-probability-v23")</f>
        <v>0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(n=0).</v>
      </c>
      <c r="R37" s="18"/>
    </row>
    <row r="38" ht="36" customHeight="1">
      <c r="A38" s="18" t="inlineStr">
        <is>
          <t>Policy</t>
        </is>
      </c>
      <c r="B38" s="18" t="inlineStr">
        <is>
          <t>48h-two-per-market-group-probability-ev-corners-cards-v25</t>
        </is>
      </c>
      <c r="C38" s="19">
        <f>COUNTIFS(Selections!$G$6:$G$86,"48h-two-per-market-group-probability-ev-corners-cards-v25")</f>
        <v>16</v>
      </c>
      <c r="D38" s="19">
        <f>((COUNTIFS(Selections!$G$6:$G$86,"48h-two-per-market-group-probability-ev-corners-cards-v25",Selections!$K$6:$K$86,"WON")+COUNTIFS(Selections!$G$6:$G$86,"48h-two-per-market-group-probability-ev-corners-cards-v25",Selections!$K$6:$K$86,"HALF_WON"))+(COUNTIFS(Selections!$G$6:$G$86,"48h-two-per-market-group-probability-ev-corners-cards-v25",Selections!$K$6:$K$86,"LOST")+COUNTIFS(Selections!$G$6:$G$86,"48h-two-per-market-group-probability-ev-corners-cards-v25",Selections!$K$6:$K$86,"HALF_LOST"))+COUNTIFS(Selections!$G$6:$G$86,"48h-two-per-market-group-probability-ev-corners-cards-v25",Selections!$K$6:$K$86,"REFUNDED"))</f>
        <v>12</v>
      </c>
      <c r="E38" s="19">
        <f>(COUNTIFS(Selections!$G$6:$G$86,"48h-two-per-market-group-probability-ev-corners-cards-v25",Selections!$K$6:$K$86,"WON")+COUNTIFS(Selections!$G$6:$G$86,"48h-two-per-market-group-probability-ev-corners-cards-v25",Selections!$K$6:$K$86,"HALF_WON"))</f>
        <v>9</v>
      </c>
      <c r="F38" s="19">
        <f>(COUNTIFS(Selections!$G$6:$G$86,"48h-two-per-market-group-probability-ev-corners-cards-v25",Selections!$K$6:$K$86,"LOST")+COUNTIFS(Selections!$G$6:$G$86,"48h-two-per-market-group-probability-ev-corners-cards-v25",Selections!$K$6:$K$86,"HALF_LOST"))</f>
        <v>3</v>
      </c>
      <c r="G38" s="19">
        <f>COUNTIFS(Selections!$G$6:$G$86,"48h-two-per-market-group-probability-ev-corners-cards-v25")-((COUNTIFS(Selections!$G$6:$G$86,"48h-two-per-market-group-probability-ev-corners-cards-v25",Selections!$K$6:$K$86,"WON")+COUNTIFS(Selections!$G$6:$G$86,"48h-two-per-market-group-probability-ev-corners-cards-v25",Selections!$K$6:$K$86,"HALF_WON"))+(COUNTIFS(Selections!$G$6:$G$86,"48h-two-per-market-group-probability-ev-corners-cards-v25",Selections!$K$6:$K$86,"LOST")+COUNTIFS(Selections!$G$6:$G$86,"48h-two-per-market-group-probability-ev-corners-cards-v25",Selections!$K$6:$K$86,"HALF_LOST"))+COUNTIFS(Selections!$G$6:$G$86,"48h-two-per-market-group-probability-ev-corners-cards-v25",Selections!$K$6:$K$86,"REFUNDED"))</f>
        <v>4</v>
      </c>
      <c r="H38" s="20">
        <f>IF(((COUNTIFS(Selections!$G$6:$G$86,"48h-two-per-market-group-probability-ev-corners-cards-v25",Selections!$K$6:$K$86,"WON")+COUNTIFS(Selections!$G$6:$G$86,"48h-two-per-market-group-probability-ev-corners-cards-v25",Selections!$K$6:$K$86,"HALF_WON"))+(COUNTIFS(Selections!$G$6:$G$86,"48h-two-per-market-group-probability-ev-corners-cards-v25",Selections!$K$6:$K$86,"LOST")+COUNTIFS(Selections!$G$6:$G$86,"48h-two-per-market-group-probability-ev-corners-cards-v25",Selections!$K$6:$K$86,"HALF_LOST"))+COUNTIFS(Selections!$G$6:$G$86,"48h-two-per-market-group-probability-ev-corners-cards-v25",Selections!$K$6:$K$86,"REFUNDED"))=0,"n.a.",(COUNTIFS(Selections!$G$6:$G$86,"48h-two-per-market-group-probability-ev-corners-cards-v25",Selections!$K$6:$K$86,"WON")+COUNTIFS(Selections!$G$6:$G$86,"48h-two-per-market-group-probability-ev-corners-cards-v25",Selections!$K$6:$K$86,"HALF_WON"))/((COUNTIFS(Selections!$G$6:$G$86,"48h-two-per-market-group-probability-ev-corners-cards-v25",Selections!$K$6:$K$86,"WON")+COUNTIFS(Selections!$G$6:$G$86,"48h-two-per-market-group-probability-ev-corners-cards-v25",Selections!$K$6:$K$86,"HALF_WON"))+(COUNTIFS(Selections!$G$6:$G$86,"48h-two-per-market-group-probability-ev-corners-cards-v25",Selections!$K$6:$K$86,"LOST")+COUNTIFS(Selections!$G$6:$G$86,"48h-two-per-market-group-probability-ev-corners-cards-v25",Selections!$K$6:$K$86,"HALF_LOST"))+COUNTIFS(Selections!$G$6:$G$86,"48h-two-per-market-group-probability-ev-corners-cards-v25",Selections!$K$6:$K$86,"REFUNDED")))</f>
        <v>0.75</v>
      </c>
      <c r="I38" s="22">
        <f>SUMIFS(Selections!$M$6:$M$86,Selections!$G$6:$G$86,"48h-two-per-market-group-probability-ev-corners-cards-v25")</f>
        <v>12</v>
      </c>
      <c r="J38" s="22">
        <f>SUMIFS(Selections!$N$6:$N$86,Selections!$G$6:$G$86,"48h-two-per-market-group-probability-ev-corners-cards-v25")</f>
        <v>0.45999999999999974</v>
      </c>
      <c r="K38" s="20">
        <f>IF(SUMIFS(Selections!$M$6:$M$86,Selections!$G$6:$G$86,"48h-two-per-market-group-probability-ev-corners-cards-v25")=0,"n.a.",SUMIFS(Selections!$N$6:$N$86,Selections!$G$6:$G$86,"48h-two-per-market-group-probability-ev-corners-cards-v25")/SUMIFS(Selections!$M$6:$M$86,Selections!$G$6:$G$86,"48h-two-per-market-group-probability-ev-corners-cards-v25"))</f>
        <v>0.03833333333333331</v>
      </c>
      <c r="L38" s="21">
        <f>IF(SUMIFS(Selections!$T$6:$T$86,Selections!$G$6:$G$86,"48h-two-per-market-group-probability-ev-corners-cards-v25")=0,"n.a.",SUMIFS(Selections!$O$6:$O$86,Selections!$G$6:$G$86,"48h-two-per-market-group-probability-ev-corners-cards-v25")/SUMIFS(Selections!$T$6:$T$86,Selections!$G$6:$G$86,"48h-two-per-market-group-probability-ev-corners-cards-v25"))</f>
        <v>0.13045944850654306</v>
      </c>
      <c r="M38" s="20">
        <f>IF(SUMIFS(Selections!$T$6:$T$86,Selections!$G$6:$G$86,"48h-two-per-market-group-probability-ev-corners-cards-v25")=0,"n.a.",SUMIFS(Selections!$S$6:$S$86,Selections!$G$6:$G$86,"48h-two-per-market-group-probability-ev-corners-cards-v25")/SUMIFS(Selections!$T$6:$T$86,Selections!$G$6:$G$86,"48h-two-per-market-group-probability-ev-corners-cards-v25"))</f>
        <v>0.7093136666437047</v>
      </c>
      <c r="N38" s="20">
        <f>IF(SUMIFS(Selections!$T$6:$T$86,Selections!$G$6:$G$86,"48h-two-per-market-group-probability-ev-corners-cards-v25")=0,"n.a.",(SUMIFS(Selections!$L$6:$L$86,Selections!$G$6:$G$86,"48h-two-per-market-group-probability-ev-corners-cards-v25",Selections!$T$6:$T$86,1))/SUMIFS(Selections!$T$6:$T$86,Selections!$G$6:$G$86,"48h-two-per-market-group-probability-ev-corners-cards-v25"))</f>
        <v>0.75</v>
      </c>
      <c r="O38" s="20">
        <f>IF(SUMIFS(Selections!$T$6:$T$86,Selections!$G$6:$G$86,"48h-two-per-market-group-probability-ev-corners-cards-v25")=0,"n.a.",(SUMIFS(Selections!$S$6:$S$86,Selections!$G$6:$G$86,"48h-two-per-market-group-probability-ev-corners-cards-v25")-(SUMIFS(Selections!$L$6:$L$86,Selections!$G$6:$G$86,"48h-two-per-market-group-probability-ev-corners-cards-v25",Selections!$T$6:$T$86,1)))/SUMIFS(Selections!$T$6:$T$86,Selections!$G$6:$G$86,"48h-two-per-market-group-probability-ev-corners-cards-v25"))</f>
        <v>-0.040686333356295346</v>
      </c>
      <c r="P38" s="19">
        <f>SUMIFS(Selections!$T$6:$T$86,Selections!$G$6:$G$86,"48h-two-per-market-group-probability-ev-corners-cards-v25")</f>
        <v>12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(n=12).</v>
      </c>
      <c r="R38" s="18"/>
    </row>
    <row r="39" ht="36" customHeight="1">
      <c r="A39" s="18" t="inlineStr">
        <is>
          <t>Policy</t>
        </is>
      </c>
      <c r="B39" s="18" t="inlineStr">
        <is>
          <t>48h-two-per-market-group-probability-ev-v24</t>
        </is>
      </c>
      <c r="C39" s="19">
        <f>COUNTIFS(Selections!$G$6:$G$86,"48h-two-per-market-group-probability-ev-v24")</f>
        <v>4</v>
      </c>
      <c r="D39" s="19">
        <f>((COUNTIFS(Selections!$G$6:$G$86,"48h-two-per-market-group-probability-ev-v24",Selections!$K$6:$K$86,"WON")+COUNTIFS(Selections!$G$6:$G$86,"48h-two-per-market-group-probability-ev-v24",Selections!$K$6:$K$86,"HALF_WON"))+(COUNTIFS(Selections!$G$6:$G$86,"48h-two-per-market-group-probability-ev-v24",Selections!$K$6:$K$86,"LOST")+COUNTIFS(Selections!$G$6:$G$86,"48h-two-per-market-group-probability-ev-v24",Selections!$K$6:$K$86,"HALF_LOST"))+COUNTIFS(Selections!$G$6:$G$86,"48h-two-per-market-group-probability-ev-v24",Selections!$K$6:$K$86,"REFUNDED"))</f>
        <v>3</v>
      </c>
      <c r="E39" s="19">
        <f>(COUNTIFS(Selections!$G$6:$G$86,"48h-two-per-market-group-probability-ev-v24",Selections!$K$6:$K$86,"WON")+COUNTIFS(Selections!$G$6:$G$86,"48h-two-per-market-group-probability-ev-v24",Selections!$K$6:$K$86,"HALF_WON"))</f>
        <v>2</v>
      </c>
      <c r="F39" s="19">
        <f>(COUNTIFS(Selections!$G$6:$G$86,"48h-two-per-market-group-probability-ev-v24",Selections!$K$6:$K$86,"LOST")+COUNTIFS(Selections!$G$6:$G$86,"48h-two-per-market-group-probability-ev-v24",Selections!$K$6:$K$86,"HALF_LOST"))</f>
        <v>1</v>
      </c>
      <c r="G39" s="19">
        <f>COUNTIFS(Selections!$G$6:$G$86,"48h-two-per-market-group-probability-ev-v24")-((COUNTIFS(Selections!$G$6:$G$86,"48h-two-per-market-group-probability-ev-v24",Selections!$K$6:$K$86,"WON")+COUNTIFS(Selections!$G$6:$G$86,"48h-two-per-market-group-probability-ev-v24",Selections!$K$6:$K$86,"HALF_WON"))+(COUNTIFS(Selections!$G$6:$G$86,"48h-two-per-market-group-probability-ev-v24",Selections!$K$6:$K$86,"LOST")+COUNTIFS(Selections!$G$6:$G$86,"48h-two-per-market-group-probability-ev-v24",Selections!$K$6:$K$86,"HALF_LOST"))+COUNTIFS(Selections!$G$6:$G$86,"48h-two-per-market-group-probability-ev-v24",Selections!$K$6:$K$86,"REFUNDED"))</f>
        <v>1</v>
      </c>
      <c r="H39" s="20">
        <f>IF(((COUNTIFS(Selections!$G$6:$G$86,"48h-two-per-market-group-probability-ev-v24",Selections!$K$6:$K$86,"WON")+COUNTIFS(Selections!$G$6:$G$86,"48h-two-per-market-group-probability-ev-v24",Selections!$K$6:$K$86,"HALF_WON"))+(COUNTIFS(Selections!$G$6:$G$86,"48h-two-per-market-group-probability-ev-v24",Selections!$K$6:$K$86,"LOST")+COUNTIFS(Selections!$G$6:$G$86,"48h-two-per-market-group-probability-ev-v24",Selections!$K$6:$K$86,"HALF_LOST"))+COUNTIFS(Selections!$G$6:$G$86,"48h-two-per-market-group-probability-ev-v24",Selections!$K$6:$K$86,"REFUNDED"))=0,"n.a.",(COUNTIFS(Selections!$G$6:$G$86,"48h-two-per-market-group-probability-ev-v24",Selections!$K$6:$K$86,"WON")+COUNTIFS(Selections!$G$6:$G$86,"48h-two-per-market-group-probability-ev-v24",Selections!$K$6:$K$86,"HALF_WON"))/((COUNTIFS(Selections!$G$6:$G$86,"48h-two-per-market-group-probability-ev-v24",Selections!$K$6:$K$86,"WON")+COUNTIFS(Selections!$G$6:$G$86,"48h-two-per-market-group-probability-ev-v24",Selections!$K$6:$K$86,"HALF_WON"))+(COUNTIFS(Selections!$G$6:$G$86,"48h-two-per-market-group-probability-ev-v24",Selections!$K$6:$K$86,"LOST")+COUNTIFS(Selections!$G$6:$G$86,"48h-two-per-market-group-probability-ev-v24",Selections!$K$6:$K$86,"HALF_LOST"))+COUNTIFS(Selections!$G$6:$G$86,"48h-two-per-market-group-probability-ev-v24",Selections!$K$6:$K$86,"REFUNDED")))</f>
        <v>0.6666666666666666</v>
      </c>
      <c r="I39" s="22">
        <f>SUMIFS(Selections!$M$6:$M$86,Selections!$G$6:$G$86,"48h-two-per-market-group-probability-ev-v24")</f>
        <v>3</v>
      </c>
      <c r="J39" s="22">
        <f>SUMIFS(Selections!$N$6:$N$86,Selections!$G$6:$G$86,"48h-two-per-market-group-probability-ev-v24")</f>
        <v>0.6200000000000001</v>
      </c>
      <c r="K39" s="20">
        <f>IF(SUMIFS(Selections!$M$6:$M$86,Selections!$G$6:$G$86,"48h-two-per-market-group-probability-ev-v24")=0,"n.a.",SUMIFS(Selections!$N$6:$N$86,Selections!$G$6:$G$86,"48h-two-per-market-group-probability-ev-v24")/SUMIFS(Selections!$M$6:$M$86,Selections!$G$6:$G$86,"48h-two-per-market-group-probability-ev-v24"))</f>
        <v>0.2066666666666667</v>
      </c>
      <c r="L39" s="21">
        <f>IF(SUMIFS(Selections!$T$6:$T$86,Selections!$G$6:$G$86,"48h-two-per-market-group-probability-ev-v24")=0,"n.a.",SUMIFS(Selections!$O$6:$O$86,Selections!$G$6:$G$86,"48h-two-per-market-group-probability-ev-v24")/SUMIFS(Selections!$T$6:$T$86,Selections!$G$6:$G$86,"48h-two-per-market-group-probability-ev-v24"))</f>
        <v>0.23207082865311845</v>
      </c>
      <c r="M39" s="20">
        <f>IF(SUMIFS(Selections!$T$6:$T$86,Selections!$G$6:$G$86,"48h-two-per-market-group-probability-ev-v24")=0,"n.a.",SUMIFS(Selections!$S$6:$S$86,Selections!$G$6:$G$86,"48h-two-per-market-group-probability-ev-v24")/SUMIFS(Selections!$T$6:$T$86,Selections!$G$6:$G$86,"48h-two-per-market-group-probability-ev-v24"))</f>
        <v>0.5372089614736306</v>
      </c>
      <c r="N39" s="20">
        <f>IF(SUMIFS(Selections!$T$6:$T$86,Selections!$G$6:$G$86,"48h-two-per-market-group-probability-ev-v24")=0,"n.a.",(SUMIFS(Selections!$L$6:$L$86,Selections!$G$6:$G$86,"48h-two-per-market-group-probability-ev-v24",Selections!$T$6:$T$86,1))/SUMIFS(Selections!$T$6:$T$86,Selections!$G$6:$G$86,"48h-two-per-market-group-probability-ev-v24"))</f>
        <v>0.6666666666666666</v>
      </c>
      <c r="O39" s="20">
        <f>IF(SUMIFS(Selections!$T$6:$T$86,Selections!$G$6:$G$86,"48h-two-per-market-group-probability-ev-v24")=0,"n.a.",(SUMIFS(Selections!$S$6:$S$86,Selections!$G$6:$G$86,"48h-two-per-market-group-probability-ev-v24")-(SUMIFS(Selections!$L$6:$L$86,Selections!$G$6:$G$86,"48h-two-per-market-group-probability-ev-v24",Selections!$T$6:$T$86,1)))/SUMIFS(Selections!$T$6:$T$86,Selections!$G$6:$G$86,"48h-two-per-market-group-probability-ev-v24"))</f>
        <v>-0.129457705193036</v>
      </c>
      <c r="P39" s="19">
        <f>SUMIFS(Selections!$T$6:$T$86,Selections!$G$6:$G$86,"48h-two-per-market-group-probability-ev-v24")</f>
        <v>3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(n=3).</v>
      </c>
      <c r="R39" s="18"/>
    </row>
    <row r="40" ht="36" customHeight="1">
      <c r="A40" s="18" t="inlineStr">
        <is>
          <t>Policy</t>
        </is>
      </c>
      <c r="B40" s="18" t="inlineStr">
        <is>
          <t>48h-zero-tolerance-ev05-no-loss75-corners-v26</t>
        </is>
      </c>
      <c r="C40" s="19">
        <f>COUNTIFS(Selections!$G$6:$G$86,"48h-zero-tolerance-ev05-no-loss75-corners-v26")</f>
        <v>10</v>
      </c>
      <c r="D40" s="19">
        <f>((COUNTIFS(Selections!$G$6:$G$86,"48h-zero-tolerance-ev05-no-loss75-corners-v26",Selections!$K$6:$K$86,"WON")+COUNTIFS(Selections!$G$6:$G$86,"48h-zero-tolerance-ev05-no-loss75-corners-v26",Selections!$K$6:$K$86,"HALF_WON"))+(COUNTIFS(Selections!$G$6:$G$86,"48h-zero-tolerance-ev05-no-loss75-corners-v26",Selections!$K$6:$K$86,"LOST")+COUNTIFS(Selections!$G$6:$G$86,"48h-zero-tolerance-ev05-no-loss75-corners-v26",Selections!$K$6:$K$86,"HALF_LOST"))+COUNTIFS(Selections!$G$6:$G$86,"48h-zero-tolerance-ev05-no-loss75-corners-v26",Selections!$K$6:$K$86,"REFUNDED"))</f>
        <v>2</v>
      </c>
      <c r="E40" s="19">
        <f>(COUNTIFS(Selections!$G$6:$G$86,"48h-zero-tolerance-ev05-no-loss75-corners-v26",Selections!$K$6:$K$86,"WON")+COUNTIFS(Selections!$G$6:$G$86,"48h-zero-tolerance-ev05-no-loss75-corners-v26",Selections!$K$6:$K$86,"HALF_WON"))</f>
        <v>1</v>
      </c>
      <c r="F40" s="19">
        <f>(COUNTIFS(Selections!$G$6:$G$86,"48h-zero-tolerance-ev05-no-loss75-corners-v26",Selections!$K$6:$K$86,"LOST")+COUNTIFS(Selections!$G$6:$G$86,"48h-zero-tolerance-ev05-no-loss75-corners-v26",Selections!$K$6:$K$86,"HALF_LOST"))</f>
        <v>0</v>
      </c>
      <c r="G40" s="19">
        <f>COUNTIFS(Selections!$G$6:$G$86,"48h-zero-tolerance-ev05-no-loss75-corners-v26")-((COUNTIFS(Selections!$G$6:$G$86,"48h-zero-tolerance-ev05-no-loss75-corners-v26",Selections!$K$6:$K$86,"WON")+COUNTIFS(Selections!$G$6:$G$86,"48h-zero-tolerance-ev05-no-loss75-corners-v26",Selections!$K$6:$K$86,"HALF_WON"))+(COUNTIFS(Selections!$G$6:$G$86,"48h-zero-tolerance-ev05-no-loss75-corners-v26",Selections!$K$6:$K$86,"LOST")+COUNTIFS(Selections!$G$6:$G$86,"48h-zero-tolerance-ev05-no-loss75-corners-v26",Selections!$K$6:$K$86,"HALF_LOST"))+COUNTIFS(Selections!$G$6:$G$86,"48h-zero-tolerance-ev05-no-loss75-corners-v26",Selections!$K$6:$K$86,"REFUNDED"))</f>
        <v>8</v>
      </c>
      <c r="H40" s="20">
        <f>IF(((COUNTIFS(Selections!$G$6:$G$86,"48h-zero-tolerance-ev05-no-loss75-corners-v26",Selections!$K$6:$K$86,"WON")+COUNTIFS(Selections!$G$6:$G$86,"48h-zero-tolerance-ev05-no-loss75-corners-v26",Selections!$K$6:$K$86,"HALF_WON"))+(COUNTIFS(Selections!$G$6:$G$86,"48h-zero-tolerance-ev05-no-loss75-corners-v26",Selections!$K$6:$K$86,"LOST")+COUNTIFS(Selections!$G$6:$G$86,"48h-zero-tolerance-ev05-no-loss75-corners-v26",Selections!$K$6:$K$86,"HALF_LOST"))+COUNTIFS(Selections!$G$6:$G$86,"48h-zero-tolerance-ev05-no-loss75-corners-v26",Selections!$K$6:$K$86,"REFUNDED"))=0,"n.a.",(COUNTIFS(Selections!$G$6:$G$86,"48h-zero-tolerance-ev05-no-loss75-corners-v26",Selections!$K$6:$K$86,"WON")+COUNTIFS(Selections!$G$6:$G$86,"48h-zero-tolerance-ev05-no-loss75-corners-v26",Selections!$K$6:$K$86,"HALF_WON"))/((COUNTIFS(Selections!$G$6:$G$86,"48h-zero-tolerance-ev05-no-loss75-corners-v26",Selections!$K$6:$K$86,"WON")+COUNTIFS(Selections!$G$6:$G$86,"48h-zero-tolerance-ev05-no-loss75-corners-v26",Selections!$K$6:$K$86,"HALF_WON"))+(COUNTIFS(Selections!$G$6:$G$86,"48h-zero-tolerance-ev05-no-loss75-corners-v26",Selections!$K$6:$K$86,"LOST")+COUNTIFS(Selections!$G$6:$G$86,"48h-zero-tolerance-ev05-no-loss75-corners-v26",Selections!$K$6:$K$86,"HALF_LOST"))+COUNTIFS(Selections!$G$6:$G$86,"48h-zero-tolerance-ev05-no-loss75-corners-v26",Selections!$K$6:$K$86,"REFUNDED")))</f>
        <v>0.5</v>
      </c>
      <c r="I40" s="22">
        <f>SUMIFS(Selections!$M$6:$M$86,Selections!$G$6:$G$86,"48h-zero-tolerance-ev05-no-loss75-corners-v26")</f>
        <v>2</v>
      </c>
      <c r="J40" s="22">
        <f>SUMIFS(Selections!$N$6:$N$86,Selections!$G$6:$G$86,"48h-zero-tolerance-ev05-no-loss75-corners-v26")</f>
        <v>0.34</v>
      </c>
      <c r="K40" s="20">
        <f>IF(SUMIFS(Selections!$M$6:$M$86,Selections!$G$6:$G$86,"48h-zero-tolerance-ev05-no-loss75-corners-v26")=0,"n.a.",SUMIFS(Selections!$N$6:$N$86,Selections!$G$6:$G$86,"48h-zero-tolerance-ev05-no-loss75-corners-v26")/SUMIFS(Selections!$M$6:$M$86,Selections!$G$6:$G$86,"48h-zero-tolerance-ev05-no-loss75-corners-v26"))</f>
        <v>0.17</v>
      </c>
      <c r="L40" s="21">
        <f>IF(SUMIFS(Selections!$T$6:$T$86,Selections!$G$6:$G$86,"48h-zero-tolerance-ev05-no-loss75-corners-v26")=0,"n.a.",SUMIFS(Selections!$O$6:$O$86,Selections!$G$6:$G$86,"48h-zero-tolerance-ev05-no-loss75-corners-v26")/SUMIFS(Selections!$T$6:$T$86,Selections!$G$6:$G$86,"48h-zero-tolerance-ev05-no-loss75-corners-v26"))</f>
        <v>0.0396891221527579</v>
      </c>
      <c r="M40" s="20">
        <f>IF(SUMIFS(Selections!$T$6:$T$86,Selections!$G$6:$G$86,"48h-zero-tolerance-ev05-no-loss75-corners-v26")=0,"n.a.",SUMIFS(Selections!$S$6:$S$86,Selections!$G$6:$G$86,"48h-zero-tolerance-ev05-no-loss75-corners-v26")/SUMIFS(Selections!$T$6:$T$86,Selections!$G$6:$G$86,"48h-zero-tolerance-ev05-no-loss75-corners-v26"))</f>
        <v>0.8022696959191592</v>
      </c>
      <c r="N40" s="20">
        <f>IF(SUMIFS(Selections!$T$6:$T$86,Selections!$G$6:$G$86,"48h-zero-tolerance-ev05-no-loss75-corners-v26")=0,"n.a.",(SUMIFS(Selections!$L$6:$L$86,Selections!$G$6:$G$86,"48h-zero-tolerance-ev05-no-loss75-corners-v26",Selections!$T$6:$T$86,1))/SUMIFS(Selections!$T$6:$T$86,Selections!$G$6:$G$86,"48h-zero-tolerance-ev05-no-loss75-corners-v26"))</f>
        <v>1.0</v>
      </c>
      <c r="O40" s="20">
        <f>IF(SUMIFS(Selections!$T$6:$T$86,Selections!$G$6:$G$86,"48h-zero-tolerance-ev05-no-loss75-corners-v26")=0,"n.a.",(SUMIFS(Selections!$S$6:$S$86,Selections!$G$6:$G$86,"48h-zero-tolerance-ev05-no-loss75-corners-v26")-(SUMIFS(Selections!$L$6:$L$86,Selections!$G$6:$G$86,"48h-zero-tolerance-ev05-no-loss75-corners-v26",Selections!$T$6:$T$86,1)))/SUMIFS(Selections!$T$6:$T$86,Selections!$G$6:$G$86,"48h-zero-tolerance-ev05-no-loss75-corners-v26"))</f>
        <v>-0.1977303040808408</v>
      </c>
      <c r="P40" s="19">
        <f>SUMIFS(Selections!$T$6:$T$86,Selections!$G$6:$G$86,"48h-zero-tolerance-ev05-no-loss75-corners-v26")</f>
        <v>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(n=2).</v>
      </c>
      <c r="R40" s="18"/>
    </row>
    <row r="41" ht="36" customHeight="1">
      <c r="A41" s="18" t="inlineStr">
        <is>
          <t>Policy</t>
        </is>
      </c>
      <c r="B41" s="18" t="inlineStr">
        <is>
          <t>48h-zero-tolerance-ev1-common-no-loss75-v22</t>
        </is>
      </c>
      <c r="C41" s="19">
        <f>COUNTIFS(Selections!$G$6:$G$86,"48h-zero-tolerance-ev1-common-no-loss75-v22")</f>
        <v>8</v>
      </c>
      <c r="D41" s="19">
        <f>((COUNTIFS(Selections!$G$6:$G$86,"48h-zero-tolerance-ev1-common-no-loss75-v22",Selections!$K$6:$K$86,"WON")+COUNTIFS(Selections!$G$6:$G$86,"48h-zero-tolerance-ev1-common-no-loss75-v22",Selections!$K$6:$K$86,"HALF_WON"))+(COUNTIFS(Selections!$G$6:$G$86,"48h-zero-tolerance-ev1-common-no-loss75-v22",Selections!$K$6:$K$86,"LOST")+COUNTIFS(Selections!$G$6:$G$86,"48h-zero-tolerance-ev1-common-no-loss75-v22",Selections!$K$6:$K$86,"HALF_LOST"))+COUNTIFS(Selections!$G$6:$G$86,"48h-zero-tolerance-ev1-common-no-loss75-v22",Selections!$K$6:$K$86,"REFUNDED"))</f>
        <v>7</v>
      </c>
      <c r="E41" s="19">
        <f>(COUNTIFS(Selections!$G$6:$G$86,"48h-zero-tolerance-ev1-common-no-loss75-v22",Selections!$K$6:$K$86,"WON")+COUNTIFS(Selections!$G$6:$G$86,"48h-zero-tolerance-ev1-common-no-loss75-v22",Selections!$K$6:$K$86,"HALF_WON"))</f>
        <v>7</v>
      </c>
      <c r="F41" s="19">
        <f>(COUNTIFS(Selections!$G$6:$G$86,"48h-zero-tolerance-ev1-common-no-loss75-v22",Selections!$K$6:$K$86,"LOST")+COUNTIFS(Selections!$G$6:$G$86,"48h-zero-tolerance-ev1-common-no-loss75-v22",Selections!$K$6:$K$86,"HALF_LOST"))</f>
        <v>0</v>
      </c>
      <c r="G41" s="19">
        <f>COUNTIFS(Selections!$G$6:$G$86,"48h-zero-tolerance-ev1-common-no-loss75-v22")-((COUNTIFS(Selections!$G$6:$G$86,"48h-zero-tolerance-ev1-common-no-loss75-v22",Selections!$K$6:$K$86,"WON")+COUNTIFS(Selections!$G$6:$G$86,"48h-zero-tolerance-ev1-common-no-loss75-v22",Selections!$K$6:$K$86,"HALF_WON"))+(COUNTIFS(Selections!$G$6:$G$86,"48h-zero-tolerance-ev1-common-no-loss75-v22",Selections!$K$6:$K$86,"LOST")+COUNTIFS(Selections!$G$6:$G$86,"48h-zero-tolerance-ev1-common-no-loss75-v22",Selections!$K$6:$K$86,"HALF_LOST"))+COUNTIFS(Selections!$G$6:$G$86,"48h-zero-tolerance-ev1-common-no-loss75-v22",Selections!$K$6:$K$86,"REFUNDED"))</f>
        <v>1</v>
      </c>
      <c r="H41" s="20">
        <f>IF(((COUNTIFS(Selections!$G$6:$G$86,"48h-zero-tolerance-ev1-common-no-loss75-v22",Selections!$K$6:$K$86,"WON")+COUNTIFS(Selections!$G$6:$G$86,"48h-zero-tolerance-ev1-common-no-loss75-v22",Selections!$K$6:$K$86,"HALF_WON"))+(COUNTIFS(Selections!$G$6:$G$86,"48h-zero-tolerance-ev1-common-no-loss75-v22",Selections!$K$6:$K$86,"LOST")+COUNTIFS(Selections!$G$6:$G$86,"48h-zero-tolerance-ev1-common-no-loss75-v22",Selections!$K$6:$K$86,"HALF_LOST"))+COUNTIFS(Selections!$G$6:$G$86,"48h-zero-tolerance-ev1-common-no-loss75-v22",Selections!$K$6:$K$86,"REFUNDED"))=0,"n.a.",(COUNTIFS(Selections!$G$6:$G$86,"48h-zero-tolerance-ev1-common-no-loss75-v22",Selections!$K$6:$K$86,"WON")+COUNTIFS(Selections!$G$6:$G$86,"48h-zero-tolerance-ev1-common-no-loss75-v22",Selections!$K$6:$K$86,"HALF_WON"))/((COUNTIFS(Selections!$G$6:$G$86,"48h-zero-tolerance-ev1-common-no-loss75-v22",Selections!$K$6:$K$86,"WON")+COUNTIFS(Selections!$G$6:$G$86,"48h-zero-tolerance-ev1-common-no-loss75-v22",Selections!$K$6:$K$86,"HALF_WON"))+(COUNTIFS(Selections!$G$6:$G$86,"48h-zero-tolerance-ev1-common-no-loss75-v22",Selections!$K$6:$K$86,"LOST")+COUNTIFS(Selections!$G$6:$G$86,"48h-zero-tolerance-ev1-common-no-loss75-v22",Selections!$K$6:$K$86,"HALF_LOST"))+COUNTIFS(Selections!$G$6:$G$86,"48h-zero-tolerance-ev1-common-no-loss75-v22",Selections!$K$6:$K$86,"REFUNDED")))</f>
        <v>1.0</v>
      </c>
      <c r="I41" s="22">
        <f>SUMIFS(Selections!$M$6:$M$86,Selections!$G$6:$G$86,"48h-zero-tolerance-ev1-common-no-loss75-v22")</f>
        <v>7</v>
      </c>
      <c r="J41" s="22">
        <f>SUMIFS(Selections!$N$6:$N$86,Selections!$G$6:$G$86,"48h-zero-tolerance-ev1-common-no-loss75-v22")</f>
        <v>2.37</v>
      </c>
      <c r="K41" s="20">
        <f>IF(SUMIFS(Selections!$M$6:$M$86,Selections!$G$6:$G$86,"48h-zero-tolerance-ev1-common-no-loss75-v22")=0,"n.a.",SUMIFS(Selections!$N$6:$N$86,Selections!$G$6:$G$86,"48h-zero-tolerance-ev1-common-no-loss75-v22")/SUMIFS(Selections!$M$6:$M$86,Selections!$G$6:$G$86,"48h-zero-tolerance-ev1-common-no-loss75-v22"))</f>
        <v>0.3385714285714286</v>
      </c>
      <c r="L41" s="21">
        <f>IF(SUMIFS(Selections!$T$6:$T$86,Selections!$G$6:$G$86,"48h-zero-tolerance-ev1-common-no-loss75-v22")=0,"n.a.",SUMIFS(Selections!$O$6:$O$86,Selections!$G$6:$G$86,"48h-zero-tolerance-ev1-common-no-loss75-v22")/SUMIFS(Selections!$T$6:$T$86,Selections!$G$6:$G$86,"48h-zero-tolerance-ev1-common-no-loss75-v22"))</f>
        <v>0.029217671084275306</v>
      </c>
      <c r="M41" s="20">
        <f>IF(SUMIFS(Selections!$T$6:$T$86,Selections!$G$6:$G$86,"48h-zero-tolerance-ev1-common-no-loss75-v22")=0,"n.a.",SUMIFS(Selections!$S$6:$S$86,Selections!$G$6:$G$86,"48h-zero-tolerance-ev1-common-no-loss75-v22")/SUMIFS(Selections!$T$6:$T$86,Selections!$G$6:$G$86,"48h-zero-tolerance-ev1-common-no-loss75-v22"))</f>
        <v>0.8361780388006138</v>
      </c>
      <c r="N41" s="20">
        <f>IF(SUMIFS(Selections!$T$6:$T$86,Selections!$G$6:$G$86,"48h-zero-tolerance-ev1-common-no-loss75-v22")=0,"n.a.",(SUMIFS(Selections!$L$6:$L$86,Selections!$G$6:$G$86,"48h-zero-tolerance-ev1-common-no-loss75-v22",Selections!$T$6:$T$86,1))/SUMIFS(Selections!$T$6:$T$86,Selections!$G$6:$G$86,"48h-zero-tolerance-ev1-common-no-loss75-v22"))</f>
        <v>1.0</v>
      </c>
      <c r="O41" s="20">
        <f>IF(SUMIFS(Selections!$T$6:$T$86,Selections!$G$6:$G$86,"48h-zero-tolerance-ev1-common-no-loss75-v22")=0,"n.a.",(SUMIFS(Selections!$S$6:$S$86,Selections!$G$6:$G$86,"48h-zero-tolerance-ev1-common-no-loss75-v22")-(SUMIFS(Selections!$L$6:$L$86,Selections!$G$6:$G$86,"48h-zero-tolerance-ev1-common-no-loss75-v22",Selections!$T$6:$T$86,1)))/SUMIFS(Selections!$T$6:$T$86,Selections!$G$6:$G$86,"48h-zero-tolerance-ev1-common-no-loss75-v22"))</f>
        <v>-0.1638219611993862</v>
      </c>
      <c r="P41" s="19">
        <f>SUMIFS(Selections!$T$6:$T$86,Selections!$G$6:$G$86,"48h-zero-tolerance-ev1-common-no-loss75-v22")</f>
        <v>7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(n=7).</v>
      </c>
      <c r="R41" s="18"/>
    </row>
    <row r="42" ht="36" customHeight="1">
      <c r="A42" s="18" t="inlineStr">
        <is>
          <t>Policy</t>
        </is>
      </c>
      <c r="B42" s="18" t="inlineStr">
        <is>
          <t>72h-all-markets-ev15-one-book-v6</t>
        </is>
      </c>
      <c r="C42" s="19">
        <f>COUNTIFS(Selections!$G$6:$G$86,"72h-all-markets-ev15-one-book-v6")</f>
        <v>1</v>
      </c>
      <c r="D42" s="19">
        <f>((COUNTIFS(Selections!$G$6:$G$86,"72h-all-markets-ev15-one-book-v6",Selections!$K$6:$K$86,"WON")+COUNTIFS(Selections!$G$6:$G$86,"72h-all-markets-ev15-one-book-v6",Selections!$K$6:$K$86,"HALF_WON"))+(COUNTIFS(Selections!$G$6:$G$86,"72h-all-markets-ev15-one-book-v6",Selections!$K$6:$K$86,"LOST")+COUNTIFS(Selections!$G$6:$G$86,"72h-all-markets-ev15-one-book-v6",Selections!$K$6:$K$86,"HALF_LOST"))+COUNTIFS(Selections!$G$6:$G$86,"72h-all-markets-ev15-one-book-v6",Selections!$K$6:$K$86,"REFUNDED"))</f>
        <v>1</v>
      </c>
      <c r="E42" s="19">
        <f>(COUNTIFS(Selections!$G$6:$G$86,"72h-all-markets-ev15-one-book-v6",Selections!$K$6:$K$86,"WON")+COUNTIFS(Selections!$G$6:$G$86,"72h-all-markets-ev15-one-book-v6",Selections!$K$6:$K$86,"HALF_WON"))</f>
        <v>1</v>
      </c>
      <c r="F42" s="19">
        <f>(COUNTIFS(Selections!$G$6:$G$86,"72h-all-markets-ev15-one-book-v6",Selections!$K$6:$K$86,"LOST")+COUNTIFS(Selections!$G$6:$G$86,"72h-all-markets-ev15-one-book-v6",Selections!$K$6:$K$86,"HALF_LOST"))</f>
        <v>0</v>
      </c>
      <c r="G42" s="19">
        <f>COUNTIFS(Selections!$G$6:$G$86,"72h-all-markets-ev15-one-book-v6")-((COUNTIFS(Selections!$G$6:$G$86,"72h-all-markets-ev15-one-book-v6",Selections!$K$6:$K$86,"WON")+COUNTIFS(Selections!$G$6:$G$86,"72h-all-markets-ev15-one-book-v6",Selections!$K$6:$K$86,"HALF_WON"))+(COUNTIFS(Selections!$G$6:$G$86,"72h-all-markets-ev15-one-book-v6",Selections!$K$6:$K$86,"LOST")+COUNTIFS(Selections!$G$6:$G$86,"72h-all-markets-ev15-one-book-v6",Selections!$K$6:$K$86,"HALF_LOST"))+COUNTIFS(Selections!$G$6:$G$86,"72h-all-markets-ev15-one-book-v6",Selections!$K$6:$K$86,"REFUNDED"))</f>
        <v>0</v>
      </c>
      <c r="H42" s="20">
        <f>IF(((COUNTIFS(Selections!$G$6:$G$86,"72h-all-markets-ev15-one-book-v6",Selections!$K$6:$K$86,"WON")+COUNTIFS(Selections!$G$6:$G$86,"72h-all-markets-ev15-one-book-v6",Selections!$K$6:$K$86,"HALF_WON"))+(COUNTIFS(Selections!$G$6:$G$86,"72h-all-markets-ev15-one-book-v6",Selections!$K$6:$K$86,"LOST")+COUNTIFS(Selections!$G$6:$G$86,"72h-all-markets-ev15-one-book-v6",Selections!$K$6:$K$86,"HALF_LOST"))+COUNTIFS(Selections!$G$6:$G$86,"72h-all-markets-ev15-one-book-v6",Selections!$K$6:$K$86,"REFUNDED"))=0,"n.a.",(COUNTIFS(Selections!$G$6:$G$86,"72h-all-markets-ev15-one-book-v6",Selections!$K$6:$K$86,"WON")+COUNTIFS(Selections!$G$6:$G$86,"72h-all-markets-ev15-one-book-v6",Selections!$K$6:$K$86,"HALF_WON"))/((COUNTIFS(Selections!$G$6:$G$86,"72h-all-markets-ev15-one-book-v6",Selections!$K$6:$K$86,"WON")+COUNTIFS(Selections!$G$6:$G$86,"72h-all-markets-ev15-one-book-v6",Selections!$K$6:$K$86,"HALF_WON"))+(COUNTIFS(Selections!$G$6:$G$86,"72h-all-markets-ev15-one-book-v6",Selections!$K$6:$K$86,"LOST")+COUNTIFS(Selections!$G$6:$G$86,"72h-all-markets-ev15-one-book-v6",Selections!$K$6:$K$86,"HALF_LOST"))+COUNTIFS(Selections!$G$6:$G$86,"72h-all-markets-ev15-one-book-v6",Selections!$K$6:$K$86,"REFUNDED")))</f>
        <v>1.0</v>
      </c>
      <c r="I42" s="22">
        <f>SUMIFS(Selections!$M$6:$M$86,Selections!$G$6:$G$86,"72h-all-markets-ev15-one-book-v6")</f>
        <v>1</v>
      </c>
      <c r="J42" s="22">
        <f>SUMIFS(Selections!$N$6:$N$86,Selections!$G$6:$G$86,"72h-all-markets-ev15-one-book-v6")</f>
        <v>0.44999999999999996</v>
      </c>
      <c r="K42" s="20">
        <f>IF(SUMIFS(Selections!$M$6:$M$86,Selections!$G$6:$G$86,"72h-all-markets-ev15-one-book-v6")=0,"n.a.",SUMIFS(Selections!$N$6:$N$86,Selections!$G$6:$G$86,"72h-all-markets-ev15-one-book-v6")/SUMIFS(Selections!$M$6:$M$86,Selections!$G$6:$G$86,"72h-all-markets-ev15-one-book-v6"))</f>
        <v>0.44999999999999996</v>
      </c>
      <c r="L42" s="21">
        <f>IF(SUMIFS(Selections!$T$6:$T$86,Selections!$G$6:$G$86,"72h-all-markets-ev15-one-book-v6")=0,"n.a.",SUMIFS(Selections!$O$6:$O$86,Selections!$G$6:$G$86,"72h-all-markets-ev15-one-book-v6")/SUMIFS(Selections!$T$6:$T$86,Selections!$G$6:$G$86,"72h-all-markets-ev15-one-book-v6"))</f>
        <v>0.08610395019172555</v>
      </c>
      <c r="M42" s="20">
        <f>IF(SUMIFS(Selections!$T$6:$T$86,Selections!$G$6:$G$86,"72h-all-markets-ev15-one-book-v6")=0,"n.a.",SUMIFS(Selections!$S$6:$S$86,Selections!$G$6:$G$86,"72h-all-markets-ev15-one-book-v6")/SUMIFS(Selections!$T$6:$T$86,Selections!$G$6:$G$86,"72h-all-markets-ev15-one-book-v6"))</f>
        <v>0.706565253946085</v>
      </c>
      <c r="N42" s="20">
        <f>IF(SUMIFS(Selections!$T$6:$T$86,Selections!$G$6:$G$86,"72h-all-markets-ev15-one-book-v6")=0,"n.a.",(SUMIFS(Selections!$L$6:$L$86,Selections!$G$6:$G$86,"72h-all-markets-ev15-one-book-v6",Selections!$T$6:$T$86,1))/SUMIFS(Selections!$T$6:$T$86,Selections!$G$6:$G$86,"72h-all-markets-ev15-one-book-v6"))</f>
        <v>1.0</v>
      </c>
      <c r="O42" s="20">
        <f>IF(SUMIFS(Selections!$T$6:$T$86,Selections!$G$6:$G$86,"72h-all-markets-ev15-one-book-v6")=0,"n.a.",(SUMIFS(Selections!$S$6:$S$86,Selections!$G$6:$G$86,"72h-all-markets-ev15-one-book-v6")-(SUMIFS(Selections!$L$6:$L$86,Selections!$G$6:$G$86,"72h-all-markets-ev15-one-book-v6",Selections!$T$6:$T$86,1)))/SUMIFS(Selections!$T$6:$T$86,Selections!$G$6:$G$86,"72h-all-markets-ev15-one-book-v6"))</f>
        <v>-0.29343474605391495</v>
      </c>
      <c r="P42" s="19">
        <f>SUMIFS(Selections!$T$6:$T$86,Selections!$G$6:$G$86,"72h-all-markets-ev15-one-book-v6")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72h-all-markets-net-ev15-execution-v7</t>
        </is>
      </c>
      <c r="C43" s="19">
        <f>COUNTIFS(Selections!$G$6:$G$86,"72h-all-markets-net-ev15-execution-v7")</f>
        <v>5</v>
      </c>
      <c r="D43" s="19">
        <f>((COUNTIFS(Selections!$G$6:$G$86,"72h-all-markets-net-ev15-execution-v7",Selections!$K$6:$K$86,"WON")+COUNTIFS(Selections!$G$6:$G$86,"72h-all-markets-net-ev15-execution-v7",Selections!$K$6:$K$86,"HALF_WON"))+(COUNTIFS(Selections!$G$6:$G$86,"72h-all-markets-net-ev15-execution-v7",Selections!$K$6:$K$86,"LOST")+COUNTIFS(Selections!$G$6:$G$86,"72h-all-markets-net-ev15-execution-v7",Selections!$K$6:$K$86,"HALF_LOST"))+COUNTIFS(Selections!$G$6:$G$86,"72h-all-markets-net-ev15-execution-v7",Selections!$K$6:$K$86,"REFUNDED"))</f>
        <v>4</v>
      </c>
      <c r="E43" s="19">
        <f>(COUNTIFS(Selections!$G$6:$G$86,"72h-all-markets-net-ev15-execution-v7",Selections!$K$6:$K$86,"WON")+COUNTIFS(Selections!$G$6:$G$86,"72h-all-markets-net-ev15-execution-v7",Selections!$K$6:$K$86,"HALF_WON"))</f>
        <v>4</v>
      </c>
      <c r="F43" s="19">
        <f>(COUNTIFS(Selections!$G$6:$G$86,"72h-all-markets-net-ev15-execution-v7",Selections!$K$6:$K$86,"LOST")+COUNTIFS(Selections!$G$6:$G$86,"72h-all-markets-net-ev15-execution-v7",Selections!$K$6:$K$86,"HALF_LOST"))</f>
        <v>0</v>
      </c>
      <c r="G43" s="19">
        <f>COUNTIFS(Selections!$G$6:$G$86,"72h-all-markets-net-ev15-execution-v7")-((COUNTIFS(Selections!$G$6:$G$86,"72h-all-markets-net-ev15-execution-v7",Selections!$K$6:$K$86,"WON")+COUNTIFS(Selections!$G$6:$G$86,"72h-all-markets-net-ev15-execution-v7",Selections!$K$6:$K$86,"HALF_WON"))+(COUNTIFS(Selections!$G$6:$G$86,"72h-all-markets-net-ev15-execution-v7",Selections!$K$6:$K$86,"LOST")+COUNTIFS(Selections!$G$6:$G$86,"72h-all-markets-net-ev15-execution-v7",Selections!$K$6:$K$86,"HALF_LOST"))+COUNTIFS(Selections!$G$6:$G$86,"72h-all-markets-net-ev15-execution-v7",Selections!$K$6:$K$86,"REFUNDED"))</f>
        <v>1</v>
      </c>
      <c r="H43" s="20">
        <f>IF(((COUNTIFS(Selections!$G$6:$G$86,"72h-all-markets-net-ev15-execution-v7",Selections!$K$6:$K$86,"WON")+COUNTIFS(Selections!$G$6:$G$86,"72h-all-markets-net-ev15-execution-v7",Selections!$K$6:$K$86,"HALF_WON"))+(COUNTIFS(Selections!$G$6:$G$86,"72h-all-markets-net-ev15-execution-v7",Selections!$K$6:$K$86,"LOST")+COUNTIFS(Selections!$G$6:$G$86,"72h-all-markets-net-ev15-execution-v7",Selections!$K$6:$K$86,"HALF_LOST"))+COUNTIFS(Selections!$G$6:$G$86,"72h-all-markets-net-ev15-execution-v7",Selections!$K$6:$K$86,"REFUNDED"))=0,"n.a.",(COUNTIFS(Selections!$G$6:$G$86,"72h-all-markets-net-ev15-execution-v7",Selections!$K$6:$K$86,"WON")+COUNTIFS(Selections!$G$6:$G$86,"72h-all-markets-net-ev15-execution-v7",Selections!$K$6:$K$86,"HALF_WON"))/((COUNTIFS(Selections!$G$6:$G$86,"72h-all-markets-net-ev15-execution-v7",Selections!$K$6:$K$86,"WON")+COUNTIFS(Selections!$G$6:$G$86,"72h-all-markets-net-ev15-execution-v7",Selections!$K$6:$K$86,"HALF_WON"))+(COUNTIFS(Selections!$G$6:$G$86,"72h-all-markets-net-ev15-execution-v7",Selections!$K$6:$K$86,"LOST")+COUNTIFS(Selections!$G$6:$G$86,"72h-all-markets-net-ev15-execution-v7",Selections!$K$6:$K$86,"HALF_LOST"))+COUNTIFS(Selections!$G$6:$G$86,"72h-all-markets-net-ev15-execution-v7",Selections!$K$6:$K$86,"REFUNDED")))</f>
        <v>1.0</v>
      </c>
      <c r="I43" s="22">
        <f>SUMIFS(Selections!$M$6:$M$86,Selections!$G$6:$G$86,"72h-all-markets-net-ev15-execution-v7")</f>
        <v>4</v>
      </c>
      <c r="J43" s="22">
        <f>SUMIFS(Selections!$N$6:$N$86,Selections!$G$6:$G$86,"72h-all-markets-net-ev15-execution-v7")</f>
        <v>1.74</v>
      </c>
      <c r="K43" s="20">
        <f>IF(SUMIFS(Selections!$M$6:$M$86,Selections!$G$6:$G$86,"72h-all-markets-net-ev15-execution-v7")=0,"n.a.",SUMIFS(Selections!$N$6:$N$86,Selections!$G$6:$G$86,"72h-all-markets-net-ev15-execution-v7")/SUMIFS(Selections!$M$6:$M$86,Selections!$G$6:$G$86,"72h-all-markets-net-ev15-execution-v7"))</f>
        <v>0.435</v>
      </c>
      <c r="L43" s="21">
        <f>IF(SUMIFS(Selections!$T$6:$T$86,Selections!$G$6:$G$86,"72h-all-markets-net-ev15-execution-v7")=0,"n.a.",SUMIFS(Selections!$O$6:$O$86,Selections!$G$6:$G$86,"72h-all-markets-net-ev15-execution-v7")/SUMIFS(Selections!$T$6:$T$86,Selections!$G$6:$G$86,"72h-all-markets-net-ev15-execution-v7"))</f>
        <v>0.05403053120768371</v>
      </c>
      <c r="M43" s="20">
        <f>IF(SUMIFS(Selections!$T$6:$T$86,Selections!$G$6:$G$86,"72h-all-markets-net-ev15-execution-v7")=0,"n.a.",SUMIFS(Selections!$S$6:$S$86,Selections!$G$6:$G$86,"72h-all-markets-net-ev15-execution-v7")/SUMIFS(Selections!$T$6:$T$86,Selections!$G$6:$G$86,"72h-all-markets-net-ev15-execution-v7"))</f>
        <v>0.7950551078170468</v>
      </c>
      <c r="N43" s="20">
        <f>IF(SUMIFS(Selections!$T$6:$T$86,Selections!$G$6:$G$86,"72h-all-markets-net-ev15-execution-v7")=0,"n.a.",(SUMIFS(Selections!$L$6:$L$86,Selections!$G$6:$G$86,"72h-all-markets-net-ev15-execution-v7",Selections!$T$6:$T$86,1))/SUMIFS(Selections!$T$6:$T$86,Selections!$G$6:$G$86,"72h-all-markets-net-ev15-execution-v7"))</f>
        <v>1.0</v>
      </c>
      <c r="O43" s="20">
        <f>IF(SUMIFS(Selections!$T$6:$T$86,Selections!$G$6:$G$86,"72h-all-markets-net-ev15-execution-v7")=0,"n.a.",(SUMIFS(Selections!$S$6:$S$86,Selections!$G$6:$G$86,"72h-all-markets-net-ev15-execution-v7")-(SUMIFS(Selections!$L$6:$L$86,Selections!$G$6:$G$86,"72h-all-markets-net-ev15-execution-v7",Selections!$T$6:$T$86,1)))/SUMIFS(Selections!$T$6:$T$86,Selections!$G$6:$G$86,"72h-all-markets-net-ev15-execution-v7"))</f>
        <v>-0.2049448921829532</v>
      </c>
      <c r="P43" s="19">
        <f>SUMIFS(Selections!$T$6:$T$86,Selections!$G$6:$G$86,"72h-all-markets-net-ev15-execution-v7")</f>
        <v>4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(n=4).</v>
      </c>
      <c r="R43" s="18"/>
    </row>
    <row r="44" ht="36" customHeight="1">
      <c r="A44" s="18" t="inlineStr">
        <is>
          <t>Policy</t>
        </is>
      </c>
      <c r="B44" s="18" t="inlineStr">
        <is>
          <t>72h-seven-markets-fresh-references-net-ev15-v11</t>
        </is>
      </c>
      <c r="C44" s="19">
        <f>COUNTIFS(Selections!$G$6:$G$86,"72h-seven-markets-fresh-references-net-ev15-v11")</f>
        <v>5</v>
      </c>
      <c r="D44" s="19">
        <f>((COUNTIFS(Selections!$G$6:$G$86,"72h-seven-markets-fresh-references-net-ev15-v11",Selections!$K$6:$K$86,"WON")+COUNTIFS(Selections!$G$6:$G$86,"72h-seven-markets-fresh-references-net-ev15-v11",Selections!$K$6:$K$86,"HALF_WON"))+(COUNTIFS(Selections!$G$6:$G$86,"72h-seven-markets-fresh-references-net-ev15-v11",Selections!$K$6:$K$86,"LOST")+COUNTIFS(Selections!$G$6:$G$86,"72h-seven-markets-fresh-references-net-ev15-v11",Selections!$K$6:$K$86,"HALF_LOST"))+COUNTIFS(Selections!$G$6:$G$86,"72h-seven-markets-fresh-references-net-ev15-v11",Selections!$K$6:$K$86,"REFUNDED"))</f>
        <v>5</v>
      </c>
      <c r="E44" s="19">
        <f>(COUNTIFS(Selections!$G$6:$G$86,"72h-seven-markets-fresh-references-net-ev15-v11",Selections!$K$6:$K$86,"WON")+COUNTIFS(Selections!$G$6:$G$86,"72h-seven-markets-fresh-references-net-ev15-v11",Selections!$K$6:$K$86,"HALF_WON"))</f>
        <v>4</v>
      </c>
      <c r="F44" s="19">
        <f>(COUNTIFS(Selections!$G$6:$G$86,"72h-seven-markets-fresh-references-net-ev15-v11",Selections!$K$6:$K$86,"LOST")+COUNTIFS(Selections!$G$6:$G$86,"72h-seven-markets-fresh-references-net-ev15-v11",Selections!$K$6:$K$86,"HALF_LOST"))</f>
        <v>1</v>
      </c>
      <c r="G44" s="19">
        <f>COUNTIFS(Selections!$G$6:$G$86,"72h-seven-markets-fresh-references-net-ev15-v11")-((COUNTIFS(Selections!$G$6:$G$86,"72h-seven-markets-fresh-references-net-ev15-v11",Selections!$K$6:$K$86,"WON")+COUNTIFS(Selections!$G$6:$G$86,"72h-seven-markets-fresh-references-net-ev15-v11",Selections!$K$6:$K$86,"HALF_WON"))+(COUNTIFS(Selections!$G$6:$G$86,"72h-seven-markets-fresh-references-net-ev15-v11",Selections!$K$6:$K$86,"LOST")+COUNTIFS(Selections!$G$6:$G$86,"72h-seven-markets-fresh-references-net-ev15-v11",Selections!$K$6:$K$86,"HALF_LOST"))+COUNTIFS(Selections!$G$6:$G$86,"72h-seven-markets-fresh-references-net-ev15-v11",Selections!$K$6:$K$86,"REFUNDED"))</f>
        <v>0</v>
      </c>
      <c r="H44" s="20">
        <f>IF(((COUNTIFS(Selections!$G$6:$G$86,"72h-seven-markets-fresh-references-net-ev15-v11",Selections!$K$6:$K$86,"WON")+COUNTIFS(Selections!$G$6:$G$86,"72h-seven-markets-fresh-references-net-ev15-v11",Selections!$K$6:$K$86,"HALF_WON"))+(COUNTIFS(Selections!$G$6:$G$86,"72h-seven-markets-fresh-references-net-ev15-v11",Selections!$K$6:$K$86,"LOST")+COUNTIFS(Selections!$G$6:$G$86,"72h-seven-markets-fresh-references-net-ev15-v11",Selections!$K$6:$K$86,"HALF_LOST"))+COUNTIFS(Selections!$G$6:$G$86,"72h-seven-markets-fresh-references-net-ev15-v11",Selections!$K$6:$K$86,"REFUNDED"))=0,"n.a.",(COUNTIFS(Selections!$G$6:$G$86,"72h-seven-markets-fresh-references-net-ev15-v11",Selections!$K$6:$K$86,"WON")+COUNTIFS(Selections!$G$6:$G$86,"72h-seven-markets-fresh-references-net-ev15-v11",Selections!$K$6:$K$86,"HALF_WON"))/((COUNTIFS(Selections!$G$6:$G$86,"72h-seven-markets-fresh-references-net-ev15-v11",Selections!$K$6:$K$86,"WON")+COUNTIFS(Selections!$G$6:$G$86,"72h-seven-markets-fresh-references-net-ev15-v11",Selections!$K$6:$K$86,"HALF_WON"))+(COUNTIFS(Selections!$G$6:$G$86,"72h-seven-markets-fresh-references-net-ev15-v11",Selections!$K$6:$K$86,"LOST")+COUNTIFS(Selections!$G$6:$G$86,"72h-seven-markets-fresh-references-net-ev15-v11",Selections!$K$6:$K$86,"HALF_LOST"))+COUNTIFS(Selections!$G$6:$G$86,"72h-seven-markets-fresh-references-net-ev15-v11",Selections!$K$6:$K$86,"REFUNDED")))</f>
        <v>0.8</v>
      </c>
      <c r="I44" s="22">
        <f>SUMIFS(Selections!$M$6:$M$86,Selections!$G$6:$G$86,"72h-seven-markets-fresh-references-net-ev15-v11")</f>
        <v>5</v>
      </c>
      <c r="J44" s="22">
        <f>SUMIFS(Selections!$N$6:$N$86,Selections!$G$6:$G$86,"72h-seven-markets-fresh-references-net-ev15-v11")</f>
        <v>0.3600000000000001</v>
      </c>
      <c r="K44" s="20">
        <f>IF(SUMIFS(Selections!$M$6:$M$86,Selections!$G$6:$G$86,"72h-seven-markets-fresh-references-net-ev15-v11")=0,"n.a.",SUMIFS(Selections!$N$6:$N$86,Selections!$G$6:$G$86,"72h-seven-markets-fresh-references-net-ev15-v11")/SUMIFS(Selections!$M$6:$M$86,Selections!$G$6:$G$86,"72h-seven-markets-fresh-references-net-ev15-v11"))</f>
        <v>0.07200000000000002</v>
      </c>
      <c r="L44" s="21">
        <f>IF(SUMIFS(Selections!$T$6:$T$86,Selections!$G$6:$G$86,"72h-seven-markets-fresh-references-net-ev15-v11")=0,"n.a.",SUMIFS(Selections!$O$6:$O$86,Selections!$G$6:$G$86,"72h-seven-markets-fresh-references-net-ev15-v11")/SUMIFS(Selections!$T$6:$T$86,Selections!$G$6:$G$86,"72h-seven-markets-fresh-references-net-ev15-v11"))</f>
        <v>0.12900891729637554</v>
      </c>
      <c r="M44" s="20">
        <f>IF(SUMIFS(Selections!$T$6:$T$86,Selections!$G$6:$G$86,"72h-seven-markets-fresh-references-net-ev15-v11")=0,"n.a.",SUMIFS(Selections!$S$6:$S$86,Selections!$G$6:$G$86,"72h-seven-markets-fresh-references-net-ev15-v11")/SUMIFS(Selections!$T$6:$T$86,Selections!$G$6:$G$86,"72h-seven-markets-fresh-references-net-ev15-v11"))</f>
        <v>0.7527708085856005</v>
      </c>
      <c r="N44" s="20">
        <f>IF(SUMIFS(Selections!$T$6:$T$86,Selections!$G$6:$G$86,"72h-seven-markets-fresh-references-net-ev15-v11")=0,"n.a.",(SUMIFS(Selections!$L$6:$L$86,Selections!$G$6:$G$86,"72h-seven-markets-fresh-references-net-ev15-v11",Selections!$T$6:$T$86,1))/SUMIFS(Selections!$T$6:$T$86,Selections!$G$6:$G$86,"72h-seven-markets-fresh-references-net-ev15-v11"))</f>
        <v>0.8</v>
      </c>
      <c r="O44" s="20">
        <f>IF(SUMIFS(Selections!$T$6:$T$86,Selections!$G$6:$G$86,"72h-seven-markets-fresh-references-net-ev15-v11")=0,"n.a.",(SUMIFS(Selections!$S$6:$S$86,Selections!$G$6:$G$86,"72h-seven-markets-fresh-references-net-ev15-v11")-(SUMIFS(Selections!$L$6:$L$86,Selections!$G$6:$G$86,"72h-seven-markets-fresh-references-net-ev15-v11",Selections!$T$6:$T$86,1)))/SUMIFS(Selections!$T$6:$T$86,Selections!$G$6:$G$86,"72h-seven-markets-fresh-references-net-ev15-v11"))</f>
        <v>-0.04722919141439952</v>
      </c>
      <c r="P44" s="19">
        <f>SUMIFS(Selections!$T$6:$T$86,Selections!$G$6:$G$86,"72h-seven-markets-fresh-references-net-ev15-v11")</f>
        <v>5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(n=5).</v>
      </c>
      <c r="R44" s="18"/>
    </row>
    <row r="45" ht="36" customHeight="1">
      <c r="A45" s="18" t="inlineStr">
        <is>
          <t>Policy</t>
        </is>
      </c>
      <c r="B45" s="18" t="inlineStr">
        <is>
          <t>72h-ucl-v2</t>
        </is>
      </c>
      <c r="C45" s="19">
        <f>COUNTIFS(Selections!$G$6:$G$86,"72h-ucl-v2")</f>
        <v>1</v>
      </c>
      <c r="D45" s="19">
        <f>((COUNTIFS(Selections!$G$6:$G$86,"72h-ucl-v2",Selections!$K$6:$K$86,"WON")+COUNTIFS(Selections!$G$6:$G$86,"72h-ucl-v2",Selections!$K$6:$K$86,"HALF_WON"))+(COUNTIFS(Selections!$G$6:$G$86,"72h-ucl-v2",Selections!$K$6:$K$86,"LOST")+COUNTIFS(Selections!$G$6:$G$86,"72h-ucl-v2",Selections!$K$6:$K$86,"HALF_LOST"))+COUNTIFS(Selections!$G$6:$G$86,"72h-ucl-v2",Selections!$K$6:$K$86,"REFUNDED"))</f>
        <v>1</v>
      </c>
      <c r="E45" s="19">
        <f>(COUNTIFS(Selections!$G$6:$G$86,"72h-ucl-v2",Selections!$K$6:$K$86,"WON")+COUNTIFS(Selections!$G$6:$G$86,"72h-ucl-v2",Selections!$K$6:$K$86,"HALF_WON"))</f>
        <v>1</v>
      </c>
      <c r="F45" s="19">
        <f>(COUNTIFS(Selections!$G$6:$G$86,"72h-ucl-v2",Selections!$K$6:$K$86,"LOST")+COUNTIFS(Selections!$G$6:$G$86,"72h-ucl-v2",Selections!$K$6:$K$86,"HALF_LOST"))</f>
        <v>0</v>
      </c>
      <c r="G45" s="19">
        <f>COUNTIFS(Selections!$G$6:$G$86,"72h-ucl-v2")-((COUNTIFS(Selections!$G$6:$G$86,"72h-ucl-v2",Selections!$K$6:$K$86,"WON")+COUNTIFS(Selections!$G$6:$G$86,"72h-ucl-v2",Selections!$K$6:$K$86,"HALF_WON"))+(COUNTIFS(Selections!$G$6:$G$86,"72h-ucl-v2",Selections!$K$6:$K$86,"LOST")+COUNTIFS(Selections!$G$6:$G$86,"72h-ucl-v2",Selections!$K$6:$K$86,"HALF_LOST"))+COUNTIFS(Selections!$G$6:$G$86,"72h-ucl-v2",Selections!$K$6:$K$86,"REFUNDED"))</f>
        <v>0</v>
      </c>
      <c r="H45" s="20">
        <f>IF(((COUNTIFS(Selections!$G$6:$G$86,"72h-ucl-v2",Selections!$K$6:$K$86,"WON")+COUNTIFS(Selections!$G$6:$G$86,"72h-ucl-v2",Selections!$K$6:$K$86,"HALF_WON"))+(COUNTIFS(Selections!$G$6:$G$86,"72h-ucl-v2",Selections!$K$6:$K$86,"LOST")+COUNTIFS(Selections!$G$6:$G$86,"72h-ucl-v2",Selections!$K$6:$K$86,"HALF_LOST"))+COUNTIFS(Selections!$G$6:$G$86,"72h-ucl-v2",Selections!$K$6:$K$86,"REFUNDED"))=0,"n.a.",(COUNTIFS(Selections!$G$6:$G$86,"72h-ucl-v2",Selections!$K$6:$K$86,"WON")+COUNTIFS(Selections!$G$6:$G$86,"72h-ucl-v2",Selections!$K$6:$K$86,"HALF_WON"))/((COUNTIFS(Selections!$G$6:$G$86,"72h-ucl-v2",Selections!$K$6:$K$86,"WON")+COUNTIFS(Selections!$G$6:$G$86,"72h-ucl-v2",Selections!$K$6:$K$86,"HALF_WON"))+(COUNTIFS(Selections!$G$6:$G$86,"72h-ucl-v2",Selections!$K$6:$K$86,"LOST")+COUNTIFS(Selections!$G$6:$G$86,"72h-ucl-v2",Selections!$K$6:$K$86,"HALF_LOST"))+COUNTIFS(Selections!$G$6:$G$86,"72h-ucl-v2",Selections!$K$6:$K$86,"REFUNDED")))</f>
        <v>1.0</v>
      </c>
      <c r="I45" s="22">
        <f>SUMIFS(Selections!$M$6:$M$86,Selections!$G$6:$G$86,"72h-ucl-v2")</f>
        <v>1</v>
      </c>
      <c r="J45" s="22">
        <f>SUMIFS(Selections!$N$6:$N$86,Selections!$G$6:$G$86,"72h-ucl-v2")</f>
        <v>0.28</v>
      </c>
      <c r="K45" s="20">
        <f>IF(SUMIFS(Selections!$M$6:$M$86,Selections!$G$6:$G$86,"72h-ucl-v2")=0,"n.a.",SUMIFS(Selections!$N$6:$N$86,Selections!$G$6:$G$86,"72h-ucl-v2")/SUMIFS(Selections!$M$6:$M$86,Selections!$G$6:$G$86,"72h-ucl-v2"))</f>
        <v>0.28</v>
      </c>
      <c r="L45" s="21">
        <f>IF(SUMIFS(Selections!$T$6:$T$86,Selections!$G$6:$G$86,"72h-ucl-v2")=0,"n.a.",SUMIFS(Selections!$O$6:$O$86,Selections!$G$6:$G$86,"72h-ucl-v2")/SUMIFS(Selections!$T$6:$T$86,Selections!$G$6:$G$86,"72h-ucl-v2"))</f>
        <v>0.041442876272802645</v>
      </c>
      <c r="M45" s="20">
        <f>IF(SUMIFS(Selections!$T$6:$T$86,Selections!$G$6:$G$86,"72h-ucl-v2")=0,"n.a.",SUMIFS(Selections!$S$6:$S$86,Selections!$G$6:$G$86,"72h-ucl-v2")/SUMIFS(Selections!$T$6:$T$86,Selections!$G$6:$G$86,"72h-ucl-v2"))</f>
        <v>0.7964247650798294</v>
      </c>
      <c r="N45" s="20">
        <f>IF(SUMIFS(Selections!$T$6:$T$86,Selections!$G$6:$G$86,"72h-ucl-v2")=0,"n.a.",(SUMIFS(Selections!$L$6:$L$86,Selections!$G$6:$G$86,"72h-ucl-v2",Selections!$T$6:$T$86,1))/SUMIFS(Selections!$T$6:$T$86,Selections!$G$6:$G$86,"72h-ucl-v2"))</f>
        <v>1.0</v>
      </c>
      <c r="O45" s="20">
        <f>IF(SUMIFS(Selections!$T$6:$T$86,Selections!$G$6:$G$86,"72h-ucl-v2")=0,"n.a.",(SUMIFS(Selections!$S$6:$S$86,Selections!$G$6:$G$86,"72h-ucl-v2")-(SUMIFS(Selections!$L$6:$L$86,Selections!$G$6:$G$86,"72h-ucl-v2",Selections!$T$6:$T$86,1)))/SUMIFS(Selections!$T$6:$T$86,Selections!$G$6:$G$86,"72h-ucl-v2"))</f>
        <v>-0.2035752349201706</v>
      </c>
      <c r="P45" s="19">
        <f>SUMIFS(Selections!$T$6:$T$86,Selections!$G$6:$G$86,"72h-ucl-v2")</f>
        <v>1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(n=1).</v>
      </c>
      <c r="R45" s="18"/>
    </row>
    <row r="46" ht="36" customHeight="1">
      <c r="A46" s="18" t="inlineStr">
        <is>
          <t>Policy</t>
        </is>
      </c>
      <c r="B46" s="18" t="inlineStr">
        <is>
          <t>72h-ucl-v3</t>
        </is>
      </c>
      <c r="C46" s="19">
        <f>COUNTIFS(Selections!$G$6:$G$86,"72h-ucl-v3")</f>
        <v>7</v>
      </c>
      <c r="D46" s="19">
        <f>((COUNTIFS(Selections!$G$6:$G$86,"72h-ucl-v3",Selections!$K$6:$K$86,"WON")+COUNTIFS(Selections!$G$6:$G$86,"72h-ucl-v3",Selections!$K$6:$K$86,"HALF_WON"))+(COUNTIFS(Selections!$G$6:$G$86,"72h-ucl-v3",Selections!$K$6:$K$86,"LOST")+COUNTIFS(Selections!$G$6:$G$86,"72h-ucl-v3",Selections!$K$6:$K$86,"HALF_LOST"))+COUNTIFS(Selections!$G$6:$G$86,"72h-ucl-v3",Selections!$K$6:$K$86,"REFUNDED"))</f>
        <v>6</v>
      </c>
      <c r="E46" s="19">
        <f>(COUNTIFS(Selections!$G$6:$G$86,"72h-ucl-v3",Selections!$K$6:$K$86,"WON")+COUNTIFS(Selections!$G$6:$G$86,"72h-ucl-v3",Selections!$K$6:$K$86,"HALF_WON"))</f>
        <v>3</v>
      </c>
      <c r="F46" s="19">
        <f>(COUNTIFS(Selections!$G$6:$G$86,"72h-ucl-v3",Selections!$K$6:$K$86,"LOST")+COUNTIFS(Selections!$G$6:$G$86,"72h-ucl-v3",Selections!$K$6:$K$86,"HALF_LOST"))</f>
        <v>3</v>
      </c>
      <c r="G46" s="19">
        <f>COUNTIFS(Selections!$G$6:$G$86,"72h-ucl-v3")-((COUNTIFS(Selections!$G$6:$G$86,"72h-ucl-v3",Selections!$K$6:$K$86,"WON")+COUNTIFS(Selections!$G$6:$G$86,"72h-ucl-v3",Selections!$K$6:$K$86,"HALF_WON"))+(COUNTIFS(Selections!$G$6:$G$86,"72h-ucl-v3",Selections!$K$6:$K$86,"LOST")+COUNTIFS(Selections!$G$6:$G$86,"72h-ucl-v3",Selections!$K$6:$K$86,"HALF_LOST"))+COUNTIFS(Selections!$G$6:$G$86,"72h-ucl-v3",Selections!$K$6:$K$86,"REFUNDED"))</f>
        <v>1</v>
      </c>
      <c r="H46" s="20">
        <f>IF(((COUNTIFS(Selections!$G$6:$G$86,"72h-ucl-v3",Selections!$K$6:$K$86,"WON")+COUNTIFS(Selections!$G$6:$G$86,"72h-ucl-v3",Selections!$K$6:$K$86,"HALF_WON"))+(COUNTIFS(Selections!$G$6:$G$86,"72h-ucl-v3",Selections!$K$6:$K$86,"LOST")+COUNTIFS(Selections!$G$6:$G$86,"72h-ucl-v3",Selections!$K$6:$K$86,"HALF_LOST"))+COUNTIFS(Selections!$G$6:$G$86,"72h-ucl-v3",Selections!$K$6:$K$86,"REFUNDED"))=0,"n.a.",(COUNTIFS(Selections!$G$6:$G$86,"72h-ucl-v3",Selections!$K$6:$K$86,"WON")+COUNTIFS(Selections!$G$6:$G$86,"72h-ucl-v3",Selections!$K$6:$K$86,"HALF_WON"))/((COUNTIFS(Selections!$G$6:$G$86,"72h-ucl-v3",Selections!$K$6:$K$86,"WON")+COUNTIFS(Selections!$G$6:$G$86,"72h-ucl-v3",Selections!$K$6:$K$86,"HALF_WON"))+(COUNTIFS(Selections!$G$6:$G$86,"72h-ucl-v3",Selections!$K$6:$K$86,"LOST")+COUNTIFS(Selections!$G$6:$G$86,"72h-ucl-v3",Selections!$K$6:$K$86,"HALF_LOST"))+COUNTIFS(Selections!$G$6:$G$86,"72h-ucl-v3",Selections!$K$6:$K$86,"REFUNDED")))</f>
        <v>0.5</v>
      </c>
      <c r="I46" s="22">
        <f>SUMIFS(Selections!$M$6:$M$86,Selections!$G$6:$G$86,"72h-ucl-v3")</f>
        <v>6</v>
      </c>
      <c r="J46" s="22">
        <f>SUMIFS(Selections!$N$6:$N$86,Selections!$G$6:$G$86,"72h-ucl-v3")</f>
        <v>-1.7100000000000002</v>
      </c>
      <c r="K46" s="20">
        <f>IF(SUMIFS(Selections!$M$6:$M$86,Selections!$G$6:$G$86,"72h-ucl-v3")=0,"n.a.",SUMIFS(Selections!$N$6:$N$86,Selections!$G$6:$G$86,"72h-ucl-v3")/SUMIFS(Selections!$M$6:$M$86,Selections!$G$6:$G$86,"72h-ucl-v3"))</f>
        <v>-0.28500000000000003</v>
      </c>
      <c r="L46" s="21">
        <f>IF(SUMIFS(Selections!$T$6:$T$86,Selections!$G$6:$G$86,"72h-ucl-v3")=0,"n.a.",SUMIFS(Selections!$O$6:$O$86,Selections!$G$6:$G$86,"72h-ucl-v3")/SUMIFS(Selections!$T$6:$T$86,Selections!$G$6:$G$86,"72h-ucl-v3"))</f>
        <v>0.3538657630451178</v>
      </c>
      <c r="M46" s="20">
        <f>IF(SUMIFS(Selections!$T$6:$T$86,Selections!$G$6:$G$86,"72h-ucl-v3")=0,"n.a.",SUMIFS(Selections!$S$6:$S$86,Selections!$G$6:$G$86,"72h-ucl-v3")/SUMIFS(Selections!$T$6:$T$86,Selections!$G$6:$G$86,"72h-ucl-v3"))</f>
        <v>0.7987491501653422</v>
      </c>
      <c r="N46" s="20">
        <f>IF(SUMIFS(Selections!$T$6:$T$86,Selections!$G$6:$G$86,"72h-ucl-v3")=0,"n.a.",(SUMIFS(Selections!$L$6:$L$86,Selections!$G$6:$G$86,"72h-ucl-v3",Selections!$T$6:$T$86,1))/SUMIFS(Selections!$T$6:$T$86,Selections!$G$6:$G$86,"72h-ucl-v3"))</f>
        <v>0.5</v>
      </c>
      <c r="O46" s="20">
        <f>IF(SUMIFS(Selections!$T$6:$T$86,Selections!$G$6:$G$86,"72h-ucl-v3")=0,"n.a.",(SUMIFS(Selections!$S$6:$S$86,Selections!$G$6:$G$86,"72h-ucl-v3")-(SUMIFS(Selections!$L$6:$L$86,Selections!$G$6:$G$86,"72h-ucl-v3",Selections!$T$6:$T$86,1)))/SUMIFS(Selections!$T$6:$T$86,Selections!$G$6:$G$86,"72h-ucl-v3"))</f>
        <v>0.2987491501653422</v>
      </c>
      <c r="P46" s="19">
        <f>SUMIFS(Selections!$T$6:$T$86,Selections!$G$6:$G$86,"72h-ucl-v3")</f>
        <v>6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(n=6).</v>
      </c>
      <c r="R46" s="18"/>
    </row>
    <row r="47" ht="36" customHeight="1">
      <c r="A47" s="18" t="inlineStr">
        <is>
          <t>Policy</t>
        </is>
      </c>
      <c r="B47" s="18" t="inlineStr">
        <is>
          <t>legacy/unspecified</t>
        </is>
      </c>
      <c r="C47" s="19">
        <f>COUNTIFS(Selections!$G$6:$G$86,"legacy/unspecified")</f>
        <v>2</v>
      </c>
      <c r="D47" s="19">
        <f>((COUNTIFS(Selections!$G$6:$G$86,"legacy/unspecified",Selections!$K$6:$K$86,"WON")+COUNTIFS(Selections!$G$6:$G$86,"legacy/unspecified",Selections!$K$6:$K$86,"HALF_WON"))+(COUNTIFS(Selections!$G$6:$G$86,"legacy/unspecified",Selections!$K$6:$K$86,"LOST")+COUNTIFS(Selections!$G$6:$G$86,"legacy/unspecified",Selections!$K$6:$K$86,"HALF_LOST"))+COUNTIFS(Selections!$G$6:$G$86,"legacy/unspecified",Selections!$K$6:$K$86,"REFUNDED"))</f>
        <v>2</v>
      </c>
      <c r="E47" s="19">
        <f>(COUNTIFS(Selections!$G$6:$G$86,"legacy/unspecified",Selections!$K$6:$K$86,"WON")+COUNTIFS(Selections!$G$6:$G$86,"legacy/unspecified",Selections!$K$6:$K$86,"HALF_WON"))</f>
        <v>2</v>
      </c>
      <c r="F47" s="19">
        <f>(COUNTIFS(Selections!$G$6:$G$86,"legacy/unspecified",Selections!$K$6:$K$86,"LOST")+COUNTIFS(Selections!$G$6:$G$86,"legacy/unspecified",Selections!$K$6:$K$86,"HALF_LOST"))</f>
        <v>0</v>
      </c>
      <c r="G47" s="19">
        <f>COUNTIFS(Selections!$G$6:$G$86,"legacy/unspecified")-((COUNTIFS(Selections!$G$6:$G$86,"legacy/unspecified",Selections!$K$6:$K$86,"WON")+COUNTIFS(Selections!$G$6:$G$86,"legacy/unspecified",Selections!$K$6:$K$86,"HALF_WON"))+(COUNTIFS(Selections!$G$6:$G$86,"legacy/unspecified",Selections!$K$6:$K$86,"LOST")+COUNTIFS(Selections!$G$6:$G$86,"legacy/unspecified",Selections!$K$6:$K$86,"HALF_LOST"))+COUNTIFS(Selections!$G$6:$G$86,"legacy/unspecified",Selections!$K$6:$K$86,"REFUNDED"))</f>
        <v>0</v>
      </c>
      <c r="H47" s="20">
        <f>IF(((COUNTIFS(Selections!$G$6:$G$86,"legacy/unspecified",Selections!$K$6:$K$86,"WON")+COUNTIFS(Selections!$G$6:$G$86,"legacy/unspecified",Selections!$K$6:$K$86,"HALF_WON"))+(COUNTIFS(Selections!$G$6:$G$86,"legacy/unspecified",Selections!$K$6:$K$86,"LOST")+COUNTIFS(Selections!$G$6:$G$86,"legacy/unspecified",Selections!$K$6:$K$86,"HALF_LOST"))+COUNTIFS(Selections!$G$6:$G$86,"legacy/unspecified",Selections!$K$6:$K$86,"REFUNDED"))=0,"n.a.",(COUNTIFS(Selections!$G$6:$G$86,"legacy/unspecified",Selections!$K$6:$K$86,"WON")+COUNTIFS(Selections!$G$6:$G$86,"legacy/unspecified",Selections!$K$6:$K$86,"HALF_WON"))/((COUNTIFS(Selections!$G$6:$G$86,"legacy/unspecified",Selections!$K$6:$K$86,"WON")+COUNTIFS(Selections!$G$6:$G$86,"legacy/unspecified",Selections!$K$6:$K$86,"HALF_WON"))+(COUNTIFS(Selections!$G$6:$G$86,"legacy/unspecified",Selections!$K$6:$K$86,"LOST")+COUNTIFS(Selections!$G$6:$G$86,"legacy/unspecified",Selections!$K$6:$K$86,"HALF_LOST"))+COUNTIFS(Selections!$G$6:$G$86,"legacy/unspecified",Selections!$K$6:$K$86,"REFUNDED")))</f>
        <v>1.0</v>
      </c>
      <c r="I47" s="22">
        <f>SUMIFS(Selections!$M$6:$M$86,Selections!$G$6:$G$86,"legacy/unspecified")</f>
        <v>2</v>
      </c>
      <c r="J47" s="22">
        <f>SUMIFS(Selections!$N$6:$N$86,Selections!$G$6:$G$86,"legacy/unspecified")</f>
        <v>0.6399999999999999</v>
      </c>
      <c r="K47" s="20">
        <f>IF(SUMIFS(Selections!$M$6:$M$86,Selections!$G$6:$G$86,"legacy/unspecified")=0,"n.a.",SUMIFS(Selections!$N$6:$N$86,Selections!$G$6:$G$86,"legacy/unspecified")/SUMIFS(Selections!$M$6:$M$86,Selections!$G$6:$G$86,"legacy/unspecified"))</f>
        <v>0.31999999999999995</v>
      </c>
      <c r="L47" s="21">
        <f>IF(SUMIFS(Selections!$T$6:$T$86,Selections!$G$6:$G$86,"legacy/unspecified")=0,"n.a.",SUMIFS(Selections!$O$6:$O$86,Selections!$G$6:$G$86,"legacy/unspecified")/SUMIFS(Selections!$T$6:$T$86,Selections!$G$6:$G$86,"legacy/unspecified"))</f>
        <v>0.022741501209119913</v>
      </c>
      <c r="M47" s="20">
        <f>IF(SUMIFS(Selections!$T$6:$T$86,Selections!$G$6:$G$86,"legacy/unspecified")=0,"n.a.",SUMIFS(Selections!$S$6:$S$86,Selections!$G$6:$G$86,"legacy/unspecified")/SUMIFS(Selections!$T$6:$T$86,Selections!$G$6:$G$86,"legacy/unspecified"))</f>
        <v>0.8612313600870412</v>
      </c>
      <c r="N47" s="20">
        <f>IF(SUMIFS(Selections!$T$6:$T$86,Selections!$G$6:$G$86,"legacy/unspecified")=0,"n.a.",(SUMIFS(Selections!$L$6:$L$86,Selections!$G$6:$G$86,"legacy/unspecified",Selections!$T$6:$T$86,1))/SUMIFS(Selections!$T$6:$T$86,Selections!$G$6:$G$86,"legacy/unspecified"))</f>
        <v>1.0</v>
      </c>
      <c r="O47" s="20">
        <f>IF(SUMIFS(Selections!$T$6:$T$86,Selections!$G$6:$G$86,"legacy/unspecified")=0,"n.a.",(SUMIFS(Selections!$S$6:$S$86,Selections!$G$6:$G$86,"legacy/unspecified")-(SUMIFS(Selections!$L$6:$L$86,Selections!$G$6:$G$86,"legacy/unspecified",Selections!$T$6:$T$86,1)))/SUMIFS(Selections!$T$6:$T$86,Selections!$G$6:$G$86,"legacy/unspecified"))</f>
        <v>-0.13876863991295885</v>
      </c>
      <c r="P47" s="19">
        <f>SUMIFS(Selections!$T$6:$T$86,Selections!$G$6:$G$86,"legacy/unspecified")</f>
        <v>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(n=2).</v>
      </c>
      <c r="R47" s="18"/>
    </row>
    <row r="48" ht="36" customHeight="1">
      <c r="A48" s="18" t="inlineStr">
        <is>
          <t>Week</t>
        </is>
      </c>
      <c r="B48" s="18" t="inlineStr">
        <is>
          <t>2026-W41</t>
        </is>
      </c>
      <c r="C48" s="19">
        <f>COUNTIFS(Selections!$P$6:$P$86,"2026-W41")</f>
        <v>5</v>
      </c>
      <c r="D48" s="19">
        <f>((COUNTIFS(Selections!$P$6:$P$86,"2026-W41",Selections!$K$6:$K$86,"WON")+COUNTIFS(Selections!$P$6:$P$86,"2026-W41",Selections!$K$6:$K$86,"HALF_WON"))+(COUNTIFS(Selections!$P$6:$P$86,"2026-W41",Selections!$K$6:$K$86,"LOST")+COUNTIFS(Selections!$P$6:$P$86,"2026-W41",Selections!$K$6:$K$86,"HALF_LOST"))+COUNTIFS(Selections!$P$6:$P$86,"2026-W41",Selections!$K$6:$K$86,"REFUNDED"))</f>
        <v>4</v>
      </c>
      <c r="E48" s="19">
        <f>(COUNTIFS(Selections!$P$6:$P$86,"2026-W41",Selections!$K$6:$K$86,"WON")+COUNTIFS(Selections!$P$6:$P$86,"2026-W41",Selections!$K$6:$K$86,"HALF_WON"))</f>
        <v>2</v>
      </c>
      <c r="F48" s="19">
        <f>(COUNTIFS(Selections!$P$6:$P$86,"2026-W41",Selections!$K$6:$K$86,"LOST")+COUNTIFS(Selections!$P$6:$P$86,"2026-W41",Selections!$K$6:$K$86,"HALF_LOST"))</f>
        <v>2</v>
      </c>
      <c r="G48" s="19">
        <f>COUNTIFS(Selections!$P$6:$P$86,"2026-W41")-((COUNTIFS(Selections!$P$6:$P$86,"2026-W41",Selections!$K$6:$K$86,"WON")+COUNTIFS(Selections!$P$6:$P$86,"2026-W41",Selections!$K$6:$K$86,"HALF_WON"))+(COUNTIFS(Selections!$P$6:$P$86,"2026-W41",Selections!$K$6:$K$86,"LOST")+COUNTIFS(Selections!$P$6:$P$86,"2026-W41",Selections!$K$6:$K$86,"HALF_LOST"))+COUNTIFS(Selections!$P$6:$P$86,"2026-W41",Selections!$K$6:$K$86,"REFUNDED"))</f>
        <v>1</v>
      </c>
      <c r="H48" s="20">
        <f>IF(((COUNTIFS(Selections!$P$6:$P$86,"2026-W41",Selections!$K$6:$K$86,"WON")+COUNTIFS(Selections!$P$6:$P$86,"2026-W41",Selections!$K$6:$K$86,"HALF_WON"))+(COUNTIFS(Selections!$P$6:$P$86,"2026-W41",Selections!$K$6:$K$86,"LOST")+COUNTIFS(Selections!$P$6:$P$86,"2026-W41",Selections!$K$6:$K$86,"HALF_LOST"))+COUNTIFS(Selections!$P$6:$P$86,"2026-W41",Selections!$K$6:$K$86,"REFUNDED"))=0,"n.a.",(COUNTIFS(Selections!$P$6:$P$86,"2026-W41",Selections!$K$6:$K$86,"WON")+COUNTIFS(Selections!$P$6:$P$86,"2026-W41",Selections!$K$6:$K$86,"HALF_WON"))/((COUNTIFS(Selections!$P$6:$P$86,"2026-W41",Selections!$K$6:$K$86,"WON")+COUNTIFS(Selections!$P$6:$P$86,"2026-W41",Selections!$K$6:$K$86,"HALF_WON"))+(COUNTIFS(Selections!$P$6:$P$86,"2026-W41",Selections!$K$6:$K$86,"LOST")+COUNTIFS(Selections!$P$6:$P$86,"2026-W41",Selections!$K$6:$K$86,"HALF_LOST"))+COUNTIFS(Selections!$P$6:$P$86,"2026-W41",Selections!$K$6:$K$86,"REFUNDED")))</f>
        <v>0.5</v>
      </c>
      <c r="I48" s="22">
        <f>SUMIFS(Selections!$M$6:$M$86,Selections!$P$6:$P$86,"2026-W41")</f>
        <v>4</v>
      </c>
      <c r="J48" s="22">
        <f>SUMIFS(Selections!$N$6:$N$86,Selections!$P$6:$P$86,"2026-W41")</f>
        <v>-1.48</v>
      </c>
      <c r="K48" s="20">
        <f>IF(SUMIFS(Selections!$M$6:$M$86,Selections!$P$6:$P$86,"2026-W41")=0,"n.a.",SUMIFS(Selections!$N$6:$N$86,Selections!$P$6:$P$86,"2026-W41")/SUMIFS(Selections!$M$6:$M$86,Selections!$P$6:$P$86,"2026-W41"))</f>
        <v>-0.37</v>
      </c>
      <c r="L48" s="21">
        <f>IF(SUMIFS(Selections!$T$6:$T$86,Selections!$P$6:$P$86,"2026-W41")=0,"n.a.",SUMIFS(Selections!$O$6:$O$86,Selections!$P$6:$P$86,"2026-W41")/SUMIFS(Selections!$T$6:$T$86,Selections!$P$6:$P$86,"2026-W41"))</f>
        <v>0.32924630276534106</v>
      </c>
      <c r="M48" s="20">
        <f>IF(SUMIFS(Selections!$T$6:$T$86,Selections!$P$6:$P$86,"2026-W41")=0,"n.a.",SUMIFS(Selections!$S$6:$S$86,Selections!$P$6:$P$86,"2026-W41")/SUMIFS(Selections!$T$6:$T$86,Selections!$P$6:$P$86,"2026-W41"))</f>
        <v>0.8212200676021444</v>
      </c>
      <c r="N48" s="20">
        <f>IF(SUMIFS(Selections!$T$6:$T$86,Selections!$P$6:$P$86,"2026-W41")=0,"n.a.",(SUMIFS(Selections!$L$6:$L$86,Selections!$P$6:$P$86,"2026-W41",Selections!$T$6:$T$86,1))/SUMIFS(Selections!$T$6:$T$86,Selections!$P$6:$P$86,"2026-W41"))</f>
        <v>0.5</v>
      </c>
      <c r="O48" s="20">
        <f>IF(SUMIFS(Selections!$T$6:$T$86,Selections!$P$6:$P$86,"2026-W41")=0,"n.a.",(SUMIFS(Selections!$S$6:$S$86,Selections!$P$6:$P$86,"2026-W41")-(SUMIFS(Selections!$L$6:$L$86,Selections!$P$6:$P$86,"2026-W41",Selections!$T$6:$T$86,1)))/SUMIFS(Selections!$T$6:$T$86,Selections!$P$6:$P$86,"2026-W41"))</f>
        <v>0.3212200676021444</v>
      </c>
      <c r="P48" s="19">
        <f>SUMIFS(Selections!$T$6:$T$86,Selections!$P$6:$P$86,"2026-W41")</f>
        <v>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(n=4).</v>
      </c>
      <c r="R48" s="18"/>
    </row>
    <row r="49" ht="36" customHeight="1">
      <c r="A49" s="18" t="inlineStr">
        <is>
          <t>Week</t>
        </is>
      </c>
      <c r="B49" s="18" t="inlineStr">
        <is>
          <t>2026-W42</t>
        </is>
      </c>
      <c r="C49" s="19">
        <f>COUNTIFS(Selections!$P$6:$P$86,"2026-W42")</f>
        <v>24</v>
      </c>
      <c r="D49" s="19">
        <f>((COUNTIFS(Selections!$P$6:$P$86,"2026-W42",Selections!$K$6:$K$86,"WON")+COUNTIFS(Selections!$P$6:$P$86,"2026-W42",Selections!$K$6:$K$86,"HALF_WON"))+(COUNTIFS(Selections!$P$6:$P$86,"2026-W42",Selections!$K$6:$K$86,"LOST")+COUNTIFS(Selections!$P$6:$P$86,"2026-W42",Selections!$K$6:$K$86,"HALF_LOST"))+COUNTIFS(Selections!$P$6:$P$86,"2026-W42",Selections!$K$6:$K$86,"REFUNDED"))</f>
        <v>22</v>
      </c>
      <c r="E49" s="19">
        <f>(COUNTIFS(Selections!$P$6:$P$86,"2026-W42",Selections!$K$6:$K$86,"WON")+COUNTIFS(Selections!$P$6:$P$86,"2026-W42",Selections!$K$6:$K$86,"HALF_WON"))</f>
        <v>19</v>
      </c>
      <c r="F49" s="19">
        <f>(COUNTIFS(Selections!$P$6:$P$86,"2026-W42",Selections!$K$6:$K$86,"LOST")+COUNTIFS(Selections!$P$6:$P$86,"2026-W42",Selections!$K$6:$K$86,"HALF_LOST"))</f>
        <v>3</v>
      </c>
      <c r="G49" s="19">
        <f>COUNTIFS(Selections!$P$6:$P$86,"2026-W42")-((COUNTIFS(Selections!$P$6:$P$86,"2026-W42",Selections!$K$6:$K$86,"WON")+COUNTIFS(Selections!$P$6:$P$86,"2026-W42",Selections!$K$6:$K$86,"HALF_WON"))+(COUNTIFS(Selections!$P$6:$P$86,"2026-W42",Selections!$K$6:$K$86,"LOST")+COUNTIFS(Selections!$P$6:$P$86,"2026-W42",Selections!$K$6:$K$86,"HALF_LOST"))+COUNTIFS(Selections!$P$6:$P$86,"2026-W42",Selections!$K$6:$K$86,"REFUNDED"))</f>
        <v>2</v>
      </c>
      <c r="H49" s="20">
        <f>IF(((COUNTIFS(Selections!$P$6:$P$86,"2026-W42",Selections!$K$6:$K$86,"WON")+COUNTIFS(Selections!$P$6:$P$86,"2026-W42",Selections!$K$6:$K$86,"HALF_WON"))+(COUNTIFS(Selections!$P$6:$P$86,"2026-W42",Selections!$K$6:$K$86,"LOST")+COUNTIFS(Selections!$P$6:$P$86,"2026-W42",Selections!$K$6:$K$86,"HALF_LOST"))+COUNTIFS(Selections!$P$6:$P$86,"2026-W42",Selections!$K$6:$K$86,"REFUNDED"))=0,"n.a.",(COUNTIFS(Selections!$P$6:$P$86,"2026-W42",Selections!$K$6:$K$86,"WON")+COUNTIFS(Selections!$P$6:$P$86,"2026-W42",Selections!$K$6:$K$86,"HALF_WON"))/((COUNTIFS(Selections!$P$6:$P$86,"2026-W42",Selections!$K$6:$K$86,"WON")+COUNTIFS(Selections!$P$6:$P$86,"2026-W42",Selections!$K$6:$K$86,"HALF_WON"))+(COUNTIFS(Selections!$P$6:$P$86,"2026-W42",Selections!$K$6:$K$86,"LOST")+COUNTIFS(Selections!$P$6:$P$86,"2026-W42",Selections!$K$6:$K$86,"HALF_LOST"))+COUNTIFS(Selections!$P$6:$P$86,"2026-W42",Selections!$K$6:$K$86,"REFUNDED")))</f>
        <v>0.8636363636363636</v>
      </c>
      <c r="I49" s="22">
        <f>SUMIFS(Selections!$M$6:$M$86,Selections!$P$6:$P$86,"2026-W42")</f>
        <v>22</v>
      </c>
      <c r="J49" s="22">
        <f>SUMIFS(Selections!$N$6:$N$86,Selections!$P$6:$P$86,"2026-W42")</f>
        <v>4.289999999999999</v>
      </c>
      <c r="K49" s="20">
        <f>IF(SUMIFS(Selections!$M$6:$M$86,Selections!$P$6:$P$86,"2026-W42")=0,"n.a.",SUMIFS(Selections!$N$6:$N$86,Selections!$P$6:$P$86,"2026-W42")/SUMIFS(Selections!$M$6:$M$86,Selections!$P$6:$P$86,"2026-W42"))</f>
        <v>0.19499999999999995</v>
      </c>
      <c r="L49" s="21">
        <f>IF(SUMIFS(Selections!$T$6:$T$86,Selections!$P$6:$P$86,"2026-W42")=0,"n.a.",SUMIFS(Selections!$O$6:$O$86,Selections!$P$6:$P$86,"2026-W42")/SUMIFS(Selections!$T$6:$T$86,Selections!$P$6:$P$86,"2026-W42"))</f>
        <v>0.13041357566209277</v>
      </c>
      <c r="M49" s="20">
        <f>IF(SUMIFS(Selections!$T$6:$T$86,Selections!$P$6:$P$86,"2026-W42")=0,"n.a.",SUMIFS(Selections!$S$6:$S$86,Selections!$P$6:$P$86,"2026-W42")/SUMIFS(Selections!$T$6:$T$86,Selections!$P$6:$P$86,"2026-W42"))</f>
        <v>0.7692010233716516</v>
      </c>
      <c r="N49" s="20">
        <f>IF(SUMIFS(Selections!$T$6:$T$86,Selections!$P$6:$P$86,"2026-W42")=0,"n.a.",(SUMIFS(Selections!$L$6:$L$86,Selections!$P$6:$P$86,"2026-W42",Selections!$T$6:$T$86,1))/SUMIFS(Selections!$T$6:$T$86,Selections!$P$6:$P$86,"2026-W42"))</f>
        <v>0.8636363636363636</v>
      </c>
      <c r="O49" s="20">
        <f>IF(SUMIFS(Selections!$T$6:$T$86,Selections!$P$6:$P$86,"2026-W42")=0,"n.a.",(SUMIFS(Selections!$S$6:$S$86,Selections!$P$6:$P$86,"2026-W42")-(SUMIFS(Selections!$L$6:$L$86,Selections!$P$6:$P$86,"2026-W42",Selections!$T$6:$T$86,1)))/SUMIFS(Selections!$T$6:$T$86,Selections!$P$6:$P$86,"2026-W42"))</f>
        <v>-0.09443534026471201</v>
      </c>
      <c r="P49" s="19">
        <f>SUMIFS(Selections!$T$6:$T$86,Selections!$P$6:$P$86,"2026-W42")</f>
        <v>22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(n=22).</v>
      </c>
      <c r="R49" s="18"/>
    </row>
    <row r="50" ht="36" customHeight="1">
      <c r="A50" s="18" t="inlineStr">
        <is>
          <t>Week</t>
        </is>
      </c>
      <c r="B50" s="18" t="inlineStr">
        <is>
          <t>2026-W43</t>
        </is>
      </c>
      <c r="C50" s="19">
        <f>COUNTIFS(Selections!$P$6:$P$86,"2026-W43")</f>
        <v>41</v>
      </c>
      <c r="D50" s="19">
        <f>((COUNTIFS(Selections!$P$6:$P$86,"2026-W43",Selections!$K$6:$K$86,"WON")+COUNTIFS(Selections!$P$6:$P$86,"2026-W43",Selections!$K$6:$K$86,"HALF_WON"))+(COUNTIFS(Selections!$P$6:$P$86,"2026-W43",Selections!$K$6:$K$86,"LOST")+COUNTIFS(Selections!$P$6:$P$86,"2026-W43",Selections!$K$6:$K$86,"HALF_LOST"))+COUNTIFS(Selections!$P$6:$P$86,"2026-W43",Selections!$K$6:$K$86,"REFUNDED"))</f>
        <v>34</v>
      </c>
      <c r="E50" s="19">
        <f>(COUNTIFS(Selections!$P$6:$P$86,"2026-W43",Selections!$K$6:$K$86,"WON")+COUNTIFS(Selections!$P$6:$P$86,"2026-W43",Selections!$K$6:$K$86,"HALF_WON"))</f>
        <v>25</v>
      </c>
      <c r="F50" s="19">
        <f>(COUNTIFS(Selections!$P$6:$P$86,"2026-W43",Selections!$K$6:$K$86,"LOST")+COUNTIFS(Selections!$P$6:$P$86,"2026-W43",Selections!$K$6:$K$86,"HALF_LOST"))</f>
        <v>9</v>
      </c>
      <c r="G50" s="19">
        <f>COUNTIFS(Selections!$P$6:$P$86,"2026-W43")-((COUNTIFS(Selections!$P$6:$P$86,"2026-W43",Selections!$K$6:$K$86,"WON")+COUNTIFS(Selections!$P$6:$P$86,"2026-W43",Selections!$K$6:$K$86,"HALF_WON"))+(COUNTIFS(Selections!$P$6:$P$86,"2026-W43",Selections!$K$6:$K$86,"LOST")+COUNTIFS(Selections!$P$6:$P$86,"2026-W43",Selections!$K$6:$K$86,"HALF_LOST"))+COUNTIFS(Selections!$P$6:$P$86,"2026-W43",Selections!$K$6:$K$86,"REFUNDED"))</f>
        <v>7</v>
      </c>
      <c r="H50" s="20">
        <f>IF(((COUNTIFS(Selections!$P$6:$P$86,"2026-W43",Selections!$K$6:$K$86,"WON")+COUNTIFS(Selections!$P$6:$P$86,"2026-W43",Selections!$K$6:$K$86,"HALF_WON"))+(COUNTIFS(Selections!$P$6:$P$86,"2026-W43",Selections!$K$6:$K$86,"LOST")+COUNTIFS(Selections!$P$6:$P$86,"2026-W43",Selections!$K$6:$K$86,"HALF_LOST"))+COUNTIFS(Selections!$P$6:$P$86,"2026-W43",Selections!$K$6:$K$86,"REFUNDED"))=0,"n.a.",(COUNTIFS(Selections!$P$6:$P$86,"2026-W43",Selections!$K$6:$K$86,"WON")+COUNTIFS(Selections!$P$6:$P$86,"2026-W43",Selections!$K$6:$K$86,"HALF_WON"))/((COUNTIFS(Selections!$P$6:$P$86,"2026-W43",Selections!$K$6:$K$86,"WON")+COUNTIFS(Selections!$P$6:$P$86,"2026-W43",Selections!$K$6:$K$86,"HALF_WON"))+(COUNTIFS(Selections!$P$6:$P$86,"2026-W43",Selections!$K$6:$K$86,"LOST")+COUNTIFS(Selections!$P$6:$P$86,"2026-W43",Selections!$K$6:$K$86,"HALF_LOST"))+COUNTIFS(Selections!$P$6:$P$86,"2026-W43",Selections!$K$6:$K$86,"REFUNDED")))</f>
        <v>0.7352941176470589</v>
      </c>
      <c r="I50" s="22">
        <f>SUMIFS(Selections!$M$6:$M$86,Selections!$P$6:$P$86,"2026-W43")</f>
        <v>34</v>
      </c>
      <c r="J50" s="22">
        <f>SUMIFS(Selections!$N$6:$N$86,Selections!$P$6:$P$86,"2026-W43")</f>
        <v>1.0699999999999994</v>
      </c>
      <c r="K50" s="20">
        <f>IF(SUMIFS(Selections!$M$6:$M$86,Selections!$P$6:$P$86,"2026-W43")=0,"n.a.",SUMIFS(Selections!$N$6:$N$86,Selections!$P$6:$P$86,"2026-W43")/SUMIFS(Selections!$M$6:$M$86,Selections!$P$6:$P$86,"2026-W43"))</f>
        <v>0.0314705882352941</v>
      </c>
      <c r="L50" s="21">
        <f>IF(SUMIFS(Selections!$T$6:$T$86,Selections!$P$6:$P$86,"2026-W43")=0,"n.a.",SUMIFS(Selections!$O$6:$O$86,Selections!$P$6:$P$86,"2026-W43")/SUMIFS(Selections!$T$6:$T$86,Selections!$P$6:$P$86,"2026-W43"))</f>
        <v>0.14715697171487105</v>
      </c>
      <c r="M50" s="20">
        <f>IF(SUMIFS(Selections!$T$6:$T$86,Selections!$P$6:$P$86,"2026-W43")=0,"n.a.",SUMIFS(Selections!$S$6:$S$86,Selections!$P$6:$P$86,"2026-W43")/SUMIFS(Selections!$T$6:$T$86,Selections!$P$6:$P$86,"2026-W43"))</f>
        <v>0.7232981009569568</v>
      </c>
      <c r="N50" s="20">
        <f>IF(SUMIFS(Selections!$T$6:$T$86,Selections!$P$6:$P$86,"2026-W43")=0,"n.a.",(SUMIFS(Selections!$L$6:$L$86,Selections!$P$6:$P$86,"2026-W43",Selections!$T$6:$T$86,1))/SUMIFS(Selections!$T$6:$T$86,Selections!$P$6:$P$86,"2026-W43"))</f>
        <v>0.7352941176470589</v>
      </c>
      <c r="O50" s="20">
        <f>IF(SUMIFS(Selections!$T$6:$T$86,Selections!$P$6:$P$86,"2026-W43")=0,"n.a.",(SUMIFS(Selections!$S$6:$S$86,Selections!$P$6:$P$86,"2026-W43")-(SUMIFS(Selections!$L$6:$L$86,Selections!$P$6:$P$86,"2026-W43",Selections!$T$6:$T$86,1)))/SUMIFS(Selections!$T$6:$T$86,Selections!$P$6:$P$86,"2026-W43"))</f>
        <v>-0.011996016690102085</v>
      </c>
      <c r="P50" s="19">
        <f>SUMIFS(Selections!$T$6:$T$86,Selections!$P$6:$P$86,"2026-W43")</f>
        <v>34</v>
      </c>
      <c r="Q50" s="18" t="str">
        <f>IF(P50&lt;30,"Collect more scored forecasts (n="&amp;P50&amp;").",IF(O50&gt;0.1,"Review overconfidence on a future holdout.",IF(K50&lt;0,"Review prices and EV on a future holdout.","Continue forward testing. No automatic model change.")))</f>
        <v>Continue forward testing. No automatic model change.</v>
      </c>
      <c r="R50" s="18"/>
    </row>
    <row r="51" ht="36" customHeight="1">
      <c r="A51" s="18" t="inlineStr">
        <is>
          <t>Week</t>
        </is>
      </c>
      <c r="B51" s="18" t="inlineStr">
        <is>
          <t>2026-W44</t>
        </is>
      </c>
      <c r="C51" s="19">
        <f>COUNTIFS(Selections!$P$6:$P$86,"2026-W44")</f>
        <v>11</v>
      </c>
      <c r="D51" s="19">
        <f>((COUNTIFS(Selections!$P$6:$P$86,"2026-W44",Selections!$K$6:$K$86,"WON")+COUNTIFS(Selections!$P$6:$P$86,"2026-W44",Selections!$K$6:$K$86,"HALF_WON"))+(COUNTIFS(Selections!$P$6:$P$86,"2026-W44",Selections!$K$6:$K$86,"LOST")+COUNTIFS(Selections!$P$6:$P$86,"2026-W44",Selections!$K$6:$K$86,"HALF_LOST"))+COUNTIFS(Selections!$P$6:$P$86,"2026-W44",Selections!$K$6:$K$86,"REFUNDED"))</f>
        <v>2</v>
      </c>
      <c r="E51" s="19">
        <f>(COUNTIFS(Selections!$P$6:$P$86,"2026-W44",Selections!$K$6:$K$86,"WON")+COUNTIFS(Selections!$P$6:$P$86,"2026-W44",Selections!$K$6:$K$86,"HALF_WON"))</f>
        <v>1</v>
      </c>
      <c r="F51" s="19">
        <f>(COUNTIFS(Selections!$P$6:$P$86,"2026-W44",Selections!$K$6:$K$86,"LOST")+COUNTIFS(Selections!$P$6:$P$86,"2026-W44",Selections!$K$6:$K$86,"HALF_LOST"))</f>
        <v>0</v>
      </c>
      <c r="G51" s="19">
        <f>COUNTIFS(Selections!$P$6:$P$86,"2026-W44")-((COUNTIFS(Selections!$P$6:$P$86,"2026-W44",Selections!$K$6:$K$86,"WON")+COUNTIFS(Selections!$P$6:$P$86,"2026-W44",Selections!$K$6:$K$86,"HALF_WON"))+(COUNTIFS(Selections!$P$6:$P$86,"2026-W44",Selections!$K$6:$K$86,"LOST")+COUNTIFS(Selections!$P$6:$P$86,"2026-W44",Selections!$K$6:$K$86,"HALF_LOST"))+COUNTIFS(Selections!$P$6:$P$86,"2026-W44",Selections!$K$6:$K$86,"REFUNDED"))</f>
        <v>9</v>
      </c>
      <c r="H51" s="20">
        <f>IF(((COUNTIFS(Selections!$P$6:$P$86,"2026-W44",Selections!$K$6:$K$86,"WON")+COUNTIFS(Selections!$P$6:$P$86,"2026-W44",Selections!$K$6:$K$86,"HALF_WON"))+(COUNTIFS(Selections!$P$6:$P$86,"2026-W44",Selections!$K$6:$K$86,"LOST")+COUNTIFS(Selections!$P$6:$P$86,"2026-W44",Selections!$K$6:$K$86,"HALF_LOST"))+COUNTIFS(Selections!$P$6:$P$86,"2026-W44",Selections!$K$6:$K$86,"REFUNDED"))=0,"n.a.",(COUNTIFS(Selections!$P$6:$P$86,"2026-W44",Selections!$K$6:$K$86,"WON")+COUNTIFS(Selections!$P$6:$P$86,"2026-W44",Selections!$K$6:$K$86,"HALF_WON"))/((COUNTIFS(Selections!$P$6:$P$86,"2026-W44",Selections!$K$6:$K$86,"WON")+COUNTIFS(Selections!$P$6:$P$86,"2026-W44",Selections!$K$6:$K$86,"HALF_WON"))+(COUNTIFS(Selections!$P$6:$P$86,"2026-W44",Selections!$K$6:$K$86,"LOST")+COUNTIFS(Selections!$P$6:$P$86,"2026-W44",Selections!$K$6:$K$86,"HALF_LOST"))+COUNTIFS(Selections!$P$6:$P$86,"2026-W44",Selections!$K$6:$K$86,"REFUNDED")))</f>
        <v>0.5</v>
      </c>
      <c r="I51" s="22">
        <f>SUMIFS(Selections!$M$6:$M$86,Selections!$P$6:$P$86,"2026-W44")</f>
        <v>2</v>
      </c>
      <c r="J51" s="22">
        <f>SUMIFS(Selections!$N$6:$N$86,Selections!$P$6:$P$86,"2026-W44")</f>
        <v>0.34</v>
      </c>
      <c r="K51" s="20">
        <f>IF(SUMIFS(Selections!$M$6:$M$86,Selections!$P$6:$P$86,"2026-W44")=0,"n.a.",SUMIFS(Selections!$N$6:$N$86,Selections!$P$6:$P$86,"2026-W44")/SUMIFS(Selections!$M$6:$M$86,Selections!$P$6:$P$86,"2026-W44"))</f>
        <v>0.17</v>
      </c>
      <c r="L51" s="21">
        <f>IF(SUMIFS(Selections!$T$6:$T$86,Selections!$P$6:$P$86,"2026-W44")=0,"n.a.",SUMIFS(Selections!$O$6:$O$86,Selections!$P$6:$P$86,"2026-W44")/SUMIFS(Selections!$T$6:$T$86,Selections!$P$6:$P$86,"2026-W44"))</f>
        <v>0.0396891221527579</v>
      </c>
      <c r="M51" s="20">
        <f>IF(SUMIFS(Selections!$T$6:$T$86,Selections!$P$6:$P$86,"2026-W44")=0,"n.a.",SUMIFS(Selections!$S$6:$S$86,Selections!$P$6:$P$86,"2026-W44")/SUMIFS(Selections!$T$6:$T$86,Selections!$P$6:$P$86,"2026-W44"))</f>
        <v>0.8022696959191592</v>
      </c>
      <c r="N51" s="20">
        <f>IF(SUMIFS(Selections!$T$6:$T$86,Selections!$P$6:$P$86,"2026-W44")=0,"n.a.",(SUMIFS(Selections!$L$6:$L$86,Selections!$P$6:$P$86,"2026-W44",Selections!$T$6:$T$86,1))/SUMIFS(Selections!$T$6:$T$86,Selections!$P$6:$P$86,"2026-W44"))</f>
        <v>1.0</v>
      </c>
      <c r="O51" s="20">
        <f>IF(SUMIFS(Selections!$T$6:$T$86,Selections!$P$6:$P$86,"2026-W44")=0,"n.a.",(SUMIFS(Selections!$S$6:$S$86,Selections!$P$6:$P$86,"2026-W44")-(SUMIFS(Selections!$L$6:$L$86,Selections!$P$6:$P$86,"2026-W44",Selections!$T$6:$T$86,1)))/SUMIFS(Selections!$T$6:$T$86,Selections!$P$6:$P$86,"2026-W44"))</f>
        <v>-0.1977303040808408</v>
      </c>
      <c r="P51" s="19">
        <f>SUMIFS(Selections!$T$6:$T$86,Selections!$P$6:$P$86,"2026-W44")</f>
        <v>2</v>
      </c>
      <c r="Q51" s="18" t="str">
        <f>IF(P51&lt;30,"Collect more scored forecasts (n="&amp;P51&amp;").",IF(O51&gt;0.1,"Review overconfidence on a future holdout.",IF(K51&lt;0,"Review prices and EV on a future holdout.","Continue forward testing. No automatic model change.")))</f>
        <v>Collect more scored forecasts (n=2).</v>
      </c>
      <c r="R51" s="18"/>
    </row>
  </sheetData>
  <mergeCells count="2">
    <mergeCell ref="A2:Q2"/>
    <mergeCell ref="A4:Q4"/>
  </mergeCells>
  <conditionalFormatting sqref="K6:K5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COUNTIFS(Selections!$S$6:$S$86,"&gt;="&amp;B6,Selections!$S$6:$S$86,"&lt;"&amp;C6,Selections!$T$6:$T$86,1)</f>
        <v>5</v>
      </c>
      <c r="E6" s="20">
        <f>IF(D6=0,"n.a.",SUMIFS(Selections!$S$6:$S$86,Selections!$S$6:$S$86,"&gt;="&amp;B6,Selections!$S$6:$S$86,"&lt;"&amp;C6,Selections!$T$6:$T$86,1)/D6)</f>
        <v>0.44746011527469004</v>
      </c>
      <c r="F6" s="20">
        <f>IF(D6=0,"n.a.",SUMIFS(Selections!$L$6:$L$86,Selections!$S$6:$S$86,"&gt;="&amp;B6,Selections!$S$6:$S$86,"&lt;"&amp;C6,Selections!$T$6:$T$86,1)/D6)</f>
        <v>0.4</v>
      </c>
      <c r="G6" s="20">
        <f>IF(D6=0,"n.a.",E6-F6)</f>
        <v>0.04746011527469002</v>
      </c>
      <c r="H6" s="21">
        <f>IF(D6=0,"n.a.",SUMIFS(Selections!$O$6:$O$86,Selections!$S$6:$S$86,"&gt;="&amp;B6,Selections!$S$6:$S$86,"&lt;"&amp;C6,Selections!$T$6:$T$86,1)/D6)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COUNTIFS(Selections!$S$6:$S$86,"&gt;="&amp;B7,Selections!$S$6:$S$86,"&lt;"&amp;C7,Selections!$T$6:$T$86,1)</f>
        <v>2</v>
      </c>
      <c r="E7" s="20">
        <f>IF(D7=0,"n.a.",SUMIFS(Selections!$S$6:$S$86,Selections!$S$6:$S$86,"&gt;="&amp;B7,Selections!$S$6:$S$86,"&lt;"&amp;C7,Selections!$T$6:$T$86,1)/D7)</f>
        <v>0.566643476006385</v>
      </c>
      <c r="F7" s="20">
        <f>IF(D7=0,"n.a.",SUMIFS(Selections!$L$6:$L$86,Selections!$S$6:$S$86,"&gt;="&amp;B7,Selections!$S$6:$S$86,"&lt;"&amp;C7,Selections!$T$6:$T$86,1)/D7)</f>
        <v>0.5</v>
      </c>
      <c r="G7" s="20">
        <f>IF(D7=0,"n.a.",E7-F7)</f>
        <v>0.06664347600638498</v>
      </c>
      <c r="H7" s="21">
        <f>IF(D7=0,"n.a.",SUMIFS(Selections!$O$6:$O$86,Selections!$S$6:$S$86,"&gt;="&amp;B7,Selections!$S$6:$S$86,"&lt;"&amp;C7,Selections!$T$6:$T$86,1)/D7)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COUNTIFS(Selections!$S$6:$S$86,"&gt;="&amp;B8,Selections!$S$6:$S$86,"&lt;"&amp;C8,Selections!$T$6:$T$86,1)</f>
        <v>9</v>
      </c>
      <c r="E8" s="20">
        <f>IF(D8=0,"n.a.",SUMIFS(Selections!$S$6:$S$86,Selections!$S$6:$S$86,"&gt;="&amp;B8,Selections!$S$6:$S$86,"&lt;"&amp;C8,Selections!$T$6:$T$86,1)/D8)</f>
        <v>0.6435167729572643</v>
      </c>
      <c r="F8" s="20">
        <f>IF(D8=0,"n.a.",SUMIFS(Selections!$L$6:$L$86,Selections!$S$6:$S$86,"&gt;="&amp;B8,Selections!$S$6:$S$86,"&lt;"&amp;C8,Selections!$T$6:$T$86,1)/D8)</f>
        <v>0.5555555555555556</v>
      </c>
      <c r="G8" s="20">
        <f>IF(D8=0,"n.a.",E8-F8)</f>
        <v>0.0879612174017087</v>
      </c>
      <c r="H8" s="21">
        <f>IF(D8=0,"n.a.",SUMIFS(Selections!$O$6:$O$86,Selections!$S$6:$S$86,"&gt;="&amp;B8,Selections!$S$6:$S$86,"&lt;"&amp;C8,Selections!$T$6:$T$86,1)/D8)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COUNTIFS(Selections!$S$6:$S$86,"&gt;="&amp;B9,Selections!$S$6:$S$86,"&lt;"&amp;C9,Selections!$T$6:$T$86,1)</f>
        <v>22</v>
      </c>
      <c r="E9" s="20">
        <f>IF(D9=0,"n.a.",SUMIFS(Selections!$S$6:$S$86,Selections!$S$6:$S$86,"&gt;="&amp;B9,Selections!$S$6:$S$86,"&lt;"&amp;C9,Selections!$T$6:$T$86,1)/D9)</f>
        <v>0.7615160521306804</v>
      </c>
      <c r="F9" s="20">
        <f>IF(D9=0,"n.a.",SUMIFS(Selections!$L$6:$L$86,Selections!$S$6:$S$86,"&gt;="&amp;B9,Selections!$S$6:$S$86,"&lt;"&amp;C9,Selections!$T$6:$T$86,1)/D9)</f>
        <v>0.8181818181818182</v>
      </c>
      <c r="G9" s="20">
        <f>IF(D9=0,"n.a.",E9-F9)</f>
        <v>-0.05666576605113782</v>
      </c>
      <c r="H9" s="21">
        <f>IF(D9=0,"n.a.",SUMIFS(Selections!$O$6:$O$86,Selections!$S$6:$S$86,"&gt;="&amp;B9,Selections!$S$6:$S$86,"&lt;"&amp;C9,Selections!$T$6:$T$86,1)/D9)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COUNTIFS(Selections!$S$6:$S$86,"&gt;="&amp;B10,Selections!$S$6:$S$86,"&lt;"&amp;C10,Selections!$T$6:$T$86,1)</f>
        <v>20</v>
      </c>
      <c r="E10" s="20">
        <f>IF(D10=0,"n.a.",SUMIFS(Selections!$S$6:$S$86,Selections!$S$6:$S$86,"&gt;="&amp;B10,Selections!$S$6:$S$86,"&lt;"&amp;C10,Selections!$T$6:$T$86,1)/D10)</f>
        <v>0.8388862903946199</v>
      </c>
      <c r="F10" s="20">
        <f>IF(D10=0,"n.a.",SUMIFS(Selections!$L$6:$L$86,Selections!$S$6:$S$86,"&gt;="&amp;B10,Selections!$S$6:$S$86,"&lt;"&amp;C10,Selections!$T$6:$T$86,1)/D10)</f>
        <v>0.9</v>
      </c>
      <c r="G10" s="20">
        <f>IF(D10=0,"n.a.",E10-F10)</f>
        <v>-0.061113709605380095</v>
      </c>
      <c r="H10" s="21">
        <f>IF(D10=0,"n.a.",SUMIFS(Selections!$O$6:$O$86,Selections!$S$6:$S$86,"&gt;="&amp;B10,Selections!$S$6:$S$86,"&lt;"&amp;C10,Selections!$T$6:$T$86,1)/D10)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COUNTIFS(Selections!$S$6:$S$86,"&gt;="&amp;B11,Selections!$S$6:$S$86,"&lt;"&amp;C11,Selections!$T$6:$T$86,1)</f>
        <v>4</v>
      </c>
      <c r="E11" s="20">
        <f>IF(D11=0,"n.a.",SUMIFS(Selections!$S$6:$S$86,Selections!$S$6:$S$86,"&gt;="&amp;B11,Selections!$S$6:$S$86,"&lt;"&amp;C11,Selections!$T$6:$T$86,1)/D11)</f>
        <v>0.9276650422976989</v>
      </c>
      <c r="F11" s="20">
        <f>IF(D11=0,"n.a.",SUMIFS(Selections!$L$6:$L$86,Selections!$S$6:$S$86,"&gt;="&amp;B11,Selections!$S$6:$S$86,"&lt;"&amp;C11,Selections!$T$6:$T$86,1)/D11)</f>
        <v>1.0</v>
      </c>
      <c r="G11" s="20">
        <f>IF(D11=0,"n.a.",E11-F11)</f>
        <v>-0.07233495770230114</v>
      </c>
      <c r="H11" s="21">
        <f>IF(D11=0,"n.a.",SUMIFS(Selections!$O$6:$O$86,Selections!$S$6:$S$86,"&gt;="&amp;B11,Selections!$S$6:$S$86,"&lt;"&amp;C11,Selections!$T$6:$T$86,1)/D11)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  <row r="80" ht="36" customHeight="1">
      <c r="A80" s="18" t="inlineStr">
        <is>
          <t>La Liga|levante|ath madrid|2026-10-31</t>
        </is>
      </c>
      <c r="B80" s="23">
        <v>46326.541666666664</v>
      </c>
      <c r="C80" s="18" t="inlineStr">
        <is>
          <t>La Liga</t>
        </is>
      </c>
      <c r="D80" s="18" t="inlineStr">
        <is>
          <t>Levante vs Atlético Madrid</t>
        </is>
      </c>
      <c r="E80" s="18" t="inlineStr">
        <is>
          <t>Asian Handicap Home +2.00</t>
        </is>
      </c>
      <c r="F80" s="18" t="inlineStr">
        <is>
          <t>STRICT</t>
        </is>
      </c>
      <c r="G80" s="18" t="inlineStr">
        <is>
          <t>48h-zero-tolerance-ev05-no-loss75-corners-v26</t>
        </is>
      </c>
      <c r="H80" s="20">
        <v>0.8303211369266675</v>
      </c>
      <c r="I80" s="22">
        <v>1.33</v>
      </c>
      <c r="J80" s="18"/>
      <c r="K80" s="18" t="inlineStr">
        <is>
          <t>PENDING_KICKOFF_OR_FINAL_SCORE</t>
        </is>
      </c>
      <c r="L80" s="18"/>
      <c r="M80" s="22" t="str">
        <f>IF(AND(ISNUMBER(L80),ISNUMBER(I80),I80&gt;1),'ROI Plan'!$B$5,"")</f>
        <v/>
      </c>
      <c r="N80" s="22" t="str">
        <f>IF(ISNUMBER(M80),M80*IF(K80="HALF_WON",(I80-1)/2-U80,IF(K80="HALF_LOST",-0.5-U80,IF(K80="REFUNDED",-U80,I80*L80-1-U80))),"")</f>
        <v/>
      </c>
      <c r="O80" s="21">
        <f>IF(AND(ISNUMBER(L80),ISNUMBER(H80)),(H80-L80)^2,"")</f>
      </c>
      <c r="P80" s="18" t="inlineStr">
        <is>
          <t>2026-W44</t>
        </is>
      </c>
      <c r="Q80" s="18" t="inlineStr">
        <is>
          <t>f82ff3e276c6c573d145eb757208cb5772a45143</t>
        </is>
      </c>
      <c r="R80" s="18"/>
      <c r="S80" s="20">
        <f>IF(AND(ISNUMBER(L80),ISNUMBER(H80)),H80,"")</f>
      </c>
      <c r="T80" s="19">
        <f>IF(AND(ISNUMBER(L80),ISNUMBER(H80)),1,0)</f>
        <v>0</v>
      </c>
      <c r="U80" s="22">
        <v>0.0</v>
      </c>
      <c r="V80" t="inlineStr" s="18">
        <is>
          <t>2026-10-31T12:03:11.165007+00:00</t>
        </is>
      </c>
      <c r="W80" t="inlineStr" s="18">
        <is>
          <t>2026-10-31T12:03:46Z</t>
        </is>
      </c>
    </row>
    <row r="81" ht="36" customHeight="1">
      <c r="A81" s="18" t="inlineStr">
        <is>
          <t>Super Lig|kocaelispor|caykur rizespor|2026-10-31</t>
        </is>
      </c>
      <c r="B81" s="23">
        <v>46326.541666666664</v>
      </c>
      <c r="C81" s="18" t="inlineStr">
        <is>
          <t>Super Lig</t>
        </is>
      </c>
      <c r="D81" s="18" t="inlineStr">
        <is>
          <t>Kocaelispor vs Çaykur Rizespor</t>
        </is>
      </c>
      <c r="E81" s="18" t="inlineStr">
        <is>
          <t>Asian Handicap Home +1.00</t>
        </is>
      </c>
      <c r="F81" s="18" t="inlineStr">
        <is>
          <t>STRICT</t>
        </is>
      </c>
      <c r="G81" s="18" t="inlineStr">
        <is>
          <t>48h-zero-tolerance-ev05-no-loss75-corners-v26</t>
        </is>
      </c>
      <c r="H81" s="20">
        <v>0.8476691700312152</v>
      </c>
      <c r="I81" s="22">
        <v>1.29</v>
      </c>
      <c r="J81" s="18"/>
      <c r="K81" s="18" t="inlineStr">
        <is>
          <t>PENDING_KICKOFF_OR_FINAL_SCORE</t>
        </is>
      </c>
      <c r="L81" s="18"/>
      <c r="M81" s="22" t="str">
        <f>IF(AND(ISNUMBER(L81),ISNUMBER(I81),I81&gt;1),'ROI Plan'!$B$5,"")</f>
        <v/>
      </c>
      <c r="N81" s="22" t="str">
        <f>IF(ISNUMBER(M81),M81*IF(K81="HALF_WON",(I81-1)/2-U81,IF(K81="HALF_LOST",-0.5-U81,IF(K81="REFUNDED",-U81,I81*L81-1-U81))),"")</f>
        <v/>
      </c>
      <c r="O81" s="21">
        <f>IF(AND(ISNUMBER(L81),ISNUMBER(H81)),(H81-L81)^2,"")</f>
      </c>
      <c r="P81" s="18" t="inlineStr">
        <is>
          <t>2026-W44</t>
        </is>
      </c>
      <c r="Q81" s="18" t="inlineStr">
        <is>
          <t>f82ff3e276c6c573d145eb757208cb5772a45143</t>
        </is>
      </c>
      <c r="R81" s="18"/>
      <c r="S81" s="20">
        <f>IF(AND(ISNUMBER(L81),ISNUMBER(H81)),H81,"")</f>
      </c>
      <c r="T81" s="19">
        <f>IF(AND(ISNUMBER(L81),ISNUMBER(H81)),1,0)</f>
        <v>0</v>
      </c>
      <c r="U81" s="22">
        <v>0.0</v>
      </c>
      <c r="V81" t="inlineStr" s="18">
        <is>
          <t>2026-10-31T12:03:11.165007+00:00</t>
        </is>
      </c>
      <c r="W81" t="inlineStr" s="18">
        <is>
          <t>2026-10-31T12:03:46Z</t>
        </is>
      </c>
    </row>
    <row r="82" ht="36" customHeight="1">
      <c r="A82" s="18" t="inlineStr">
        <is>
          <t>Premier League|hull city|ipswich town|2026-10-31</t>
        </is>
      </c>
      <c r="B82" s="23">
        <v>46326.625</v>
      </c>
      <c r="C82" s="18" t="inlineStr">
        <is>
          <t>Premier League</t>
        </is>
      </c>
      <c r="D82" s="18" t="inlineStr">
        <is>
          <t>Hull City vs Ipswich Town</t>
        </is>
      </c>
      <c r="E82" s="18" t="inlineStr">
        <is>
          <t>Asian Handicap Home +1.00</t>
        </is>
      </c>
      <c r="F82" s="18" t="inlineStr">
        <is>
          <t>STRICT</t>
        </is>
      </c>
      <c r="G82" s="18" t="inlineStr">
        <is>
          <t>48h-zero-tolerance-ev05-no-loss75-corners-v26</t>
        </is>
      </c>
      <c r="H82" s="20">
        <v>0.8875723179005808</v>
      </c>
      <c r="I82" s="22">
        <v>1.25</v>
      </c>
      <c r="J82" s="18"/>
      <c r="K82" s="18" t="inlineStr">
        <is>
          <t>PENDING_KICKOFF_OR_FINAL_SCORE</t>
        </is>
      </c>
      <c r="L82" s="18"/>
      <c r="M82" s="22" t="str">
        <f>IF(AND(ISNUMBER(L82),ISNUMBER(I82),I82&gt;1),'ROI Plan'!$B$5,"")</f>
        <v/>
      </c>
      <c r="N82" s="22" t="str">
        <f>IF(ISNUMBER(M82),M82*IF(K82="HALF_WON",(I82-1)/2-U82,IF(K82="HALF_LOST",-0.5-U82,IF(K82="REFUNDED",-U82,I82*L82-1-U82))),"")</f>
        <v/>
      </c>
      <c r="O82" s="21">
        <f>IF(AND(ISNUMBER(L82),ISNUMBER(H82)),(H82-L82)^2,"")</f>
      </c>
      <c r="P82" s="18" t="inlineStr">
        <is>
          <t>2026-W44</t>
        </is>
      </c>
      <c r="Q82" s="18" t="inlineStr">
        <is>
          <t>f82ff3e276c6c573d145eb757208cb5772a45143</t>
        </is>
      </c>
      <c r="R82" s="18"/>
      <c r="S82" s="20">
        <f>IF(AND(ISNUMBER(L82),ISNUMBER(H82)),H82,"")</f>
      </c>
      <c r="T82" s="19">
        <f>IF(AND(ISNUMBER(L82),ISNUMBER(H82)),1,0)</f>
        <v>0</v>
      </c>
      <c r="U82" s="22">
        <v>0.0</v>
      </c>
      <c r="V82" t="inlineStr" s="18">
        <is>
          <t>2026-10-31T12:03:11.165007+00:00</t>
        </is>
      </c>
      <c r="W82" t="inlineStr" s="18">
        <is>
          <t>2026-10-31T12:03:46Z</t>
        </is>
      </c>
    </row>
    <row r="83" ht="36" customHeight="1">
      <c r="A83" s="18" t="inlineStr">
        <is>
          <t>Primeira Liga|moreirense|estrela|2026-10-31</t>
        </is>
      </c>
      <c r="B83" s="23">
        <v>46326.645833333336</v>
      </c>
      <c r="C83" s="18" t="inlineStr">
        <is>
          <t>Primeira Liga</t>
        </is>
      </c>
      <c r="D83" s="18" t="inlineStr">
        <is>
          <t>Moreirense FC vs CF Estrela</t>
        </is>
      </c>
      <c r="E83" s="18" t="inlineStr">
        <is>
          <t>Asian Handicap Home +1.00</t>
        </is>
      </c>
      <c r="F83" s="18" t="inlineStr">
        <is>
          <t>STRICT</t>
        </is>
      </c>
      <c r="G83" s="18" t="inlineStr">
        <is>
          <t>48h-zero-tolerance-ev05-no-loss75-corners-v26</t>
        </is>
      </c>
      <c r="H83" s="20">
        <v>0.8612718645076326</v>
      </c>
      <c r="I83" s="22">
        <v>1.27</v>
      </c>
      <c r="J83" s="18"/>
      <c r="K83" s="18" t="inlineStr">
        <is>
          <t>PENDING_KICKOFF_OR_FINAL_SCORE</t>
        </is>
      </c>
      <c r="L83" s="18"/>
      <c r="M83" s="22" t="str">
        <f>IF(AND(ISNUMBER(L83),ISNUMBER(I83),I83&gt;1),'ROI Plan'!$B$5,"")</f>
        <v/>
      </c>
      <c r="N83" s="22" t="str">
        <f>IF(ISNUMBER(M83),M83*IF(K83="HALF_WON",(I83-1)/2-U83,IF(K83="HALF_LOST",-0.5-U83,IF(K83="REFUNDED",-U83,I83*L83-1-U83))),"")</f>
        <v/>
      </c>
      <c r="O83" s="21">
        <f>IF(AND(ISNUMBER(L83),ISNUMBER(H83)),(H83-L83)^2,"")</f>
      </c>
      <c r="P83" s="18" t="inlineStr">
        <is>
          <t>2026-W44</t>
        </is>
      </c>
      <c r="Q83" s="18" t="inlineStr">
        <is>
          <t>f82ff3e276c6c573d145eb757208cb5772a45143</t>
        </is>
      </c>
      <c r="R83" s="18"/>
      <c r="S83" s="20">
        <f>IF(AND(ISNUMBER(L83),ISNUMBER(H83)),H83,"")</f>
      </c>
      <c r="T83" s="19">
        <f>IF(AND(ISNUMBER(L83),ISNUMBER(H83)),1,0)</f>
        <v>0</v>
      </c>
      <c r="U83" s="22">
        <v>0.0</v>
      </c>
      <c r="V83" t="inlineStr" s="18">
        <is>
          <t>2026-10-31T12:03:11.165007+00:00</t>
        </is>
      </c>
      <c r="W83" t="inlineStr" s="18">
        <is>
          <t>2026-10-31T12:03:46Z</t>
        </is>
      </c>
    </row>
    <row r="84" ht="36" customHeight="1">
      <c r="A84" s="18" t="inlineStr">
        <is>
          <t>Premier League|tottenham|crystal palace|2026-10-31</t>
        </is>
      </c>
      <c r="B84" s="23">
        <v>46326.729166666664</v>
      </c>
      <c r="C84" s="18" t="inlineStr">
        <is>
          <t>Premier League</t>
        </is>
      </c>
      <c r="D84" s="18" t="inlineStr">
        <is>
          <t>Tottenham Hotspur vs Crystal Palace</t>
        </is>
      </c>
      <c r="E84" s="18" t="inlineStr">
        <is>
          <t>Asian Handicap Away +2.00</t>
        </is>
      </c>
      <c r="F84" s="18" t="inlineStr">
        <is>
          <t>STRICT</t>
        </is>
      </c>
      <c r="G84" s="18" t="inlineStr">
        <is>
          <t>48h-zero-tolerance-ev05-no-loss75-corners-v26</t>
        </is>
      </c>
      <c r="H84" s="20">
        <v>0.8680148066788782</v>
      </c>
      <c r="I84" s="22">
        <v>1.25</v>
      </c>
      <c r="J84" s="18"/>
      <c r="K84" s="18" t="inlineStr">
        <is>
          <t>PENDING_KICKOFF_OR_FINAL_SCORE</t>
        </is>
      </c>
      <c r="L84" s="18"/>
      <c r="M84" s="22" t="str">
        <f>IF(AND(ISNUMBER(L84),ISNUMBER(I84),I84&gt;1),'ROI Plan'!$B$5,"")</f>
        <v/>
      </c>
      <c r="N84" s="22" t="str">
        <f>IF(ISNUMBER(M84),M84*IF(K84="HALF_WON",(I84-1)/2-U84,IF(K84="HALF_LOST",-0.5-U84,IF(K84="REFUNDED",-U84,I84*L84-1-U84))),"")</f>
        <v/>
      </c>
      <c r="O84" s="21">
        <f>IF(AND(ISNUMBER(L84),ISNUMBER(H84)),(H84-L84)^2,"")</f>
      </c>
      <c r="P84" s="18" t="inlineStr">
        <is>
          <t>2026-W44</t>
        </is>
      </c>
      <c r="Q84" s="18" t="inlineStr">
        <is>
          <t>2f2bbe3e322ecab7c95db46481027cb086720c62</t>
        </is>
      </c>
      <c r="R84" s="18"/>
      <c r="S84" s="20">
        <f>IF(AND(ISNUMBER(L84),ISNUMBER(H84)),H84,"")</f>
      </c>
      <c r="T84" s="19">
        <f>IF(AND(ISNUMBER(L84),ISNUMBER(H84)),1,0)</f>
        <v>0</v>
      </c>
      <c r="U84" s="22">
        <v>0.0</v>
      </c>
      <c r="V84" t="inlineStr" s="18">
        <is>
          <t>2026-10-30T12:03:48.308948+00:00</t>
        </is>
      </c>
      <c r="W84" t="inlineStr" s="18">
        <is>
          <t>2026-10-30T12:04:04Z</t>
        </is>
      </c>
    </row>
    <row r="85" ht="36" customHeight="1">
      <c r="A85" s="18" t="inlineStr">
        <is>
          <t>Serie A|lazio|cagliari|2026-11-01</t>
        </is>
      </c>
      <c r="B85" s="23">
        <v>46327.583333333336</v>
      </c>
      <c r="C85" s="18" t="inlineStr">
        <is>
          <t>Serie A</t>
        </is>
      </c>
      <c r="D85" s="18" t="inlineStr">
        <is>
          <t>Lazio vs Cagliari</t>
        </is>
      </c>
      <c r="E85" s="18" t="inlineStr">
        <is>
          <t>Asian Handicap Away +2.00</t>
        </is>
      </c>
      <c r="F85" s="18" t="inlineStr">
        <is>
          <t>STRICT</t>
        </is>
      </c>
      <c r="G85" s="18" t="inlineStr">
        <is>
          <t>48h-zero-tolerance-ev05-no-loss75-corners-v26</t>
        </is>
      </c>
      <c r="H85" s="20">
        <v>0.8154949156842515</v>
      </c>
      <c r="I85" s="22">
        <v>1.32</v>
      </c>
      <c r="J85" s="18"/>
      <c r="K85" s="18" t="inlineStr">
        <is>
          <t>PENDING_KICKOFF_OR_FINAL_SCORE</t>
        </is>
      </c>
      <c r="L85" s="18"/>
      <c r="M85" s="22" t="str">
        <f>IF(AND(ISNUMBER(L85),ISNUMBER(I85),I85&gt;1),'ROI Plan'!$B$5,"")</f>
        <v/>
      </c>
      <c r="N85" s="22" t="str">
        <f>IF(ISNUMBER(M85),M85*IF(K85="HALF_WON",(I85-1)/2-U85,IF(K85="HALF_LOST",-0.5-U85,IF(K85="REFUNDED",-U85,I85*L85-1-U85))),"")</f>
        <v/>
      </c>
      <c r="O85" s="21">
        <f>IF(AND(ISNUMBER(L85),ISNUMBER(H85)),(H85-L85)^2,"")</f>
      </c>
      <c r="P85" s="18" t="inlineStr">
        <is>
          <t>2026-W44</t>
        </is>
      </c>
      <c r="Q85" s="18" t="inlineStr">
        <is>
          <t>f82ff3e276c6c573d145eb757208cb5772a45143</t>
        </is>
      </c>
      <c r="R85" s="18"/>
      <c r="S85" s="20">
        <f>IF(AND(ISNUMBER(L85),ISNUMBER(H85)),H85,"")</f>
      </c>
      <c r="T85" s="19">
        <f>IF(AND(ISNUMBER(L85),ISNUMBER(H85)),1,0)</f>
        <v>0</v>
      </c>
      <c r="U85" s="22">
        <v>0.0</v>
      </c>
      <c r="V85" t="inlineStr" s="18">
        <is>
          <t>2026-10-31T12:03:11.165007+00:00</t>
        </is>
      </c>
      <c r="W85" t="inlineStr" s="18">
        <is>
          <t>2026-10-31T12:03:46Z</t>
        </is>
      </c>
    </row>
    <row r="86" ht="36" customHeight="1">
      <c r="A86" s="18" t="inlineStr">
        <is>
          <t>Super Lig|kasimpasa sk|besiktas jk|2026-11-01</t>
        </is>
      </c>
      <c r="B86" s="23">
        <v>46327.666666666664</v>
      </c>
      <c r="C86" s="18" t="inlineStr">
        <is>
          <t>Super Lig</t>
        </is>
      </c>
      <c r="D86" s="18" t="inlineStr">
        <is>
          <t>Kasimpasa SK vs Besiktas JK</t>
        </is>
      </c>
      <c r="E86" s="18" t="inlineStr">
        <is>
          <t>Asian Handicap Home +2.00</t>
        </is>
      </c>
      <c r="F86" s="18" t="inlineStr">
        <is>
          <t>STRICT</t>
        </is>
      </c>
      <c r="G86" s="18" t="inlineStr">
        <is>
          <t>48h-zero-tolerance-ev05-no-loss75-corners-v26</t>
        </is>
      </c>
      <c r="H86" s="20">
        <v>0.8756060242165298</v>
      </c>
      <c r="I86" s="22">
        <v>1.22</v>
      </c>
      <c r="J86" s="18"/>
      <c r="K86" s="18" t="inlineStr">
        <is>
          <t>PENDING_KICKOFF_OR_FINAL_SCORE</t>
        </is>
      </c>
      <c r="L86" s="18"/>
      <c r="M86" s="22" t="str">
        <f>IF(AND(ISNUMBER(L86),ISNUMBER(I86),I86&gt;1),'ROI Plan'!$B$5,"")</f>
        <v/>
      </c>
      <c r="N86" s="22" t="str">
        <f>IF(ISNUMBER(M86),M86*IF(K86="HALF_WON",(I86-1)/2-U86,IF(K86="HALF_LOST",-0.5-U86,IF(K86="REFUNDED",-U86,I86*L86-1-U86))),"")</f>
        <v/>
      </c>
      <c r="O86" s="21">
        <f>IF(AND(ISNUMBER(L86),ISNUMBER(H86)),(H86-L86)^2,"")</f>
      </c>
      <c r="P86" s="18" t="inlineStr">
        <is>
          <t>2026-W44</t>
        </is>
      </c>
      <c r="Q86" s="18" t="inlineStr">
        <is>
          <t>f82ff3e276c6c573d145eb757208cb5772a45143</t>
        </is>
      </c>
      <c r="R86" s="18"/>
      <c r="S86" s="20">
        <f>IF(AND(ISNUMBER(L86),ISNUMBER(H86)),H86,"")</f>
      </c>
      <c r="T86" s="19">
        <f>IF(AND(ISNUMBER(L86),ISNUMBER(H86)),1,0)</f>
        <v>0</v>
      </c>
      <c r="U86" s="22">
        <v>0.0</v>
      </c>
      <c r="V86" t="inlineStr" s="18">
        <is>
          <t>2026-10-31T12:03:11.165007+00:00</t>
        </is>
      </c>
      <c r="W86" t="inlineStr" s="18">
        <is>
          <t>2026-10-31T12:03:46Z</t>
        </is>
      </c>
    </row>
  </sheetData>
  <mergeCells count="2">
    <mergeCell ref="B2:W2"/>
    <mergeCell ref="B4:W4"/>
  </mergeCells>
  <conditionalFormatting sqref="K6:K8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UNVERIFIED_FIXTURE_OR_RESULT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GRADED</t>
        </is>
      </c>
      <c r="G210" s="18" t="inlineStr">
        <is>
          <t>1-5</t>
        </is>
      </c>
      <c r="H210" s="19">
        <v>1.0</v>
      </c>
      <c r="I210" s="21">
        <v>0.09533241</v>
      </c>
      <c r="J210" s="19">
        <v>1.0</v>
      </c>
      <c r="K210" s="19">
        <v>0.0</v>
      </c>
      <c r="L210" s="19">
        <v>0.0</v>
      </c>
      <c r="M210" s="19">
        <v>0.0</v>
      </c>
      <c r="N210" s="18" t="inlineStr">
        <is>
          <t>2026-W44</t>
        </is>
      </c>
      <c r="O210" s="18" t="inlineStr">
        <is>
          <t>4c569effb9e7261783c7d1cc1a5b93cb0f40d309</t>
        </is>
      </c>
      <c r="P210" s="18" t="inlineStr">
        <is>
          <t>football-data.org/v4</t>
        </is>
      </c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UNVERIFIED_FIXTURE_OR_RESULT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GRADED</t>
        </is>
      </c>
      <c r="G212" s="18" t="inlineStr">
        <is>
          <t>4-1</t>
        </is>
      </c>
      <c r="H212" s="19">
        <v>1.0</v>
      </c>
      <c r="I212" s="21">
        <v>0.51943285</v>
      </c>
      <c r="J212" s="19">
        <v>1.0</v>
      </c>
      <c r="K212" s="19">
        <v>0.0</v>
      </c>
      <c r="L212" s="19">
        <v>1.0</v>
      </c>
      <c r="M212" s="19">
        <v>1.0</v>
      </c>
      <c r="N212" s="18" t="inlineStr">
        <is>
          <t>2026-W44</t>
        </is>
      </c>
      <c r="O212" s="18" t="inlineStr">
        <is>
          <t>026e1ab4c40e3e64dd34bad82c62ace7981ad77e</t>
        </is>
      </c>
      <c r="P212" s="18" t="inlineStr">
        <is>
          <t>football-data.org/v4</t>
        </is>
      </c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GRADED</t>
        </is>
      </c>
      <c r="G213" s="18" t="inlineStr">
        <is>
          <t>4-1</t>
        </is>
      </c>
      <c r="H213" s="19">
        <v>0.0</v>
      </c>
      <c r="I213" s="21">
        <v>0.61464928</v>
      </c>
      <c r="J213" s="19">
        <v>1.0</v>
      </c>
      <c r="K213" s="19">
        <v>0.0</v>
      </c>
      <c r="L213" s="19">
        <v>1.0</v>
      </c>
      <c r="M213" s="19">
        <v>1.0</v>
      </c>
      <c r="N213" s="18" t="inlineStr">
        <is>
          <t>2026-W44</t>
        </is>
      </c>
      <c r="O213" s="18" t="inlineStr">
        <is>
          <t>4c569effb9e7261783c7d1cc1a5b93cb0f40d309</t>
        </is>
      </c>
      <c r="P213" s="18" t="inlineStr">
        <is>
          <t>football-data.org/v4</t>
        </is>
      </c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GRADED</t>
        </is>
      </c>
      <c r="G214" s="18" t="inlineStr">
        <is>
          <t>0-1</t>
        </is>
      </c>
      <c r="H214" s="19">
        <v>0.0</v>
      </c>
      <c r="I214" s="21">
        <v>1.16208526</v>
      </c>
      <c r="J214" s="19">
        <v>0.0</v>
      </c>
      <c r="K214" s="19">
        <v>1.0</v>
      </c>
      <c r="L214" s="19">
        <v>0.0</v>
      </c>
      <c r="M214" s="19">
        <v>0.0</v>
      </c>
      <c r="N214" s="18" t="inlineStr">
        <is>
          <t>2026-W44</t>
        </is>
      </c>
      <c r="O214" s="18" t="inlineStr">
        <is>
          <t>4c569effb9e7261783c7d1cc1a5b93cb0f40d309</t>
        </is>
      </c>
      <c r="P214" s="18" t="inlineStr">
        <is>
          <t>football-data.org/v4</t>
        </is>
      </c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GRADED</t>
        </is>
      </c>
      <c r="G215" s="18" t="inlineStr">
        <is>
          <t>0-1</t>
        </is>
      </c>
      <c r="H215" s="19">
        <v>0.0</v>
      </c>
      <c r="I215" s="21">
        <v>1.17959555</v>
      </c>
      <c r="J215" s="19">
        <v>0.0</v>
      </c>
      <c r="K215" s="19">
        <v>1.0</v>
      </c>
      <c r="L215" s="19">
        <v>0.0</v>
      </c>
      <c r="M215" s="19">
        <v>0.0</v>
      </c>
      <c r="N215" s="18" t="inlineStr">
        <is>
          <t>2026-W44</t>
        </is>
      </c>
      <c r="O215" s="18" t="inlineStr">
        <is>
          <t>026e1ab4c40e3e64dd34bad82c62ace7981ad77e</t>
        </is>
      </c>
      <c r="P215" s="18" t="inlineStr">
        <is>
          <t>football-data.org/v4</t>
        </is>
      </c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GRADED</t>
        </is>
      </c>
      <c r="G216" s="18" t="inlineStr">
        <is>
          <t>1-0</t>
        </is>
      </c>
      <c r="H216" s="19">
        <v>1.0</v>
      </c>
      <c r="I216" s="21">
        <v>0.53842417</v>
      </c>
      <c r="J216" s="19">
        <v>0.0</v>
      </c>
      <c r="K216" s="19">
        <v>1.0</v>
      </c>
      <c r="L216" s="19">
        <v>1.0</v>
      </c>
      <c r="M216" s="19">
        <v>1.0</v>
      </c>
      <c r="N216" s="18" t="inlineStr">
        <is>
          <t>2026-W44</t>
        </is>
      </c>
      <c r="O216" s="18" t="inlineStr">
        <is>
          <t>026e1ab4c40e3e64dd34bad82c62ace7981ad77e</t>
        </is>
      </c>
      <c r="P216" s="18" t="inlineStr">
        <is>
          <t>football-data.org/v4</t>
        </is>
      </c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GRADED</t>
        </is>
      </c>
      <c r="G217" s="18" t="inlineStr">
        <is>
          <t>1-0</t>
        </is>
      </c>
      <c r="H217" s="19">
        <v>1.0</v>
      </c>
      <c r="I217" s="21">
        <v>0.53453525</v>
      </c>
      <c r="J217" s="19">
        <v>0.0</v>
      </c>
      <c r="K217" s="19">
        <v>1.0</v>
      </c>
      <c r="L217" s="19">
        <v>1.0</v>
      </c>
      <c r="M217" s="19">
        <v>1.0</v>
      </c>
      <c r="N217" s="18" t="inlineStr">
        <is>
          <t>2026-W44</t>
        </is>
      </c>
      <c r="O217" s="18" t="inlineStr">
        <is>
          <t>4c569effb9e7261783c7d1cc1a5b93cb0f40d309</t>
        </is>
      </c>
      <c r="P217" s="18" t="inlineStr">
        <is>
          <t>football-data.org/v4</t>
        </is>
      </c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GRADED</t>
        </is>
      </c>
      <c r="G218" s="18" t="inlineStr">
        <is>
          <t>0-2</t>
        </is>
      </c>
      <c r="H218" s="19">
        <v>1.0</v>
      </c>
      <c r="I218" s="21">
        <v>0.09977935</v>
      </c>
      <c r="J218" s="19">
        <v>1.0</v>
      </c>
      <c r="K218" s="19">
        <v>1.0</v>
      </c>
      <c r="L218" s="19">
        <v>1.0</v>
      </c>
      <c r="M218" s="19">
        <v>1.0</v>
      </c>
      <c r="N218" s="18" t="inlineStr">
        <is>
          <t>2026-W44</t>
        </is>
      </c>
      <c r="O218" s="18" t="inlineStr">
        <is>
          <t>026e1ab4c40e3e64dd34bad82c62ace7981ad77e</t>
        </is>
      </c>
      <c r="P218" s="18" t="inlineStr">
        <is>
          <t>football-data.org/v4</t>
        </is>
      </c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Super Lig|basaksehir|samsunspor|2026-11-01</t>
        </is>
      </c>
      <c r="B262" s="23">
        <v>46327.541666666664</v>
      </c>
      <c r="C262" s="18" t="inlineStr">
        <is>
          <t>Super Lig</t>
        </is>
      </c>
      <c r="D262" s="18" t="inlineStr">
        <is>
          <t>Basaksehir vs Samsunspor</t>
        </is>
      </c>
      <c r="E262" s="18" t="inlineStr">
        <is>
          <t>48h-zero-tolerance-ev05-no-loss75-corners-v26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02d8d3b21fd68fd99d234a92294d150a10a0848b</t>
        </is>
      </c>
      <c r="P262" s="18"/>
      <c r="Q262" s="18"/>
      <c r="R262" s="18"/>
    </row>
    <row r="263" ht="36" customHeight="1">
      <c r="A263" s="18" t="inlineStr">
        <is>
          <t>Super Lig|trabzonspor|gazisehir gaziantep|2026-11-01</t>
        </is>
      </c>
      <c r="B263" s="23">
        <v>46327.541666666664</v>
      </c>
      <c r="C263" s="18" t="inlineStr">
        <is>
          <t>Super Lig</t>
        </is>
      </c>
      <c r="D263" s="18" t="inlineStr">
        <is>
          <t>Trabzonspor vs Gazişehir Gaziantep</t>
        </is>
      </c>
      <c r="E263" s="18" t="inlineStr">
        <is>
          <t>48h-zero-tolerance-ev05-no-loss75-corners-v26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02d8d3b21fd68fd99d234a92294d150a10a0848b</t>
        </is>
      </c>
      <c r="P263" s="18"/>
      <c r="Q263" s="18"/>
      <c r="R263" s="18"/>
    </row>
    <row r="264" ht="36" customHeight="1">
      <c r="A264" s="18" t="inlineStr">
        <is>
          <t>Eredivisie|excelsior|twente enschede|2026-11-01</t>
        </is>
      </c>
      <c r="B264" s="23">
        <v>46327.5625</v>
      </c>
      <c r="C264" s="18" t="inlineStr">
        <is>
          <t>Eredivisie</t>
        </is>
      </c>
      <c r="D264" s="18" t="inlineStr">
        <is>
          <t>Excelsior vs FC Twente Enschede</t>
        </is>
      </c>
      <c r="E264" s="18" t="inlineStr">
        <is>
          <t>48h-zero-tolerance-ev05-no-loss75-corners-v26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02d8d3b21fd68fd99d234a92294d150a10a0848b</t>
        </is>
      </c>
      <c r="P264" s="18"/>
      <c r="Q264" s="18"/>
      <c r="R264" s="18"/>
    </row>
    <row r="265" ht="36" customHeight="1">
      <c r="A265" s="18" t="inlineStr">
        <is>
          <t>Eredivisie|telstar|utrecht|2026-11-01</t>
        </is>
      </c>
      <c r="B265" s="23">
        <v>46327.5625</v>
      </c>
      <c r="C265" s="18" t="inlineStr">
        <is>
          <t>Eredivisie</t>
        </is>
      </c>
      <c r="D265" s="18" t="inlineStr">
        <is>
          <t>SC Telstar vs FC Utrecht</t>
        </is>
      </c>
      <c r="E265" s="18" t="inlineStr">
        <is>
          <t>48h-zero-tolerance-ev05-no-loss75-corners-v26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02d8d3b21fd68fd99d234a92294d150a10a0848b</t>
        </is>
      </c>
      <c r="P265" s="18"/>
      <c r="Q265" s="18"/>
      <c r="R265" s="18"/>
    </row>
    <row r="266" ht="36" customHeight="1">
      <c r="A266" s="18" t="inlineStr">
        <is>
          <t>Ligue 1|strasbourg|auxerre|2026-11-01</t>
        </is>
      </c>
      <c r="B266" s="23">
        <v>46327.583333333336</v>
      </c>
      <c r="C266" s="18" t="inlineStr">
        <is>
          <t>Ligue 1</t>
        </is>
      </c>
      <c r="D266" s="18" t="inlineStr">
        <is>
          <t>Strasbourg vs Auxerre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0117b0e0fe09a0266deb28e532f2ad9e4f4da47a</t>
        </is>
      </c>
      <c r="P266" s="18"/>
      <c r="Q266" s="18"/>
      <c r="R266" s="18"/>
    </row>
    <row r="267" ht="36" customHeight="1">
      <c r="A267" s="18" t="inlineStr">
        <is>
          <t>Serie A|frosinone|torino|2026-11-01</t>
        </is>
      </c>
      <c r="B267" s="23">
        <v>46327.583333333336</v>
      </c>
      <c r="C267" s="18" t="inlineStr">
        <is>
          <t>Serie A</t>
        </is>
      </c>
      <c r="D267" s="18" t="inlineStr">
        <is>
          <t>Frosinone vs Torino</t>
        </is>
      </c>
      <c r="E267" s="18" t="inlineStr">
        <is>
          <t>48h-zero-tolerance-ev05-no-loss75-corners-v26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02d8d3b21fd68fd99d234a92294d150a10a0848b</t>
        </is>
      </c>
      <c r="P267" s="18"/>
      <c r="Q267" s="18"/>
      <c r="R267" s="18"/>
    </row>
    <row r="268" ht="36" customHeight="1">
      <c r="A268" s="18" t="inlineStr">
        <is>
          <t>Serie A|lazio|cagliari|2026-11-01</t>
        </is>
      </c>
      <c r="B268" s="23">
        <v>46327.583333333336</v>
      </c>
      <c r="C268" s="18" t="inlineStr">
        <is>
          <t>Serie A</t>
        </is>
      </c>
      <c r="D268" s="18" t="inlineStr">
        <is>
          <t>Lazio vs Cagliari</t>
        </is>
      </c>
      <c r="E268" s="18" t="inlineStr">
        <is>
          <t>48h-zero-tolerance-ev05-no-loss75-corners-v26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02d8d3b21fd68fd99d234a92294d150a10a0848b</t>
        </is>
      </c>
      <c r="P268" s="18"/>
      <c r="Q268" s="18"/>
      <c r="R268" s="18"/>
    </row>
    <row r="269" ht="36" customHeight="1">
      <c r="A269" s="18" t="inlineStr">
        <is>
          <t>Bundesliga|union berlin|1 koln|2026-11-01</t>
        </is>
      </c>
      <c r="B269" s="23">
        <v>46327.604166666664</v>
      </c>
      <c r="C269" s="18" t="inlineStr">
        <is>
          <t>Bundesliga</t>
        </is>
      </c>
      <c r="D269" s="18" t="inlineStr">
        <is>
          <t>Union Berlin vs 1. FC Köln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0117b0e0fe09a0266deb28e532f2ad9e4f4da47a</t>
        </is>
      </c>
      <c r="P269" s="18"/>
      <c r="Q269" s="18"/>
      <c r="R269" s="18"/>
    </row>
    <row r="270" ht="36" customHeight="1">
      <c r="A270" s="18" t="inlineStr">
        <is>
          <t>La Liga|real racing santander|real madrid|2026-11-01</t>
        </is>
      </c>
      <c r="B270" s="23">
        <v>46327.635416666664</v>
      </c>
      <c r="C270" s="18" t="inlineStr">
        <is>
          <t>La Liga</t>
        </is>
      </c>
      <c r="D270" s="18" t="inlineStr">
        <is>
          <t>Real Racing Club de Santander vs Real Madrid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  <row r="271" ht="36" customHeight="1">
      <c r="A271" s="18" t="inlineStr">
        <is>
          <t>Primeira Liga|arouca|nacional|2026-11-01</t>
        </is>
      </c>
      <c r="B271" s="23">
        <v>46327.645833333336</v>
      </c>
      <c r="C271" s="18" t="inlineStr">
        <is>
          <t>Primeira Liga</t>
        </is>
      </c>
      <c r="D271" s="18" t="inlineStr">
        <is>
          <t>Arouca vs Nacional</t>
        </is>
      </c>
      <c r="E271" s="18" t="inlineStr">
        <is>
          <t>48h-zero-tolerance-ev05-no-loss75-corners-v26</t>
        </is>
      </c>
      <c r="F271" s="18" t="inlineStr">
        <is>
          <t>PENDING_KICKOFF_OR_FINAL_SCORE</t>
        </is>
      </c>
      <c r="G271" s="18"/>
      <c r="H271" s="18"/>
      <c r="I271" s="21"/>
      <c r="J271" s="18"/>
      <c r="K271" s="18"/>
      <c r="L271" s="18"/>
      <c r="M271" s="18"/>
      <c r="N271" s="18" t="inlineStr">
        <is>
          <t>2026-W44</t>
        </is>
      </c>
      <c r="O271" s="18" t="inlineStr">
        <is>
          <t>02d8d3b21fd68fd99d234a92294d150a10a0848b</t>
        </is>
      </c>
      <c r="P271" s="18"/>
      <c r="Q271" s="18"/>
      <c r="R271" s="18"/>
    </row>
    <row r="272" ht="36" customHeight="1">
      <c r="A272" s="18" t="inlineStr">
        <is>
          <t>Eredivisie|groningen|sparta rotterdam|2026-11-01</t>
        </is>
      </c>
      <c r="B272" s="23">
        <v>46327.65625</v>
      </c>
      <c r="C272" s="18" t="inlineStr">
        <is>
          <t>Eredivisie</t>
        </is>
      </c>
      <c r="D272" s="18" t="inlineStr">
        <is>
          <t>Groningen vs Sparta Rotterdam</t>
        </is>
      </c>
      <c r="E272" s="18" t="inlineStr">
        <is>
          <t>48h-zero-tolerance-ev05-no-loss75-corners-v26</t>
        </is>
      </c>
      <c r="F272" s="18" t="inlineStr">
        <is>
          <t>PENDING_KICKOFF_OR_FINAL_SCORE</t>
        </is>
      </c>
      <c r="G272" s="18"/>
      <c r="H272" s="18"/>
      <c r="I272" s="21"/>
      <c r="J272" s="18"/>
      <c r="K272" s="18"/>
      <c r="L272" s="18"/>
      <c r="M272" s="18"/>
      <c r="N272" s="18" t="inlineStr">
        <is>
          <t>2026-W44</t>
        </is>
      </c>
      <c r="O272" s="18" t="inlineStr">
        <is>
          <t>02d8d3b21fd68fd99d234a92294d150a10a0848b</t>
        </is>
      </c>
      <c r="P272" s="18"/>
      <c r="Q272" s="18"/>
      <c r="R272" s="18"/>
    </row>
    <row r="273" ht="36" customHeight="1">
      <c r="A273" s="18" t="inlineStr">
        <is>
          <t>Super Lig|kasimpasa sk|besiktas jk|2026-11-01</t>
        </is>
      </c>
      <c r="B273" s="23">
        <v>46327.666666666664</v>
      </c>
      <c r="C273" s="18" t="inlineStr">
        <is>
          <t>Super Lig</t>
        </is>
      </c>
      <c r="D273" s="18" t="inlineStr">
        <is>
          <t>Kasimpasa SK vs Besiktas JK</t>
        </is>
      </c>
      <c r="E273" s="18" t="inlineStr">
        <is>
          <t>48h-zero-tolerance-ev05-no-loss75-corners-v26</t>
        </is>
      </c>
      <c r="F273" s="18" t="inlineStr">
        <is>
          <t>PENDING_KICKOFF_OR_FINAL_SCORE</t>
        </is>
      </c>
      <c r="G273" s="18"/>
      <c r="H273" s="18"/>
      <c r="I273" s="21"/>
      <c r="J273" s="18"/>
      <c r="K273" s="18"/>
      <c r="L273" s="18"/>
      <c r="M273" s="18"/>
      <c r="N273" s="18" t="inlineStr">
        <is>
          <t>2026-W44</t>
        </is>
      </c>
      <c r="O273" s="18" t="inlineStr">
        <is>
          <t>02d8d3b21fd68fd99d234a92294d150a10a0848b</t>
        </is>
      </c>
      <c r="P273" s="18"/>
      <c r="Q273" s="18"/>
      <c r="R273" s="18"/>
    </row>
    <row r="274" ht="36" customHeight="1">
      <c r="A274" s="18" t="inlineStr">
        <is>
          <t>Ligue 1|lyon|angers|2026-11-01</t>
        </is>
      </c>
      <c r="B274" s="23">
        <v>46327.677083333336</v>
      </c>
      <c r="C274" s="18" t="inlineStr">
        <is>
          <t>Ligue 1</t>
        </is>
      </c>
      <c r="D274" s="18" t="inlineStr">
        <is>
          <t>Lyon vs Angers</t>
        </is>
      </c>
      <c r="E274" s="18" t="inlineStr">
        <is>
          <t>48h-zero-tolerance-ev05-no-loss75-corners-v26</t>
        </is>
      </c>
      <c r="F274" s="18" t="inlineStr">
        <is>
          <t>PENDING_KICKOFF_OR_FINAL_SCORE</t>
        </is>
      </c>
      <c r="G274" s="18"/>
      <c r="H274" s="18"/>
      <c r="I274" s="21"/>
      <c r="J274" s="18"/>
      <c r="K274" s="18"/>
      <c r="L274" s="18"/>
      <c r="M274" s="18"/>
      <c r="N274" s="18" t="inlineStr">
        <is>
          <t>2026-W44</t>
        </is>
      </c>
      <c r="O274" s="18" t="inlineStr">
        <is>
          <t>02d8d3b21fd68fd99d234a92294d150a10a0848b</t>
        </is>
      </c>
      <c r="P274" s="18"/>
      <c r="Q274" s="18"/>
      <c r="R274" s="18"/>
    </row>
    <row r="275" ht="36" customHeight="1">
      <c r="A275" s="18" t="inlineStr">
        <is>
          <t>Ligue 1|paris|as monaco|2026-11-01</t>
        </is>
      </c>
      <c r="B275" s="23">
        <v>46327.677083333336</v>
      </c>
      <c r="C275" s="18" t="inlineStr">
        <is>
          <t>Ligue 1</t>
        </is>
      </c>
      <c r="D275" s="18" t="inlineStr">
        <is>
          <t>Paris FC vs AS Monaco</t>
        </is>
      </c>
      <c r="E275" s="18" t="inlineStr">
        <is>
          <t>48h-zero-tolerance-ev1-common-no-loss75-v22</t>
        </is>
      </c>
      <c r="F275" s="18" t="inlineStr">
        <is>
          <t>PENDING_KICKOFF_OR_FINAL_SCORE</t>
        </is>
      </c>
      <c r="G275" s="18"/>
      <c r="H275" s="18"/>
      <c r="I275" s="21"/>
      <c r="J275" s="18"/>
      <c r="K275" s="18"/>
      <c r="L275" s="18"/>
      <c r="M275" s="18"/>
      <c r="N275" s="18" t="inlineStr">
        <is>
          <t>2026-W44</t>
        </is>
      </c>
      <c r="O275" s="18" t="inlineStr">
        <is>
          <t>10a7df008090a45923c14f3c84ec260b147ea047</t>
        </is>
      </c>
      <c r="P275" s="18"/>
      <c r="Q275" s="18"/>
      <c r="R275" s="18"/>
    </row>
    <row r="276" ht="36" customHeight="1">
      <c r="A276" s="18" t="inlineStr">
        <is>
          <t>Bundesliga|eintracht frankfurt|hamburger|2026-11-01</t>
        </is>
      </c>
      <c r="B276" s="23">
        <v>46327.6875</v>
      </c>
      <c r="C276" s="18" t="inlineStr">
        <is>
          <t>Bundesliga</t>
        </is>
      </c>
      <c r="D276" s="18" t="inlineStr">
        <is>
          <t>Eintracht Frankfurt vs Hamburger SV</t>
        </is>
      </c>
      <c r="E276" s="18" t="inlineStr">
        <is>
          <t>48h-zero-tolerance-ev1-common-no-loss75-v22</t>
        </is>
      </c>
      <c r="F276" s="18" t="inlineStr">
        <is>
          <t>PENDING_KICKOFF_OR_FINAL_SCORE</t>
        </is>
      </c>
      <c r="G276" s="18"/>
      <c r="H276" s="18"/>
      <c r="I276" s="21"/>
      <c r="J276" s="18"/>
      <c r="K276" s="18"/>
      <c r="L276" s="18"/>
      <c r="M276" s="18"/>
      <c r="N276" s="18" t="inlineStr">
        <is>
          <t>2026-W44</t>
        </is>
      </c>
      <c r="O276" s="18" t="inlineStr">
        <is>
          <t>10a7df008090a45923c14f3c84ec260b147ea047</t>
        </is>
      </c>
      <c r="P276" s="18"/>
      <c r="Q276" s="18"/>
      <c r="R276" s="18"/>
    </row>
    <row r="277" ht="36" customHeight="1">
      <c r="A277" s="18" t="inlineStr">
        <is>
          <t>Premier League|liverpool|arsenal|2026-11-01</t>
        </is>
      </c>
      <c r="B277" s="23">
        <v>46327.6875</v>
      </c>
      <c r="C277" s="18" t="inlineStr">
        <is>
          <t>Premier League</t>
        </is>
      </c>
      <c r="D277" s="18" t="inlineStr">
        <is>
          <t>Liverpool vs Arsenal</t>
        </is>
      </c>
      <c r="E277" s="18" t="inlineStr">
        <is>
          <t>48h-zero-tolerance-ev1-common-no-loss75-v22</t>
        </is>
      </c>
      <c r="F277" s="18" t="inlineStr">
        <is>
          <t>PENDING_KICKOFF_OR_FINAL_SCORE</t>
        </is>
      </c>
      <c r="G277" s="18"/>
      <c r="H277" s="18"/>
      <c r="I277" s="21"/>
      <c r="J277" s="18"/>
      <c r="K277" s="18"/>
      <c r="L277" s="18"/>
      <c r="M277" s="18"/>
      <c r="N277" s="18" t="inlineStr">
        <is>
          <t>2026-W44</t>
        </is>
      </c>
      <c r="O277" s="18" t="inlineStr">
        <is>
          <t>10a7df008090a45923c14f3c84ec260b147ea047</t>
        </is>
      </c>
      <c r="P277" s="18"/>
      <c r="Q277" s="18"/>
      <c r="R277" s="18"/>
    </row>
    <row r="278" ht="36" customHeight="1">
      <c r="A278" s="18" t="inlineStr">
        <is>
          <t>Serie A|lecce|genoa|2026-11-01</t>
        </is>
      </c>
      <c r="B278" s="23">
        <v>46327.708333333336</v>
      </c>
      <c r="C278" s="18" t="inlineStr">
        <is>
          <t>Serie A</t>
        </is>
      </c>
      <c r="D278" s="18" t="inlineStr">
        <is>
          <t>Lecce vs Genoa</t>
        </is>
      </c>
      <c r="E278" s="18" t="inlineStr">
        <is>
          <t>48h-zero-tolerance-ev05-no-loss75-corners-v26</t>
        </is>
      </c>
      <c r="F278" s="18" t="inlineStr">
        <is>
          <t>PENDING_KICKOFF_OR_FINAL_SCORE</t>
        </is>
      </c>
      <c r="G278" s="18"/>
      <c r="H278" s="18"/>
      <c r="I278" s="21"/>
      <c r="J278" s="18"/>
      <c r="K278" s="18"/>
      <c r="L278" s="18"/>
      <c r="M278" s="18"/>
      <c r="N278" s="18" t="inlineStr">
        <is>
          <t>2026-W44</t>
        </is>
      </c>
      <c r="O278" s="18" t="inlineStr">
        <is>
          <t>02d8d3b21fd68fd99d234a92294d150a10a0848b</t>
        </is>
      </c>
      <c r="P278" s="18"/>
      <c r="Q278" s="18"/>
      <c r="R278" s="18"/>
    </row>
    <row r="279" ht="36" customHeight="1">
      <c r="A279" s="18" t="inlineStr">
        <is>
          <t>La Liga|elche|valencia|2026-11-01</t>
        </is>
      </c>
      <c r="B279" s="23">
        <v>46327.729166666664</v>
      </c>
      <c r="C279" s="18" t="inlineStr">
        <is>
          <t>La Liga</t>
        </is>
      </c>
      <c r="D279" s="18" t="inlineStr">
        <is>
          <t>Elche CF vs Valencia</t>
        </is>
      </c>
      <c r="E279" s="18" t="inlineStr">
        <is>
          <t>48h-zero-tolerance-ev1-common-no-loss75-v22</t>
        </is>
      </c>
      <c r="F279" s="18" t="inlineStr">
        <is>
          <t>PENDING_KICKOFF_OR_FINAL_SCORE</t>
        </is>
      </c>
      <c r="G279" s="18"/>
      <c r="H279" s="18"/>
      <c r="I279" s="21"/>
      <c r="J279" s="18"/>
      <c r="K279" s="18"/>
      <c r="L279" s="18"/>
      <c r="M279" s="18"/>
      <c r="N279" s="18" t="inlineStr">
        <is>
          <t>2026-W44</t>
        </is>
      </c>
      <c r="O279" s="18" t="inlineStr">
        <is>
          <t>10a7df008090a45923c14f3c84ec260b147ea047</t>
        </is>
      </c>
      <c r="P279" s="18"/>
      <c r="Q279" s="18"/>
      <c r="R279" s="18"/>
    </row>
    <row r="280" ht="36" customHeight="1">
      <c r="A280" s="18" t="inlineStr">
        <is>
          <t>Primeira Liga|academico viseu|rio ave|2026-11-01</t>
        </is>
      </c>
      <c r="B280" s="23">
        <v>46327.75</v>
      </c>
      <c r="C280" s="18" t="inlineStr">
        <is>
          <t>Primeira Liga</t>
        </is>
      </c>
      <c r="D280" s="18" t="inlineStr">
        <is>
          <t>Académico de Viseu vs Rio Ave FC</t>
        </is>
      </c>
      <c r="E280" s="18" t="inlineStr">
        <is>
          <t>48h-zero-tolerance-ev05-no-loss75-corners-v26</t>
        </is>
      </c>
      <c r="F280" s="18" t="inlineStr">
        <is>
          <t>PENDING_KICKOFF_OR_FINAL_SCORE</t>
        </is>
      </c>
      <c r="G280" s="18"/>
      <c r="H280" s="18"/>
      <c r="I280" s="21"/>
      <c r="J280" s="18"/>
      <c r="K280" s="18"/>
      <c r="L280" s="18"/>
      <c r="M280" s="18"/>
      <c r="N280" s="18" t="inlineStr">
        <is>
          <t>2026-W44</t>
        </is>
      </c>
      <c r="O280" s="18" t="inlineStr">
        <is>
          <t>02d8d3b21fd68fd99d234a92294d150a10a0848b</t>
        </is>
      </c>
      <c r="P280" s="18"/>
      <c r="Q280" s="18"/>
      <c r="R280" s="18"/>
    </row>
    <row r="281" ht="36" customHeight="1">
      <c r="A281" s="18" t="inlineStr">
        <is>
          <t>Primeira Liga|cs maritimo|santa clara|2026-11-01</t>
        </is>
      </c>
      <c r="B281" s="23">
        <v>46327.75</v>
      </c>
      <c r="C281" s="18" t="inlineStr">
        <is>
          <t>Primeira Liga</t>
        </is>
      </c>
      <c r="D281" s="18" t="inlineStr">
        <is>
          <t>CS Maritimo vs Santa Clara</t>
        </is>
      </c>
      <c r="E281" s="18" t="inlineStr">
        <is>
          <t>48h-zero-tolerance-ev05-no-loss75-corners-v26</t>
        </is>
      </c>
      <c r="F281" s="18" t="inlineStr">
        <is>
          <t>PENDING_KICKOFF_OR_FINAL_SCORE</t>
        </is>
      </c>
      <c r="G281" s="18"/>
      <c r="H281" s="18"/>
      <c r="I281" s="21"/>
      <c r="J281" s="18"/>
      <c r="K281" s="18"/>
      <c r="L281" s="18"/>
      <c r="M281" s="18"/>
      <c r="N281" s="18" t="inlineStr">
        <is>
          <t>2026-W44</t>
        </is>
      </c>
      <c r="O281" s="18" t="inlineStr">
        <is>
          <t>02d8d3b21fd68fd99d234a92294d150a10a0848b</t>
        </is>
      </c>
      <c r="P281" s="18"/>
      <c r="Q281" s="18"/>
      <c r="R281" s="18"/>
    </row>
    <row r="282" ht="36" customHeight="1">
      <c r="A282" s="18" t="inlineStr">
        <is>
          <t>Ligue 1|marseille|toulouse|2026-11-01</t>
        </is>
      </c>
      <c r="B282" s="23">
        <v>46327.822916666664</v>
      </c>
      <c r="C282" s="18" t="inlineStr">
        <is>
          <t>Ligue 1</t>
        </is>
      </c>
      <c r="D282" s="18" t="inlineStr">
        <is>
          <t>Marseille vs Toulouse</t>
        </is>
      </c>
      <c r="E282" s="18" t="inlineStr">
        <is>
          <t>48h-zero-tolerance-ev1-common-no-loss75-v22</t>
        </is>
      </c>
      <c r="F282" s="18" t="inlineStr">
        <is>
          <t>PENDING_KICKOFF_OR_FINAL_SCORE</t>
        </is>
      </c>
      <c r="G282" s="18"/>
      <c r="H282" s="18"/>
      <c r="I282" s="21"/>
      <c r="J282" s="18"/>
      <c r="K282" s="18"/>
      <c r="L282" s="18"/>
      <c r="M282" s="18"/>
      <c r="N282" s="18" t="inlineStr">
        <is>
          <t>2026-W44</t>
        </is>
      </c>
      <c r="O282" s="18" t="inlineStr">
        <is>
          <t>10a7df008090a45923c14f3c84ec260b147ea047</t>
        </is>
      </c>
      <c r="P282" s="18"/>
      <c r="Q282" s="18"/>
      <c r="R282" s="18"/>
    </row>
    <row r="283" ht="36" customHeight="1">
      <c r="A283" s="18" t="inlineStr">
        <is>
          <t>Serie A|juventus|napoli|2026-11-01</t>
        </is>
      </c>
      <c r="B283" s="23">
        <v>46327.822916666664</v>
      </c>
      <c r="C283" s="18" t="inlineStr">
        <is>
          <t>Serie A</t>
        </is>
      </c>
      <c r="D283" s="18" t="inlineStr">
        <is>
          <t>Juventus vs Napoli</t>
        </is>
      </c>
      <c r="E283" s="18" t="inlineStr">
        <is>
          <t>48h-zero-tolerance-ev05-no-loss75-corners-v26</t>
        </is>
      </c>
      <c r="F283" s="18" t="inlineStr">
        <is>
          <t>PENDING_KICKOFF_OR_FINAL_SCORE</t>
        </is>
      </c>
      <c r="G283" s="18"/>
      <c r="H283" s="18"/>
      <c r="I283" s="21"/>
      <c r="J283" s="18"/>
      <c r="K283" s="18"/>
      <c r="L283" s="18"/>
      <c r="M283" s="18"/>
      <c r="N283" s="18" t="inlineStr">
        <is>
          <t>2026-W44</t>
        </is>
      </c>
      <c r="O283" s="18" t="inlineStr">
        <is>
          <t>02d8d3b21fd68fd99d234a92294d150a10a0848b</t>
        </is>
      </c>
      <c r="P283" s="18"/>
      <c r="Q283" s="18"/>
      <c r="R283" s="18"/>
    </row>
    <row r="284" ht="36" customHeight="1">
      <c r="A284" s="18" t="inlineStr">
        <is>
          <t>La Liga|ath bilbao|real sociedad|2026-11-01</t>
        </is>
      </c>
      <c r="B284" s="23">
        <v>46327.833333333336</v>
      </c>
      <c r="C284" s="18" t="inlineStr">
        <is>
          <t>La Liga</t>
        </is>
      </c>
      <c r="D284" s="18" t="inlineStr">
        <is>
          <t>Athletic Bilbao vs Real Sociedad</t>
        </is>
      </c>
      <c r="E284" s="18" t="inlineStr">
        <is>
          <t>48h-zero-tolerance-ev1-common-no-loss75-v22</t>
        </is>
      </c>
      <c r="F284" s="18" t="inlineStr">
        <is>
          <t>PENDING_KICKOFF_OR_FINAL_SCORE</t>
        </is>
      </c>
      <c r="G284" s="18"/>
      <c r="H284" s="18"/>
      <c r="I284" s="21"/>
      <c r="J284" s="18"/>
      <c r="K284" s="18"/>
      <c r="L284" s="18"/>
      <c r="M284" s="18"/>
      <c r="N284" s="18" t="inlineStr">
        <is>
          <t>2026-W44</t>
        </is>
      </c>
      <c r="O284" s="18" t="inlineStr">
        <is>
          <t>10a7df008090a45923c14f3c84ec260b147ea047</t>
        </is>
      </c>
      <c r="P284" s="18"/>
      <c r="Q284" s="18"/>
      <c r="R284" s="18"/>
    </row>
    <row r="285" ht="36" customHeight="1">
      <c r="A285" s="18" t="inlineStr">
        <is>
          <t>Primeira Liga|braga|famalicao|2026-11-01</t>
        </is>
      </c>
      <c r="B285" s="23">
        <v>46327.854166666664</v>
      </c>
      <c r="C285" s="18" t="inlineStr">
        <is>
          <t>Primeira Liga</t>
        </is>
      </c>
      <c r="D285" s="18" t="inlineStr">
        <is>
          <t>Braga vs Famalicão</t>
        </is>
      </c>
      <c r="E285" s="18" t="inlineStr">
        <is>
          <t>48h-zero-tolerance-ev05-no-loss75-corners-v26</t>
        </is>
      </c>
      <c r="F285" s="18" t="inlineStr">
        <is>
          <t>PENDING_KICKOFF_OR_FINAL_SCORE</t>
        </is>
      </c>
      <c r="G285" s="18"/>
      <c r="H285" s="18"/>
      <c r="I285" s="21"/>
      <c r="J285" s="18"/>
      <c r="K285" s="18"/>
      <c r="L285" s="18"/>
      <c r="M285" s="18"/>
      <c r="N285" s="18" t="inlineStr">
        <is>
          <t>2026-W44</t>
        </is>
      </c>
      <c r="O285" s="18" t="inlineStr">
        <is>
          <t>02d8d3b21fd68fd99d234a92294d150a10a0848b</t>
        </is>
      </c>
      <c r="P285" s="18"/>
      <c r="Q285" s="18"/>
      <c r="R285" s="18"/>
    </row>
    <row r="286" ht="36" customHeight="1">
      <c r="A286" s="18" t="inlineStr">
        <is>
          <t>Super Lig|genclerbirligi sk|alanyaspor|2026-11-02</t>
        </is>
      </c>
      <c r="B286" s="23">
        <v>46328.708333333336</v>
      </c>
      <c r="C286" s="18" t="inlineStr">
        <is>
          <t>Super Lig</t>
        </is>
      </c>
      <c r="D286" s="18" t="inlineStr">
        <is>
          <t>Genclerbirligi SK vs Alanyaspor</t>
        </is>
      </c>
      <c r="E286" s="18" t="inlineStr">
        <is>
          <t>48h-zero-tolerance-ev05-no-loss75-corners-v26</t>
        </is>
      </c>
      <c r="F286" s="18" t="inlineStr">
        <is>
          <t>PENDING_KICKOFF_OR_FINAL_SCORE</t>
        </is>
      </c>
      <c r="G286" s="18"/>
      <c r="H286" s="18"/>
      <c r="I286" s="21"/>
      <c r="J286" s="18"/>
      <c r="K286" s="18"/>
      <c r="L286" s="18"/>
      <c r="M286" s="18"/>
      <c r="N286" s="18" t="inlineStr">
        <is>
          <t>2026-W45</t>
        </is>
      </c>
      <c r="O286" s="18" t="inlineStr">
        <is>
          <t>f82ff3e276c6c573d145eb757208cb5772a45143</t>
        </is>
      </c>
      <c r="P286" s="18"/>
      <c r="Q286" s="18"/>
      <c r="R286" s="18"/>
    </row>
    <row r="287" ht="36" customHeight="1">
      <c r="A287" s="18" t="inlineStr">
        <is>
          <t>Serie A|sassuolo|fiorentina|2026-11-02</t>
        </is>
      </c>
      <c r="B287" s="23">
        <v>46328.729166666664</v>
      </c>
      <c r="C287" s="18" t="inlineStr">
        <is>
          <t>Serie A</t>
        </is>
      </c>
      <c r="D287" s="18" t="inlineStr">
        <is>
          <t>Sassuolo vs Fiorentina</t>
        </is>
      </c>
      <c r="E287" s="18" t="inlineStr">
        <is>
          <t>48h-zero-tolerance-ev05-no-loss75-corners-v26</t>
        </is>
      </c>
      <c r="F287" s="18" t="inlineStr">
        <is>
          <t>PENDING_KICKOFF_OR_FINAL_SCORE</t>
        </is>
      </c>
      <c r="G287" s="18"/>
      <c r="H287" s="18"/>
      <c r="I287" s="21"/>
      <c r="J287" s="18"/>
      <c r="K287" s="18"/>
      <c r="L287" s="18"/>
      <c r="M287" s="18"/>
      <c r="N287" s="18" t="inlineStr">
        <is>
          <t>2026-W45</t>
        </is>
      </c>
      <c r="O287" s="18" t="inlineStr">
        <is>
          <t>f82ff3e276c6c573d145eb757208cb5772a45143</t>
        </is>
      </c>
      <c r="P287" s="18"/>
      <c r="Q287" s="18"/>
      <c r="R287" s="18"/>
    </row>
    <row r="288" ht="36" customHeight="1">
      <c r="A288" s="18" t="inlineStr">
        <is>
          <t>Ligue 1|lorient|brest|2026-11-02</t>
        </is>
      </c>
      <c r="B288" s="23">
        <v>46328.822916666664</v>
      </c>
      <c r="C288" s="18" t="inlineStr">
        <is>
          <t>Ligue 1</t>
        </is>
      </c>
      <c r="D288" s="18" t="inlineStr">
        <is>
          <t>Lorient vs Brest</t>
        </is>
      </c>
      <c r="E288" s="18" t="inlineStr">
        <is>
          <t>48h-zero-tolerance-ev05-no-loss75-corners-v26</t>
        </is>
      </c>
      <c r="F288" s="18" t="inlineStr">
        <is>
          <t>PENDING_KICKOFF_OR_FINAL_SCORE</t>
        </is>
      </c>
      <c r="G288" s="18"/>
      <c r="H288" s="18"/>
      <c r="I288" s="21"/>
      <c r="J288" s="18"/>
      <c r="K288" s="18"/>
      <c r="L288" s="18"/>
      <c r="M288" s="18"/>
      <c r="N288" s="18" t="inlineStr">
        <is>
          <t>2026-W45</t>
        </is>
      </c>
      <c r="O288" s="18" t="inlineStr">
        <is>
          <t>f82ff3e276c6c573d145eb757208cb5772a45143</t>
        </is>
      </c>
      <c r="P288" s="18"/>
      <c r="Q288" s="18"/>
      <c r="R288" s="18"/>
    </row>
    <row r="289" ht="36" customHeight="1">
      <c r="A289" s="18" t="inlineStr">
        <is>
          <t>Serie A|atalanta bc|parma|2026-11-02</t>
        </is>
      </c>
      <c r="B289" s="23">
        <v>46328.822916666664</v>
      </c>
      <c r="C289" s="18" t="inlineStr">
        <is>
          <t>Serie A</t>
        </is>
      </c>
      <c r="D289" s="18" t="inlineStr">
        <is>
          <t>Atalanta BC vs Parma</t>
        </is>
      </c>
      <c r="E289" s="18" t="inlineStr">
        <is>
          <t>48h-zero-tolerance-ev05-no-loss75-corners-v26</t>
        </is>
      </c>
      <c r="F289" s="18" t="inlineStr">
        <is>
          <t>PENDING_KICKOFF_OR_FINAL_SCORE</t>
        </is>
      </c>
      <c r="G289" s="18"/>
      <c r="H289" s="18"/>
      <c r="I289" s="21"/>
      <c r="J289" s="18"/>
      <c r="K289" s="18"/>
      <c r="L289" s="18"/>
      <c r="M289" s="18"/>
      <c r="N289" s="18" t="inlineStr">
        <is>
          <t>2026-W45</t>
        </is>
      </c>
      <c r="O289" s="18" t="inlineStr">
        <is>
          <t>f82ff3e276c6c573d145eb757208cb5772a45143</t>
        </is>
      </c>
      <c r="P289" s="18"/>
      <c r="Q289" s="18"/>
      <c r="R289" s="18"/>
    </row>
    <row r="290" ht="36" customHeight="1">
      <c r="A290" s="18" t="inlineStr">
        <is>
          <t>La Liga|deportivo la coruna|ca osasuna|2026-11-02</t>
        </is>
      </c>
      <c r="B290" s="23">
        <v>46328.833333333336</v>
      </c>
      <c r="C290" s="18" t="inlineStr">
        <is>
          <t>La Liga</t>
        </is>
      </c>
      <c r="D290" s="18" t="inlineStr">
        <is>
          <t>Deportivo La Coruña vs CA Osasuna</t>
        </is>
      </c>
      <c r="E290" s="18" t="inlineStr">
        <is>
          <t>48h-zero-tolerance-ev05-no-loss75-corners-v26</t>
        </is>
      </c>
      <c r="F290" s="18" t="inlineStr">
        <is>
          <t>PENDING_KICKOFF_OR_FINAL_SCORE</t>
        </is>
      </c>
      <c r="G290" s="18"/>
      <c r="H290" s="18"/>
      <c r="I290" s="21"/>
      <c r="J290" s="18"/>
      <c r="K290" s="18"/>
      <c r="L290" s="18"/>
      <c r="M290" s="18"/>
      <c r="N290" s="18" t="inlineStr">
        <is>
          <t>2026-W45</t>
        </is>
      </c>
      <c r="O290" s="18" t="inlineStr">
        <is>
          <t>f82ff3e276c6c573d145eb757208cb5772a45143</t>
        </is>
      </c>
      <c r="P290" s="18"/>
      <c r="Q290" s="18"/>
      <c r="R290" s="18"/>
    </row>
    <row r="291" ht="36" customHeight="1">
      <c r="A291" s="18" t="inlineStr">
        <is>
          <t>Premier League|newcastle|everton|2026-11-02</t>
        </is>
      </c>
      <c r="B291" s="23">
        <v>46328.833333333336</v>
      </c>
      <c r="C291" s="18" t="inlineStr">
        <is>
          <t>Premier League</t>
        </is>
      </c>
      <c r="D291" s="18" t="inlineStr">
        <is>
          <t>Newcastle United vs Everton</t>
        </is>
      </c>
      <c r="E291" s="18" t="inlineStr">
        <is>
          <t>48h-zero-tolerance-ev05-no-loss75-corners-v26</t>
        </is>
      </c>
      <c r="F291" s="18" t="inlineStr">
        <is>
          <t>PENDING_KICKOFF_OR_FINAL_SCORE</t>
        </is>
      </c>
      <c r="G291" s="18"/>
      <c r="H291" s="18"/>
      <c r="I291" s="21"/>
      <c r="J291" s="18"/>
      <c r="K291" s="18"/>
      <c r="L291" s="18"/>
      <c r="M291" s="18"/>
      <c r="N291" s="18" t="inlineStr">
        <is>
          <t>2026-W45</t>
        </is>
      </c>
      <c r="O291" s="18" t="inlineStr">
        <is>
          <t>f82ff3e276c6c573d145eb757208cb5772a45143</t>
        </is>
      </c>
      <c r="P291" s="18"/>
      <c r="Q291" s="18"/>
      <c r="R291" s="18"/>
    </row>
    <row r="292" ht="36" customHeight="1">
      <c r="A292" s="18" t="inlineStr">
        <is>
          <t>Primeira Liga|benfica|alverca|2026-11-02</t>
        </is>
      </c>
      <c r="B292" s="23">
        <v>46328.84375</v>
      </c>
      <c r="C292" s="18" t="inlineStr">
        <is>
          <t>Primeira Liga</t>
        </is>
      </c>
      <c r="D292" s="18" t="inlineStr">
        <is>
          <t>Benfica vs Alverca</t>
        </is>
      </c>
      <c r="E292" s="18" t="inlineStr">
        <is>
          <t>48h-zero-tolerance-ev05-no-loss75-corners-v26</t>
        </is>
      </c>
      <c r="F292" s="18" t="inlineStr">
        <is>
          <t>PENDING_KICKOFF_OR_FINAL_SCORE</t>
        </is>
      </c>
      <c r="G292" s="18"/>
      <c r="H292" s="18"/>
      <c r="I292" s="21"/>
      <c r="J292" s="18"/>
      <c r="K292" s="18"/>
      <c r="L292" s="18"/>
      <c r="M292" s="18"/>
      <c r="N292" s="18" t="inlineStr">
        <is>
          <t>2026-W45</t>
        </is>
      </c>
      <c r="O292" s="18" t="inlineStr">
        <is>
          <t>f82ff3e276c6c573d145eb757208cb5772a45143</t>
        </is>
      </c>
      <c r="P292" s="18"/>
      <c r="Q292" s="18"/>
      <c r="R292" s="18"/>
    </row>
    <row r="293" ht="36" customHeight="1">
      <c r="A293" s="18" t="inlineStr">
        <is>
          <t>Primeira Liga|gil vicente|vitoria|2026-11-02</t>
        </is>
      </c>
      <c r="B293" s="23">
        <v>46328.84375</v>
      </c>
      <c r="C293" s="18" t="inlineStr">
        <is>
          <t>Primeira Liga</t>
        </is>
      </c>
      <c r="D293" s="18" t="inlineStr">
        <is>
          <t>Gil Vicente vs Vitória SC</t>
        </is>
      </c>
      <c r="E293" s="18" t="inlineStr">
        <is>
          <t>48h-zero-tolerance-ev05-no-loss75-corners-v26</t>
        </is>
      </c>
      <c r="F293" s="18" t="inlineStr">
        <is>
          <t>PENDING_KICKOFF_OR_FINAL_SCORE</t>
        </is>
      </c>
      <c r="G293" s="18"/>
      <c r="H293" s="18"/>
      <c r="I293" s="21"/>
      <c r="J293" s="18"/>
      <c r="K293" s="18"/>
      <c r="L293" s="18"/>
      <c r="M293" s="18"/>
      <c r="N293" s="18" t="inlineStr">
        <is>
          <t>2026-W45</t>
        </is>
      </c>
      <c r="O293" s="18" t="inlineStr">
        <is>
          <t>f82ff3e276c6c573d145eb757208cb5772a45143</t>
        </is>
      </c>
      <c r="P293" s="18"/>
      <c r="Q293" s="18"/>
      <c r="R293" s="18"/>
    </row>
    <row r="294" ht="36" customHeight="1">
      <c r="A294" s="18" t="inlineStr">
        <is>
          <t>UEFA Champions League|fk shakhtar donetsk|sporting cp|2026-11-03</t>
        </is>
      </c>
      <c r="B294" s="23">
        <v>46329.739583333336</v>
      </c>
      <c r="C294" s="18" t="inlineStr">
        <is>
          <t>UEFA Champions League</t>
        </is>
      </c>
      <c r="D294" s="18" t="inlineStr">
        <is>
          <t>FK Shakhtar Donetsk vs Sporting Clube de Portugal</t>
        </is>
      </c>
      <c r="E294" s="18" t="inlineStr">
        <is>
          <t>48h-zero-tolerance-ev05-no-loss75-corners-v26</t>
        </is>
      </c>
      <c r="F294" s="18" t="inlineStr">
        <is>
          <t>PENDING_KICKOFF_OR_FINAL_SCORE</t>
        </is>
      </c>
      <c r="G294" s="18"/>
      <c r="H294" s="18"/>
      <c r="I294" s="21"/>
      <c r="J294" s="18"/>
      <c r="K294" s="18"/>
      <c r="L294" s="18"/>
      <c r="M294" s="18"/>
      <c r="N294" s="18" t="inlineStr">
        <is>
          <t>2026-W45</t>
        </is>
      </c>
      <c r="O294" s="18" t="inlineStr">
        <is>
          <t>f82ff3e276c6c573d145eb757208cb5772a45143</t>
        </is>
      </c>
      <c r="P294" s="18"/>
      <c r="Q294" s="18"/>
      <c r="R294" s="18"/>
    </row>
    <row r="295" ht="36" customHeight="1">
      <c r="A295" s="18" t="inlineStr">
        <is>
          <t>UEFA Champions League|galatasaray sk|vfb stuttgart|2026-11-03</t>
        </is>
      </c>
      <c r="B295" s="23">
        <v>46329.739583333336</v>
      </c>
      <c r="C295" s="18" t="inlineStr">
        <is>
          <t>UEFA Champions League</t>
        </is>
      </c>
      <c r="D295" s="18" t="inlineStr">
        <is>
          <t>Galatasaray SK vs VfB Stuttgart</t>
        </is>
      </c>
      <c r="E295" s="18" t="inlineStr">
        <is>
          <t>48h-zero-tolerance-ev05-no-loss75-corners-v26</t>
        </is>
      </c>
      <c r="F295" s="18" t="inlineStr">
        <is>
          <t>PENDING_KICKOFF_OR_FINAL_SCORE</t>
        </is>
      </c>
      <c r="G295" s="18"/>
      <c r="H295" s="18"/>
      <c r="I295" s="21"/>
      <c r="J295" s="18"/>
      <c r="K295" s="18"/>
      <c r="L295" s="18"/>
      <c r="M295" s="18"/>
      <c r="N295" s="18" t="inlineStr">
        <is>
          <t>2026-W45</t>
        </is>
      </c>
      <c r="O295" s="18" t="inlineStr">
        <is>
          <t>f82ff3e276c6c573d145eb757208cb5772a45143</t>
        </is>
      </c>
      <c r="P295" s="18"/>
      <c r="Q295" s="18"/>
      <c r="R295" s="18"/>
    </row>
    <row r="296" ht="36" customHeight="1">
      <c r="A296" s="18" t="inlineStr">
        <is>
          <t>UEFA Champions League|ath madrid|bayern munich|2026-11-03</t>
        </is>
      </c>
      <c r="B296" s="23">
        <v>46329.833333333336</v>
      </c>
      <c r="C296" s="18" t="inlineStr">
        <is>
          <t>UEFA Champions League</t>
        </is>
      </c>
      <c r="D296" s="18" t="inlineStr">
        <is>
          <t>Club Atlético de Madrid vs FC Bayern München</t>
        </is>
      </c>
      <c r="E296" s="18" t="inlineStr">
        <is>
          <t>48h-zero-tolerance-ev05-no-loss75-corners-v26</t>
        </is>
      </c>
      <c r="F296" s="18" t="inlineStr">
        <is>
          <t>PENDING_KICKOFF_OR_FINAL_SCORE</t>
        </is>
      </c>
      <c r="G296" s="18"/>
      <c r="H296" s="18"/>
      <c r="I296" s="21"/>
      <c r="J296" s="18"/>
      <c r="K296" s="18"/>
      <c r="L296" s="18"/>
      <c r="M296" s="18"/>
      <c r="N296" s="18" t="inlineStr">
        <is>
          <t>2026-W45</t>
        </is>
      </c>
      <c r="O296" s="18" t="inlineStr">
        <is>
          <t>f82ff3e276c6c573d145eb757208cb5772a45143</t>
        </is>
      </c>
      <c r="P296" s="18"/>
      <c r="Q296" s="18"/>
      <c r="R296" s="18"/>
    </row>
    <row r="297" ht="36" customHeight="1">
      <c r="A297" s="18" t="inlineStr">
        <is>
          <t>UEFA Champions League|barcelona|aston villa|2026-11-03</t>
        </is>
      </c>
      <c r="B297" s="23">
        <v>46329.833333333336</v>
      </c>
      <c r="C297" s="18" t="inlineStr">
        <is>
          <t>UEFA Champions League</t>
        </is>
      </c>
      <c r="D297" s="18" t="inlineStr">
        <is>
          <t>FC Barcelona vs Aston Villa FC</t>
        </is>
      </c>
      <c r="E297" s="18" t="inlineStr">
        <is>
          <t>48h-zero-tolerance-ev05-no-loss75-corners-v26</t>
        </is>
      </c>
      <c r="F297" s="18" t="inlineStr">
        <is>
          <t>PENDING_KICKOFF_OR_FINAL_SCORE</t>
        </is>
      </c>
      <c r="G297" s="18"/>
      <c r="H297" s="18"/>
      <c r="I297" s="21"/>
      <c r="J297" s="18"/>
      <c r="K297" s="18"/>
      <c r="L297" s="18"/>
      <c r="M297" s="18"/>
      <c r="N297" s="18" t="inlineStr">
        <is>
          <t>2026-W45</t>
        </is>
      </c>
      <c r="O297" s="18" t="inlineStr">
        <is>
          <t>f82ff3e276c6c573d145eb757208cb5772a45143</t>
        </is>
      </c>
      <c r="P297" s="18"/>
      <c r="Q297" s="18"/>
      <c r="R297" s="18"/>
    </row>
    <row r="298" ht="36" customHeight="1">
      <c r="A298" s="18" t="inlineStr">
        <is>
          <t>UEFA Champions League|feyenoord|inter|2026-11-03</t>
        </is>
      </c>
      <c r="B298" s="23">
        <v>46329.833333333336</v>
      </c>
      <c r="C298" s="18" t="inlineStr">
        <is>
          <t>UEFA Champions League</t>
        </is>
      </c>
      <c r="D298" s="18" t="inlineStr">
        <is>
          <t>Feyenoord Rotterdam vs FC Internazionale Milano</t>
        </is>
      </c>
      <c r="E298" s="18" t="inlineStr">
        <is>
          <t>48h-zero-tolerance-ev05-no-loss75-corners-v26</t>
        </is>
      </c>
      <c r="F298" s="18" t="inlineStr">
        <is>
          <t>PENDING_KICKOFF_OR_FINAL_SCORE</t>
        </is>
      </c>
      <c r="G298" s="18"/>
      <c r="H298" s="18"/>
      <c r="I298" s="21"/>
      <c r="J298" s="18"/>
      <c r="K298" s="18"/>
      <c r="L298" s="18"/>
      <c r="M298" s="18"/>
      <c r="N298" s="18" t="inlineStr">
        <is>
          <t>2026-W45</t>
        </is>
      </c>
      <c r="O298" s="18" t="inlineStr">
        <is>
          <t>f82ff3e276c6c573d145eb757208cb5772a45143</t>
        </is>
      </c>
      <c r="P298" s="18"/>
      <c r="Q298" s="18"/>
      <c r="R298" s="18"/>
    </row>
    <row r="299" ht="36" customHeight="1">
      <c r="A299" s="18" t="inlineStr">
        <is>
          <t>UEFA Champions League|fk bod glimt|lille osc|2026-11-03</t>
        </is>
      </c>
      <c r="B299" s="23">
        <v>46329.833333333336</v>
      </c>
      <c r="C299" s="18" t="inlineStr">
        <is>
          <t>UEFA Champions League</t>
        </is>
      </c>
      <c r="D299" s="18" t="inlineStr">
        <is>
          <t>FK Bodø/Glimt vs Lille OSC</t>
        </is>
      </c>
      <c r="E299" s="18" t="inlineStr">
        <is>
          <t>48h-zero-tolerance-ev05-no-loss75-corners-v26</t>
        </is>
      </c>
      <c r="F299" s="18" t="inlineStr">
        <is>
          <t>PENDING_KICKOFF_OR_FINAL_SCORE</t>
        </is>
      </c>
      <c r="G299" s="18"/>
      <c r="H299" s="18"/>
      <c r="I299" s="21"/>
      <c r="J299" s="18"/>
      <c r="K299" s="18"/>
      <c r="L299" s="18"/>
      <c r="M299" s="18"/>
      <c r="N299" s="18" t="inlineStr">
        <is>
          <t>2026-W45</t>
        </is>
      </c>
      <c r="O299" s="18" t="inlineStr">
        <is>
          <t>f82ff3e276c6c573d145eb757208cb5772a45143</t>
        </is>
      </c>
      <c r="P299" s="18"/>
      <c r="Q299" s="18"/>
      <c r="R299" s="18"/>
    </row>
    <row r="300" ht="36" customHeight="1">
      <c r="A300" s="18" t="inlineStr">
        <is>
          <t>UEFA Champions League|lask linz|sk slovan bratislava|2026-11-03</t>
        </is>
      </c>
      <c r="B300" s="23">
        <v>46329.833333333336</v>
      </c>
      <c r="C300" s="18" t="inlineStr">
        <is>
          <t>UEFA Champions League</t>
        </is>
      </c>
      <c r="D300" s="18" t="inlineStr">
        <is>
          <t>LASK Linz vs ŠK Slovan Bratislava</t>
        </is>
      </c>
      <c r="E300" s="18" t="inlineStr">
        <is>
          <t>48h-zero-tolerance-ev05-no-loss75-corners-v26</t>
        </is>
      </c>
      <c r="F300" s="18" t="inlineStr">
        <is>
          <t>PENDING_KICKOFF_OR_FINAL_SCORE</t>
        </is>
      </c>
      <c r="G300" s="18"/>
      <c r="H300" s="18"/>
      <c r="I300" s="21"/>
      <c r="J300" s="18"/>
      <c r="K300" s="18"/>
      <c r="L300" s="18"/>
      <c r="M300" s="18"/>
      <c r="N300" s="18" t="inlineStr">
        <is>
          <t>2026-W45</t>
        </is>
      </c>
      <c r="O300" s="18" t="inlineStr">
        <is>
          <t>f82ff3e276c6c573d145eb757208cb5772a45143</t>
        </is>
      </c>
      <c r="P300" s="18"/>
      <c r="Q300" s="18"/>
      <c r="R300" s="18"/>
    </row>
    <row r="301" ht="36" customHeight="1">
      <c r="A301" s="18" t="inlineStr">
        <is>
          <t>UEFA Champions League|man united|as roma|2026-11-03</t>
        </is>
      </c>
      <c r="B301" s="23">
        <v>46329.833333333336</v>
      </c>
      <c r="C301" s="18" t="inlineStr">
        <is>
          <t>UEFA Champions League</t>
        </is>
      </c>
      <c r="D301" s="18" t="inlineStr">
        <is>
          <t>Manchester United FC vs AS Roma</t>
        </is>
      </c>
      <c r="E301" s="18" t="inlineStr">
        <is>
          <t>48h-zero-tolerance-ev05-no-loss75-corners-v26</t>
        </is>
      </c>
      <c r="F301" s="18" t="inlineStr">
        <is>
          <t>PENDING_KICKOFF_OR_FINAL_SCORE</t>
        </is>
      </c>
      <c r="G301" s="18"/>
      <c r="H301" s="18"/>
      <c r="I301" s="21"/>
      <c r="J301" s="18"/>
      <c r="K301" s="18"/>
      <c r="L301" s="18"/>
      <c r="M301" s="18"/>
      <c r="N301" s="18" t="inlineStr">
        <is>
          <t>2026-W45</t>
        </is>
      </c>
      <c r="O301" s="18" t="inlineStr">
        <is>
          <t>f82ff3e276c6c573d145eb757208cb5772a45143</t>
        </is>
      </c>
      <c r="P301" s="18"/>
      <c r="Q301" s="18"/>
      <c r="R301" s="18"/>
    </row>
    <row r="302" ht="36" customHeight="1">
      <c r="A302" s="18" t="inlineStr">
        <is>
          <t>UEFA Champions League|villarreal|paris sg|2026-11-03</t>
        </is>
      </c>
      <c r="B302" s="23">
        <v>46329.833333333336</v>
      </c>
      <c r="C302" s="18" t="inlineStr">
        <is>
          <t>UEFA Champions League</t>
        </is>
      </c>
      <c r="D302" s="18" t="inlineStr">
        <is>
          <t>Villarreal CF vs Paris Saint-Germain FC</t>
        </is>
      </c>
      <c r="E302" s="18" t="inlineStr">
        <is>
          <t>48h-zero-tolerance-ev05-no-loss75-corners-v26</t>
        </is>
      </c>
      <c r="F302" s="18" t="inlineStr">
        <is>
          <t>PENDING_KICKOFF_OR_FINAL_SCORE</t>
        </is>
      </c>
      <c r="G302" s="18"/>
      <c r="H302" s="18"/>
      <c r="I302" s="21"/>
      <c r="J302" s="18"/>
      <c r="K302" s="18"/>
      <c r="L302" s="18"/>
      <c r="M302" s="18"/>
      <c r="N302" s="18" t="inlineStr">
        <is>
          <t>2026-W45</t>
        </is>
      </c>
      <c r="O302" s="18" t="inlineStr">
        <is>
          <t>f82ff3e276c6c573d145eb757208cb5772a45143</t>
        </is>
      </c>
      <c r="P302" s="18"/>
      <c r="Q302" s="18"/>
      <c r="R302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294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0.9795918367346939</v>
      </c>
      <c r="H10" s="18" t="inlineStr">
        <is>
          <t>Approval review</t>
        </is>
      </c>
      <c r="I10" s="18" t="inlineStr">
        <is>
          <t>204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0.12244897959183673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0.9693877551020408</v>
      </c>
      <c r="H12" s="18" t="inlineStr">
        <is>
          <t>Approval review</t>
        </is>
      </c>
      <c r="I12" s="18" t="inlineStr">
        <is>
          <t>205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0.8469387755102041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Breakdowns!B48</f>
        <v>2026-W41</v>
      </c>
      <c r="B6" s="19">
        <f>Breakdowns!D48</f>
        <v>4.0</v>
      </c>
      <c r="C6" s="19">
        <f>COUNTIFS(Selections!$P$6:$P$86,A6,Selections!$M$6:$M$86,"&gt;0")</f>
        <v>4.0</v>
      </c>
      <c r="D6" s="22">
        <f>IF(C6=0,"n.a.",Breakdowns!J48)</f>
        <v>-1.48</v>
      </c>
      <c r="E6" s="22">
        <f>IF(SUM($C$6:C6)=0,"n.a.",SUM($D$6:D6))</f>
        <v>-1.48</v>
      </c>
      <c r="F6" s="20">
        <f>Breakdowns!H48</f>
        <v>0.5</v>
      </c>
    </row>
    <row r="7" ht="26" customHeight="1">
      <c r="A7" s="18" t="str">
        <f>Breakdowns!B49</f>
        <v>2026-W42</v>
      </c>
      <c r="B7" s="19">
        <f>Breakdowns!D49</f>
        <v>22.0</v>
      </c>
      <c r="C7" s="19">
        <f>COUNTIFS(Selections!$P$6:$P$86,A7,Selections!$M$6:$M$86,"&gt;0")</f>
        <v>22.0</v>
      </c>
      <c r="D7" s="22">
        <f>IF(C7=0,"n.a.",Breakdowns!J49)</f>
        <v>4.289999999999999</v>
      </c>
      <c r="E7" s="22">
        <f>IF(SUM($C$6:C7)=0,"n.a.",SUM($D$6:D7))</f>
        <v>2.809999999999999</v>
      </c>
      <c r="F7" s="20">
        <f>Breakdowns!H49</f>
        <v>0.8636363636363636</v>
      </c>
    </row>
    <row r="8" ht="26" customHeight="1">
      <c r="A8" s="18" t="str">
        <f>Breakdowns!B50</f>
        <v>2026-W43</v>
      </c>
      <c r="B8" s="19">
        <f>Breakdowns!D50</f>
        <v>34.0</v>
      </c>
      <c r="C8" s="19">
        <f>COUNTIFS(Selections!$P$6:$P$86,A8,Selections!$M$6:$M$86,"&gt;0")</f>
        <v>34.0</v>
      </c>
      <c r="D8" s="22">
        <f>IF(C8=0,"n.a.",Breakdowns!J50)</f>
        <v>1.0699999999999994</v>
      </c>
      <c r="E8" s="22">
        <f>IF(SUM($C$6:C8)=0,"n.a.",SUM($D$6:D8))</f>
        <v>3.8799999999999986</v>
      </c>
      <c r="F8" s="20">
        <f>Breakdowns!H50</f>
        <v>0.7352941176470589</v>
      </c>
    </row>
    <row r="9" ht="26" customHeight="1">
      <c r="A9" s="18" t="str">
        <f>Breakdowns!B51</f>
        <v>2026-W44</v>
      </c>
      <c r="B9" s="19">
        <f>Breakdowns!D51</f>
        <v>2.0</v>
      </c>
      <c r="C9" s="19">
        <f>COUNTIFS(Selections!$P$6:$P$86,A9,Selections!$M$6:$M$86,"&gt;0")</f>
        <v>2.0</v>
      </c>
      <c r="D9" s="22">
        <f>IF(C9=0,"n.a.",Breakdowns!J51)</f>
        <v>0.34</v>
      </c>
      <c r="E9" s="22">
        <f>IF(SUM($C$6:C9)=0,"n.a.",SUM($D$6:D9))</f>
        <v>4.219999999999999</v>
      </c>
      <c r="F9" s="20">
        <f>Breakdowns!H51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81</v>
      </c>
      <c r="B8" s="19">
        <v>62</v>
      </c>
      <c r="C8" s="19">
        <v>47</v>
      </c>
      <c r="D8" s="19">
        <v>14</v>
      </c>
      <c r="E8" s="19">
        <v>19</v>
      </c>
      <c r="F8" s="20">
        <v>0.758065</v>
      </c>
      <c r="G8" s="20">
        <v>0.068065</v>
      </c>
      <c r="H8" s="19">
        <v>4.22</v>
      </c>
      <c r="I8" s="19">
        <v>51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0" ht="30" customHeight="1">
      <c r="A60" s="18" t="inlineStr">
        <is>
          <t>2026-10-30T07:29:50.498587+00:00</t>
        </is>
      </c>
      <c r="B60" s="18" t="inlineStr">
        <is>
          <t>02d8d3b21fd68fd99d234a92294d150a10a0848b</t>
        </is>
      </c>
      <c r="C60" s="19">
        <v>3</v>
      </c>
      <c r="D60" s="19">
        <v>0</v>
      </c>
      <c r="E60" s="19">
        <v>0</v>
      </c>
      <c r="F60" s="20"/>
      <c r="G60" s="20"/>
      <c r="H60" s="18"/>
      <c r="I60" s="19">
        <v>3</v>
      </c>
    </row>
    <row r="61" ht="30" customHeight="1">
      <c r="A61" s="18" t="inlineStr">
        <is>
          <t>2026-10-30T12:03:48.308948+00:00</t>
        </is>
      </c>
      <c r="B61" s="18" t="inlineStr">
        <is>
          <t>2f2bbe3e322ecab7c95db46481027cb086720c62</t>
        </is>
      </c>
      <c r="C61" s="19">
        <v>3</v>
      </c>
      <c r="D61" s="19">
        <v>0</v>
      </c>
      <c r="E61" s="19">
        <v>0</v>
      </c>
      <c r="F61" s="20"/>
      <c r="G61" s="20"/>
      <c r="H61" s="18"/>
      <c r="I61" s="19">
        <v>3</v>
      </c>
    </row>
    <row r="62" ht="30" customHeight="1">
      <c r="A62" s="18" t="inlineStr">
        <is>
          <t>2026-10-31T12:03:11.165007+00:00</t>
        </is>
      </c>
      <c r="B62" s="18" t="inlineStr">
        <is>
          <t>f82ff3e276c6c573d145eb757208cb5772a45143</t>
        </is>
      </c>
      <c r="C62" s="19">
        <v>6</v>
      </c>
      <c r="D62" s="19">
        <v>0</v>
      </c>
      <c r="E62" s="19">
        <v>0</v>
      </c>
      <c r="F62" s="20"/>
      <c r="G62" s="20"/>
      <c r="H62" s="18"/>
      <c r="I62" s="19">
        <v>6</v>
      </c>
    </row>
    <row r="65">
      <c r="A65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5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2026-10-31T12:04:01.756278+00:00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2026-10-30</t>
        </is>
      </c>
      <c r="C9" s="19">
        <v>1596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6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6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2026-10-30</t>
        </is>
      </c>
      <c r="C12" s="19">
        <v>2000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2026-10-30</t>
        </is>
      </c>
      <c r="C13" s="19">
        <v>1755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5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2026-10-29</t>
        </is>
      </c>
      <c r="C15" s="19">
        <v>1990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5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10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9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64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201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96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134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171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7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7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7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6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6</v>
      </c>
    </row>
    <row r="51" ht="44" customHeight="1">
      <c r="A51" s="18" t="inlineStr">
        <is>
          <t>Bookmakers: Pinnacle</t>
        </is>
      </c>
      <c r="B51" s="19">
        <v>6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6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47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47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43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19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40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40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61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61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19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19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18" ht="44" customHeight="1">
      <c r="A118" s="18" t="inlineStr">
        <is>
          <t>2026-10-31</t>
        </is>
      </c>
      <c r="B118" s="19">
        <v>62</v>
      </c>
      <c r="C118" s="20">
        <v>0.758065</v>
      </c>
      <c r="D118" s="20">
        <v>0.068065</v>
      </c>
      <c r="E118" s="21">
        <v>0.149497</v>
      </c>
    </row>
    <row r="121">
      <c r="A121" s="26" t="inlineStr">
        <is>
          <t>Dependency versions</t>
        </is>
      </c>
    </row>
    <row r="122" ht="34" customHeight="1">
      <c r="A122" s="24" t="inlineStr">
        <is>
          <t>Dependency</t>
        </is>
      </c>
      <c r="B122" s="24" t="inlineStr">
        <is>
          <t>Version</t>
        </is>
      </c>
    </row>
    <row r="123" ht="44" customHeight="1">
      <c r="A123" s="18" t="inlineStr">
        <is>
          <t>python</t>
        </is>
      </c>
      <c r="B123" s="18" t="inlineStr">
        <is>
          <t>3.12.15</t>
        </is>
      </c>
    </row>
    <row r="124" ht="44" customHeight="1">
      <c r="A124" s="18" t="inlineStr">
        <is>
          <t>numpy</t>
        </is>
      </c>
      <c r="B124" s="18" t="inlineStr">
        <is>
          <t>2.5.4</t>
        </is>
      </c>
    </row>
    <row r="125" ht="44" customHeight="1">
      <c r="A125" s="18" t="inlineStr">
        <is>
          <t>pandas</t>
        </is>
      </c>
      <c r="B125" s="18" t="inlineStr">
        <is>
          <t>3.1.0</t>
        </is>
      </c>
    </row>
    <row r="126" ht="44" customHeight="1">
      <c r="A126" s="18" t="inlineStr">
        <is>
          <t>scipy</t>
        </is>
      </c>
      <c r="B126" s="18" t="inlineStr">
        <is>
          <t>1.18.1</t>
        </is>
      </c>
    </row>
    <row r="127" ht="44" customHeight="1">
      <c r="A127" s="18" t="inlineStr">
        <is>
          <t>requests</t>
        </is>
      </c>
      <c r="B127" s="18" t="inlineStr">
        <is>
          <t>2.34.2</t>
        </is>
      </c>
    </row>
    <row r="128" ht="44" customHeight="1">
      <c r="A128" s="18" t="inlineStr">
        <is>
          <t>rapidfuzz</t>
        </is>
      </c>
      <c r="B128" s="18" t="inlineStr">
        <is>
          <t>3.14.6</t>
        </is>
      </c>
    </row>
    <row r="129" ht="44" customHeight="1">
      <c r="A129" s="18" t="inlineStr">
        <is>
          <t>python-dotenv</t>
        </is>
      </c>
      <c r="B129" s="18" t="inlineStr">
        <is>
          <t>1.2.4</t>
        </is>
      </c>
    </row>
    <row r="130" ht="44" customHeight="1">
      <c r="A130" s="18" t="inlineStr">
        <is>
          <t>coverage</t>
        </is>
      </c>
      <c r="B130" s="18" t="inlineStr">
        <is>
          <t>7.17.0</t>
        </is>
      </c>
    </row>
    <row r="131" ht="44" customHeight="1">
      <c r="A131" s="18" t="inlineStr">
        <is>
          <t>PyYAML</t>
        </is>
      </c>
      <c r="B131" s="18" t="inlineStr">
        <is>
          <t>6.0.3</t>
        </is>
      </c>
    </row>
    <row r="134">
      <c r="A134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1:F12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4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  <row r="64" ht="56" customHeight="1">
      <c r="A64" s="18" t="inlineStr">
        <is>
          <t>02d8d3b21fd68fd99d234a92294d150a10a0848b</t>
        </is>
      </c>
      <c r="B64" s="18" t="inlineStr">
        <is>
          <t>2026-10-30T08:25:11Z</t>
        </is>
      </c>
      <c r="C64" s="18" t="inlineStr">
        <is>
          <t>CAPTURED</t>
        </is>
      </c>
      <c r="D64" s="18" t="inlineStr">
        <is>
          <t>CAPTURED</t>
        </is>
      </c>
      <c r="E64" s="18" t="inlineStr">
        <is>
          <t>CAPTURED</t>
        </is>
      </c>
      <c r="F64" s="18" t="inlineStr">
        <is>
          <t>NOT_GENERATED</t>
        </is>
      </c>
      <c r="G64" s="18" t="inlineStr">
        <is>
          <t>CAPTURED</t>
        </is>
      </c>
      <c r="H64" s="18" t="inlineStr">
        <is>
          <t>CAPTURED</t>
        </is>
      </c>
      <c r="I64" s="18" t="inlineStr">
        <is>
          <t>LEGACY_NOT_RECORDED</t>
        </is>
      </c>
      <c r="J64" s="18" t="inlineStr">
        <is>
          <t>LEGACY_NOT_RECORDED</t>
        </is>
      </c>
      <c r="K64" s="18" t="inlineStr">
        <is>
          <t>NOT_GENERATED</t>
        </is>
      </c>
      <c r="L64" s="18" t="inlineStr">
        <is>
          <t>NOT_GENERATED</t>
        </is>
      </c>
    </row>
    <row r="65" ht="56" customHeight="1">
      <c r="A65" s="18" t="inlineStr">
        <is>
          <t>2f2bbe3e322ecab7c95db46481027cb086720c62</t>
        </is>
      </c>
      <c r="B65" s="18" t="inlineStr">
        <is>
          <t>2026-10-30T12:04:04Z</t>
        </is>
      </c>
      <c r="C65" s="18" t="inlineStr">
        <is>
          <t>CAPTURED</t>
        </is>
      </c>
      <c r="D65" s="18" t="inlineStr">
        <is>
          <t>CAPTURED</t>
        </is>
      </c>
      <c r="E65" s="18" t="inlineStr">
        <is>
          <t>CAPTURED</t>
        </is>
      </c>
      <c r="F65" s="18" t="inlineStr">
        <is>
          <t>NOT_GENERATED</t>
        </is>
      </c>
      <c r="G65" s="18" t="inlineStr">
        <is>
          <t>CAPTURED</t>
        </is>
      </c>
      <c r="H65" s="18" t="inlineStr">
        <is>
          <t>CAPTURED</t>
        </is>
      </c>
      <c r="I65" s="18" t="inlineStr">
        <is>
          <t>LEGACY_NOT_RECORDED</t>
        </is>
      </c>
      <c r="J65" s="18" t="inlineStr">
        <is>
          <t>LEGACY_NOT_RECORDED</t>
        </is>
      </c>
      <c r="K65" s="18" t="inlineStr">
        <is>
          <t>NOT_GENERATED</t>
        </is>
      </c>
      <c r="L65" s="18" t="inlineStr">
        <is>
          <t>NOT_GENERATED</t>
        </is>
      </c>
    </row>
    <row r="66" ht="56" customHeight="1">
      <c r="A66" s="18" t="inlineStr">
        <is>
          <t>f82ff3e276c6c573d145eb757208cb5772a45143</t>
        </is>
      </c>
      <c r="B66" s="18" t="inlineStr">
        <is>
          <t>2026-10-31T12:03:46Z</t>
        </is>
      </c>
      <c r="C66" s="18" t="inlineStr">
        <is>
          <t>CAPTURED</t>
        </is>
      </c>
      <c r="D66" s="18" t="inlineStr">
        <is>
          <t>CAPTURED</t>
        </is>
      </c>
      <c r="E66" s="18" t="inlineStr">
        <is>
          <t>CAPTURED</t>
        </is>
      </c>
      <c r="F66" s="18" t="inlineStr">
        <is>
          <t>NOT_GENERATED</t>
        </is>
      </c>
      <c r="G66" s="18" t="inlineStr">
        <is>
          <t>CAPTURED</t>
        </is>
      </c>
      <c r="H66" s="18" t="inlineStr">
        <is>
          <t>CAPTURED</t>
        </is>
      </c>
      <c r="I66" s="18" t="inlineStr">
        <is>
          <t>LEGACY_NOT_RECORDED</t>
        </is>
      </c>
      <c r="J66" s="18" t="inlineStr">
        <is>
          <t>LEGACY_NOT_RECORDED</t>
        </is>
      </c>
      <c r="K66" s="18" t="inlineStr">
        <is>
          <t>NOT_GENERATED</t>
        </is>
      </c>
      <c r="L66" s="18" t="inlineStr">
        <is>
          <t>NOT_GENERATED</t>
        </is>
      </c>
    </row>
  </sheetData>
  <autoFilter ref="A5:H6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2026-10-31T12:04:01.756278+00:00; 1530 candidates on 147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1530</v>
      </c>
      <c r="D9" s="19">
        <v>147</v>
      </c>
      <c r="E9" s="20">
        <v>-0.032785027386823117</v>
      </c>
      <c r="F9" s="20">
        <v>0.2758169934640523</v>
      </c>
      <c r="G9" s="22">
        <v>-12.77535735511403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929</v>
      </c>
      <c r="D11" s="19">
        <v>141</v>
      </c>
      <c r="E11" s="20">
        <v>0.007654739499341118</v>
      </c>
      <c r="F11" s="20">
        <v>0.5242195909580194</v>
      </c>
      <c r="G11" s="22">
        <v>3.076280721748528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147</v>
      </c>
      <c r="D15" s="18"/>
      <c r="E15" s="21">
        <v>-0.10268645644501682</v>
      </c>
      <c r="F15" s="20">
        <v>0.6054421768707483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272</v>
      </c>
      <c r="D21" s="19">
        <v>111</v>
      </c>
      <c r="E21" s="20">
        <v>-0.022310636971857967</v>
      </c>
      <c r="F21" s="20">
        <v>0.40808823529411764</v>
      </c>
      <c r="G21" s="22">
        <v>-6.111486471779452</v>
      </c>
      <c r="H21" s="20">
        <v>0.03129116494438121</v>
      </c>
      <c r="I21" s="19">
        <v>207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255</v>
      </c>
      <c r="D22" s="19">
        <v>104</v>
      </c>
      <c r="E22" s="20">
        <v>-0.04106290214263843</v>
      </c>
      <c r="F22" s="20">
        <v>0.2823529411764706</v>
      </c>
      <c r="G22" s="22">
        <v>-9.96384921123931</v>
      </c>
      <c r="H22" s="20">
        <v>-0.0014885606567135224</v>
      </c>
      <c r="I22" s="19">
        <v>255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244</v>
      </c>
      <c r="D23" s="19">
        <v>92</v>
      </c>
      <c r="E23" s="20">
        <v>-0.03129941970592157</v>
      </c>
      <c r="F23" s="20">
        <v>0.13934426229508196</v>
      </c>
      <c r="G23" s="22">
        <v>-15.282298547540556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-0.05530482524929436</v>
      </c>
      <c r="F25" s="20">
        <v>0.2619047619047619</v>
      </c>
      <c r="G25" s="22">
        <v>-6.9950887949010605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751</v>
      </c>
      <c r="D48" s="19">
        <v>113</v>
      </c>
      <c r="E48" s="20">
        <v>-0.037041874370346256</v>
      </c>
      <c r="F48" s="20">
        <v>0.23834886817576564</v>
      </c>
      <c r="G48" s="22">
        <v>-16.807846359355516</v>
      </c>
      <c r="H48" s="20">
        <v>0.005437763291662809</v>
      </c>
      <c r="I48" s="19">
        <v>476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384</v>
      </c>
      <c r="D49" s="19">
        <v>43</v>
      </c>
      <c r="E49" s="20">
        <v>-0.03420026086376102</v>
      </c>
      <c r="F49" s="20">
        <v>0.234375</v>
      </c>
      <c r="G49" s="22">
        <v>-9.968422482104327</v>
      </c>
      <c r="H49" s="20">
        <v>0.005906511400423473</v>
      </c>
      <c r="I49" s="19">
        <v>257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331</v>
      </c>
      <c r="D50" s="19">
        <v>93</v>
      </c>
      <c r="E50" s="20">
        <v>-0.020692669533969574</v>
      </c>
      <c r="F50" s="20">
        <v>0.4108761329305136</v>
      </c>
      <c r="G50" s="22">
        <v>-2.7405758244661773</v>
      </c>
      <c r="H50" s="20">
        <v>0.022467535374292108</v>
      </c>
      <c r="I50" s="19">
        <v>176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1465</v>
      </c>
      <c r="D56" s="19">
        <v>147</v>
      </c>
      <c r="E56" s="20">
        <v>-0.03300039887138664</v>
      </c>
      <c r="F56" s="20">
        <v>0.27781569965870306</v>
      </c>
      <c r="G56" s="22">
        <v>-12.277540647825553</v>
      </c>
      <c r="H56" s="20">
        <v>0.007852251470520655</v>
      </c>
      <c r="I56" s="19">
        <v>877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214</v>
      </c>
      <c r="D65" s="19">
        <v>17</v>
      </c>
      <c r="E65" s="20">
        <v>-0.033918434850015076</v>
      </c>
      <c r="F65" s="20">
        <v>0.2803738317757009</v>
      </c>
      <c r="G65" s="22">
        <v>-6.451075781178855</v>
      </c>
      <c r="H65" s="20">
        <v>0.011340400497858638</v>
      </c>
      <c r="I65" s="19">
        <v>132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Ligue 1</t>
        </is>
      </c>
      <c r="B67" s="18"/>
      <c r="C67" s="19">
        <v>103</v>
      </c>
      <c r="D67" s="19">
        <v>13</v>
      </c>
      <c r="E67" s="20">
        <v>-0.028414240172878122</v>
      </c>
      <c r="F67" s="20">
        <v>0.3106796116504854</v>
      </c>
      <c r="G67" s="22">
        <v>-2.374041384271279</v>
      </c>
      <c r="H67" s="20">
        <v>0.0268232939934491</v>
      </c>
      <c r="I67" s="19">
        <v>53</v>
      </c>
      <c r="J67" s="18" t="inlineStr">
        <is>
          <t>Small sample</t>
        </is>
      </c>
    </row>
    <row r="68" ht="30" customHeight="1">
      <c r="A68" s="18" t="inlineStr">
        <is>
          <t>UEFA Europa League</t>
        </is>
      </c>
      <c r="B68" s="18"/>
      <c r="C68" s="19">
        <v>90</v>
      </c>
      <c r="D68" s="19">
        <v>18</v>
      </c>
      <c r="E68" s="20">
        <v>-0.029265742952778517</v>
      </c>
      <c r="F68" s="20">
        <v>0.25555555555555554</v>
      </c>
      <c r="G68" s="22">
        <v>-4.225379439242074</v>
      </c>
      <c r="H68" s="20">
        <v>0.015496675340858615</v>
      </c>
      <c r="I68" s="19">
        <v>36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1" ht="30" customHeight="1">
      <c r="A71" s="18" t="inlineStr">
        <is>
          <t>Super Lig</t>
        </is>
      </c>
      <c r="B71" s="18"/>
      <c r="C71" s="19">
        <v>2</v>
      </c>
      <c r="D71" s="19">
        <v>1</v>
      </c>
      <c r="E71" s="20">
        <v>-0.06176073659651099</v>
      </c>
      <c r="F71" s="20">
        <v>0.5</v>
      </c>
      <c r="G71" s="22"/>
      <c r="H71" s="20">
        <v>-0.023066414459857076</v>
      </c>
      <c r="I71" s="19">
        <v>2</v>
      </c>
      <c r="J71" s="18" t="inlineStr">
        <is>
          <t>Small sample</t>
        </is>
      </c>
    </row>
    <row r="74">
      <c r="A74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conditionalFormatting sqref="J71">
    <cfRule type="expression" priority="101" dxfId="5">
      <formula>OR(J71="Positive (t &gt;= 2)",J71="Model carries information")</formula>
    </cfRule>
    <cfRule type="expression" priority="102" dxfId="4">
      <formula>OR(J71="Negative (t &lt;= -2)",J71="No information beyond the market")</formula>
    </cfRule>
    <cfRule type="expression" priority="103" dxfId="3">
      <formula>OR(J71="Small sample",J71="Not distinguishable from zero")</formula>
    </cfRule>
  </conditionalFormatting>
  <hyperlinks>
    <hyperlink ref="A74" location="'Dashboard'!A1" display="Back to dashboard"/>
  </hyperlinks>
</worksheet>
</file>