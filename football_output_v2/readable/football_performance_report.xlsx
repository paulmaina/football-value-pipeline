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2026-10-18T22:30:32.745981+00:00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26</v>
      </c>
      <c r="E6" s="19">
        <f>COUNTIFS(Selections!$K$6:$K$38,"WON")</f>
        <v>21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7</v>
      </c>
      <c r="H6" s="20">
        <f>IF((COUNTIFS(Selections!$K$6:$K$38,"WON")+COUNTIFS(Selections!$K$6:$K$38,"LOST"))=0,"n.a.",COUNTIFS(Selections!$K$6:$K$38,"WON")/(COUNTIFS(Selections!$K$6:$K$38,"WON")+COUNTIFS(Selections!$K$6:$K$38,"LOST")))</f>
        <v>0.8076923076923077</v>
      </c>
      <c r="I6" s="22">
        <f>SUM(Selections!$M$6:$M$38)</f>
        <v>26</v>
      </c>
      <c r="J6" s="22">
        <f>SUM(Selections!$N$6:$N$38)</f>
        <v>2.8099999999999996</v>
      </c>
      <c r="K6" s="20">
        <f>IF(SUM(Selections!$M$6:$M$38)=0,"n.a.",SUM(Selections!$N$6:$N$38)/SUM(Selections!$M$6:$M$38))</f>
        <v>0.10807692307692306</v>
      </c>
      <c r="L6" s="21">
        <f>IF(SUM(Selections!$T$6:$T$38)=0,"n.a.",SUM(Selections!$O$6:$O$38)/SUM(Selections!$T$6:$T$38))</f>
        <v>0.16100322598566943</v>
      </c>
      <c r="M6" s="20">
        <f>IF(SUM(Selections!$T$6:$T$38)=0,"n.a.",SUM(Selections!$S$6:$S$38)/SUM(Selections!$T$6:$T$38))</f>
        <v>0.7772039532532659</v>
      </c>
      <c r="N6" s="20">
        <f>IF(SUM(Selections!$T$6:$T$38)=0,"n.a.",(SUMIFS(Selections!$L$6:$L$38,Selections!$T$6:$T$38,1))/SUM(Selections!$T$6:$T$38))</f>
        <v>0.8076923076923077</v>
      </c>
      <c r="O6" s="20">
        <f>IF(SUM(Selections!$T$6:$T$38)=0,"n.a.",(SUM(Selections!$S$6:$S$38)-(SUMIFS(Selections!$L$6:$L$38,Selections!$T$6:$T$38,1)))/SUM(Selections!$T$6:$T$38))</f>
        <v>-0.030488354439041854</v>
      </c>
      <c r="P6" s="19">
        <f>SUM(Selections!$T$6:$T$38)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15</v>
      </c>
      <c r="E8" s="19">
        <f>COUNTIFS(Selections!$F$6:$F$38,"PROVISIONAL",Selections!$K$6:$K$38,"WON")</f>
        <v>11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5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0.7333333333333333</v>
      </c>
      <c r="I8" s="22">
        <f>SUMIFS(Selections!$M$6:$M$38,Selections!$F$6:$F$38,"PROVISIONAL")</f>
        <v>15</v>
      </c>
      <c r="J8" s="22">
        <f>SUMIFS(Selections!$N$6:$N$38,Selections!$F$6:$F$38,"PROVISIONAL")</f>
        <v>-0.5100000000000002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-0.034000000000000016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0.2085245618312393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0.7933588304428102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0.7333333333333333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0.06002549710947691</v>
      </c>
      <c r="P8" s="19">
        <f>SUMIFS(Selections!$T$6:$T$38,Selections!$F$6:$F$38,"PROVISIONAL")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3</v>
      </c>
      <c r="E9" s="19">
        <f>COUNTIFS(Selections!$C$6:$C$38,"Bundesliga",Selections!$K$6:$K$38,"WON")</f>
        <v>3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0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3</v>
      </c>
      <c r="J9" s="22">
        <f>SUMIFS(Selections!$N$6:$N$38,Selections!$C$6:$C$38,"Bundesliga")</f>
        <v>0.74</v>
      </c>
      <c r="K9" s="20">
        <f>IF(SUMIFS(Selections!$M$6:$M$38,Selections!$C$6:$C$38,"Bundesliga")=0,"n.a.",SUMIFS(Selections!$N$6:$N$38,Selections!$C$6:$C$38,"Bundesliga")/SUMIFS(Selections!$M$6:$M$38,Selections!$C$6:$C$38,"Bundesliga"))</f>
        <v>0.24666666666666667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0.03973352985046064</v>
      </c>
      <c r="M9" s="20">
        <f>IF(SUMIFS(Selections!$T$6:$T$38,Selections!$C$6:$C$38,"Bundesliga")=0,"n.a.",SUMIFS(Selections!$S$6:$S$38,Selections!$C$6:$C$38,"Bundesliga")/SUMIFS(Selections!$T$6:$T$38,Selections!$C$6:$C$38,"Bundesliga"))</f>
        <v>0.8037750849699149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-0.1962249150300851</v>
      </c>
      <c r="P9" s="19">
        <f>SUMIFS(Selections!$T$6:$T$38,Selections!$C$6:$C$38,"Bundesliga")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6</v>
      </c>
      <c r="E10" s="19">
        <f>COUNTIFS(Selections!$C$6:$C$38,"La Liga",Selections!$K$6:$K$38,"WON")</f>
        <v>6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2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6</v>
      </c>
      <c r="J10" s="22">
        <f>SUMIFS(Selections!$N$6:$N$38,Selections!$C$6:$C$38,"La Liga")</f>
        <v>1.8199999999999998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0.3033333333333333</v>
      </c>
      <c r="L10" s="21">
        <f>IF(SUMIFS(Selections!$T$6:$T$38,Selections!$C$6:$C$38,"La Liga")=0,"n.a.",SUMIFS(Selections!$O$6:$O$38,Selections!$C$6:$C$38,"La Liga")/SUMIFS(Selections!$T$6:$T$38,Selections!$C$6:$C$38,"La Liga"))</f>
        <v>0.035061219735885975</v>
      </c>
      <c r="M10" s="20">
        <f>IF(SUMIFS(Selections!$T$6:$T$38,Selections!$C$6:$C$38,"La Liga")=0,"n.a.",SUMIFS(Selections!$S$6:$S$38,Selections!$C$6:$C$38,"La Liga")/SUMIFS(Selections!$T$6:$T$38,Selections!$C$6:$C$38,"La Liga"))</f>
        <v>0.8259716952617202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-0.1740283047382798</v>
      </c>
      <c r="P10" s="19">
        <f>SUMIFS(Selections!$T$6:$T$38,Selections!$C$6:$C$38,"La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2</v>
      </c>
      <c r="E17" s="19">
        <f>COUNTIFS(Selections!$E$6:$E$38,"Double Chance 12",Selections!$K$6:$K$38,"WON")</f>
        <v>2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1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2</v>
      </c>
      <c r="J17" s="22">
        <f>SUMIFS(Selections!$N$6:$N$38,Selections!$E$6:$E$38,"Double Chance 12")</f>
        <v>0.55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0.275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0.06039485652956292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0.7543630828815686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-0.24563691711843139</v>
      </c>
      <c r="P17" s="19">
        <f>SUMIFS(Selections!$T$6:$T$38,Selections!$E$6:$E$38,"Double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5</v>
      </c>
      <c r="E20" s="19">
        <f>COUNTIFS(Selections!$E$6:$E$38,"Home win",Selections!$K$6:$K$38,"WON")</f>
        <v>5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2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5</v>
      </c>
      <c r="J20" s="22">
        <f>SUMIFS(Selections!$N$6:$N$38,Selections!$E$6:$E$38,"Home win")</f>
        <v>2.5300000000000002</v>
      </c>
      <c r="K20" s="20">
        <f>IF(SUMIFS(Selections!$M$6:$M$38,Selections!$E$6:$E$38,"Home win")=0,"n.a.",SUMIFS(Selections!$N$6:$N$38,Selections!$E$6:$E$38,"Home win")/SUMIFS(Selections!$M$6:$M$38,Selections!$E$6:$E$38,"Home win"))</f>
        <v>0.506</v>
      </c>
      <c r="L20" s="21">
        <f>IF(SUMIFS(Selections!$T$6:$T$38,Selections!$E$6:$E$38,"Home win")=0,"n.a.",SUMIFS(Selections!$O$6:$O$38,Selections!$E$6:$E$38,"Home win")/SUMIFS(Selections!$T$6:$T$38,Selections!$E$6:$E$38,"Home win"))</f>
        <v>0.08395111444229483</v>
      </c>
      <c r="M20" s="20">
        <f>IF(SUMIFS(Selections!$T$6:$T$38,Selections!$E$6:$E$38,"Home win")=0,"n.a.",SUMIFS(Selections!$S$6:$S$38,Selections!$E$6:$E$38,"Home win")/SUMIFS(Selections!$T$6:$T$38,Selections!$E$6:$E$38,"Home win"))</f>
        <v>0.717377401189973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-0.28262259881002705</v>
      </c>
      <c r="P20" s="19">
        <f>SUMIFS(Selections!$T$6:$T$38,Selections!$E$6:$E$38,"Home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7</v>
      </c>
      <c r="E23" s="19">
        <f>COUNTIFS(Selections!$G$6:$G$38,"48h-top-ten-probability-ev-no-under35-v14",Selections!$K$6:$K$38,"WON")</f>
        <v>6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3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0.8571428571428571</v>
      </c>
      <c r="I23" s="22">
        <f>SUMIFS(Selections!$M$6:$M$38,Selections!$G$6:$G$38,"48h-top-ten-probability-ev-no-under35-v14")</f>
        <v>7</v>
      </c>
      <c r="J23" s="22">
        <f>SUMIFS(Selections!$N$6:$N$38,Selections!$G$6:$G$38,"48h-top-ten-probability-ev-no-under35-v14")</f>
        <v>1.0499999999999998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0.14999999999999997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0.14695610816590257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0.7493258100280961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0.8571428571428571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-0.10781704711476103</v>
      </c>
      <c r="P23" s="19">
        <f>SUMIFS(Selections!$T$6:$T$38,Selections!$G$6:$G$38,"48h-top-ten-probability-ev-no-under35-v14")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22</v>
      </c>
      <c r="E31" s="19">
        <f>COUNTIFS(Selections!$P$6:$P$38,"2026-W42",Selections!$K$6:$K$38,"WON")</f>
        <v>19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2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0.8636363636363636</v>
      </c>
      <c r="I31" s="22">
        <f>SUMIFS(Selections!$M$6:$M$38,Selections!$P$6:$P$38,"2026-W42")</f>
        <v>22</v>
      </c>
      <c r="J31" s="22">
        <f>SUMIFS(Selections!$N$6:$N$38,Selections!$P$6:$P$38,"2026-W42")</f>
        <v>4.289999999999999</v>
      </c>
      <c r="K31" s="20">
        <f>IF(SUMIFS(Selections!$M$6:$M$38,Selections!$P$6:$P$38,"2026-W42")=0,"n.a.",SUMIFS(Selections!$N$6:$N$38,Selections!$P$6:$P$38,"2026-W42")/SUMIFS(Selections!$M$6:$M$38,Selections!$P$6:$P$38,"2026-W42"))</f>
        <v>0.19499999999999995</v>
      </c>
      <c r="L31" s="21">
        <f>IF(SUMIFS(Selections!$T$6:$T$38,Selections!$P$6:$P$38,"2026-W42")=0,"n.a.",SUMIFS(Selections!$O$6:$O$38,Selections!$P$6:$P$38,"2026-W42")/SUMIFS(Selections!$T$6:$T$38,Selections!$P$6:$P$38,"2026-W42"))</f>
        <v>0.13041357566209277</v>
      </c>
      <c r="M31" s="20">
        <f>IF(SUMIFS(Selections!$T$6:$T$38,Selections!$P$6:$P$38,"2026-W42")=0,"n.a.",SUMIFS(Selections!$S$6:$S$38,Selections!$P$6:$P$38,"2026-W42")/SUMIFS(Selections!$T$6:$T$38,Selections!$P$6:$P$38,"2026-W42"))</f>
        <v>0.7692010233716516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0.8636363636363636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-0.09443534026471201</v>
      </c>
      <c r="P31" s="19">
        <f>SUMIFS(Selections!$T$6:$T$38,Selections!$P$6:$P$38,"2026-W42")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10</v>
      </c>
      <c r="E9" s="20">
        <f>IF(D9=0,"n.a.",SUMIFS(Selections!$S$6:$S$38,Selections!$S$6:$S$38,"&gt;="&amp;B9,Selections!$S$6:$S$38,"&lt;"&amp;C9,Selections!$T$6:$T$38,1)/D9)</f>
        <v>0.7555864760496519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-0.044413523950348144</v>
      </c>
      <c r="H9" s="21">
        <f>IF(D9=0,"n.a.",SUMIFS(Selections!$O$6:$O$38,Selections!$S$6:$S$38,"&gt;="&amp;B9,Selections!$S$6:$S$38,"&lt;"&amp;C9,Selections!$T$6:$T$38,1)/D9)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0.5714285714285714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COUNTIFS(Selections!$P$6:$P$38,A7,Selections!$M$6:$M$38,"&gt;0")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26</v>
      </c>
      <c r="C8" s="19">
        <v>21</v>
      </c>
      <c r="D8" s="19">
        <v>5</v>
      </c>
      <c r="E8" s="19">
        <v>7</v>
      </c>
      <c r="F8" s="20">
        <v>0.807692</v>
      </c>
      <c r="G8" s="20">
        <v>0.108077</v>
      </c>
      <c r="H8" s="19">
        <v>2.81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2026-10-18T22:30:32.745981+00:00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4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4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26</v>
      </c>
      <c r="C80" s="20">
        <v>0.807692</v>
      </c>
      <c r="D80" s="20">
        <v>0.108077</v>
      </c>
      <c r="E80" s="21">
        <v>0.161003</v>
      </c>
    </row>
    <row r="83">
      <c r="A83" s="26" t="inlineStr">
        <is>
          <t>Dependency versions</t>
        </is>
      </c>
    </row>
    <row r="84" ht="34" customHeight="1">
      <c r="A84" s="24" t="inlineStr">
        <is>
          <t>Dependency</t>
        </is>
      </c>
      <c r="B84" s="24" t="inlineStr">
        <is>
          <t>Version</t>
        </is>
      </c>
    </row>
    <row r="85" ht="44" customHeight="1">
      <c r="A85" s="18" t="inlineStr">
        <is>
          <t>python</t>
        </is>
      </c>
      <c r="B85" s="18" t="inlineStr">
        <is>
          <t>3.12.15</t>
        </is>
      </c>
    </row>
    <row r="86" ht="44" customHeight="1">
      <c r="A86" s="18" t="inlineStr">
        <is>
          <t>numpy</t>
        </is>
      </c>
      <c r="B86" s="18" t="inlineStr">
        <is>
          <t>2.5.4</t>
        </is>
      </c>
    </row>
    <row r="87" ht="44" customHeight="1">
      <c r="A87" s="18" t="inlineStr">
        <is>
          <t>pandas</t>
        </is>
      </c>
      <c r="B87" s="18" t="inlineStr">
        <is>
          <t>3.0.6</t>
        </is>
      </c>
    </row>
    <row r="88" ht="44" customHeight="1">
      <c r="A88" s="18" t="inlineStr">
        <is>
          <t>scipy</t>
        </is>
      </c>
      <c r="B88" s="18" t="inlineStr">
        <is>
          <t>1.18.1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python-dotenv</t>
        </is>
      </c>
      <c r="B90" s="18" t="inlineStr">
        <is>
          <t>1.2.4</t>
        </is>
      </c>
    </row>
    <row r="91" ht="44" customHeight="1">
      <c r="A91" s="18" t="inlineStr">
        <is>
          <t>coverage</t>
        </is>
      </c>
      <c r="B91" s="18" t="inlineStr">
        <is>
          <t>NOT_INSTALLED</t>
        </is>
      </c>
    </row>
    <row r="92" ht="44" customHeight="1">
      <c r="A92" s="18" t="inlineStr">
        <is>
          <t>PyYAML</t>
        </is>
      </c>
      <c r="B92" s="18" t="inlineStr">
        <is>
          <t>NOT_INSTALLED</t>
        </is>
      </c>
    </row>
    <row r="95">
      <c r="A9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3:F8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5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