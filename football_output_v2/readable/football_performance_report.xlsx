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2.809999999999999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0.7333333333333333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Plan'!$A$10:$A$42</c:f>
              <c:strCache>
                <c:ptCount val="3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2026-10-20T19:00:00+00:00</c:v>
                </c:pt>
              </c:strCache>
            </c:strRef>
          </c:cat>
          <c:val>
            <c:numRef>
              <c:f>'ROI Plan'!$F$10:$F$42</c:f>
              <c:numCache>
                <c:formatCode>General</c:formatCode>
                <c:ptCount val="3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2.8099999999999996</c:v>
                </c:pt>
                <c:pt idx="30">
                  <c:v>2.8099999999999996</c:v>
                </c:pt>
                <c:pt idx="31">
                  <c:v>2.8099999999999996</c:v>
                </c:pt>
                <c:pt idx="32">
                  <c:v>2.8099999999999996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0.652956145664078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0.8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4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3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33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26</v>
      </c>
      <c r="C8" s="18"/>
      <c r="D8" s="18" t="str">
        <v>PROVISIONAL</v>
      </c>
      <c r="E8" s="18">
        <f>Breakdowns!D8</f>
        <v>15</v>
      </c>
      <c r="F8" s="20">
        <f>Breakdowns!H8</f>
        <v>0.7333333333333333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21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5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0.8076923076923077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0.10807692307692306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2.8099999999999996</v>
      </c>
      <c r="C14" s="18"/>
      <c r="D14" s="18" t="inlineStr">
        <is>
          <t>26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0.16100322598566943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0.5347836531944444</v>
      </c>
      <c r="C17" s="18"/>
      <c r="D17" s="18" t="inlineStr">
        <is>
          <t>Over 1.5</t>
        </is>
      </c>
      <c r="E17" s="18">
        <f>COUNT(Predictions!J6:J168)</f>
        <v>72</v>
      </c>
      <c r="F17" s="20">
        <f>IF(E17=0,"n.a.",AVERAGE(Predictions!J6:J168))</f>
        <v>0.8194444444444444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0.6212336384535001</v>
      </c>
      <c r="C18" s="18"/>
      <c r="D18" s="18" t="inlineStr">
        <is>
          <t>Under 3.5</t>
        </is>
      </c>
      <c r="E18" s="18">
        <f>COUNT(Predictions!K6:K168)</f>
        <v>72</v>
      </c>
      <c r="F18" s="20">
        <f>IF(E18=0,"n.a.",AVERAGE(Predictions!K6:K168))</f>
        <v>0.5972222222222222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0.9149306422821174</v>
      </c>
      <c r="C19" s="18"/>
      <c r="D19" s="18" t="inlineStr">
        <is>
          <t>BTTS Yes</t>
        </is>
      </c>
      <c r="E19" s="18">
        <f>COUNT(Predictions!L6:L168)</f>
        <v>72</v>
      </c>
      <c r="F19" s="20">
        <f>IF(E19=0,"n.a.",AVERAGE(Predictions!L6:L168))</f>
        <v>0.5416666666666666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72</v>
      </c>
      <c r="F20" s="20">
        <f>IF(E20=0,"n.a.",AVERAGE(Predictions!M6:M168))</f>
        <v>0.5416666666666666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21 wins from 26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2026-10-19T07:59:36.833708+00:00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14:40:44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2.8099999999999996</v>
      </c>
      <c r="G39" s="22">
        <f>$B$4+F39</f>
        <v>102.81</v>
      </c>
      <c r="H39" s="22">
        <f>MAX($B$4,$G$10:G39)</f>
        <v>102.81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2.8099999999999996</v>
      </c>
      <c r="G40" s="22">
        <f>$B$4+F40</f>
        <v>102.81</v>
      </c>
      <c r="H40" s="22">
        <f>MAX($B$4,$G$10:G40)</f>
        <v>102.81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2.8099999999999996</v>
      </c>
      <c r="G41" s="22">
        <f>$B$4+F41</f>
        <v>102.81</v>
      </c>
      <c r="H41" s="22">
        <f>MAX($B$4,$G$10:G41)</f>
        <v>102.81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2026-10-20T19:00:00+00:00</t>
        </is>
      </c>
      <c r="B42" s="18" t="inlineStr">
        <is>
          <t>Liverpool vs Villarreal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2.8099999999999996</v>
      </c>
      <c r="G42" s="22">
        <f>$B$4+F42</f>
        <v>102.81</v>
      </c>
      <c r="H42" s="22">
        <f>MAX($B$4,$G$10:G42)</f>
        <v>102.81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</sheetData>
  <mergeCells count="1">
    <mergeCell ref="A2:J2"/>
  </mergeCells>
  <conditionalFormatting sqref="E10:E4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COUNTA(Selections!$A$6:$A$38)</f>
        <v>33</v>
      </c>
      <c r="D6" s="19">
        <f>(COUNTIFS(Selections!$K$6:$K$38,"WON")+COUNTIFS(Selections!$K$6:$K$38,"LOST"))</f>
        <v>26</v>
      </c>
      <c r="E6" s="19">
        <f>COUNTIFS(Selections!$K$6:$K$38,"WON")</f>
        <v>21</v>
      </c>
      <c r="F6" s="19">
        <f>COUNTIFS(Selections!$K$6:$K$38,"LOST")</f>
        <v>5</v>
      </c>
      <c r="G6" s="19">
        <f>COUNTA(Selections!$A$6:$A$38)-(COUNTIFS(Selections!$K$6:$K$38,"WON")+COUNTIFS(Selections!$K$6:$K$38,"LOST"))</f>
        <v>7</v>
      </c>
      <c r="H6" s="20">
        <f>IF((COUNTIFS(Selections!$K$6:$K$38,"WON")+COUNTIFS(Selections!$K$6:$K$38,"LOST"))=0,"n.a.",COUNTIFS(Selections!$K$6:$K$38,"WON")/(COUNTIFS(Selections!$K$6:$K$38,"WON")+COUNTIFS(Selections!$K$6:$K$38,"LOST")))</f>
        <v>0.8076923076923077</v>
      </c>
      <c r="I6" s="22">
        <f>SUM(Selections!$M$6:$M$38)</f>
        <v>26</v>
      </c>
      <c r="J6" s="22">
        <f>SUM(Selections!$N$6:$N$38)</f>
        <v>2.8099999999999996</v>
      </c>
      <c r="K6" s="20">
        <f>IF(SUM(Selections!$M$6:$M$38)=0,"n.a.",SUM(Selections!$N$6:$N$38)/SUM(Selections!$M$6:$M$38))</f>
        <v>0.10807692307692306</v>
      </c>
      <c r="L6" s="21">
        <f>IF(SUM(Selections!$T$6:$T$38)=0,"n.a.",SUM(Selections!$O$6:$O$38)/SUM(Selections!$T$6:$T$38))</f>
        <v>0.16100322598566943</v>
      </c>
      <c r="M6" s="20">
        <f>IF(SUM(Selections!$T$6:$T$38)=0,"n.a.",SUM(Selections!$S$6:$S$38)/SUM(Selections!$T$6:$T$38))</f>
        <v>0.7772039532532659</v>
      </c>
      <c r="N6" s="20">
        <f>IF(SUM(Selections!$T$6:$T$38)=0,"n.a.",(SUMIFS(Selections!$L$6:$L$38,Selections!$T$6:$T$38,1))/SUM(Selections!$T$6:$T$38))</f>
        <v>0.8076923076923077</v>
      </c>
      <c r="O6" s="20">
        <f>IF(SUM(Selections!$T$6:$T$38)=0,"n.a.",(SUM(Selections!$S$6:$S$38)-(SUMIFS(Selections!$L$6:$L$38,Selections!$T$6:$T$38,1)))/SUM(Selections!$T$6:$T$38))</f>
        <v>-0.030488354439041854</v>
      </c>
      <c r="P6" s="19">
        <f>SUM(Selections!$T$6:$T$38)</f>
        <v>26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(n=26).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COUNTIFS(Selections!$F$6:$F$38,"STRICT")</f>
        <v>13</v>
      </c>
      <c r="D7" s="19">
        <f>(COUNTIFS(Selections!$F$6:$F$38,"STRICT",Selections!$K$6:$K$38,"WON")+COUNTIFS(Selections!$F$6:$F$38,"STRICT",Selections!$K$6:$K$38,"LOST"))</f>
        <v>11</v>
      </c>
      <c r="E7" s="19">
        <f>COUNTIFS(Selections!$F$6:$F$38,"STRICT",Selections!$K$6:$K$38,"WON")</f>
        <v>10</v>
      </c>
      <c r="F7" s="19">
        <f>COUNTIFS(Selections!$F$6:$F$38,"STRICT",Selections!$K$6:$K$38,"LOST")</f>
        <v>1</v>
      </c>
      <c r="G7" s="19">
        <f>COUNTIFS(Selections!$F$6:$F$38,"STRICT")-(COUNTIFS(Selections!$F$6:$F$38,"STRICT",Selections!$K$6:$K$38,"WON")+COUNTIFS(Selections!$F$6:$F$38,"STRICT",Selections!$K$6:$K$38,"LOST"))</f>
        <v>2</v>
      </c>
      <c r="H7" s="20">
        <f>IF((COUNTIFS(Selections!$F$6:$F$38,"STRICT",Selections!$K$6:$K$38,"WON")+COUNTIFS(Selections!$F$6:$F$38,"STRICT",Selections!$K$6:$K$38,"LOST"))=0,"n.a.",COUNTIFS(Selections!$F$6:$F$38,"STRICT",Selections!$K$6:$K$38,"WON")/(COUNTIFS(Selections!$F$6:$F$38,"STRICT",Selections!$K$6:$K$38,"WON")+COUNTIFS(Selections!$F$6:$F$38,"STRICT",Selections!$K$6:$K$38,"LOST")))</f>
        <v>0.9090909090909091</v>
      </c>
      <c r="I7" s="22">
        <f>SUMIFS(Selections!$M$6:$M$38,Selections!$F$6:$F$38,"STRICT")</f>
        <v>11</v>
      </c>
      <c r="J7" s="22">
        <f>SUMIFS(Selections!$N$6:$N$38,Selections!$F$6:$F$38,"STRICT")</f>
        <v>3.32</v>
      </c>
      <c r="K7" s="20">
        <f>IF(SUMIFS(Selections!$M$6:$M$38,Selections!$F$6:$F$38,"STRICT")=0,"n.a.",SUMIFS(Selections!$N$6:$N$38,Selections!$F$6:$F$38,"STRICT")/SUMIFS(Selections!$M$6:$M$38,Selections!$F$6:$F$38,"STRICT"))</f>
        <v>0.3018181818181818</v>
      </c>
      <c r="L7" s="21">
        <f>IF(SUMIFS(Selections!$T$6:$T$38,Selections!$F$6:$F$38,"STRICT")=0,"n.a.",SUMIFS(Selections!$O$6:$O$38,Selections!$F$6:$F$38,"STRICT")/SUMIFS(Selections!$T$6:$T$38,Selections!$F$6:$F$38,"STRICT"))</f>
        <v>0.09620140437807416</v>
      </c>
      <c r="M7" s="20">
        <f>IF(SUMIFS(Selections!$T$6:$T$38,Selections!$F$6:$F$38,"STRICT")=0,"n.a.",SUMIFS(Selections!$S$6:$S$38,Selections!$F$6:$F$38,"STRICT")/SUMIFS(Selections!$T$6:$T$38,Selections!$F$6:$F$38,"STRICT"))</f>
        <v>0.7551745752675235</v>
      </c>
      <c r="N7" s="20">
        <f>IF(SUMIFS(Selections!$T$6:$T$38,Selections!$F$6:$F$38,"STRICT")=0,"n.a.",(SUMIFS(Selections!$L$6:$L$38,Selections!$F$6:$F$38,"STRICT",Selections!$T$6:$T$38,1))/SUMIFS(Selections!$T$6:$T$38,Selections!$F$6:$F$38,"STRICT"))</f>
        <v>0.9090909090909091</v>
      </c>
      <c r="O7" s="20">
        <f>IF(SUMIFS(Selections!$T$6:$T$38,Selections!$F$6:$F$38,"STRICT")=0,"n.a.",(SUMIFS(Selections!$S$6:$S$38,Selections!$F$6:$F$38,"STRICT")-(SUMIFS(Selections!$L$6:$L$38,Selections!$F$6:$F$38,"STRICT",Selections!$T$6:$T$38,1)))/SUMIFS(Selections!$T$6:$T$38,Selections!$F$6:$F$38,"STRICT"))</f>
        <v>-0.15391633382338554</v>
      </c>
      <c r="P7" s="19">
        <f>SUMIFS(Selections!$T$6:$T$38,Selections!$F$6:$F$38,"STRICT")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COUNTIFS(Selections!$F$6:$F$38,"PROVISIONAL")</f>
        <v>20</v>
      </c>
      <c r="D8" s="19">
        <f>(COUNTIFS(Selections!$F$6:$F$38,"PROVISIONAL",Selections!$K$6:$K$38,"WON")+COUNTIFS(Selections!$F$6:$F$38,"PROVISIONAL",Selections!$K$6:$K$38,"LOST"))</f>
        <v>15</v>
      </c>
      <c r="E8" s="19">
        <f>COUNTIFS(Selections!$F$6:$F$38,"PROVISIONAL",Selections!$K$6:$K$38,"WON")</f>
        <v>11</v>
      </c>
      <c r="F8" s="19">
        <f>COUNTIFS(Selections!$F$6:$F$38,"PROVISIONAL",Selections!$K$6:$K$38,"LOST")</f>
        <v>4</v>
      </c>
      <c r="G8" s="19">
        <f>COUNTIFS(Selections!$F$6:$F$38,"PROVISIONAL")-(COUNTIFS(Selections!$F$6:$F$38,"PROVISIONAL",Selections!$K$6:$K$38,"WON")+COUNTIFS(Selections!$F$6:$F$38,"PROVISIONAL",Selections!$K$6:$K$38,"LOST"))</f>
        <v>5</v>
      </c>
      <c r="H8" s="20">
        <f>IF((COUNTIFS(Selections!$F$6:$F$38,"PROVISIONAL",Selections!$K$6:$K$38,"WON")+COUNTIFS(Selections!$F$6:$F$38,"PROVISIONAL",Selections!$K$6:$K$38,"LOST"))=0,"n.a.",COUNTIFS(Selections!$F$6:$F$38,"PROVISIONAL",Selections!$K$6:$K$38,"WON")/(COUNTIFS(Selections!$F$6:$F$38,"PROVISIONAL",Selections!$K$6:$K$38,"WON")+COUNTIFS(Selections!$F$6:$F$38,"PROVISIONAL",Selections!$K$6:$K$38,"LOST")))</f>
        <v>0.7333333333333333</v>
      </c>
      <c r="I8" s="22">
        <f>SUMIFS(Selections!$M$6:$M$38,Selections!$F$6:$F$38,"PROVISIONAL")</f>
        <v>15</v>
      </c>
      <c r="J8" s="22">
        <f>SUMIFS(Selections!$N$6:$N$38,Selections!$F$6:$F$38,"PROVISIONAL")</f>
        <v>-0.5100000000000002</v>
      </c>
      <c r="K8" s="20">
        <f>IF(SUMIFS(Selections!$M$6:$M$38,Selections!$F$6:$F$38,"PROVISIONAL")=0,"n.a.",SUMIFS(Selections!$N$6:$N$38,Selections!$F$6:$F$38,"PROVISIONAL")/SUMIFS(Selections!$M$6:$M$38,Selections!$F$6:$F$38,"PROVISIONAL"))</f>
        <v>-0.034000000000000016</v>
      </c>
      <c r="L8" s="21">
        <f>IF(SUMIFS(Selections!$T$6:$T$38,Selections!$F$6:$F$38,"PROVISIONAL")=0,"n.a.",SUMIFS(Selections!$O$6:$O$38,Selections!$F$6:$F$38,"PROVISIONAL")/SUMIFS(Selections!$T$6:$T$38,Selections!$F$6:$F$38,"PROVISIONAL"))</f>
        <v>0.2085245618312393</v>
      </c>
      <c r="M8" s="20">
        <f>IF(SUMIFS(Selections!$T$6:$T$38,Selections!$F$6:$F$38,"PROVISIONAL")=0,"n.a.",SUMIFS(Selections!$S$6:$S$38,Selections!$F$6:$F$38,"PROVISIONAL")/SUMIFS(Selections!$T$6:$T$38,Selections!$F$6:$F$38,"PROVISIONAL"))</f>
        <v>0.7933588304428102</v>
      </c>
      <c r="N8" s="20">
        <f>IF(SUMIFS(Selections!$T$6:$T$38,Selections!$F$6:$F$38,"PROVISIONAL")=0,"n.a.",(SUMIFS(Selections!$L$6:$L$38,Selections!$F$6:$F$38,"PROVISIONAL",Selections!$T$6:$T$38,1))/SUMIFS(Selections!$T$6:$T$38,Selections!$F$6:$F$38,"PROVISIONAL"))</f>
        <v>0.7333333333333333</v>
      </c>
      <c r="O8" s="20">
        <f>IF(SUMIFS(Selections!$T$6:$T$38,Selections!$F$6:$F$38,"PROVISIONAL")=0,"n.a.",(SUMIFS(Selections!$S$6:$S$38,Selections!$F$6:$F$38,"PROVISIONAL")-(SUMIFS(Selections!$L$6:$L$38,Selections!$F$6:$F$38,"PROVISIONAL",Selections!$T$6:$T$38,1)))/SUMIFS(Selections!$T$6:$T$38,Selections!$F$6:$F$38,"PROVISIONAL"))</f>
        <v>0.06002549710947691</v>
      </c>
      <c r="P8" s="19">
        <f>SUMIFS(Selections!$T$6:$T$38,Selections!$F$6:$F$38,"PROVISIONAL")</f>
        <v>15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COUNTIFS(Selections!$C$6:$C$38,"Bundesliga")</f>
        <v>3</v>
      </c>
      <c r="D9" s="19">
        <f>(COUNTIFS(Selections!$C$6:$C$38,"Bundesliga",Selections!$K$6:$K$38,"WON")+COUNTIFS(Selections!$C$6:$C$38,"Bundesliga",Selections!$K$6:$K$38,"LOST"))</f>
        <v>3</v>
      </c>
      <c r="E9" s="19">
        <f>COUNTIFS(Selections!$C$6:$C$38,"Bundesliga",Selections!$K$6:$K$38,"WON")</f>
        <v>3</v>
      </c>
      <c r="F9" s="19">
        <f>COUNTIFS(Selections!$C$6:$C$38,"Bundesliga",Selections!$K$6:$K$38,"LOST")</f>
        <v>0</v>
      </c>
      <c r="G9" s="19">
        <f>COUNTIFS(Selections!$C$6:$C$38,"Bundesliga")-(COUNTIFS(Selections!$C$6:$C$38,"Bundesliga",Selections!$K$6:$K$38,"WON")+COUNTIFS(Selections!$C$6:$C$38,"Bundesliga",Selections!$K$6:$K$38,"LOST"))</f>
        <v>0</v>
      </c>
      <c r="H9" s="20">
        <f>IF((COUNTIFS(Selections!$C$6:$C$38,"Bundesliga",Selections!$K$6:$K$38,"WON")+COUNTIFS(Selections!$C$6:$C$38,"Bundesliga",Selections!$K$6:$K$38,"LOST"))=0,"n.a.",COUNTIFS(Selections!$C$6:$C$38,"Bundesliga",Selections!$K$6:$K$38,"WON")/(COUNTIFS(Selections!$C$6:$C$38,"Bundesliga",Selections!$K$6:$K$38,"WON")+COUNTIFS(Selections!$C$6:$C$38,"Bundesliga",Selections!$K$6:$K$38,"LOST")))</f>
        <v>1.0</v>
      </c>
      <c r="I9" s="22">
        <f>SUMIFS(Selections!$M$6:$M$38,Selections!$C$6:$C$38,"Bundesliga")</f>
        <v>3</v>
      </c>
      <c r="J9" s="22">
        <f>SUMIFS(Selections!$N$6:$N$38,Selections!$C$6:$C$38,"Bundesliga")</f>
        <v>0.74</v>
      </c>
      <c r="K9" s="20">
        <f>IF(SUMIFS(Selections!$M$6:$M$38,Selections!$C$6:$C$38,"Bundesliga")=0,"n.a.",SUMIFS(Selections!$N$6:$N$38,Selections!$C$6:$C$38,"Bundesliga")/SUMIFS(Selections!$M$6:$M$38,Selections!$C$6:$C$38,"Bundesliga"))</f>
        <v>0.24666666666666667</v>
      </c>
      <c r="L9" s="21">
        <f>IF(SUMIFS(Selections!$T$6:$T$38,Selections!$C$6:$C$38,"Bundesliga")=0,"n.a.",SUMIFS(Selections!$O$6:$O$38,Selections!$C$6:$C$38,"Bundesliga")/SUMIFS(Selections!$T$6:$T$38,Selections!$C$6:$C$38,"Bundesliga"))</f>
        <v>0.03973352985046064</v>
      </c>
      <c r="M9" s="20">
        <f>IF(SUMIFS(Selections!$T$6:$T$38,Selections!$C$6:$C$38,"Bundesliga")=0,"n.a.",SUMIFS(Selections!$S$6:$S$38,Selections!$C$6:$C$38,"Bundesliga")/SUMIFS(Selections!$T$6:$T$38,Selections!$C$6:$C$38,"Bundesliga"))</f>
        <v>0.8037750849699149</v>
      </c>
      <c r="N9" s="20">
        <f>IF(SUMIFS(Selections!$T$6:$T$38,Selections!$C$6:$C$38,"Bundesliga")=0,"n.a.",(SUMIFS(Selections!$L$6:$L$38,Selections!$C$6:$C$38,"Bundesliga",Selections!$T$6:$T$38,1))/SUMIFS(Selections!$T$6:$T$38,Selections!$C$6:$C$38,"Bundesliga"))</f>
        <v>1.0</v>
      </c>
      <c r="O9" s="20">
        <f>IF(SUMIFS(Selections!$T$6:$T$38,Selections!$C$6:$C$38,"Bundesliga")=0,"n.a.",(SUMIFS(Selections!$S$6:$S$38,Selections!$C$6:$C$38,"Bundesliga")-(SUMIFS(Selections!$L$6:$L$38,Selections!$C$6:$C$38,"Bundesliga",Selections!$T$6:$T$38,1)))/SUMIFS(Selections!$T$6:$T$38,Selections!$C$6:$C$38,"Bundesliga"))</f>
        <v>-0.1962249150300851</v>
      </c>
      <c r="P9" s="19">
        <f>SUMIFS(Selections!$T$6:$T$38,Selections!$C$6:$C$38,"Bundesliga")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COUNTIFS(Selections!$C$6:$C$38,"La Liga")</f>
        <v>8</v>
      </c>
      <c r="D10" s="19">
        <f>(COUNTIFS(Selections!$C$6:$C$38,"La Liga",Selections!$K$6:$K$38,"WON")+COUNTIFS(Selections!$C$6:$C$38,"La Liga",Selections!$K$6:$K$38,"LOST"))</f>
        <v>6</v>
      </c>
      <c r="E10" s="19">
        <f>COUNTIFS(Selections!$C$6:$C$38,"La Liga",Selections!$K$6:$K$38,"WON")</f>
        <v>6</v>
      </c>
      <c r="F10" s="19">
        <f>COUNTIFS(Selections!$C$6:$C$38,"La Liga",Selections!$K$6:$K$38,"LOST")</f>
        <v>0</v>
      </c>
      <c r="G10" s="19">
        <f>COUNTIFS(Selections!$C$6:$C$38,"La Liga")-(COUNTIFS(Selections!$C$6:$C$38,"La Liga",Selections!$K$6:$K$38,"WON")+COUNTIFS(Selections!$C$6:$C$38,"La Liga",Selections!$K$6:$K$38,"LOST"))</f>
        <v>2</v>
      </c>
      <c r="H10" s="20">
        <f>IF((COUNTIFS(Selections!$C$6:$C$38,"La Liga",Selections!$K$6:$K$38,"WON")+COUNTIFS(Selections!$C$6:$C$38,"La Liga",Selections!$K$6:$K$38,"LOST"))=0,"n.a.",COUNTIFS(Selections!$C$6:$C$38,"La Liga",Selections!$K$6:$K$38,"WON")/(COUNTIFS(Selections!$C$6:$C$38,"La Liga",Selections!$K$6:$K$38,"WON")+COUNTIFS(Selections!$C$6:$C$38,"La Liga",Selections!$K$6:$K$38,"LOST")))</f>
        <v>1.0</v>
      </c>
      <c r="I10" s="22">
        <f>SUMIFS(Selections!$M$6:$M$38,Selections!$C$6:$C$38,"La Liga")</f>
        <v>6</v>
      </c>
      <c r="J10" s="22">
        <f>SUMIFS(Selections!$N$6:$N$38,Selections!$C$6:$C$38,"La Liga")</f>
        <v>1.8199999999999998</v>
      </c>
      <c r="K10" s="20">
        <f>IF(SUMIFS(Selections!$M$6:$M$38,Selections!$C$6:$C$38,"La Liga")=0,"n.a.",SUMIFS(Selections!$N$6:$N$38,Selections!$C$6:$C$38,"La Liga")/SUMIFS(Selections!$M$6:$M$38,Selections!$C$6:$C$38,"La Liga"))</f>
        <v>0.3033333333333333</v>
      </c>
      <c r="L10" s="21">
        <f>IF(SUMIFS(Selections!$T$6:$T$38,Selections!$C$6:$C$38,"La Liga")=0,"n.a.",SUMIFS(Selections!$O$6:$O$38,Selections!$C$6:$C$38,"La Liga")/SUMIFS(Selections!$T$6:$T$38,Selections!$C$6:$C$38,"La Liga"))</f>
        <v>0.035061219735885975</v>
      </c>
      <c r="M10" s="20">
        <f>IF(SUMIFS(Selections!$T$6:$T$38,Selections!$C$6:$C$38,"La Liga")=0,"n.a.",SUMIFS(Selections!$S$6:$S$38,Selections!$C$6:$C$38,"La Liga")/SUMIFS(Selections!$T$6:$T$38,Selections!$C$6:$C$38,"La Liga"))</f>
        <v>0.8259716952617202</v>
      </c>
      <c r="N10" s="20">
        <f>IF(SUMIFS(Selections!$T$6:$T$38,Selections!$C$6:$C$38,"La Liga")=0,"n.a.",(SUMIFS(Selections!$L$6:$L$38,Selections!$C$6:$C$38,"La Liga",Selections!$T$6:$T$38,1))/SUMIFS(Selections!$T$6:$T$38,Selections!$C$6:$C$38,"La Liga"))</f>
        <v>1.0</v>
      </c>
      <c r="O10" s="20">
        <f>IF(SUMIFS(Selections!$T$6:$T$38,Selections!$C$6:$C$38,"La Liga")=0,"n.a.",(SUMIFS(Selections!$S$6:$S$38,Selections!$C$6:$C$38,"La Liga")-(SUMIFS(Selections!$L$6:$L$38,Selections!$C$6:$C$38,"La Liga",Selections!$T$6:$T$38,1)))/SUMIFS(Selections!$T$6:$T$38,Selections!$C$6:$C$38,"La Liga"))</f>
        <v>-0.1740283047382798</v>
      </c>
      <c r="P10" s="19">
        <f>SUMIFS(Selections!$T$6:$T$38,Selections!$C$6:$C$38,"La Liga")</f>
        <v>6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(n=6).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COUNTIFS(Selections!$C$6:$C$38,"Ligue 1")</f>
        <v>3</v>
      </c>
      <c r="D11" s="19">
        <f>(COUNTIFS(Selections!$C$6:$C$38,"Ligue 1",Selections!$K$6:$K$38,"WON")+COUNTIFS(Selections!$C$6:$C$38,"Ligue 1",Selections!$K$6:$K$38,"LOST"))</f>
        <v>2</v>
      </c>
      <c r="E11" s="19">
        <f>COUNTIFS(Selections!$C$6:$C$38,"Ligue 1",Selections!$K$6:$K$38,"WON")</f>
        <v>1</v>
      </c>
      <c r="F11" s="19">
        <f>COUNTIFS(Selections!$C$6:$C$38,"Ligue 1",Selections!$K$6:$K$38,"LOST")</f>
        <v>1</v>
      </c>
      <c r="G11" s="19">
        <f>COUNTIFS(Selections!$C$6:$C$38,"Ligue 1")-(COUNTIFS(Selections!$C$6:$C$38,"Ligue 1",Selections!$K$6:$K$38,"WON")+COUNTIFS(Selections!$C$6:$C$38,"Ligue 1",Selections!$K$6:$K$38,"LOST"))</f>
        <v>1</v>
      </c>
      <c r="H11" s="20">
        <f>IF((COUNTIFS(Selections!$C$6:$C$38,"Ligue 1",Selections!$K$6:$K$38,"WON")+COUNTIFS(Selections!$C$6:$C$38,"Ligue 1",Selections!$K$6:$K$38,"LOST"))=0,"n.a.",COUNTIFS(Selections!$C$6:$C$38,"Ligue 1",Selections!$K$6:$K$38,"WON")/(COUNTIFS(Selections!$C$6:$C$38,"Ligue 1",Selections!$K$6:$K$38,"WON")+COUNTIFS(Selections!$C$6:$C$38,"Ligue 1",Selections!$K$6:$K$38,"LOST")))</f>
        <v>0.5</v>
      </c>
      <c r="I11" s="22">
        <f>SUMIFS(Selections!$M$6:$M$38,Selections!$C$6:$C$38,"Ligue 1")</f>
        <v>2</v>
      </c>
      <c r="J11" s="22">
        <f>SUMIFS(Selections!$N$6:$N$38,Selections!$C$6:$C$38,"Ligue 1")</f>
        <v>-0.33000000000000007</v>
      </c>
      <c r="K11" s="20">
        <f>IF(SUMIFS(Selections!$M$6:$M$38,Selections!$C$6:$C$38,"Ligue 1")=0,"n.a.",SUMIFS(Selections!$N$6:$N$38,Selections!$C$6:$C$38,"Ligue 1")/SUMIFS(Selections!$M$6:$M$38,Selections!$C$6:$C$38,"Ligue 1"))</f>
        <v>-0.16500000000000004</v>
      </c>
      <c r="L11" s="21">
        <f>IF(SUMIFS(Selections!$T$6:$T$38,Selections!$C$6:$C$38,"Ligue 1")=0,"n.a.",SUMIFS(Selections!$O$6:$O$38,Selections!$C$6:$C$38,"Ligue 1")/SUMIFS(Selections!$T$6:$T$38,Selections!$C$6:$C$38,"Ligue 1"))</f>
        <v>0.37925018842161284</v>
      </c>
      <c r="M11" s="20">
        <f>IF(SUMIFS(Selections!$T$6:$T$38,Selections!$C$6:$C$38,"Ligue 1")=0,"n.a.",SUMIFS(Selections!$S$6:$S$38,Selections!$C$6:$C$38,"Ligue 1")/SUMIFS(Selections!$T$6:$T$38,Selections!$C$6:$C$38,"Ligue 1"))</f>
        <v>0.6960953243674277</v>
      </c>
      <c r="N11" s="20">
        <f>IF(SUMIFS(Selections!$T$6:$T$38,Selections!$C$6:$C$38,"Ligue 1")=0,"n.a.",(SUMIFS(Selections!$L$6:$L$38,Selections!$C$6:$C$38,"Ligue 1",Selections!$T$6:$T$38,1))/SUMIFS(Selections!$T$6:$T$38,Selections!$C$6:$C$38,"Ligue 1"))</f>
        <v>0.5</v>
      </c>
      <c r="O11" s="20">
        <f>IF(SUMIFS(Selections!$T$6:$T$38,Selections!$C$6:$C$38,"Ligue 1")=0,"n.a.",(SUMIFS(Selections!$S$6:$S$38,Selections!$C$6:$C$38,"Ligue 1")-(SUMIFS(Selections!$L$6:$L$38,Selections!$C$6:$C$38,"Ligue 1",Selections!$T$6:$T$38,1)))/SUMIFS(Selections!$T$6:$T$38,Selections!$C$6:$C$38,"Ligue 1"))</f>
        <v>0.19609532436742771</v>
      </c>
      <c r="P11" s="19">
        <f>SUMIFS(Selections!$T$6:$T$38,Selections!$C$6:$C$38,"Ligue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COUNTIFS(Selections!$C$6:$C$38,"Premier League")</f>
        <v>7</v>
      </c>
      <c r="D12" s="19">
        <f>(COUNTIFS(Selections!$C$6:$C$38,"Premier League",Selections!$K$6:$K$38,"WON")+COUNTIFS(Selections!$C$6:$C$38,"Premier League",Selections!$K$6:$K$38,"LOST"))</f>
        <v>6</v>
      </c>
      <c r="E12" s="19">
        <f>COUNTIFS(Selections!$C$6:$C$38,"Premier League",Selections!$K$6:$K$38,"WON")</f>
        <v>3</v>
      </c>
      <c r="F12" s="19">
        <f>COUNTIFS(Selections!$C$6:$C$38,"Premier League",Selections!$K$6:$K$38,"LOST")</f>
        <v>3</v>
      </c>
      <c r="G12" s="19">
        <f>COUNTIFS(Selections!$C$6:$C$38,"Premier League")-(COUNTIFS(Selections!$C$6:$C$38,"Premier League",Selections!$K$6:$K$38,"WON")+COUNTIFS(Selections!$C$6:$C$38,"Premier League",Selections!$K$6:$K$38,"LOST"))</f>
        <v>1</v>
      </c>
      <c r="H12" s="20">
        <f>IF((COUNTIFS(Selections!$C$6:$C$38,"Premier League",Selections!$K$6:$K$38,"WON")+COUNTIFS(Selections!$C$6:$C$38,"Premier League",Selections!$K$6:$K$38,"LOST"))=0,"n.a.",COUNTIFS(Selections!$C$6:$C$38,"Premier League",Selections!$K$6:$K$38,"WON")/(COUNTIFS(Selections!$C$6:$C$38,"Premier League",Selections!$K$6:$K$38,"WON")+COUNTIFS(Selections!$C$6:$C$38,"Premier League",Selections!$K$6:$K$38,"LOST")))</f>
        <v>0.5</v>
      </c>
      <c r="I12" s="22">
        <f>SUMIFS(Selections!$M$6:$M$38,Selections!$C$6:$C$38,"Premier League")</f>
        <v>6</v>
      </c>
      <c r="J12" s="22">
        <f>SUMIFS(Selections!$N$6:$N$38,Selections!$C$6:$C$38,"Premier League")</f>
        <v>-2.14</v>
      </c>
      <c r="K12" s="20">
        <f>IF(SUMIFS(Selections!$M$6:$M$38,Selections!$C$6:$C$38,"Premier League")=0,"n.a.",SUMIFS(Selections!$N$6:$N$38,Selections!$C$6:$C$38,"Premier League")/SUMIFS(Selections!$M$6:$M$38,Selections!$C$6:$C$38,"Premier League"))</f>
        <v>-0.3566666666666667</v>
      </c>
      <c r="L12" s="21">
        <f>IF(SUMIFS(Selections!$T$6:$T$38,Selections!$C$6:$C$38,"Premier League")=0,"n.a.",SUMIFS(Selections!$O$6:$O$38,Selections!$C$6:$C$38,"Premier League")/SUMIFS(Selections!$T$6:$T$38,Selections!$C$6:$C$38,"Premier League"))</f>
        <v>0.34451819985468496</v>
      </c>
      <c r="M12" s="20">
        <f>IF(SUMIFS(Selections!$T$6:$T$38,Selections!$C$6:$C$38,"Premier League")=0,"n.a.",SUMIFS(Selections!$S$6:$S$38,Selections!$C$6:$C$38,"Premier League")/SUMIFS(Selections!$T$6:$T$38,Selections!$C$6:$C$38,"Premier League"))</f>
        <v>0.8130289690439606</v>
      </c>
      <c r="N12" s="20">
        <f>IF(SUMIFS(Selections!$T$6:$T$38,Selections!$C$6:$C$38,"Premier League")=0,"n.a.",(SUMIFS(Selections!$L$6:$L$38,Selections!$C$6:$C$38,"Premier League",Selections!$T$6:$T$38,1))/SUMIFS(Selections!$T$6:$T$38,Selections!$C$6:$C$38,"Premier League"))</f>
        <v>0.5</v>
      </c>
      <c r="O12" s="20">
        <f>IF(SUMIFS(Selections!$T$6:$T$38,Selections!$C$6:$C$38,"Premier League")=0,"n.a.",(SUMIFS(Selections!$S$6:$S$38,Selections!$C$6:$C$38,"Premier League")-(SUMIFS(Selections!$L$6:$L$38,Selections!$C$6:$C$38,"Premier League",Selections!$T$6:$T$38,1)))/SUMIFS(Selections!$T$6:$T$38,Selections!$C$6:$C$38,"Premier League"))</f>
        <v>0.3130289690439606</v>
      </c>
      <c r="P12" s="19">
        <f>SUMIFS(Selections!$T$6:$T$38,Selections!$C$6:$C$38,"Premier League")</f>
        <v>6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(n=6).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COUNTIFS(Selections!$C$6:$C$38,"Serie A")</f>
        <v>6</v>
      </c>
      <c r="D13" s="19">
        <f>(COUNTIFS(Selections!$C$6:$C$38,"Serie A",Selections!$K$6:$K$38,"WON")+COUNTIFS(Selections!$C$6:$C$38,"Serie A",Selections!$K$6:$K$38,"LOST"))</f>
        <v>5</v>
      </c>
      <c r="E13" s="19">
        <f>COUNTIFS(Selections!$C$6:$C$38,"Serie A",Selections!$K$6:$K$38,"WON")</f>
        <v>4</v>
      </c>
      <c r="F13" s="19">
        <f>COUNTIFS(Selections!$C$6:$C$38,"Serie A",Selections!$K$6:$K$38,"LOST")</f>
        <v>1</v>
      </c>
      <c r="G13" s="19">
        <f>COUNTIFS(Selections!$C$6:$C$38,"Serie A")-(COUNTIFS(Selections!$C$6:$C$38,"Serie A",Selections!$K$6:$K$38,"WON")+COUNTIFS(Selections!$C$6:$C$38,"Serie A",Selections!$K$6:$K$38,"LOST"))</f>
        <v>1</v>
      </c>
      <c r="H13" s="20">
        <f>IF((COUNTIFS(Selections!$C$6:$C$38,"Serie A",Selections!$K$6:$K$38,"WON")+COUNTIFS(Selections!$C$6:$C$38,"Serie A",Selections!$K$6:$K$38,"LOST"))=0,"n.a.",COUNTIFS(Selections!$C$6:$C$38,"Serie A",Selections!$K$6:$K$38,"WON")/(COUNTIFS(Selections!$C$6:$C$38,"Serie A",Selections!$K$6:$K$38,"WON")+COUNTIFS(Selections!$C$6:$C$38,"Serie A",Selections!$K$6:$K$38,"LOST")))</f>
        <v>0.8</v>
      </c>
      <c r="I13" s="22">
        <f>SUMIFS(Selections!$M$6:$M$38,Selections!$C$6:$C$38,"Serie A")</f>
        <v>5</v>
      </c>
      <c r="J13" s="22">
        <f>SUMIFS(Selections!$N$6:$N$38,Selections!$C$6:$C$38,"Serie A")</f>
        <v>0.8</v>
      </c>
      <c r="K13" s="20">
        <f>IF(SUMIFS(Selections!$M$6:$M$38,Selections!$C$6:$C$38,"Serie A")=0,"n.a.",SUMIFS(Selections!$N$6:$N$38,Selections!$C$6:$C$38,"Serie A")/SUMIFS(Selections!$M$6:$M$38,Selections!$C$6:$C$38,"Serie A"))</f>
        <v>0.16</v>
      </c>
      <c r="L13" s="21">
        <f>IF(SUMIFS(Selections!$T$6:$T$38,Selections!$C$6:$C$38,"Serie A")=0,"n.a.",SUMIFS(Selections!$O$6:$O$38,Selections!$C$6:$C$38,"Serie A")/SUMIFS(Selections!$T$6:$T$38,Selections!$C$6:$C$38,"Serie A"))</f>
        <v>0.1502962767075388</v>
      </c>
      <c r="M13" s="20">
        <f>IF(SUMIFS(Selections!$T$6:$T$38,Selections!$C$6:$C$38,"Serie A")=0,"n.a.",SUMIFS(Selections!$S$6:$S$38,Selections!$C$6:$C$38,"Serie A")/SUMIFS(Selections!$T$6:$T$38,Selections!$C$6:$C$38,"Serie A"))</f>
        <v>0.7063993976931371</v>
      </c>
      <c r="N13" s="20">
        <f>IF(SUMIFS(Selections!$T$6:$T$38,Selections!$C$6:$C$38,"Serie A")=0,"n.a.",(SUMIFS(Selections!$L$6:$L$38,Selections!$C$6:$C$38,"Serie A",Selections!$T$6:$T$38,1))/SUMIFS(Selections!$T$6:$T$38,Selections!$C$6:$C$38,"Serie A"))</f>
        <v>0.8</v>
      </c>
      <c r="O13" s="20">
        <f>IF(SUMIFS(Selections!$T$6:$T$38,Selections!$C$6:$C$38,"Serie A")=0,"n.a.",(SUMIFS(Selections!$S$6:$S$38,Selections!$C$6:$C$38,"Serie A")-(SUMIFS(Selections!$L$6:$L$38,Selections!$C$6:$C$38,"Serie A",Selections!$T$6:$T$38,1)))/SUMIFS(Selections!$T$6:$T$38,Selections!$C$6:$C$38,"Serie A"))</f>
        <v>-0.09360060230686296</v>
      </c>
      <c r="P13" s="19">
        <f>SUMIFS(Selections!$T$6:$T$38,Selections!$C$6:$C$38,"Serie A")</f>
        <v>5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(n=5).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COUNTIFS(Selections!$C$6:$C$38,"UEFA Champions League")</f>
        <v>6</v>
      </c>
      <c r="D14" s="19">
        <f>(COUNTIFS(Selections!$C$6:$C$38,"UEFA Champions League",Selections!$K$6:$K$38,"WON")+COUNTIFS(Selections!$C$6:$C$38,"UEFA Champions League",Selections!$K$6:$K$38,"LOST"))</f>
        <v>4</v>
      </c>
      <c r="E14" s="19">
        <f>COUNTIFS(Selections!$C$6:$C$38,"UEFA Champions League",Selections!$K$6:$K$38,"WON")</f>
        <v>4</v>
      </c>
      <c r="F14" s="19">
        <f>COUNTIFS(Selections!$C$6:$C$38,"UEFA Champions League",Selections!$K$6:$K$38,"LOST")</f>
        <v>0</v>
      </c>
      <c r="G14" s="19">
        <f>COUNTIFS(Selections!$C$6:$C$38,"UEFA Champions League")-(COUNTIFS(Selections!$C$6:$C$38,"UEFA Champions League",Selections!$K$6:$K$38,"WON")+COUNTIFS(Selections!$C$6:$C$38,"UEFA Champions League",Selections!$K$6:$K$38,"LOST"))</f>
        <v>2</v>
      </c>
      <c r="H14" s="20">
        <f>IF((COUNTIFS(Selections!$C$6:$C$38,"UEFA Champions League",Selections!$K$6:$K$38,"WON")+COUNTIFS(Selections!$C$6:$C$38,"UEFA Champions League",Selections!$K$6:$K$38,"LOST"))=0,"n.a.",COUNTIFS(Selections!$C$6:$C$38,"UEFA Champions League",Selections!$K$6:$K$38,"WON")/(COUNTIFS(Selections!$C$6:$C$38,"UEFA Champions League",Selections!$K$6:$K$38,"WON")+COUNTIFS(Selections!$C$6:$C$38,"UEFA Champions League",Selections!$K$6:$K$38,"LOST")))</f>
        <v>1.0</v>
      </c>
      <c r="I14" s="22">
        <f>SUMIFS(Selections!$M$6:$M$38,Selections!$C$6:$C$38,"UEFA Champions League")</f>
        <v>4</v>
      </c>
      <c r="J14" s="22">
        <f>SUMIFS(Selections!$N$6:$N$38,Selections!$C$6:$C$38,"UEFA Champions League")</f>
        <v>1.92</v>
      </c>
      <c r="K14" s="20">
        <f>IF(SUMIFS(Selections!$M$6:$M$38,Selections!$C$6:$C$38,"UEFA Champions League")=0,"n.a.",SUMIFS(Selections!$N$6:$N$38,Selections!$C$6:$C$38,"UEFA Champions League")/SUMIFS(Selections!$M$6:$M$38,Selections!$C$6:$C$38,"UEFA Champions League"))</f>
        <v>0.48</v>
      </c>
      <c r="L14" s="21">
        <f>IF(SUMIFS(Selections!$T$6:$T$38,Selections!$C$6:$C$38,"UEFA Champions League")=0,"n.a.",SUMIFS(Selections!$O$6:$O$38,Selections!$C$6:$C$38,"UEFA Champions League")/SUMIFS(Selections!$T$6:$T$38,Selections!$C$6:$C$38,"UEFA Champions League"))</f>
        <v>0.0698562520379194</v>
      </c>
      <c r="M14" s="20">
        <f>IF(SUMIFS(Selections!$T$6:$T$38,Selections!$C$6:$C$38,"UEFA Champions League")=0,"n.a.",SUMIFS(Selections!$S$6:$S$38,Selections!$C$6:$C$38,"UEFA Champions League")/SUMIFS(Selections!$T$6:$T$38,Selections!$C$6:$C$38,"UEFA Champions League"))</f>
        <v>0.7594464766601356</v>
      </c>
      <c r="N14" s="20">
        <f>IF(SUMIFS(Selections!$T$6:$T$38,Selections!$C$6:$C$38,"UEFA Champions League")=0,"n.a.",(SUMIFS(Selections!$L$6:$L$38,Selections!$C$6:$C$38,"UEFA Champions League",Selections!$T$6:$T$38,1))/SUMIFS(Selections!$T$6:$T$38,Selections!$C$6:$C$38,"UEFA Champions League"))</f>
        <v>1.0</v>
      </c>
      <c r="O14" s="20">
        <f>IF(SUMIFS(Selections!$T$6:$T$38,Selections!$C$6:$C$38,"UEFA Champions League")=0,"n.a.",(SUMIFS(Selections!$S$6:$S$38,Selections!$C$6:$C$38,"UEFA Champions League")-(SUMIFS(Selections!$L$6:$L$38,Selections!$C$6:$C$38,"UEFA Champions League",Selections!$T$6:$T$38,1)))/SUMIFS(Selections!$T$6:$T$38,Selections!$C$6:$C$38,"UEFA Champions League"))</f>
        <v>-0.24055352333986435</v>
      </c>
      <c r="P14" s="19">
        <f>SUMIFS(Selections!$T$6:$T$38,Selections!$C$6:$C$38,"UEFA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COUNTIFS(Selections!$E$6:$E$38,"Away win")</f>
        <v>1</v>
      </c>
      <c r="D15" s="19">
        <f>(COUNTIFS(Selections!$E$6:$E$38,"Away win",Selections!$K$6:$K$38,"WON")+COUNTIFS(Selections!$E$6:$E$38,"Away win",Selections!$K$6:$K$38,"LOST"))</f>
        <v>1</v>
      </c>
      <c r="E15" s="19">
        <f>COUNTIFS(Selections!$E$6:$E$38,"Away win",Selections!$K$6:$K$38,"WON")</f>
        <v>0</v>
      </c>
      <c r="F15" s="19">
        <f>COUNTIFS(Selections!$E$6:$E$38,"Away win",Selections!$K$6:$K$38,"LOST")</f>
        <v>1</v>
      </c>
      <c r="G15" s="19">
        <f>COUNTIFS(Selections!$E$6:$E$38,"Away win")-(COUNTIFS(Selections!$E$6:$E$38,"Away win",Selections!$K$6:$K$38,"WON")+COUNTIFS(Selections!$E$6:$E$38,"Away win",Selections!$K$6:$K$38,"LOST"))</f>
        <v>0</v>
      </c>
      <c r="H15" s="20">
        <f>IF((COUNTIFS(Selections!$E$6:$E$38,"Away win",Selections!$K$6:$K$38,"WON")+COUNTIFS(Selections!$E$6:$E$38,"Away win",Selections!$K$6:$K$38,"LOST"))=0,"n.a.",COUNTIFS(Selections!$E$6:$E$38,"Away win",Selections!$K$6:$K$38,"WON")/(COUNTIFS(Selections!$E$6:$E$38,"Away win",Selections!$K$6:$K$38,"WON")+COUNTIFS(Selections!$E$6:$E$38,"Away win",Selections!$K$6:$K$38,"LOST")))</f>
        <v>0.0</v>
      </c>
      <c r="I15" s="22">
        <f>SUMIFS(Selections!$M$6:$M$38,Selections!$E$6:$E$38,"Away win")</f>
        <v>1</v>
      </c>
      <c r="J15" s="22">
        <f>SUMIFS(Selections!$N$6:$N$38,Selections!$E$6:$E$38,"Away win")</f>
        <v>-1.0</v>
      </c>
      <c r="K15" s="20">
        <f>IF(SUMIFS(Selections!$M$6:$M$38,Selections!$E$6:$E$38,"Away win")=0,"n.a.",SUMIFS(Selections!$N$6:$N$38,Selections!$E$6:$E$38,"Away win")/SUMIFS(Selections!$M$6:$M$38,Selections!$E$6:$E$38,"Away win"))</f>
        <v>-1.0</v>
      </c>
      <c r="L15" s="21">
        <f>IF(SUMIFS(Selections!$T$6:$T$38,Selections!$E$6:$E$38,"Away win")=0,"n.a.",SUMIFS(Selections!$O$6:$O$38,Selections!$E$6:$E$38,"Away win")/SUMIFS(Selections!$T$6:$T$38,Selections!$E$6:$E$38,"Away win"))</f>
        <v>0.4253283778022773</v>
      </c>
      <c r="M15" s="20">
        <f>IF(SUMIFS(Selections!$T$6:$T$38,Selections!$E$6:$E$38,"Away win")=0,"n.a.",SUMIFS(Selections!$S$6:$S$38,Selections!$E$6:$E$38,"Away win")/SUMIFS(Selections!$T$6:$T$38,Selections!$E$6:$E$38,"Away win"))</f>
        <v>0.6521720461674797</v>
      </c>
      <c r="N15" s="20">
        <f>IF(SUMIFS(Selections!$T$6:$T$38,Selections!$E$6:$E$38,"Away win")=0,"n.a.",(SUMIFS(Selections!$L$6:$L$38,Selections!$E$6:$E$38,"Away win",Selections!$T$6:$T$38,1))/SUMIFS(Selections!$T$6:$T$38,Selections!$E$6:$E$38,"Away win"))</f>
        <v>0.0</v>
      </c>
      <c r="O15" s="20">
        <f>IF(SUMIFS(Selections!$T$6:$T$38,Selections!$E$6:$E$38,"Away win")=0,"n.a.",(SUMIFS(Selections!$S$6:$S$38,Selections!$E$6:$E$38,"Away win")-(SUMIFS(Selections!$L$6:$L$38,Selections!$E$6:$E$38,"Away win",Selections!$T$6:$T$38,1)))/SUMIFS(Selections!$T$6:$T$38,Selections!$E$6:$E$38,"Away win"))</f>
        <v>0.6521720461674797</v>
      </c>
      <c r="P15" s="19">
        <f>SUMIFS(Selections!$T$6:$T$38,Selections!$E$6:$E$38,"Away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COUNTIFS(Selections!$E$6:$E$38,"Both Teams to Score - Yes")</f>
        <v>2</v>
      </c>
      <c r="D16" s="19">
        <f>(COUNTIFS(Selections!$E$6:$E$38,"Both Teams to Score - Yes",Selections!$K$6:$K$38,"WON")+COUNTIFS(Selections!$E$6:$E$38,"Both Teams to Score - Yes",Selections!$K$6:$K$38,"LOST"))</f>
        <v>2</v>
      </c>
      <c r="E16" s="19">
        <f>COUNTIFS(Selections!$E$6:$E$38,"Both Teams to Score - Yes",Selections!$K$6:$K$38,"WON")</f>
        <v>2</v>
      </c>
      <c r="F16" s="19">
        <f>COUNTIFS(Selections!$E$6:$E$38,"Both Teams to Score - Yes",Selections!$K$6:$K$38,"LOST")</f>
        <v>0</v>
      </c>
      <c r="G16" s="19">
        <f>COUNTIFS(Selections!$E$6:$E$38,"Both Teams to Score - Yes")-(COUNTIFS(Selections!$E$6:$E$38,"Both Teams to Score - Yes",Selections!$K$6:$K$38,"WON")+COUNTIFS(Selections!$E$6:$E$38,"Both Teams to Score - Yes",Selections!$K$6:$K$38,"LOST"))</f>
        <v>0</v>
      </c>
      <c r="H16" s="20">
        <f>IF((COUNTIFS(Selections!$E$6:$E$38,"Both Teams to Score - Yes",Selections!$K$6:$K$38,"WON")+COUNTIFS(Selections!$E$6:$E$38,"Both Teams to Score - Yes",Selections!$K$6:$K$38,"LOST"))=0,"n.a.",COUNTIFS(Selections!$E$6:$E$38,"Both Teams to Score - Yes",Selections!$K$6:$K$38,"WON")/(COUNTIFS(Selections!$E$6:$E$38,"Both Teams to Score - Yes",Selections!$K$6:$K$38,"WON")+COUNTIFS(Selections!$E$6:$E$38,"Both Teams to Score - Yes",Selections!$K$6:$K$38,"LOST")))</f>
        <v>1.0</v>
      </c>
      <c r="I16" s="22">
        <f>SUMIFS(Selections!$M$6:$M$38,Selections!$E$6:$E$38,"Both Teams to Score - Yes")</f>
        <v>2</v>
      </c>
      <c r="J16" s="22">
        <f>SUMIFS(Selections!$N$6:$N$38,Selections!$E$6:$E$38,"Both Teams to Score - Yes")</f>
        <v>1.02</v>
      </c>
      <c r="K16" s="20">
        <f>IF(SUMIFS(Selections!$M$6:$M$38,Selections!$E$6:$E$38,"Both Teams to Score - Yes")=0,"n.a.",SUMIFS(Selections!$N$6:$N$38,Selections!$E$6:$E$38,"Both Teams to Score - Yes")/SUMIFS(Selections!$M$6:$M$38,Selections!$E$6:$E$38,"Both Teams to Score - Yes"))</f>
        <v>0.51</v>
      </c>
      <c r="L16" s="21">
        <f>IF(SUMIFS(Selections!$T$6:$T$38,Selections!$E$6:$E$38,"Both Teams to Score - Yes")=0,"n.a.",SUMIFS(Selections!$O$6:$O$38,Selections!$E$6:$E$38,"Both Teams to Score - Yes")/SUMIFS(Selections!$T$6:$T$38,Selections!$E$6:$E$38,"Both Teams to Score - Yes"))</f>
        <v>0.0816693584120611</v>
      </c>
      <c r="M16" s="20">
        <f>IF(SUMIFS(Selections!$T$6:$T$38,Selections!$E$6:$E$38,"Both Teams to Score - Yes")=0,"n.a.",SUMIFS(Selections!$S$6:$S$38,Selections!$E$6:$E$38,"Both Teams to Score - Yes")/SUMIFS(Selections!$T$6:$T$38,Selections!$E$6:$E$38,"Both Teams to Score - Yes"))</f>
        <v>0.7143269086376708</v>
      </c>
      <c r="N16" s="20">
        <f>IF(SUMIFS(Selections!$T$6:$T$38,Selections!$E$6:$E$38,"Both Teams to Score - Yes")=0,"n.a.",(SUMIFS(Selections!$L$6:$L$38,Selections!$E$6:$E$38,"Both Teams to Score - Yes",Selections!$T$6:$T$38,1))/SUMIFS(Selections!$T$6:$T$38,Selections!$E$6:$E$38,"Both Teams to Score - Yes"))</f>
        <v>1.0</v>
      </c>
      <c r="O16" s="20">
        <f>IF(SUMIFS(Selections!$T$6:$T$38,Selections!$E$6:$E$38,"Both Teams to Score - Yes")=0,"n.a.",(SUMIFS(Selections!$S$6:$S$38,Selections!$E$6:$E$38,"Both Teams to Score - Yes")-(SUMIFS(Selections!$L$6:$L$38,Selections!$E$6:$E$38,"Both Teams to Score - Yes",Selections!$T$6:$T$38,1)))/SUMIFS(Selections!$T$6:$T$38,Selections!$E$6:$E$38,"Both Teams to Score - Yes"))</f>
        <v>-0.2856730913623292</v>
      </c>
      <c r="P16" s="19">
        <f>SUMIFS(Selections!$T$6:$T$38,Selections!$E$6:$E$38,"Both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COUNTIFS(Selections!$E$6:$E$38,"Double Chance 12")</f>
        <v>3</v>
      </c>
      <c r="D17" s="19">
        <f>(COUNTIFS(Selections!$E$6:$E$38,"Double Chance 12",Selections!$K$6:$K$38,"WON")+COUNTIFS(Selections!$E$6:$E$38,"Double Chance 12",Selections!$K$6:$K$38,"LOST"))</f>
        <v>2</v>
      </c>
      <c r="E17" s="19">
        <f>COUNTIFS(Selections!$E$6:$E$38,"Double Chance 12",Selections!$K$6:$K$38,"WON")</f>
        <v>2</v>
      </c>
      <c r="F17" s="19">
        <f>COUNTIFS(Selections!$E$6:$E$38,"Double Chance 12",Selections!$K$6:$K$38,"LOST")</f>
        <v>0</v>
      </c>
      <c r="G17" s="19">
        <f>COUNTIFS(Selections!$E$6:$E$38,"Double Chance 12")-(COUNTIFS(Selections!$E$6:$E$38,"Double Chance 12",Selections!$K$6:$K$38,"WON")+COUNTIFS(Selections!$E$6:$E$38,"Double Chance 12",Selections!$K$6:$K$38,"LOST"))</f>
        <v>1</v>
      </c>
      <c r="H17" s="20">
        <f>IF((COUNTIFS(Selections!$E$6:$E$38,"Double Chance 12",Selections!$K$6:$K$38,"WON")+COUNTIFS(Selections!$E$6:$E$38,"Double Chance 12",Selections!$K$6:$K$38,"LOST"))=0,"n.a.",COUNTIFS(Selections!$E$6:$E$38,"Double Chance 12",Selections!$K$6:$K$38,"WON")/(COUNTIFS(Selections!$E$6:$E$38,"Double Chance 12",Selections!$K$6:$K$38,"WON")+COUNTIFS(Selections!$E$6:$E$38,"Double Chance 12",Selections!$K$6:$K$38,"LOST")))</f>
        <v>1.0</v>
      </c>
      <c r="I17" s="22">
        <f>SUMIFS(Selections!$M$6:$M$38,Selections!$E$6:$E$38,"Double Chance 12")</f>
        <v>2</v>
      </c>
      <c r="J17" s="22">
        <f>SUMIFS(Selections!$N$6:$N$38,Selections!$E$6:$E$38,"Double Chance 12")</f>
        <v>0.55</v>
      </c>
      <c r="K17" s="20">
        <f>IF(SUMIFS(Selections!$M$6:$M$38,Selections!$E$6:$E$38,"Double Chance 12")=0,"n.a.",SUMIFS(Selections!$N$6:$N$38,Selections!$E$6:$E$38,"Double Chance 12")/SUMIFS(Selections!$M$6:$M$38,Selections!$E$6:$E$38,"Double Chance 12"))</f>
        <v>0.275</v>
      </c>
      <c r="L17" s="21">
        <f>IF(SUMIFS(Selections!$T$6:$T$38,Selections!$E$6:$E$38,"Double Chance 12")=0,"n.a.",SUMIFS(Selections!$O$6:$O$38,Selections!$E$6:$E$38,"Double Chance 12")/SUMIFS(Selections!$T$6:$T$38,Selections!$E$6:$E$38,"Double Chance 12"))</f>
        <v>0.06039485652956292</v>
      </c>
      <c r="M17" s="20">
        <f>IF(SUMIFS(Selections!$T$6:$T$38,Selections!$E$6:$E$38,"Double Chance 12")=0,"n.a.",SUMIFS(Selections!$S$6:$S$38,Selections!$E$6:$E$38,"Double Chance 12")/SUMIFS(Selections!$T$6:$T$38,Selections!$E$6:$E$38,"Double Chance 12"))</f>
        <v>0.7543630828815686</v>
      </c>
      <c r="N17" s="20">
        <f>IF(SUMIFS(Selections!$T$6:$T$38,Selections!$E$6:$E$38,"Double Chance 12")=0,"n.a.",(SUMIFS(Selections!$L$6:$L$38,Selections!$E$6:$E$38,"Double Chance 12",Selections!$T$6:$T$38,1))/SUMIFS(Selections!$T$6:$T$38,Selections!$E$6:$E$38,"Double Chance 12"))</f>
        <v>1.0</v>
      </c>
      <c r="O17" s="20">
        <f>IF(SUMIFS(Selections!$T$6:$T$38,Selections!$E$6:$E$38,"Double Chance 12")=0,"n.a.",(SUMIFS(Selections!$S$6:$S$38,Selections!$E$6:$E$38,"Double Chance 12")-(SUMIFS(Selections!$L$6:$L$38,Selections!$E$6:$E$38,"Double Chance 12",Selections!$T$6:$T$38,1)))/SUMIFS(Selections!$T$6:$T$38,Selections!$E$6:$E$38,"Double Chance 12"))</f>
        <v>-0.24563691711843139</v>
      </c>
      <c r="P17" s="19">
        <f>SUMIFS(Selections!$T$6:$T$38,Selections!$E$6:$E$38,"Double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COUNTIFS(Selections!$E$6:$E$38,"Double Chance 1X")</f>
        <v>4</v>
      </c>
      <c r="D18" s="19">
        <f>(COUNTIFS(Selections!$E$6:$E$38,"Double Chance 1X",Selections!$K$6:$K$38,"WON")+COUNTIFS(Selections!$E$6:$E$38,"Double Chance 1X",Selections!$K$6:$K$38,"LOST"))</f>
        <v>2</v>
      </c>
      <c r="E18" s="19">
        <f>COUNTIFS(Selections!$E$6:$E$38,"Double Chance 1X",Selections!$K$6:$K$38,"WON")</f>
        <v>2</v>
      </c>
      <c r="F18" s="19">
        <f>COUNTIFS(Selections!$E$6:$E$38,"Double Chance 1X",Selections!$K$6:$K$38,"LOST")</f>
        <v>0</v>
      </c>
      <c r="G18" s="19">
        <f>COUNTIFS(Selections!$E$6:$E$38,"Double Chance 1X")-(COUNTIFS(Selections!$E$6:$E$38,"Double Chance 1X",Selections!$K$6:$K$38,"WON")+COUNTIFS(Selections!$E$6:$E$38,"Double Chance 1X",Selections!$K$6:$K$38,"LOST"))</f>
        <v>2</v>
      </c>
      <c r="H18" s="20">
        <f>IF((COUNTIFS(Selections!$E$6:$E$38,"Double Chance 1X",Selections!$K$6:$K$38,"WON")+COUNTIFS(Selections!$E$6:$E$38,"Double Chance 1X",Selections!$K$6:$K$38,"LOST"))=0,"n.a.",COUNTIFS(Selections!$E$6:$E$38,"Double Chance 1X",Selections!$K$6:$K$38,"WON")/(COUNTIFS(Selections!$E$6:$E$38,"Double Chance 1X",Selections!$K$6:$K$38,"WON")+COUNTIFS(Selections!$E$6:$E$38,"Double Chance 1X",Selections!$K$6:$K$38,"LOST")))</f>
        <v>1.0</v>
      </c>
      <c r="I18" s="22">
        <f>SUMIFS(Selections!$M$6:$M$38,Selections!$E$6:$E$38,"Double Chance 1X")</f>
        <v>2</v>
      </c>
      <c r="J18" s="22">
        <f>SUMIFS(Selections!$N$6:$N$38,Selections!$E$6:$E$38,"Double Chance 1X")</f>
        <v>0.47</v>
      </c>
      <c r="K18" s="20">
        <f>IF(SUMIFS(Selections!$M$6:$M$38,Selections!$E$6:$E$38,"Double Chance 1X")=0,"n.a.",SUMIFS(Selections!$N$6:$N$38,Selections!$E$6:$E$38,"Double Chance 1X")/SUMIFS(Selections!$M$6:$M$38,Selections!$E$6:$E$38,"Double Chance 1X"))</f>
        <v>0.235</v>
      </c>
      <c r="L18" s="21">
        <f>IF(SUMIFS(Selections!$T$6:$T$38,Selections!$E$6:$E$38,"Double Chance 1X")=0,"n.a.",SUMIFS(Selections!$O$6:$O$38,Selections!$E$6:$E$38,"Double Chance 1X")/SUMIFS(Selections!$T$6:$T$38,Selections!$E$6:$E$38,"Double Chance 1X"))</f>
        <v>0.03126325569114972</v>
      </c>
      <c r="M18" s="20">
        <f>IF(SUMIFS(Selections!$T$6:$T$38,Selections!$E$6:$E$38,"Double Chance 1X")=0,"n.a.",SUMIFS(Selections!$S$6:$S$38,Selections!$E$6:$E$38,"Double Chance 1X")/SUMIFS(Selections!$T$6:$T$38,Selections!$E$6:$E$38,"Double Chance 1X"))</f>
        <v>0.8246942179771811</v>
      </c>
      <c r="N18" s="20">
        <f>IF(SUMIFS(Selections!$T$6:$T$38,Selections!$E$6:$E$38,"Double Chance 1X")=0,"n.a.",(SUMIFS(Selections!$L$6:$L$38,Selections!$E$6:$E$38,"Double Chance 1X",Selections!$T$6:$T$38,1))/SUMIFS(Selections!$T$6:$T$38,Selections!$E$6:$E$38,"Double Chance 1X"))</f>
        <v>1.0</v>
      </c>
      <c r="O18" s="20">
        <f>IF(SUMIFS(Selections!$T$6:$T$38,Selections!$E$6:$E$38,"Double Chance 1X")=0,"n.a.",(SUMIFS(Selections!$S$6:$S$38,Selections!$E$6:$E$38,"Double Chance 1X")-(SUMIFS(Selections!$L$6:$L$38,Selections!$E$6:$E$38,"Double Chance 1X",Selections!$T$6:$T$38,1)))/SUMIFS(Selections!$T$6:$T$38,Selections!$E$6:$E$38,"Double Chance 1X"))</f>
        <v>-0.17530578202281888</v>
      </c>
      <c r="P18" s="19">
        <f>SUMIFS(Selections!$T$6:$T$38,Selections!$E$6:$E$38,"Double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COUNTIFS(Selections!$E$6:$E$38,"Double Chance X2")</f>
        <v>3</v>
      </c>
      <c r="D19" s="19">
        <f>(COUNTIFS(Selections!$E$6:$E$38,"Double Chance X2",Selections!$K$6:$K$38,"WON")+COUNTIFS(Selections!$E$6:$E$38,"Double Chance X2",Selections!$K$6:$K$38,"LOST"))</f>
        <v>3</v>
      </c>
      <c r="E19" s="19">
        <f>COUNTIFS(Selections!$E$6:$E$38,"Double Chance X2",Selections!$K$6:$K$38,"WON")</f>
        <v>3</v>
      </c>
      <c r="F19" s="19">
        <f>COUNTIFS(Selections!$E$6:$E$38,"Double Chance X2",Selections!$K$6:$K$38,"LOST")</f>
        <v>0</v>
      </c>
      <c r="G19" s="19">
        <f>COUNTIFS(Selections!$E$6:$E$38,"Double Chance X2")-(COUNTIFS(Selections!$E$6:$E$38,"Double Chance X2",Selections!$K$6:$K$38,"WON")+COUNTIFS(Selections!$E$6:$E$38,"Double Chance X2",Selections!$K$6:$K$38,"LOST"))</f>
        <v>0</v>
      </c>
      <c r="H19" s="20">
        <f>IF((COUNTIFS(Selections!$E$6:$E$38,"Double Chance X2",Selections!$K$6:$K$38,"WON")+COUNTIFS(Selections!$E$6:$E$38,"Double Chance X2",Selections!$K$6:$K$38,"LOST"))=0,"n.a.",COUNTIFS(Selections!$E$6:$E$38,"Double Chance X2",Selections!$K$6:$K$38,"WON")/(COUNTIFS(Selections!$E$6:$E$38,"Double Chance X2",Selections!$K$6:$K$38,"WON")+COUNTIFS(Selections!$E$6:$E$38,"Double Chance X2",Selections!$K$6:$K$38,"LOST")))</f>
        <v>1.0</v>
      </c>
      <c r="I19" s="22">
        <f>SUMIFS(Selections!$M$6:$M$38,Selections!$E$6:$E$38,"Double Chance X2")</f>
        <v>3</v>
      </c>
      <c r="J19" s="22">
        <f>SUMIFS(Selections!$N$6:$N$38,Selections!$E$6:$E$38,"Double Chance X2")</f>
        <v>1.2099999999999997</v>
      </c>
      <c r="K19" s="20">
        <f>IF(SUMIFS(Selections!$M$6:$M$38,Selections!$E$6:$E$38,"Double Chance X2")=0,"n.a.",SUMIFS(Selections!$N$6:$N$38,Selections!$E$6:$E$38,"Double Chance X2")/SUMIFS(Selections!$M$6:$M$38,Selections!$E$6:$E$38,"Double Chance X2"))</f>
        <v>0.40333333333333327</v>
      </c>
      <c r="L19" s="21">
        <f>IF(SUMIFS(Selections!$T$6:$T$38,Selections!$E$6:$E$38,"Double Chance X2")=0,"n.a.",SUMIFS(Selections!$O$6:$O$38,Selections!$E$6:$E$38,"Double Chance X2")/SUMIFS(Selections!$T$6:$T$38,Selections!$E$6:$E$38,"Double Chance X2"))</f>
        <v>0.08317421502946969</v>
      </c>
      <c r="M19" s="20">
        <f>IF(SUMIFS(Selections!$T$6:$T$38,Selections!$E$6:$E$38,"Double Chance X2")=0,"n.a.",SUMIFS(Selections!$S$6:$S$38,Selections!$E$6:$E$38,"Double Chance X2")/SUMIFS(Selections!$T$6:$T$38,Selections!$E$6:$E$38,"Double Chance X2"))</f>
        <v>0.726895137144221</v>
      </c>
      <c r="N19" s="20">
        <f>IF(SUMIFS(Selections!$T$6:$T$38,Selections!$E$6:$E$38,"Double Chance X2")=0,"n.a.",(SUMIFS(Selections!$L$6:$L$38,Selections!$E$6:$E$38,"Double Chance X2",Selections!$T$6:$T$38,1))/SUMIFS(Selections!$T$6:$T$38,Selections!$E$6:$E$38,"Double Chance X2"))</f>
        <v>1.0</v>
      </c>
      <c r="O19" s="20">
        <f>IF(SUMIFS(Selections!$T$6:$T$38,Selections!$E$6:$E$38,"Double Chance X2")=0,"n.a.",(SUMIFS(Selections!$S$6:$S$38,Selections!$E$6:$E$38,"Double Chance X2")-(SUMIFS(Selections!$L$6:$L$38,Selections!$E$6:$E$38,"Double Chance X2",Selections!$T$6:$T$38,1)))/SUMIFS(Selections!$T$6:$T$38,Selections!$E$6:$E$38,"Double Chance X2"))</f>
        <v>-0.27310486285577895</v>
      </c>
      <c r="P19" s="19">
        <f>SUMIFS(Selections!$T$6:$T$38,Selections!$E$6:$E$38,"Double Chance X2")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COUNTIFS(Selections!$E$6:$E$38,"Home win")</f>
        <v>7</v>
      </c>
      <c r="D20" s="19">
        <f>(COUNTIFS(Selections!$E$6:$E$38,"Home win",Selections!$K$6:$K$38,"WON")+COUNTIFS(Selections!$E$6:$E$38,"Home win",Selections!$K$6:$K$38,"LOST"))</f>
        <v>5</v>
      </c>
      <c r="E20" s="19">
        <f>COUNTIFS(Selections!$E$6:$E$38,"Home win",Selections!$K$6:$K$38,"WON")</f>
        <v>5</v>
      </c>
      <c r="F20" s="19">
        <f>COUNTIFS(Selections!$E$6:$E$38,"Home win",Selections!$K$6:$K$38,"LOST")</f>
        <v>0</v>
      </c>
      <c r="G20" s="19">
        <f>COUNTIFS(Selections!$E$6:$E$38,"Home win")-(COUNTIFS(Selections!$E$6:$E$38,"Home win",Selections!$K$6:$K$38,"WON")+COUNTIFS(Selections!$E$6:$E$38,"Home win",Selections!$K$6:$K$38,"LOST"))</f>
        <v>2</v>
      </c>
      <c r="H20" s="20">
        <f>IF((COUNTIFS(Selections!$E$6:$E$38,"Home win",Selections!$K$6:$K$38,"WON")+COUNTIFS(Selections!$E$6:$E$38,"Home win",Selections!$K$6:$K$38,"LOST"))=0,"n.a.",COUNTIFS(Selections!$E$6:$E$38,"Home win",Selections!$K$6:$K$38,"WON")/(COUNTIFS(Selections!$E$6:$E$38,"Home win",Selections!$K$6:$K$38,"WON")+COUNTIFS(Selections!$E$6:$E$38,"Home win",Selections!$K$6:$K$38,"LOST")))</f>
        <v>1.0</v>
      </c>
      <c r="I20" s="22">
        <f>SUMIFS(Selections!$M$6:$M$38,Selections!$E$6:$E$38,"Home win")</f>
        <v>5</v>
      </c>
      <c r="J20" s="22">
        <f>SUMIFS(Selections!$N$6:$N$38,Selections!$E$6:$E$38,"Home win")</f>
        <v>2.5300000000000002</v>
      </c>
      <c r="K20" s="20">
        <f>IF(SUMIFS(Selections!$M$6:$M$38,Selections!$E$6:$E$38,"Home win")=0,"n.a.",SUMIFS(Selections!$N$6:$N$38,Selections!$E$6:$E$38,"Home win")/SUMIFS(Selections!$M$6:$M$38,Selections!$E$6:$E$38,"Home win"))</f>
        <v>0.506</v>
      </c>
      <c r="L20" s="21">
        <f>IF(SUMIFS(Selections!$T$6:$T$38,Selections!$E$6:$E$38,"Home win")=0,"n.a.",SUMIFS(Selections!$O$6:$O$38,Selections!$E$6:$E$38,"Home win")/SUMIFS(Selections!$T$6:$T$38,Selections!$E$6:$E$38,"Home win"))</f>
        <v>0.08395111444229483</v>
      </c>
      <c r="M20" s="20">
        <f>IF(SUMIFS(Selections!$T$6:$T$38,Selections!$E$6:$E$38,"Home win")=0,"n.a.",SUMIFS(Selections!$S$6:$S$38,Selections!$E$6:$E$38,"Home win")/SUMIFS(Selections!$T$6:$T$38,Selections!$E$6:$E$38,"Home win"))</f>
        <v>0.717377401189973</v>
      </c>
      <c r="N20" s="20">
        <f>IF(SUMIFS(Selections!$T$6:$T$38,Selections!$E$6:$E$38,"Home win")=0,"n.a.",(SUMIFS(Selections!$L$6:$L$38,Selections!$E$6:$E$38,"Home win",Selections!$T$6:$T$38,1))/SUMIFS(Selections!$T$6:$T$38,Selections!$E$6:$E$38,"Home win"))</f>
        <v>1.0</v>
      </c>
      <c r="O20" s="20">
        <f>IF(SUMIFS(Selections!$T$6:$T$38,Selections!$E$6:$E$38,"Home win")=0,"n.a.",(SUMIFS(Selections!$S$6:$S$38,Selections!$E$6:$E$38,"Home win")-(SUMIFS(Selections!$L$6:$L$38,Selections!$E$6:$E$38,"Home win",Selections!$T$6:$T$38,1)))/SUMIFS(Selections!$T$6:$T$38,Selections!$E$6:$E$38,"Home win"))</f>
        <v>-0.28262259881002705</v>
      </c>
      <c r="P20" s="19">
        <f>SUMIFS(Selections!$T$6:$T$38,Selections!$E$6:$E$38,"Home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COUNTIFS(Selections!$E$6:$E$38,"Over 1.5")</f>
        <v>8</v>
      </c>
      <c r="D21" s="19">
        <f>(COUNTIFS(Selections!$E$6:$E$38,"Over 1.5",Selections!$K$6:$K$38,"WON")+COUNTIFS(Selections!$E$6:$E$38,"Over 1.5",Selections!$K$6:$K$38,"LOST"))</f>
        <v>6</v>
      </c>
      <c r="E21" s="19">
        <f>COUNTIFS(Selections!$E$6:$E$38,"Over 1.5",Selections!$K$6:$K$38,"WON")</f>
        <v>5</v>
      </c>
      <c r="F21" s="19">
        <f>COUNTIFS(Selections!$E$6:$E$38,"Over 1.5",Selections!$K$6:$K$38,"LOST")</f>
        <v>1</v>
      </c>
      <c r="G21" s="19">
        <f>COUNTIFS(Selections!$E$6:$E$38,"Over 1.5")-(COUNTIFS(Selections!$E$6:$E$38,"Over 1.5",Selections!$K$6:$K$38,"WON")+COUNTIFS(Selections!$E$6:$E$38,"Over 1.5",Selections!$K$6:$K$38,"LOST"))</f>
        <v>2</v>
      </c>
      <c r="H21" s="20">
        <f>IF((COUNTIFS(Selections!$E$6:$E$38,"Over 1.5",Selections!$K$6:$K$38,"WON")+COUNTIFS(Selections!$E$6:$E$38,"Over 1.5",Selections!$K$6:$K$38,"LOST"))=0,"n.a.",COUNTIFS(Selections!$E$6:$E$38,"Over 1.5",Selections!$K$6:$K$38,"WON")/(COUNTIFS(Selections!$E$6:$E$38,"Over 1.5",Selections!$K$6:$K$38,"WON")+COUNTIFS(Selections!$E$6:$E$38,"Over 1.5",Selections!$K$6:$K$38,"LOST")))</f>
        <v>0.8333333333333334</v>
      </c>
      <c r="I21" s="22">
        <f>SUMIFS(Selections!$M$6:$M$38,Selections!$E$6:$E$38,"Over 1.5")</f>
        <v>6</v>
      </c>
      <c r="J21" s="22">
        <f>SUMIFS(Selections!$N$6:$N$38,Selections!$E$6:$E$38,"Over 1.5")</f>
        <v>0.32999999999999985</v>
      </c>
      <c r="K21" s="20">
        <f>IF(SUMIFS(Selections!$M$6:$M$38,Selections!$E$6:$E$38,"Over 1.5")=0,"n.a.",SUMIFS(Selections!$N$6:$N$38,Selections!$E$6:$E$38,"Over 1.5")/SUMIFS(Selections!$M$6:$M$38,Selections!$E$6:$E$38,"Over 1.5"))</f>
        <v>0.05499999999999997</v>
      </c>
      <c r="L21" s="21">
        <f>IF(SUMIFS(Selections!$T$6:$T$38,Selections!$E$6:$E$38,"Over 1.5")=0,"n.a.",SUMIFS(Selections!$O$6:$O$38,Selections!$E$6:$E$38,"Over 1.5")/SUMIFS(Selections!$T$6:$T$38,Selections!$E$6:$E$38,"Over 1.5"))</f>
        <v>0.11632878708164611</v>
      </c>
      <c r="M21" s="20">
        <f>IF(SUMIFS(Selections!$T$6:$T$38,Selections!$E$6:$E$38,"Over 1.5")=0,"n.a.",SUMIFS(Selections!$S$6:$S$38,Selections!$E$6:$E$38,"Over 1.5")/SUMIFS(Selections!$T$6:$T$38,Selections!$E$6:$E$38,"Over 1.5"))</f>
        <v>0.8626789824199815</v>
      </c>
      <c r="N21" s="20">
        <f>IF(SUMIFS(Selections!$T$6:$T$38,Selections!$E$6:$E$38,"Over 1.5")=0,"n.a.",(SUMIFS(Selections!$L$6:$L$38,Selections!$E$6:$E$38,"Over 1.5",Selections!$T$6:$T$38,1))/SUMIFS(Selections!$T$6:$T$38,Selections!$E$6:$E$38,"Over 1.5"))</f>
        <v>0.8333333333333334</v>
      </c>
      <c r="O21" s="20">
        <f>IF(SUMIFS(Selections!$T$6:$T$38,Selections!$E$6:$E$38,"Over 1.5")=0,"n.a.",(SUMIFS(Selections!$S$6:$S$38,Selections!$E$6:$E$38,"Over 1.5")-(SUMIFS(Selections!$L$6:$L$38,Selections!$E$6:$E$38,"Over 1.5",Selections!$T$6:$T$38,1)))/SUMIFS(Selections!$T$6:$T$38,Selections!$E$6:$E$38,"Over 1.5"))</f>
        <v>0.029345649086648162</v>
      </c>
      <c r="P21" s="19">
        <f>SUMIFS(Selections!$T$6:$T$38,Selections!$E$6:$E$38,"Over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COUNTIFS(Selections!$E$6:$E$38,"Under 3.5")</f>
        <v>5</v>
      </c>
      <c r="D22" s="19">
        <f>(COUNTIFS(Selections!$E$6:$E$38,"Under 3.5",Selections!$K$6:$K$38,"WON")+COUNTIFS(Selections!$E$6:$E$38,"Under 3.5",Selections!$K$6:$K$38,"LOST"))</f>
        <v>5</v>
      </c>
      <c r="E22" s="19">
        <f>COUNTIFS(Selections!$E$6:$E$38,"Under 3.5",Selections!$K$6:$K$38,"WON")</f>
        <v>2</v>
      </c>
      <c r="F22" s="19">
        <f>COUNTIFS(Selections!$E$6:$E$38,"Under 3.5",Selections!$K$6:$K$38,"LOST")</f>
        <v>3</v>
      </c>
      <c r="G22" s="19">
        <f>COUNTIFS(Selections!$E$6:$E$38,"Under 3.5")-(COUNTIFS(Selections!$E$6:$E$38,"Under 3.5",Selections!$K$6:$K$38,"WON")+COUNTIFS(Selections!$E$6:$E$38,"Under 3.5",Selections!$K$6:$K$38,"LOST"))</f>
        <v>0</v>
      </c>
      <c r="H22" s="20">
        <f>IF((COUNTIFS(Selections!$E$6:$E$38,"Under 3.5",Selections!$K$6:$K$38,"WON")+COUNTIFS(Selections!$E$6:$E$38,"Under 3.5",Selections!$K$6:$K$38,"LOST"))=0,"n.a.",COUNTIFS(Selections!$E$6:$E$38,"Under 3.5",Selections!$K$6:$K$38,"WON")/(COUNTIFS(Selections!$E$6:$E$38,"Under 3.5",Selections!$K$6:$K$38,"WON")+COUNTIFS(Selections!$E$6:$E$38,"Under 3.5",Selections!$K$6:$K$38,"LOST")))</f>
        <v>0.4</v>
      </c>
      <c r="I22" s="22">
        <f>SUMIFS(Selections!$M$6:$M$38,Selections!$E$6:$E$38,"Under 3.5")</f>
        <v>5</v>
      </c>
      <c r="J22" s="22">
        <f>SUMIFS(Selections!$N$6:$N$38,Selections!$E$6:$E$38,"Under 3.5")</f>
        <v>-2.3</v>
      </c>
      <c r="K22" s="20">
        <f>IF(SUMIFS(Selections!$M$6:$M$38,Selections!$E$6:$E$38,"Under 3.5")=0,"n.a.",SUMIFS(Selections!$N$6:$N$38,Selections!$E$6:$E$38,"Under 3.5")/SUMIFS(Selections!$M$6:$M$38,Selections!$E$6:$E$38,"Under 3.5"))</f>
        <v>-0.45999999999999996</v>
      </c>
      <c r="L22" s="21">
        <f>IF(SUMIFS(Selections!$T$6:$T$38,Selections!$E$6:$E$38,"Under 3.5")=0,"n.a.",SUMIFS(Selections!$O$6:$O$38,Selections!$E$6:$E$38,"Under 3.5")/SUMIFS(Selections!$T$6:$T$38,Selections!$E$6:$E$38,"Under 3.5"))</f>
        <v>0.4093699233539641</v>
      </c>
      <c r="M22" s="20">
        <f>IF(SUMIFS(Selections!$T$6:$T$38,Selections!$E$6:$E$38,"Under 3.5")=0,"n.a.",SUMIFS(Selections!$S$6:$S$38,Selections!$E$6:$E$38,"Under 3.5")/SUMIFS(Selections!$T$6:$T$38,Selections!$E$6:$E$38,"Under 3.5"))</f>
        <v>0.8049432015044351</v>
      </c>
      <c r="N22" s="20">
        <f>IF(SUMIFS(Selections!$T$6:$T$38,Selections!$E$6:$E$38,"Under 3.5")=0,"n.a.",(SUMIFS(Selections!$L$6:$L$38,Selections!$E$6:$E$38,"Under 3.5",Selections!$T$6:$T$38,1))/SUMIFS(Selections!$T$6:$T$38,Selections!$E$6:$E$38,"Under 3.5"))</f>
        <v>0.4</v>
      </c>
      <c r="O22" s="20">
        <f>IF(SUMIFS(Selections!$T$6:$T$38,Selections!$E$6:$E$38,"Under 3.5")=0,"n.a.",(SUMIFS(Selections!$S$6:$S$38,Selections!$E$6:$E$38,"Under 3.5")-(SUMIFS(Selections!$L$6:$L$38,Selections!$E$6:$E$38,"Under 3.5",Selections!$T$6:$T$38,1)))/SUMIFS(Selections!$T$6:$T$38,Selections!$E$6:$E$38,"Under 3.5"))</f>
        <v>0.4049432015044351</v>
      </c>
      <c r="P22" s="19">
        <f>SUMIFS(Selections!$T$6:$T$38,Selections!$E$6:$E$38,"Under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COUNTIFS(Selections!$G$6:$G$38,"48h-top-ten-probability-ev-no-under35-v14")</f>
        <v>10</v>
      </c>
      <c r="D23" s="19">
        <f>(COUNTIFS(Selections!$G$6:$G$38,"48h-top-ten-probability-ev-no-under35-v14",Selections!$K$6:$K$38,"WON")+COUNTIFS(Selections!$G$6:$G$38,"48h-top-ten-probability-ev-no-under35-v14",Selections!$K$6:$K$38,"LOST"))</f>
        <v>7</v>
      </c>
      <c r="E23" s="19">
        <f>COUNTIFS(Selections!$G$6:$G$38,"48h-top-ten-probability-ev-no-under35-v14",Selections!$K$6:$K$38,"WON")</f>
        <v>6</v>
      </c>
      <c r="F23" s="19">
        <f>COUNTIFS(Selections!$G$6:$G$38,"48h-top-ten-probability-ev-no-under35-v14",Selections!$K$6:$K$38,"LOST")</f>
        <v>1</v>
      </c>
      <c r="G23" s="19">
        <f>COUNTIFS(Selections!$G$6:$G$38,"48h-top-ten-probability-ev-no-under35-v14")-(COUNTIFS(Selections!$G$6:$G$38,"48h-top-ten-probability-ev-no-under35-v14",Selections!$K$6:$K$38,"WON")+COUNTIFS(Selections!$G$6:$G$38,"48h-top-ten-probability-ev-no-under35-v14",Selections!$K$6:$K$38,"LOST"))</f>
        <v>3</v>
      </c>
      <c r="H23" s="20">
        <f>IF((COUNTIFS(Selections!$G$6:$G$38,"48h-top-ten-probability-ev-no-under35-v14",Selections!$K$6:$K$38,"WON")+COUNTIFS(Selections!$G$6:$G$38,"48h-top-ten-probability-ev-no-under35-v14",Selections!$K$6:$K$38,"LOST"))=0,"n.a.",COUNTIFS(Selections!$G$6:$G$38,"48h-top-ten-probability-ev-no-under35-v14",Selections!$K$6:$K$38,"WON")/(COUNTIFS(Selections!$G$6:$G$38,"48h-top-ten-probability-ev-no-under35-v14",Selections!$K$6:$K$38,"WON")+COUNTIFS(Selections!$G$6:$G$38,"48h-top-ten-probability-ev-no-under35-v14",Selections!$K$6:$K$38,"LOST")))</f>
        <v>0.8571428571428571</v>
      </c>
      <c r="I23" s="22">
        <f>SUMIFS(Selections!$M$6:$M$38,Selections!$G$6:$G$38,"48h-top-ten-probability-ev-no-under35-v14")</f>
        <v>7</v>
      </c>
      <c r="J23" s="22">
        <f>SUMIFS(Selections!$N$6:$N$38,Selections!$G$6:$G$38,"48h-top-ten-probability-ev-no-under35-v14")</f>
        <v>1.0499999999999998</v>
      </c>
      <c r="K23" s="20">
        <f>IF(SUMIFS(Selections!$M$6:$M$38,Selections!$G$6:$G$38,"48h-top-ten-probability-ev-no-under35-v14")=0,"n.a.",SUMIFS(Selections!$N$6:$N$38,Selections!$G$6:$G$38,"48h-top-ten-probability-ev-no-under35-v14")/SUMIFS(Selections!$M$6:$M$38,Selections!$G$6:$G$38,"48h-top-ten-probability-ev-no-under35-v14"))</f>
        <v>0.14999999999999997</v>
      </c>
      <c r="L23" s="21">
        <f>IF(SUMIFS(Selections!$T$6:$T$38,Selections!$G$6:$G$38,"48h-top-ten-probability-ev-no-under35-v14")=0,"n.a.",SUMIFS(Selections!$O$6:$O$38,Selections!$G$6:$G$38,"48h-top-ten-probability-ev-no-under35-v14")/SUMIFS(Selections!$T$6:$T$38,Selections!$G$6:$G$38,"48h-top-ten-probability-ev-no-under35-v14"))</f>
        <v>0.14695610816590257</v>
      </c>
      <c r="M23" s="20">
        <f>IF(SUMIFS(Selections!$T$6:$T$38,Selections!$G$6:$G$38,"48h-top-ten-probability-ev-no-under35-v14")=0,"n.a.",SUMIFS(Selections!$S$6:$S$38,Selections!$G$6:$G$38,"48h-top-ten-probability-ev-no-under35-v14")/SUMIFS(Selections!$T$6:$T$38,Selections!$G$6:$G$38,"48h-top-ten-probability-ev-no-under35-v14"))</f>
        <v>0.7493258100280961</v>
      </c>
      <c r="N23" s="20">
        <f>IF(SUMIFS(Selections!$T$6:$T$38,Selections!$G$6:$G$38,"48h-top-ten-probability-ev-no-under35-v14")=0,"n.a.",(SUMIFS(Selections!$L$6:$L$38,Selections!$G$6:$G$38,"48h-top-ten-probability-ev-no-under35-v14",Selections!$T$6:$T$38,1))/SUMIFS(Selections!$T$6:$T$38,Selections!$G$6:$G$38,"48h-top-ten-probability-ev-no-under35-v14"))</f>
        <v>0.8571428571428571</v>
      </c>
      <c r="O23" s="20">
        <f>IF(SUMIFS(Selections!$T$6:$T$38,Selections!$G$6:$G$38,"48h-top-ten-probability-ev-no-under35-v14")=0,"n.a.",(SUMIFS(Selections!$S$6:$S$38,Selections!$G$6:$G$38,"48h-top-ten-probability-ev-no-under35-v14")-(SUMIFS(Selections!$L$6:$L$38,Selections!$G$6:$G$38,"48h-top-ten-probability-ev-no-under35-v14",Selections!$T$6:$T$38,1)))/SUMIFS(Selections!$T$6:$T$38,Selections!$G$6:$G$38,"48h-top-ten-probability-ev-no-under35-v14"))</f>
        <v>-0.10781704711476103</v>
      </c>
      <c r="P23" s="19">
        <f>SUMIFS(Selections!$T$6:$T$38,Selections!$G$6:$G$38,"48h-top-ten-probability-ev-no-under35-v14")</f>
        <v>7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(n=7).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COUNTIFS(Selections!$G$6:$G$38,"72h-all-markets-ev15-one-book-v6")</f>
        <v>1</v>
      </c>
      <c r="D24" s="19">
        <f>(COUNTIFS(Selections!$G$6:$G$38,"72h-all-markets-ev15-one-book-v6",Selections!$K$6:$K$38,"WON")+COUNTIFS(Selections!$G$6:$G$38,"72h-all-markets-ev15-one-book-v6",Selections!$K$6:$K$38,"LOST"))</f>
        <v>1</v>
      </c>
      <c r="E24" s="19">
        <f>COUNTIFS(Selections!$G$6:$G$38,"72h-all-markets-ev15-one-book-v6",Selections!$K$6:$K$38,"WON")</f>
        <v>1</v>
      </c>
      <c r="F24" s="19">
        <f>COUNTIFS(Selections!$G$6:$G$38,"72h-all-markets-ev15-one-book-v6",Selections!$K$6:$K$38,"LOST")</f>
        <v>0</v>
      </c>
      <c r="G24" s="19">
        <f>COUNTIFS(Selections!$G$6:$G$38,"72h-all-markets-ev15-one-book-v6")-(COUNTIFS(Selections!$G$6:$G$38,"72h-all-markets-ev15-one-book-v6",Selections!$K$6:$K$38,"WON")+COUNTIFS(Selections!$G$6:$G$38,"72h-all-markets-ev15-one-book-v6",Selections!$K$6:$K$38,"LOST"))</f>
        <v>0</v>
      </c>
      <c r="H24" s="20">
        <f>IF((COUNTIFS(Selections!$G$6:$G$38,"72h-all-markets-ev15-one-book-v6",Selections!$K$6:$K$38,"WON")+COUNTIFS(Selections!$G$6:$G$38,"72h-all-markets-ev15-one-book-v6",Selections!$K$6:$K$38,"LOST"))=0,"n.a.",COUNTIFS(Selections!$G$6:$G$38,"72h-all-markets-ev15-one-book-v6",Selections!$K$6:$K$38,"WON")/(COUNTIFS(Selections!$G$6:$G$38,"72h-all-markets-ev15-one-book-v6",Selections!$K$6:$K$38,"WON")+COUNTIFS(Selections!$G$6:$G$38,"72h-all-markets-ev15-one-book-v6",Selections!$K$6:$K$38,"LOST")))</f>
        <v>1.0</v>
      </c>
      <c r="I24" s="22">
        <f>SUMIFS(Selections!$M$6:$M$38,Selections!$G$6:$G$38,"72h-all-markets-ev15-one-book-v6")</f>
        <v>1</v>
      </c>
      <c r="J24" s="22">
        <f>SUMIFS(Selections!$N$6:$N$38,Selections!$G$6:$G$38,"72h-all-markets-ev15-one-book-v6")</f>
        <v>0.44999999999999996</v>
      </c>
      <c r="K24" s="20">
        <f>IF(SUMIFS(Selections!$M$6:$M$38,Selections!$G$6:$G$38,"72h-all-markets-ev15-one-book-v6")=0,"n.a.",SUMIFS(Selections!$N$6:$N$38,Selections!$G$6:$G$38,"72h-all-markets-ev15-one-book-v6")/SUMIFS(Selections!$M$6:$M$38,Selections!$G$6:$G$38,"72h-all-markets-ev15-one-book-v6"))</f>
        <v>0.44999999999999996</v>
      </c>
      <c r="L24" s="21">
        <f>IF(SUMIFS(Selections!$T$6:$T$38,Selections!$G$6:$G$38,"72h-all-markets-ev15-one-book-v6")=0,"n.a.",SUMIFS(Selections!$O$6:$O$38,Selections!$G$6:$G$38,"72h-all-markets-ev15-one-book-v6")/SUMIFS(Selections!$T$6:$T$38,Selections!$G$6:$G$38,"72h-all-markets-ev15-one-book-v6"))</f>
        <v>0.08610395019172555</v>
      </c>
      <c r="M24" s="20">
        <f>IF(SUMIFS(Selections!$T$6:$T$38,Selections!$G$6:$G$38,"72h-all-markets-ev15-one-book-v6")=0,"n.a.",SUMIFS(Selections!$S$6:$S$38,Selections!$G$6:$G$38,"72h-all-markets-ev15-one-book-v6")/SUMIFS(Selections!$T$6:$T$38,Selections!$G$6:$G$38,"72h-all-markets-ev15-one-book-v6"))</f>
        <v>0.706565253946085</v>
      </c>
      <c r="N24" s="20">
        <f>IF(SUMIFS(Selections!$T$6:$T$38,Selections!$G$6:$G$38,"72h-all-markets-ev15-one-book-v6")=0,"n.a.",(SUMIFS(Selections!$L$6:$L$38,Selections!$G$6:$G$38,"72h-all-markets-ev15-one-book-v6",Selections!$T$6:$T$38,1))/SUMIFS(Selections!$T$6:$T$38,Selections!$G$6:$G$38,"72h-all-markets-ev15-one-book-v6"))</f>
        <v>1.0</v>
      </c>
      <c r="O24" s="20">
        <f>IF(SUMIFS(Selections!$T$6:$T$38,Selections!$G$6:$G$38,"72h-all-markets-ev15-one-book-v6")=0,"n.a.",(SUMIFS(Selections!$S$6:$S$38,Selections!$G$6:$G$38,"72h-all-markets-ev15-one-book-v6")-(SUMIFS(Selections!$L$6:$L$38,Selections!$G$6:$G$38,"72h-all-markets-ev15-one-book-v6",Selections!$T$6:$T$38,1)))/SUMIFS(Selections!$T$6:$T$38,Selections!$G$6:$G$38,"72h-all-markets-ev15-one-book-v6"))</f>
        <v>-0.29343474605391495</v>
      </c>
      <c r="P24" s="19">
        <f>SUMIFS(Selections!$T$6:$T$38,Selections!$G$6:$G$38,"72h-all-markets-ev15-one-book-v6")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COUNTIFS(Selections!$G$6:$G$38,"72h-all-markets-net-ev15-execution-v7")</f>
        <v>5</v>
      </c>
      <c r="D25" s="19">
        <f>(COUNTIFS(Selections!$G$6:$G$38,"72h-all-markets-net-ev15-execution-v7",Selections!$K$6:$K$38,"WON")+COUNTIFS(Selections!$G$6:$G$38,"72h-all-markets-net-ev15-execution-v7",Selections!$K$6:$K$38,"LOST"))</f>
        <v>4</v>
      </c>
      <c r="E25" s="19">
        <f>COUNTIFS(Selections!$G$6:$G$38,"72h-all-markets-net-ev15-execution-v7",Selections!$K$6:$K$38,"WON")</f>
        <v>4</v>
      </c>
      <c r="F25" s="19">
        <f>COUNTIFS(Selections!$G$6:$G$38,"72h-all-markets-net-ev15-execution-v7",Selections!$K$6:$K$38,"LOST")</f>
        <v>0</v>
      </c>
      <c r="G25" s="19">
        <f>COUNTIFS(Selections!$G$6:$G$38,"72h-all-markets-net-ev15-execution-v7")-(COUNTIFS(Selections!$G$6:$G$38,"72h-all-markets-net-ev15-execution-v7",Selections!$K$6:$K$38,"WON")+COUNTIFS(Selections!$G$6:$G$38,"72h-all-markets-net-ev15-execution-v7",Selections!$K$6:$K$38,"LOST"))</f>
        <v>1</v>
      </c>
      <c r="H25" s="20">
        <f>IF((COUNTIFS(Selections!$G$6:$G$38,"72h-all-markets-net-ev15-execution-v7",Selections!$K$6:$K$38,"WON")+COUNTIFS(Selections!$G$6:$G$38,"72h-all-markets-net-ev15-execution-v7",Selections!$K$6:$K$38,"LOST"))=0,"n.a.",COUNTIFS(Selections!$G$6:$G$38,"72h-all-markets-net-ev15-execution-v7",Selections!$K$6:$K$38,"WON")/(COUNTIFS(Selections!$G$6:$G$38,"72h-all-markets-net-ev15-execution-v7",Selections!$K$6:$K$38,"WON")+COUNTIFS(Selections!$G$6:$G$38,"72h-all-markets-net-ev15-execution-v7",Selections!$K$6:$K$38,"LOST")))</f>
        <v>1.0</v>
      </c>
      <c r="I25" s="22">
        <f>SUMIFS(Selections!$M$6:$M$38,Selections!$G$6:$G$38,"72h-all-markets-net-ev15-execution-v7")</f>
        <v>4</v>
      </c>
      <c r="J25" s="22">
        <f>SUMIFS(Selections!$N$6:$N$38,Selections!$G$6:$G$38,"72h-all-markets-net-ev15-execution-v7")</f>
        <v>1.74</v>
      </c>
      <c r="K25" s="20">
        <f>IF(SUMIFS(Selections!$M$6:$M$38,Selections!$G$6:$G$38,"72h-all-markets-net-ev15-execution-v7")=0,"n.a.",SUMIFS(Selections!$N$6:$N$38,Selections!$G$6:$G$38,"72h-all-markets-net-ev15-execution-v7")/SUMIFS(Selections!$M$6:$M$38,Selections!$G$6:$G$38,"72h-all-markets-net-ev15-execution-v7"))</f>
        <v>0.435</v>
      </c>
      <c r="L25" s="21">
        <f>IF(SUMIFS(Selections!$T$6:$T$38,Selections!$G$6:$G$38,"72h-all-markets-net-ev15-execution-v7")=0,"n.a.",SUMIFS(Selections!$O$6:$O$38,Selections!$G$6:$G$38,"72h-all-markets-net-ev15-execution-v7")/SUMIFS(Selections!$T$6:$T$38,Selections!$G$6:$G$38,"72h-all-markets-net-ev15-execution-v7"))</f>
        <v>0.05403053120768371</v>
      </c>
      <c r="M25" s="20">
        <f>IF(SUMIFS(Selections!$T$6:$T$38,Selections!$G$6:$G$38,"72h-all-markets-net-ev15-execution-v7")=0,"n.a.",SUMIFS(Selections!$S$6:$S$38,Selections!$G$6:$G$38,"72h-all-markets-net-ev15-execution-v7")/SUMIFS(Selections!$T$6:$T$38,Selections!$G$6:$G$38,"72h-all-markets-net-ev15-execution-v7"))</f>
        <v>0.7950551078170468</v>
      </c>
      <c r="N25" s="20">
        <f>IF(SUMIFS(Selections!$T$6:$T$38,Selections!$G$6:$G$38,"72h-all-markets-net-ev15-execution-v7")=0,"n.a.",(SUMIFS(Selections!$L$6:$L$38,Selections!$G$6:$G$38,"72h-all-markets-net-ev15-execution-v7",Selections!$T$6:$T$38,1))/SUMIFS(Selections!$T$6:$T$38,Selections!$G$6:$G$38,"72h-all-markets-net-ev15-execution-v7"))</f>
        <v>1.0</v>
      </c>
      <c r="O25" s="20">
        <f>IF(SUMIFS(Selections!$T$6:$T$38,Selections!$G$6:$G$38,"72h-all-markets-net-ev15-execution-v7")=0,"n.a.",(SUMIFS(Selections!$S$6:$S$38,Selections!$G$6:$G$38,"72h-all-markets-net-ev15-execution-v7")-(SUMIFS(Selections!$L$6:$L$38,Selections!$G$6:$G$38,"72h-all-markets-net-ev15-execution-v7",Selections!$T$6:$T$38,1)))/SUMIFS(Selections!$T$6:$T$38,Selections!$G$6:$G$38,"72h-all-markets-net-ev15-execution-v7"))</f>
        <v>-0.2049448921829532</v>
      </c>
      <c r="P25" s="19">
        <f>SUMIFS(Selections!$T$6:$T$38,Selections!$G$6:$G$38,"72h-all-markets-net-ev15-execution-v7")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COUNTIFS(Selections!$G$6:$G$38,"72h-seven-markets-fresh-references-net-ev15-v11")</f>
        <v>6</v>
      </c>
      <c r="D26" s="19">
        <f>(COUNTIFS(Selections!$G$6:$G$38,"72h-seven-markets-fresh-references-net-ev15-v11",Selections!$K$6:$K$38,"WON")+COUNTIFS(Selections!$G$6:$G$38,"72h-seven-markets-fresh-references-net-ev15-v11",Selections!$K$6:$K$38,"LOST"))</f>
        <v>5</v>
      </c>
      <c r="E26" s="19">
        <f>COUNTIFS(Selections!$G$6:$G$38,"72h-seven-markets-fresh-references-net-ev15-v11",Selections!$K$6:$K$38,"WON")</f>
        <v>4</v>
      </c>
      <c r="F26" s="19">
        <f>COUNTIFS(Selections!$G$6:$G$38,"72h-seven-markets-fresh-references-net-ev15-v11",Selections!$K$6:$K$38,"LOST")</f>
        <v>1</v>
      </c>
      <c r="G26" s="19">
        <f>COUNTIFS(Selections!$G$6:$G$38,"72h-seven-markets-fresh-references-net-ev15-v11")-(COUNTIFS(Selections!$G$6:$G$38,"72h-seven-markets-fresh-references-net-ev15-v11",Selections!$K$6:$K$38,"WON")+COUNTIFS(Selections!$G$6:$G$38,"72h-seven-markets-fresh-references-net-ev15-v11",Selections!$K$6:$K$38,"LOST"))</f>
        <v>1</v>
      </c>
      <c r="H26" s="20">
        <f>IF((COUNTIFS(Selections!$G$6:$G$38,"72h-seven-markets-fresh-references-net-ev15-v11",Selections!$K$6:$K$38,"WON")+COUNTIFS(Selections!$G$6:$G$38,"72h-seven-markets-fresh-references-net-ev15-v11",Selections!$K$6:$K$38,"LOST"))=0,"n.a.",COUNTIFS(Selections!$G$6:$G$38,"72h-seven-markets-fresh-references-net-ev15-v11",Selections!$K$6:$K$38,"WON")/(COUNTIFS(Selections!$G$6:$G$38,"72h-seven-markets-fresh-references-net-ev15-v11",Selections!$K$6:$K$38,"WON")+COUNTIFS(Selections!$G$6:$G$38,"72h-seven-markets-fresh-references-net-ev15-v11",Selections!$K$6:$K$38,"LOST")))</f>
        <v>0.8</v>
      </c>
      <c r="I26" s="22">
        <f>SUMIFS(Selections!$M$6:$M$38,Selections!$G$6:$G$38,"72h-seven-markets-fresh-references-net-ev15-v11")</f>
        <v>5</v>
      </c>
      <c r="J26" s="22">
        <f>SUMIFS(Selections!$N$6:$N$38,Selections!$G$6:$G$38,"72h-seven-markets-fresh-references-net-ev15-v11")</f>
        <v>0.3600000000000001</v>
      </c>
      <c r="K26" s="20">
        <f>IF(SUMIFS(Selections!$M$6:$M$38,Selections!$G$6:$G$38,"72h-seven-markets-fresh-references-net-ev15-v11")=0,"n.a.",SUMIFS(Selections!$N$6:$N$38,Selections!$G$6:$G$38,"72h-seven-markets-fresh-references-net-ev15-v11")/SUMIFS(Selections!$M$6:$M$38,Selections!$G$6:$G$38,"72h-seven-markets-fresh-references-net-ev15-v11"))</f>
        <v>0.07200000000000002</v>
      </c>
      <c r="L26" s="21">
        <f>IF(SUMIFS(Selections!$T$6:$T$38,Selections!$G$6:$G$38,"72h-seven-markets-fresh-references-net-ev15-v11")=0,"n.a.",SUMIFS(Selections!$O$6:$O$38,Selections!$G$6:$G$38,"72h-seven-markets-fresh-references-net-ev15-v11")/SUMIFS(Selections!$T$6:$T$38,Selections!$G$6:$G$38,"72h-seven-markets-fresh-references-net-ev15-v11"))</f>
        <v>0.12900891729637554</v>
      </c>
      <c r="M26" s="20">
        <f>IF(SUMIFS(Selections!$T$6:$T$38,Selections!$G$6:$G$38,"72h-seven-markets-fresh-references-net-ev15-v11")=0,"n.a.",SUMIFS(Selections!$S$6:$S$38,Selections!$G$6:$G$38,"72h-seven-markets-fresh-references-net-ev15-v11")/SUMIFS(Selections!$T$6:$T$38,Selections!$G$6:$G$38,"72h-seven-markets-fresh-references-net-ev15-v11"))</f>
        <v>0.7527708085856005</v>
      </c>
      <c r="N26" s="20">
        <f>IF(SUMIFS(Selections!$T$6:$T$38,Selections!$G$6:$G$38,"72h-seven-markets-fresh-references-net-ev15-v11")=0,"n.a.",(SUMIFS(Selections!$L$6:$L$38,Selections!$G$6:$G$38,"72h-seven-markets-fresh-references-net-ev15-v11",Selections!$T$6:$T$38,1))/SUMIFS(Selections!$T$6:$T$38,Selections!$G$6:$G$38,"72h-seven-markets-fresh-references-net-ev15-v11"))</f>
        <v>0.8</v>
      </c>
      <c r="O26" s="20">
        <f>IF(SUMIFS(Selections!$T$6:$T$38,Selections!$G$6:$G$38,"72h-seven-markets-fresh-references-net-ev15-v11")=0,"n.a.",(SUMIFS(Selections!$S$6:$S$38,Selections!$G$6:$G$38,"72h-seven-markets-fresh-references-net-ev15-v11")-(SUMIFS(Selections!$L$6:$L$38,Selections!$G$6:$G$38,"72h-seven-markets-fresh-references-net-ev15-v11",Selections!$T$6:$T$38,1)))/SUMIFS(Selections!$T$6:$T$38,Selections!$G$6:$G$38,"72h-seven-markets-fresh-references-net-ev15-v11"))</f>
        <v>-0.04722919141439952</v>
      </c>
      <c r="P26" s="19">
        <f>SUMIFS(Selections!$T$6:$T$38,Selections!$G$6:$G$38,"72h-seven-markets-fresh-references-net-ev15-v11")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COUNTIFS(Selections!$G$6:$G$38,"72h-ucl-v2")</f>
        <v>1</v>
      </c>
      <c r="D27" s="19">
        <f>(COUNTIFS(Selections!$G$6:$G$38,"72h-ucl-v2",Selections!$K$6:$K$38,"WON")+COUNTIFS(Selections!$G$6:$G$38,"72h-ucl-v2",Selections!$K$6:$K$38,"LOST"))</f>
        <v>1</v>
      </c>
      <c r="E27" s="19">
        <f>COUNTIFS(Selections!$G$6:$G$38,"72h-ucl-v2",Selections!$K$6:$K$38,"WON")</f>
        <v>1</v>
      </c>
      <c r="F27" s="19">
        <f>COUNTIFS(Selections!$G$6:$G$38,"72h-ucl-v2",Selections!$K$6:$K$38,"LOST")</f>
        <v>0</v>
      </c>
      <c r="G27" s="19">
        <f>COUNTIFS(Selections!$G$6:$G$38,"72h-ucl-v2")-(COUNTIFS(Selections!$G$6:$G$38,"72h-ucl-v2",Selections!$K$6:$K$38,"WON")+COUNTIFS(Selections!$G$6:$G$38,"72h-ucl-v2",Selections!$K$6:$K$38,"LOST"))</f>
        <v>0</v>
      </c>
      <c r="H27" s="20">
        <f>IF((COUNTIFS(Selections!$G$6:$G$38,"72h-ucl-v2",Selections!$K$6:$K$38,"WON")+COUNTIFS(Selections!$G$6:$G$38,"72h-ucl-v2",Selections!$K$6:$K$38,"LOST"))=0,"n.a.",COUNTIFS(Selections!$G$6:$G$38,"72h-ucl-v2",Selections!$K$6:$K$38,"WON")/(COUNTIFS(Selections!$G$6:$G$38,"72h-ucl-v2",Selections!$K$6:$K$38,"WON")+COUNTIFS(Selections!$G$6:$G$38,"72h-ucl-v2",Selections!$K$6:$K$38,"LOST")))</f>
        <v>1.0</v>
      </c>
      <c r="I27" s="22">
        <f>SUMIFS(Selections!$M$6:$M$38,Selections!$G$6:$G$38,"72h-ucl-v2")</f>
        <v>1</v>
      </c>
      <c r="J27" s="22">
        <f>SUMIFS(Selections!$N$6:$N$38,Selections!$G$6:$G$38,"72h-ucl-v2")</f>
        <v>0.28</v>
      </c>
      <c r="K27" s="20">
        <f>IF(SUMIFS(Selections!$M$6:$M$38,Selections!$G$6:$G$38,"72h-ucl-v2")=0,"n.a.",SUMIFS(Selections!$N$6:$N$38,Selections!$G$6:$G$38,"72h-ucl-v2")/SUMIFS(Selections!$M$6:$M$38,Selections!$G$6:$G$38,"72h-ucl-v2"))</f>
        <v>0.28</v>
      </c>
      <c r="L27" s="21">
        <f>IF(SUMIFS(Selections!$T$6:$T$38,Selections!$G$6:$G$38,"72h-ucl-v2")=0,"n.a.",SUMIFS(Selections!$O$6:$O$38,Selections!$G$6:$G$38,"72h-ucl-v2")/SUMIFS(Selections!$T$6:$T$38,Selections!$G$6:$G$38,"72h-ucl-v2"))</f>
        <v>0.041442876272802645</v>
      </c>
      <c r="M27" s="20">
        <f>IF(SUMIFS(Selections!$T$6:$T$38,Selections!$G$6:$G$38,"72h-ucl-v2")=0,"n.a.",SUMIFS(Selections!$S$6:$S$38,Selections!$G$6:$G$38,"72h-ucl-v2")/SUMIFS(Selections!$T$6:$T$38,Selections!$G$6:$G$38,"72h-ucl-v2"))</f>
        <v>0.7964247650798294</v>
      </c>
      <c r="N27" s="20">
        <f>IF(SUMIFS(Selections!$T$6:$T$38,Selections!$G$6:$G$38,"72h-ucl-v2")=0,"n.a.",(SUMIFS(Selections!$L$6:$L$38,Selections!$G$6:$G$38,"72h-ucl-v2",Selections!$T$6:$T$38,1))/SUMIFS(Selections!$T$6:$T$38,Selections!$G$6:$G$38,"72h-ucl-v2"))</f>
        <v>1.0</v>
      </c>
      <c r="O27" s="20">
        <f>IF(SUMIFS(Selections!$T$6:$T$38,Selections!$G$6:$G$38,"72h-ucl-v2")=0,"n.a.",(SUMIFS(Selections!$S$6:$S$38,Selections!$G$6:$G$38,"72h-ucl-v2")-(SUMIFS(Selections!$L$6:$L$38,Selections!$G$6:$G$38,"72h-ucl-v2",Selections!$T$6:$T$38,1)))/SUMIFS(Selections!$T$6:$T$38,Selections!$G$6:$G$38,"72h-ucl-v2"))</f>
        <v>-0.2035752349201706</v>
      </c>
      <c r="P27" s="19">
        <f>SUMIFS(Selections!$T$6:$T$38,Selections!$G$6:$G$38,"72h-ucl-v2")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COUNTIFS(Selections!$G$6:$G$38,"72h-ucl-v3")</f>
        <v>7</v>
      </c>
      <c r="D28" s="19">
        <f>(COUNTIFS(Selections!$G$6:$G$38,"72h-ucl-v3",Selections!$K$6:$K$38,"WON")+COUNTIFS(Selections!$G$6:$G$38,"72h-ucl-v3",Selections!$K$6:$K$38,"LOST"))</f>
        <v>6</v>
      </c>
      <c r="E28" s="19">
        <f>COUNTIFS(Selections!$G$6:$G$38,"72h-ucl-v3",Selections!$K$6:$K$38,"WON")</f>
        <v>3</v>
      </c>
      <c r="F28" s="19">
        <f>COUNTIFS(Selections!$G$6:$G$38,"72h-ucl-v3",Selections!$K$6:$K$38,"LOST")</f>
        <v>3</v>
      </c>
      <c r="G28" s="19">
        <f>COUNTIFS(Selections!$G$6:$G$38,"72h-ucl-v3")-(COUNTIFS(Selections!$G$6:$G$38,"72h-ucl-v3",Selections!$K$6:$K$38,"WON")+COUNTIFS(Selections!$G$6:$G$38,"72h-ucl-v3",Selections!$K$6:$K$38,"LOST"))</f>
        <v>1</v>
      </c>
      <c r="H28" s="20">
        <f>IF((COUNTIFS(Selections!$G$6:$G$38,"72h-ucl-v3",Selections!$K$6:$K$38,"WON")+COUNTIFS(Selections!$G$6:$G$38,"72h-ucl-v3",Selections!$K$6:$K$38,"LOST"))=0,"n.a.",COUNTIFS(Selections!$G$6:$G$38,"72h-ucl-v3",Selections!$K$6:$K$38,"WON")/(COUNTIFS(Selections!$G$6:$G$38,"72h-ucl-v3",Selections!$K$6:$K$38,"WON")+COUNTIFS(Selections!$G$6:$G$38,"72h-ucl-v3",Selections!$K$6:$K$38,"LOST")))</f>
        <v>0.5</v>
      </c>
      <c r="I28" s="22">
        <f>SUMIFS(Selections!$M$6:$M$38,Selections!$G$6:$G$38,"72h-ucl-v3")</f>
        <v>6</v>
      </c>
      <c r="J28" s="22">
        <f>SUMIFS(Selections!$N$6:$N$38,Selections!$G$6:$G$38,"72h-ucl-v3")</f>
        <v>-1.7100000000000002</v>
      </c>
      <c r="K28" s="20">
        <f>IF(SUMIFS(Selections!$M$6:$M$38,Selections!$G$6:$G$38,"72h-ucl-v3")=0,"n.a.",SUMIFS(Selections!$N$6:$N$38,Selections!$G$6:$G$38,"72h-ucl-v3")/SUMIFS(Selections!$M$6:$M$38,Selections!$G$6:$G$38,"72h-ucl-v3"))</f>
        <v>-0.28500000000000003</v>
      </c>
      <c r="L28" s="21">
        <f>IF(SUMIFS(Selections!$T$6:$T$38,Selections!$G$6:$G$38,"72h-ucl-v3")=0,"n.a.",SUMIFS(Selections!$O$6:$O$38,Selections!$G$6:$G$38,"72h-ucl-v3")/SUMIFS(Selections!$T$6:$T$38,Selections!$G$6:$G$38,"72h-ucl-v3"))</f>
        <v>0.3538657630451178</v>
      </c>
      <c r="M28" s="20">
        <f>IF(SUMIFS(Selections!$T$6:$T$38,Selections!$G$6:$G$38,"72h-ucl-v3")=0,"n.a.",SUMIFS(Selections!$S$6:$S$38,Selections!$G$6:$G$38,"72h-ucl-v3")/SUMIFS(Selections!$T$6:$T$38,Selections!$G$6:$G$38,"72h-ucl-v3"))</f>
        <v>0.7987491501653422</v>
      </c>
      <c r="N28" s="20">
        <f>IF(SUMIFS(Selections!$T$6:$T$38,Selections!$G$6:$G$38,"72h-ucl-v3")=0,"n.a.",(SUMIFS(Selections!$L$6:$L$38,Selections!$G$6:$G$38,"72h-ucl-v3",Selections!$T$6:$T$38,1))/SUMIFS(Selections!$T$6:$T$38,Selections!$G$6:$G$38,"72h-ucl-v3"))</f>
        <v>0.5</v>
      </c>
      <c r="O28" s="20">
        <f>IF(SUMIFS(Selections!$T$6:$T$38,Selections!$G$6:$G$38,"72h-ucl-v3")=0,"n.a.",(SUMIFS(Selections!$S$6:$S$38,Selections!$G$6:$G$38,"72h-ucl-v3")-(SUMIFS(Selections!$L$6:$L$38,Selections!$G$6:$G$38,"72h-ucl-v3",Selections!$T$6:$T$38,1)))/SUMIFS(Selections!$T$6:$T$38,Selections!$G$6:$G$38,"72h-ucl-v3"))</f>
        <v>0.2987491501653422</v>
      </c>
      <c r="P28" s="19">
        <f>SUMIFS(Selections!$T$6:$T$38,Selections!$G$6:$G$38,"72h-ucl-v3")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COUNTIFS(Selections!$G$6:$G$38,"legacy/unspecified")</f>
        <v>3</v>
      </c>
      <c r="D29" s="19">
        <f>(COUNTIFS(Selections!$G$6:$G$38,"legacy/unspecified",Selections!$K$6:$K$38,"WON")+COUNTIFS(Selections!$G$6:$G$38,"legacy/unspecified",Selections!$K$6:$K$38,"LOST"))</f>
        <v>2</v>
      </c>
      <c r="E29" s="19">
        <f>COUNTIFS(Selections!$G$6:$G$38,"legacy/unspecified",Selections!$K$6:$K$38,"WON")</f>
        <v>2</v>
      </c>
      <c r="F29" s="19">
        <f>COUNTIFS(Selections!$G$6:$G$38,"legacy/unspecified",Selections!$K$6:$K$38,"LOST")</f>
        <v>0</v>
      </c>
      <c r="G29" s="19">
        <f>COUNTIFS(Selections!$G$6:$G$38,"legacy/unspecified")-(COUNTIFS(Selections!$G$6:$G$38,"legacy/unspecified",Selections!$K$6:$K$38,"WON")+COUNTIFS(Selections!$G$6:$G$38,"legacy/unspecified",Selections!$K$6:$K$38,"LOST"))</f>
        <v>1</v>
      </c>
      <c r="H29" s="20">
        <f>IF((COUNTIFS(Selections!$G$6:$G$38,"legacy/unspecified",Selections!$K$6:$K$38,"WON")+COUNTIFS(Selections!$G$6:$G$38,"legacy/unspecified",Selections!$K$6:$K$38,"LOST"))=0,"n.a.",COUNTIFS(Selections!$G$6:$G$38,"legacy/unspecified",Selections!$K$6:$K$38,"WON")/(COUNTIFS(Selections!$G$6:$G$38,"legacy/unspecified",Selections!$K$6:$K$38,"WON")+COUNTIFS(Selections!$G$6:$G$38,"legacy/unspecified",Selections!$K$6:$K$38,"LOST")))</f>
        <v>1.0</v>
      </c>
      <c r="I29" s="22">
        <f>SUMIFS(Selections!$M$6:$M$38,Selections!$G$6:$G$38,"legacy/unspecified")</f>
        <v>2</v>
      </c>
      <c r="J29" s="22">
        <f>SUMIFS(Selections!$N$6:$N$38,Selections!$G$6:$G$38,"legacy/unspecified")</f>
        <v>0.6399999999999999</v>
      </c>
      <c r="K29" s="20">
        <f>IF(SUMIFS(Selections!$M$6:$M$38,Selections!$G$6:$G$38,"legacy/unspecified")=0,"n.a.",SUMIFS(Selections!$N$6:$N$38,Selections!$G$6:$G$38,"legacy/unspecified")/SUMIFS(Selections!$M$6:$M$38,Selections!$G$6:$G$38,"legacy/unspecified"))</f>
        <v>0.31999999999999995</v>
      </c>
      <c r="L29" s="21">
        <f>IF(SUMIFS(Selections!$T$6:$T$38,Selections!$G$6:$G$38,"legacy/unspecified")=0,"n.a.",SUMIFS(Selections!$O$6:$O$38,Selections!$G$6:$G$38,"legacy/unspecified")/SUMIFS(Selections!$T$6:$T$38,Selections!$G$6:$G$38,"legacy/unspecified"))</f>
        <v>0.022741501209119913</v>
      </c>
      <c r="M29" s="20">
        <f>IF(SUMIFS(Selections!$T$6:$T$38,Selections!$G$6:$G$38,"legacy/unspecified")=0,"n.a.",SUMIFS(Selections!$S$6:$S$38,Selections!$G$6:$G$38,"legacy/unspecified")/SUMIFS(Selections!$T$6:$T$38,Selections!$G$6:$G$38,"legacy/unspecified"))</f>
        <v>0.8612313600870412</v>
      </c>
      <c r="N29" s="20">
        <f>IF(SUMIFS(Selections!$T$6:$T$38,Selections!$G$6:$G$38,"legacy/unspecified")=0,"n.a.",(SUMIFS(Selections!$L$6:$L$38,Selections!$G$6:$G$38,"legacy/unspecified",Selections!$T$6:$T$38,1))/SUMIFS(Selections!$T$6:$T$38,Selections!$G$6:$G$38,"legacy/unspecified"))</f>
        <v>1.0</v>
      </c>
      <c r="O29" s="20">
        <f>IF(SUMIFS(Selections!$T$6:$T$38,Selections!$G$6:$G$38,"legacy/unspecified")=0,"n.a.",(SUMIFS(Selections!$S$6:$S$38,Selections!$G$6:$G$38,"legacy/unspecified")-(SUMIFS(Selections!$L$6:$L$38,Selections!$G$6:$G$38,"legacy/unspecified",Selections!$T$6:$T$38,1)))/SUMIFS(Selections!$T$6:$T$38,Selections!$G$6:$G$38,"legacy/unspecified"))</f>
        <v>-0.13876863991295885</v>
      </c>
      <c r="P29" s="19">
        <f>SUMIFS(Selections!$T$6:$T$38,Selections!$G$6:$G$38,"legacy/unspecified")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COUNTIFS(Selections!$P$6:$P$38,"2026-W41")</f>
        <v>5</v>
      </c>
      <c r="D30" s="19">
        <f>(COUNTIFS(Selections!$P$6:$P$38,"2026-W41",Selections!$K$6:$K$38,"WON")+COUNTIFS(Selections!$P$6:$P$38,"2026-W41",Selections!$K$6:$K$38,"LOST"))</f>
        <v>4</v>
      </c>
      <c r="E30" s="19">
        <f>COUNTIFS(Selections!$P$6:$P$38,"2026-W41",Selections!$K$6:$K$38,"WON")</f>
        <v>2</v>
      </c>
      <c r="F30" s="19">
        <f>COUNTIFS(Selections!$P$6:$P$38,"2026-W41",Selections!$K$6:$K$38,"LOST")</f>
        <v>2</v>
      </c>
      <c r="G30" s="19">
        <f>COUNTIFS(Selections!$P$6:$P$38,"2026-W41")-(COUNTIFS(Selections!$P$6:$P$38,"2026-W41",Selections!$K$6:$K$38,"WON")+COUNTIFS(Selections!$P$6:$P$38,"2026-W41",Selections!$K$6:$K$38,"LOST"))</f>
        <v>1</v>
      </c>
      <c r="H30" s="20">
        <f>IF((COUNTIFS(Selections!$P$6:$P$38,"2026-W41",Selections!$K$6:$K$38,"WON")+COUNTIFS(Selections!$P$6:$P$38,"2026-W41",Selections!$K$6:$K$38,"LOST"))=0,"n.a.",COUNTIFS(Selections!$P$6:$P$38,"2026-W41",Selections!$K$6:$K$38,"WON")/(COUNTIFS(Selections!$P$6:$P$38,"2026-W41",Selections!$K$6:$K$38,"WON")+COUNTIFS(Selections!$P$6:$P$38,"2026-W41",Selections!$K$6:$K$38,"LOST")))</f>
        <v>0.5</v>
      </c>
      <c r="I30" s="22">
        <f>SUMIFS(Selections!$M$6:$M$38,Selections!$P$6:$P$38,"2026-W41")</f>
        <v>4</v>
      </c>
      <c r="J30" s="22">
        <f>SUMIFS(Selections!$N$6:$N$38,Selections!$P$6:$P$38,"2026-W41")</f>
        <v>-1.48</v>
      </c>
      <c r="K30" s="20">
        <f>IF(SUMIFS(Selections!$M$6:$M$38,Selections!$P$6:$P$38,"2026-W41")=0,"n.a.",SUMIFS(Selections!$N$6:$N$38,Selections!$P$6:$P$38,"2026-W41")/SUMIFS(Selections!$M$6:$M$38,Selections!$P$6:$P$38,"2026-W41"))</f>
        <v>-0.37</v>
      </c>
      <c r="L30" s="21">
        <f>IF(SUMIFS(Selections!$T$6:$T$38,Selections!$P$6:$P$38,"2026-W41")=0,"n.a.",SUMIFS(Selections!$O$6:$O$38,Selections!$P$6:$P$38,"2026-W41")/SUMIFS(Selections!$T$6:$T$38,Selections!$P$6:$P$38,"2026-W41"))</f>
        <v>0.32924630276534106</v>
      </c>
      <c r="M30" s="20">
        <f>IF(SUMIFS(Selections!$T$6:$T$38,Selections!$P$6:$P$38,"2026-W41")=0,"n.a.",SUMIFS(Selections!$S$6:$S$38,Selections!$P$6:$P$38,"2026-W41")/SUMIFS(Selections!$T$6:$T$38,Selections!$P$6:$P$38,"2026-W41"))</f>
        <v>0.8212200676021444</v>
      </c>
      <c r="N30" s="20">
        <f>IF(SUMIFS(Selections!$T$6:$T$38,Selections!$P$6:$P$38,"2026-W41")=0,"n.a.",(SUMIFS(Selections!$L$6:$L$38,Selections!$P$6:$P$38,"2026-W41",Selections!$T$6:$T$38,1))/SUMIFS(Selections!$T$6:$T$38,Selections!$P$6:$P$38,"2026-W41"))</f>
        <v>0.5</v>
      </c>
      <c r="O30" s="20">
        <f>IF(SUMIFS(Selections!$T$6:$T$38,Selections!$P$6:$P$38,"2026-W41")=0,"n.a.",(SUMIFS(Selections!$S$6:$S$38,Selections!$P$6:$P$38,"2026-W41")-(SUMIFS(Selections!$L$6:$L$38,Selections!$P$6:$P$38,"2026-W41",Selections!$T$6:$T$38,1)))/SUMIFS(Selections!$T$6:$T$38,Selections!$P$6:$P$38,"2026-W41"))</f>
        <v>0.3212200676021444</v>
      </c>
      <c r="P30" s="19">
        <f>SUMIFS(Selections!$T$6:$T$38,Selections!$P$6:$P$38,"2026-W41")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COUNTIFS(Selections!$P$6:$P$38,"2026-W42")</f>
        <v>24</v>
      </c>
      <c r="D31" s="19">
        <f>(COUNTIFS(Selections!$P$6:$P$38,"2026-W42",Selections!$K$6:$K$38,"WON")+COUNTIFS(Selections!$P$6:$P$38,"2026-W42",Selections!$K$6:$K$38,"LOST"))</f>
        <v>22</v>
      </c>
      <c r="E31" s="19">
        <f>COUNTIFS(Selections!$P$6:$P$38,"2026-W42",Selections!$K$6:$K$38,"WON")</f>
        <v>19</v>
      </c>
      <c r="F31" s="19">
        <f>COUNTIFS(Selections!$P$6:$P$38,"2026-W42",Selections!$K$6:$K$38,"LOST")</f>
        <v>3</v>
      </c>
      <c r="G31" s="19">
        <f>COUNTIFS(Selections!$P$6:$P$38,"2026-W42")-(COUNTIFS(Selections!$P$6:$P$38,"2026-W42",Selections!$K$6:$K$38,"WON")+COUNTIFS(Selections!$P$6:$P$38,"2026-W42",Selections!$K$6:$K$38,"LOST"))</f>
        <v>2</v>
      </c>
      <c r="H31" s="20">
        <f>IF((COUNTIFS(Selections!$P$6:$P$38,"2026-W42",Selections!$K$6:$K$38,"WON")+COUNTIFS(Selections!$P$6:$P$38,"2026-W42",Selections!$K$6:$K$38,"LOST"))=0,"n.a.",COUNTIFS(Selections!$P$6:$P$38,"2026-W42",Selections!$K$6:$K$38,"WON")/(COUNTIFS(Selections!$P$6:$P$38,"2026-W42",Selections!$K$6:$K$38,"WON")+COUNTIFS(Selections!$P$6:$P$38,"2026-W42",Selections!$K$6:$K$38,"LOST")))</f>
        <v>0.8636363636363636</v>
      </c>
      <c r="I31" s="22">
        <f>SUMIFS(Selections!$M$6:$M$38,Selections!$P$6:$P$38,"2026-W42")</f>
        <v>22</v>
      </c>
      <c r="J31" s="22">
        <f>SUMIFS(Selections!$N$6:$N$38,Selections!$P$6:$P$38,"2026-W42")</f>
        <v>4.289999999999999</v>
      </c>
      <c r="K31" s="20">
        <f>IF(SUMIFS(Selections!$M$6:$M$38,Selections!$P$6:$P$38,"2026-W42")=0,"n.a.",SUMIFS(Selections!$N$6:$N$38,Selections!$P$6:$P$38,"2026-W42")/SUMIFS(Selections!$M$6:$M$38,Selections!$P$6:$P$38,"2026-W42"))</f>
        <v>0.19499999999999995</v>
      </c>
      <c r="L31" s="21">
        <f>IF(SUMIFS(Selections!$T$6:$T$38,Selections!$P$6:$P$38,"2026-W42")=0,"n.a.",SUMIFS(Selections!$O$6:$O$38,Selections!$P$6:$P$38,"2026-W42")/SUMIFS(Selections!$T$6:$T$38,Selections!$P$6:$P$38,"2026-W42"))</f>
        <v>0.13041357566209277</v>
      </c>
      <c r="M31" s="20">
        <f>IF(SUMIFS(Selections!$T$6:$T$38,Selections!$P$6:$P$38,"2026-W42")=0,"n.a.",SUMIFS(Selections!$S$6:$S$38,Selections!$P$6:$P$38,"2026-W42")/SUMIFS(Selections!$T$6:$T$38,Selections!$P$6:$P$38,"2026-W42"))</f>
        <v>0.7692010233716516</v>
      </c>
      <c r="N31" s="20">
        <f>IF(SUMIFS(Selections!$T$6:$T$38,Selections!$P$6:$P$38,"2026-W42")=0,"n.a.",(SUMIFS(Selections!$L$6:$L$38,Selections!$P$6:$P$38,"2026-W42",Selections!$T$6:$T$38,1))/SUMIFS(Selections!$T$6:$T$38,Selections!$P$6:$P$38,"2026-W42"))</f>
        <v>0.8636363636363636</v>
      </c>
      <c r="O31" s="20">
        <f>IF(SUMIFS(Selections!$T$6:$T$38,Selections!$P$6:$P$38,"2026-W42")=0,"n.a.",(SUMIFS(Selections!$S$6:$S$38,Selections!$P$6:$P$38,"2026-W42")-(SUMIFS(Selections!$L$6:$L$38,Selections!$P$6:$P$38,"2026-W42",Selections!$T$6:$T$38,1)))/SUMIFS(Selections!$T$6:$T$38,Selections!$P$6:$P$38,"2026-W42"))</f>
        <v>-0.09443534026471201</v>
      </c>
      <c r="P31" s="19">
        <f>SUMIFS(Selections!$T$6:$T$38,Selections!$P$6:$P$38,"2026-W42")</f>
        <v>22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(n=22).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COUNTIFS(Selections!$P$6:$P$38,"2026-W43")</f>
        <v>4</v>
      </c>
      <c r="D32" s="19">
        <f>(COUNTIFS(Selections!$P$6:$P$38,"2026-W43",Selections!$K$6:$K$38,"WON")+COUNTIFS(Selections!$P$6:$P$38,"2026-W43",Selections!$K$6:$K$38,"LOST"))</f>
        <v>0</v>
      </c>
      <c r="E32" s="19">
        <f>COUNTIFS(Selections!$P$6:$P$38,"2026-W43",Selections!$K$6:$K$38,"WON")</f>
        <v>0</v>
      </c>
      <c r="F32" s="19">
        <f>COUNTIFS(Selections!$P$6:$P$38,"2026-W43",Selections!$K$6:$K$38,"LOST")</f>
        <v>0</v>
      </c>
      <c r="G32" s="19">
        <f>COUNTIFS(Selections!$P$6:$P$38,"2026-W43")-(COUNTIFS(Selections!$P$6:$P$38,"2026-W43",Selections!$K$6:$K$38,"WON")+COUNTIFS(Selections!$P$6:$P$38,"2026-W43",Selections!$K$6:$K$38,"LOST"))</f>
        <v>4</v>
      </c>
      <c r="H32" s="20" t="str">
        <f>IF((COUNTIFS(Selections!$P$6:$P$38,"2026-W43",Selections!$K$6:$K$38,"WON")+COUNTIFS(Selections!$P$6:$P$38,"2026-W43",Selections!$K$6:$K$38,"LOST"))=0,"n.a.",COUNTIFS(Selections!$P$6:$P$38,"2026-W43",Selections!$K$6:$K$38,"WON")/(COUNTIFS(Selections!$P$6:$P$38,"2026-W43",Selections!$K$6:$K$38,"WON")+COUNTIFS(Selections!$P$6:$P$38,"2026-W43",Selections!$K$6:$K$38,"LOST")))</f>
        <v>n.a.</v>
      </c>
      <c r="I32" s="22">
        <f>SUMIFS(Selections!$M$6:$M$38,Selections!$P$6:$P$38,"2026-W43")</f>
        <v>0</v>
      </c>
      <c r="J32" s="22">
        <f>SUMIFS(Selections!$N$6:$N$38,Selections!$P$6:$P$38,"2026-W43")</f>
        <v>0</v>
      </c>
      <c r="K32" s="20" t="str">
        <f>IF(SUMIFS(Selections!$M$6:$M$38,Selections!$P$6:$P$38,"2026-W43")=0,"n.a.",SUMIFS(Selections!$N$6:$N$38,Selections!$P$6:$P$38,"2026-W43")/SUMIFS(Selections!$M$6:$M$38,Selections!$P$6:$P$38,"2026-W43"))</f>
        <v>n.a.</v>
      </c>
      <c r="L32" s="21" t="str">
        <f>IF(SUMIFS(Selections!$T$6:$T$38,Selections!$P$6:$P$38,"2026-W43")=0,"n.a.",SUMIFS(Selections!$O$6:$O$38,Selections!$P$6:$P$38,"2026-W43")/SUMIFS(Selections!$T$6:$T$38,Selections!$P$6:$P$38,"2026-W43"))</f>
        <v>n.a.</v>
      </c>
      <c r="M32" s="20" t="str">
        <f>IF(SUMIFS(Selections!$T$6:$T$38,Selections!$P$6:$P$38,"2026-W43")=0,"n.a.",SUMIFS(Selections!$S$6:$S$38,Selections!$P$6:$P$38,"2026-W43")/SUMIFS(Selections!$T$6:$T$38,Selections!$P$6:$P$38,"2026-W43"))</f>
        <v>n.a.</v>
      </c>
      <c r="N32" s="20" t="str">
        <f>IF(SUMIFS(Selections!$T$6:$T$38,Selections!$P$6:$P$38,"2026-W43")=0,"n.a.",(SUMIFS(Selections!$L$6:$L$38,Selections!$P$6:$P$38,"2026-W43",Selections!$T$6:$T$38,1))/SUMIFS(Selections!$T$6:$T$38,Selections!$P$6:$P$38,"2026-W43"))</f>
        <v>n.a.</v>
      </c>
      <c r="O32" s="20" t="str">
        <f>IF(SUMIFS(Selections!$T$6:$T$38,Selections!$P$6:$P$38,"2026-W43")=0,"n.a.",(SUMIFS(Selections!$S$6:$S$38,Selections!$P$6:$P$38,"2026-W43")-(SUMIFS(Selections!$L$6:$L$38,Selections!$P$6:$P$38,"2026-W43",Selections!$T$6:$T$38,1)))/SUMIFS(Selections!$T$6:$T$38,Selections!$P$6:$P$38,"2026-W43"))</f>
        <v>n.a.</v>
      </c>
      <c r="P32" s="19">
        <f>SUMIFS(Selections!$T$6:$T$38,Selections!$P$6:$P$38,"2026-W43")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COUNTIFS(Selections!$S$6:$S$38,"&gt;="&amp;B6,Selections!$S$6:$S$38,"&lt;"&amp;C6,Selections!$T$6:$T$38,1)</f>
        <v>0</v>
      </c>
      <c r="E6" s="20" t="str">
        <f>IF(D6=0,"n.a.",SUMIFS(Selections!$S$6:$S$38,Selections!$S$6:$S$38,"&gt;="&amp;B6,Selections!$S$6:$S$38,"&lt;"&amp;C6,Selections!$T$6:$T$38,1)/D6)</f>
        <v>n.a.</v>
      </c>
      <c r="F6" s="20" t="str">
        <f>IF(D6=0,"n.a.",SUMIFS(Selections!$L$6:$L$38,Selections!$S$6:$S$38,"&gt;="&amp;B6,Selections!$S$6:$S$38,"&lt;"&amp;C6,Selections!$T$6:$T$38,1)/D6)</f>
        <v>n.a.</v>
      </c>
      <c r="G6" s="20" t="str">
        <f>IF(D6=0,"n.a.",E6-F6)</f>
        <v>n.a.</v>
      </c>
      <c r="H6" s="21" t="str">
        <f>IF(D6=0,"n.a.",SUMIFS(Selections!$O$6:$O$38,Selections!$S$6:$S$38,"&gt;="&amp;B6,Selections!$S$6:$S$38,"&lt;"&amp;C6,Selections!$T$6:$T$38,1)/D6)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COUNTIFS(Selections!$S$6:$S$38,"&gt;="&amp;B7,Selections!$S$6:$S$38,"&lt;"&amp;C7,Selections!$T$6:$T$38,1)</f>
        <v>0</v>
      </c>
      <c r="E7" s="20" t="str">
        <f>IF(D7=0,"n.a.",SUMIFS(Selections!$S$6:$S$38,Selections!$S$6:$S$38,"&gt;="&amp;B7,Selections!$S$6:$S$38,"&lt;"&amp;C7,Selections!$T$6:$T$38,1)/D7)</f>
        <v>n.a.</v>
      </c>
      <c r="F7" s="20" t="str">
        <f>IF(D7=0,"n.a.",SUMIFS(Selections!$L$6:$L$38,Selections!$S$6:$S$38,"&gt;="&amp;B7,Selections!$S$6:$S$38,"&lt;"&amp;C7,Selections!$T$6:$T$38,1)/D7)</f>
        <v>n.a.</v>
      </c>
      <c r="G7" s="20" t="str">
        <f>IF(D7=0,"n.a.",E7-F7)</f>
        <v>n.a.</v>
      </c>
      <c r="H7" s="21" t="str">
        <f>IF(D7=0,"n.a.",SUMIFS(Selections!$O$6:$O$38,Selections!$S$6:$S$38,"&gt;="&amp;B7,Selections!$S$6:$S$38,"&lt;"&amp;C7,Selections!$T$6:$T$38,1)/D7)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COUNTIFS(Selections!$S$6:$S$38,"&gt;="&amp;B8,Selections!$S$6:$S$38,"&lt;"&amp;C8,Selections!$T$6:$T$38,1)</f>
        <v>5</v>
      </c>
      <c r="E8" s="20">
        <f>IF(D8=0,"n.a.",SUMIFS(Selections!$S$6:$S$38,Selections!$S$6:$S$38,"&gt;="&amp;B8,Selections!$S$6:$S$38,"&lt;"&amp;C8,Selections!$T$6:$T$38,1)/D8)</f>
        <v>0.652956145664078</v>
      </c>
      <c r="F8" s="20">
        <f>IF(D8=0,"n.a.",SUMIFS(Selections!$L$6:$L$38,Selections!$S$6:$S$38,"&gt;="&amp;B8,Selections!$S$6:$S$38,"&lt;"&amp;C8,Selections!$T$6:$T$38,1)/D8)</f>
        <v>0.8</v>
      </c>
      <c r="G8" s="20">
        <f>IF(D8=0,"n.a.",E8-F8)</f>
        <v>-0.14704385433592204</v>
      </c>
      <c r="H8" s="21">
        <f>IF(D8=0,"n.a.",SUMIFS(Selections!$O$6:$O$38,Selections!$S$6:$S$38,"&gt;="&amp;B8,Selections!$S$6:$S$38,"&lt;"&amp;C8,Selections!$T$6:$T$38,1)/D8)</f>
        <v>0.18186630444189972</v>
      </c>
      <c r="I8" s="18" t="inlineStr">
        <is>
          <t>Collect more scored forecasts (n=5).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COUNTIFS(Selections!$S$6:$S$38,"&gt;="&amp;B9,Selections!$S$6:$S$38,"&lt;"&amp;C9,Selections!$T$6:$T$38,1)</f>
        <v>10</v>
      </c>
      <c r="E9" s="20">
        <f>IF(D9=0,"n.a.",SUMIFS(Selections!$S$6:$S$38,Selections!$S$6:$S$38,"&gt;="&amp;B9,Selections!$S$6:$S$38,"&lt;"&amp;C9,Selections!$T$6:$T$38,1)/D9)</f>
        <v>0.7555864760496519</v>
      </c>
      <c r="F9" s="20">
        <f>IF(D9=0,"n.a.",SUMIFS(Selections!$L$6:$L$38,Selections!$S$6:$S$38,"&gt;="&amp;B9,Selections!$S$6:$S$38,"&lt;"&amp;C9,Selections!$T$6:$T$38,1)/D9)</f>
        <v>0.8</v>
      </c>
      <c r="G9" s="20">
        <f>IF(D9=0,"n.a.",E9-F9)</f>
        <v>-0.044413523950348144</v>
      </c>
      <c r="H9" s="21">
        <f>IF(D9=0,"n.a.",SUMIFS(Selections!$O$6:$O$38,Selections!$S$6:$S$38,"&gt;="&amp;B9,Selections!$S$6:$S$38,"&lt;"&amp;C9,Selections!$T$6:$T$38,1)/D9)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COUNTIFS(Selections!$S$6:$S$38,"&gt;="&amp;B10,Selections!$S$6:$S$38,"&lt;"&amp;C10,Selections!$T$6:$T$38,1)</f>
        <v>9</v>
      </c>
      <c r="E10" s="20">
        <f>IF(D10=0,"n.a.",SUMIFS(Selections!$S$6:$S$38,Selections!$S$6:$S$38,"&gt;="&amp;B10,Selections!$S$6:$S$38,"&lt;"&amp;C10,Selections!$T$6:$T$38,1)/D10)</f>
        <v>0.835660279924899</v>
      </c>
      <c r="F10" s="20">
        <f>IF(D10=0,"n.a.",SUMIFS(Selections!$L$6:$L$38,Selections!$S$6:$S$38,"&gt;="&amp;B10,Selections!$S$6:$S$38,"&lt;"&amp;C10,Selections!$T$6:$T$38,1)/D10)</f>
        <v>0.7777777777777778</v>
      </c>
      <c r="G10" s="20">
        <f>IF(D10=0,"n.a.",E10-F10)</f>
        <v>0.057882502147121206</v>
      </c>
      <c r="H10" s="21">
        <f>IF(D10=0,"n.a.",SUMIFS(Selections!$O$6:$O$38,Selections!$S$6:$S$38,"&gt;="&amp;B10,Selections!$S$6:$S$38,"&lt;"&amp;C10,Selections!$T$6:$T$38,1)/D10)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COUNTIFS(Selections!$S$6:$S$38,"&gt;="&amp;B11,Selections!$S$6:$S$38,"&lt;"&amp;C11,Selections!$T$6:$T$38,1)</f>
        <v>2</v>
      </c>
      <c r="E11" s="20">
        <f>IF(D11=0,"n.a.",SUMIFS(Selections!$S$6:$S$38,Selections!$S$6:$S$38,"&gt;="&amp;B11,Selections!$S$6:$S$38,"&lt;"&amp;C11,Selections!$T$6:$T$38,1)/D11)</f>
        <v>0.9328573882219562</v>
      </c>
      <c r="F11" s="20">
        <f>IF(D11=0,"n.a.",SUMIFS(Selections!$L$6:$L$38,Selections!$S$6:$S$38,"&gt;="&amp;B11,Selections!$S$6:$S$38,"&lt;"&amp;C11,Selections!$T$6:$T$38,1)/D11)</f>
        <v>1.0</v>
      </c>
      <c r="G11" s="20">
        <f>IF(D11=0,"n.a.",E11-F11)</f>
        <v>-0.06714261177804381</v>
      </c>
      <c r="H11" s="21">
        <f>IF(D11=0,"n.a.",SUMIFS(Selections!$O$6:$O$38,Selections!$S$6:$S$38,"&gt;="&amp;B11,Selections!$S$6:$S$38,"&lt;"&amp;C11,Selections!$T$6:$T$38,1)/D11)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12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0.7262642660408938</v>
      </c>
      <c r="I35" s="22">
        <v>1.39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4827bd2b80141dd5a2ca775319253a1753eca90c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2026-10-18T14:35:10.311946+00:00</t>
        </is>
      </c>
      <c r="W35" t="inlineStr" s="18">
        <is>
          <t>2026-10-18T14:40:44Z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0.681866500102403</v>
      </c>
      <c r="I36" s="22">
        <v>1.51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4827bd2b80141dd5a2ca775319253a1753eca90c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2026-10-18T14:35:10.311946+00:00</t>
        </is>
      </c>
      <c r="W36" t="inlineStr" s="18">
        <is>
          <t>2026-10-18T14:40:44Z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League|liverpool|villarreal|2026-10-20</t>
        </is>
      </c>
      <c r="B38" s="23">
        <v>46315.791666666664</v>
      </c>
      <c r="C38" s="18" t="inlineStr">
        <is>
          <t>UEFA Champions League</t>
        </is>
      </c>
      <c r="D38" s="18" t="inlineStr">
        <is>
          <t>Liverpool vs Villarreal</t>
        </is>
      </c>
      <c r="E38" s="18" t="inlineStr">
        <is>
          <t>Home win</t>
        </is>
      </c>
      <c r="F38" s="18" t="inlineStr">
        <is>
          <t>PROVISIONAL</t>
        </is>
      </c>
      <c r="G38" s="18" t="inlineStr">
        <is>
          <t>72h-seven-markets-fresh-references-net-ev15-v11</t>
        </is>
      </c>
      <c r="H38" s="20">
        <v>0.7277974703294219</v>
      </c>
      <c r="I38" s="22">
        <v>1.53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67fd2fe2099c1790c025bb0cfbd2aab9f3b77d01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2026-10-18T09:58:14.607821+00:00</t>
        </is>
      </c>
      <c r="W38" t="inlineStr" s="18">
        <is>
          <t>2026-10-18T09:58:45Z</t>
        </is>
      </c>
    </row>
  </sheetData>
  <mergeCells count="2">
    <mergeCell ref="B2:W2"/>
    <mergeCell ref="B4:W4"/>
  </mergeCells>
  <conditionalFormatting sqref="K6:K3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102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0.9473684210526315</v>
      </c>
      <c r="H10" s="18" t="inlineStr">
        <is>
          <t>Approval review</t>
        </is>
      </c>
      <c r="I10" s="18" t="inlineStr">
        <is>
          <t>264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0.18421052631578946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36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0.9473684210526315</v>
      </c>
      <c r="H12" s="18" t="inlineStr">
        <is>
          <t>Approval review</t>
        </is>
      </c>
      <c r="I12" s="18" t="inlineStr">
        <is>
          <t>264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36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0.9473684210526315</v>
      </c>
      <c r="H13" s="18" t="inlineStr">
        <is>
          <t>Approval review</t>
        </is>
      </c>
      <c r="I13" s="18" t="inlineStr">
        <is>
          <t>264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38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0.6666666666666666</v>
      </c>
      <c r="H14" s="18" t="inlineStr">
        <is>
          <t>Approval review</t>
        </is>
      </c>
      <c r="I14" s="18" t="inlineStr">
        <is>
          <t>262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8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1 / 6 ISO weeks</t>
        </is>
      </c>
      <c r="G15" s="20">
        <v>0.5714285714285714</v>
      </c>
      <c r="H15" s="18" t="inlineStr">
        <is>
          <t>Approval review</t>
        </is>
      </c>
      <c r="I15" s="18" t="inlineStr">
        <is>
          <t>292 more paired fixtures; 5 more ISO weeks; Coverage below 80%; 93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10</v>
      </c>
      <c r="D57" s="19">
        <v>7</v>
      </c>
      <c r="E57" s="20">
        <v>0.8571428571428571</v>
      </c>
      <c r="F57" s="18" t="inlineStr">
        <is>
          <t>48.7% to 97.4%</t>
        </is>
      </c>
      <c r="G57" s="20">
        <v>0.14999999999999997</v>
      </c>
      <c r="H57" s="19">
        <v>1.0499999999999998</v>
      </c>
      <c r="I57" s="19">
        <v>0.33000000000000007</v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10</v>
      </c>
      <c r="D59" s="19">
        <v>7</v>
      </c>
      <c r="E59" s="20">
        <v>0.8571428571428571</v>
      </c>
      <c r="F59" s="18" t="inlineStr">
        <is>
          <t>48.7% to 97.4%</t>
        </is>
      </c>
      <c r="G59" s="20">
        <v>0.14999999999999997</v>
      </c>
      <c r="H59" s="19">
        <v>1.0499999999999998</v>
      </c>
      <c r="I59" s="19">
        <v>0.33000000000000007</v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10</v>
      </c>
      <c r="D60" s="19">
        <v>7</v>
      </c>
      <c r="E60" s="20">
        <v>0.7142857142857143</v>
      </c>
      <c r="F60" s="18" t="inlineStr">
        <is>
          <t>35.9% to 91.8%</t>
        </is>
      </c>
      <c r="G60" s="20">
        <v>-0.12142857142857144</v>
      </c>
      <c r="H60" s="19">
        <v>-0.8500000000000001</v>
      </c>
      <c r="I60" s="19">
        <v>1.0</v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10</v>
      </c>
      <c r="D62" s="19">
        <v>7</v>
      </c>
      <c r="E62" s="20">
        <v>0.7142857142857143</v>
      </c>
      <c r="F62" s="18" t="inlineStr">
        <is>
          <t>35.9% to 91.8%</t>
        </is>
      </c>
      <c r="G62" s="20">
        <v>-0.12142857142857144</v>
      </c>
      <c r="H62" s="19">
        <v>-0.8500000000000001</v>
      </c>
      <c r="I62" s="19">
        <v>1.0</v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10</v>
      </c>
      <c r="D63" s="19">
        <v>7</v>
      </c>
      <c r="E63" s="20">
        <v>0.7142857142857143</v>
      </c>
      <c r="F63" s="18" t="inlineStr">
        <is>
          <t>35.9% to 91.8%</t>
        </is>
      </c>
      <c r="G63" s="20">
        <v>-0.12142857142857144</v>
      </c>
      <c r="H63" s="19">
        <v>-0.8500000000000001</v>
      </c>
      <c r="I63" s="19">
        <v>1.0</v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10</v>
      </c>
      <c r="D65" s="19">
        <v>7</v>
      </c>
      <c r="E65" s="20">
        <v>0.7142857142857143</v>
      </c>
      <c r="F65" s="18" t="inlineStr">
        <is>
          <t>35.9% to 91.8%</t>
        </is>
      </c>
      <c r="G65" s="20">
        <v>-0.12142857142857144</v>
      </c>
      <c r="H65" s="19">
        <v>-0.8500000000000001</v>
      </c>
      <c r="I65" s="19">
        <v>1.0</v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10</v>
      </c>
      <c r="D66" s="19">
        <v>7</v>
      </c>
      <c r="E66" s="20">
        <v>0.5714285714285714</v>
      </c>
      <c r="F66" s="18" t="inlineStr">
        <is>
          <t>25.0% to 84.2%</t>
        </is>
      </c>
      <c r="G66" s="20">
        <v>-0.025714285714285738</v>
      </c>
      <c r="H66" s="19">
        <v>-0.18000000000000016</v>
      </c>
      <c r="I66" s="19">
        <v>2.33</v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10</v>
      </c>
      <c r="D68" s="19">
        <v>7</v>
      </c>
      <c r="E68" s="20">
        <v>0.5714285714285714</v>
      </c>
      <c r="F68" s="18" t="inlineStr">
        <is>
          <t>25.0% to 84.2%</t>
        </is>
      </c>
      <c r="G68" s="20">
        <v>-0.025714285714285738</v>
      </c>
      <c r="H68" s="19">
        <v>-0.18000000000000016</v>
      </c>
      <c r="I68" s="19">
        <v>2.33</v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COUNTIFS(Selections!$P$6:$P$38,A6,Selections!$M$6:$M$38,"&gt;0")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22.0</v>
      </c>
      <c r="C7" s="19">
        <f>COUNTIFS(Selections!$P$6:$P$38,A7,Selections!$M$6:$M$38,"&gt;0")</f>
        <v>22.0</v>
      </c>
      <c r="D7" s="22">
        <f>IF(C7=0,"n.a.",Breakdowns!J31)</f>
        <v>4.289999999999999</v>
      </c>
      <c r="E7" s="22">
        <f>IF(SUM($C$6:C7)=0,"n.a.",SUM($D$6:D7))</f>
        <v>2.809999999999999</v>
      </c>
      <c r="F7" s="20">
        <f>Breakdowns!H31</f>
        <v>0.8636363636363636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COUNTIFS(Selections!$P$6:$P$38,A8,Selections!$M$6:$M$38,"&gt;0")</f>
        <v>0</v>
      </c>
      <c r="D8" s="22" t="str">
        <f>IF(C8=0,"n.a.",Breakdowns!J32)</f>
        <v>n.a.</v>
      </c>
      <c r="E8" s="22">
        <f>IF(SUM($C$6:C8)=0,"n.a.",SUM($D$6:D8))</f>
        <v>2.809999999999999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33</v>
      </c>
      <c r="B8" s="19">
        <v>26</v>
      </c>
      <c r="C8" s="19">
        <v>21</v>
      </c>
      <c r="D8" s="19">
        <v>5</v>
      </c>
      <c r="E8" s="19">
        <v>7</v>
      </c>
      <c r="F8" s="20">
        <v>0.807692</v>
      </c>
      <c r="G8" s="20">
        <v>0.108077</v>
      </c>
      <c r="H8" s="19">
        <v>2.81</v>
      </c>
      <c r="I8" s="19">
        <v>32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9</v>
      </c>
      <c r="E13" s="19">
        <v>7</v>
      </c>
      <c r="F13" s="20">
        <v>0.777778</v>
      </c>
      <c r="G13" s="20">
        <v>0.022222</v>
      </c>
      <c r="H13" s="19">
        <v>0.2</v>
      </c>
      <c r="I13" s="19">
        <v>1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7</v>
      </c>
      <c r="E43" s="19">
        <v>6</v>
      </c>
      <c r="F43" s="20">
        <v>0.857143</v>
      </c>
      <c r="G43" s="20">
        <v>0.15</v>
      </c>
      <c r="H43" s="19">
        <v>1.05</v>
      </c>
      <c r="I43" s="19">
        <v>3</v>
      </c>
    </row>
    <row r="46">
      <c r="A46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2026-10-19T07:59:36.833708+00:00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19</v>
      </c>
      <c r="D19" s="19">
        <v>4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17</v>
      </c>
      <c r="D20" s="19">
        <v>4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36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9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6" ht="44" customHeight="1">
      <c r="A56" s="18" t="inlineStr">
        <is>
          <t>Shortlist probability / EV weights</t>
        </is>
      </c>
      <c r="B56" s="18" t="inlineStr">
        <is>
          <t>Captured</t>
        </is>
      </c>
      <c r="C56" s="19">
        <v>1</v>
      </c>
    </row>
    <row r="57" ht="44" customHeight="1">
      <c r="A57" s="18" t="inlineStr">
        <is>
          <t>Shortlist probability / EV weights</t>
        </is>
      </c>
      <c r="B57" s="18" t="inlineStr">
        <is>
          <t>Legacy not recorded</t>
        </is>
      </c>
      <c r="C57" s="19">
        <v>35</v>
      </c>
    </row>
    <row r="60">
      <c r="A60" s="26" t="inlineStr">
        <is>
          <t>EV sensitivity results</t>
        </is>
      </c>
    </row>
    <row r="61" ht="34" customHeight="1">
      <c r="A61" s="24" t="inlineStr">
        <is>
          <t>EV floor</t>
        </is>
      </c>
      <c r="B61" s="24" t="inlineStr">
        <is>
          <t>Tier</t>
        </is>
      </c>
      <c r="C61" s="24" t="inlineStr">
        <is>
          <t>Selected</t>
        </is>
      </c>
      <c r="D61" s="24" t="inlineStr">
        <is>
          <t>Settled</t>
        </is>
      </c>
      <c r="E61" s="24" t="inlineStr">
        <is>
          <t>Simulated ROI</t>
        </is>
      </c>
      <c r="F61" s="24" t="inlineStr">
        <is>
          <t>Drawdown (units)</t>
        </is>
      </c>
    </row>
    <row r="62" ht="44" customHeight="1">
      <c r="A62" s="20">
        <v>0.015</v>
      </c>
      <c r="B62" s="18" t="inlineStr">
        <is>
          <t>ALL</t>
        </is>
      </c>
      <c r="C62" s="19">
        <v>9</v>
      </c>
      <c r="D62" s="19">
        <v>7</v>
      </c>
      <c r="E62" s="20">
        <v>0.12142857142857141</v>
      </c>
      <c r="F62" s="22">
        <v>1.0</v>
      </c>
    </row>
    <row r="63" ht="44" customHeight="1">
      <c r="A63" s="20">
        <v>0.015</v>
      </c>
      <c r="B63" s="18" t="inlineStr">
        <is>
          <t>STRICT</t>
        </is>
      </c>
      <c r="C63" s="19">
        <v>7</v>
      </c>
      <c r="D63" s="19">
        <v>6</v>
      </c>
      <c r="E63" s="20">
        <v>0.09833333333333331</v>
      </c>
      <c r="F63" s="22">
        <v>1.0</v>
      </c>
    </row>
    <row r="64" ht="44" customHeight="1">
      <c r="A64" s="20">
        <v>0.015</v>
      </c>
      <c r="B64" s="18" t="inlineStr">
        <is>
          <t>PROVISIONAL</t>
        </is>
      </c>
      <c r="C64" s="19">
        <v>2</v>
      </c>
      <c r="D64" s="19">
        <v>1</v>
      </c>
      <c r="E64" s="20">
        <v>0.26</v>
      </c>
      <c r="F64" s="22">
        <v>0.0</v>
      </c>
    </row>
    <row r="65" ht="44" customHeight="1">
      <c r="A65" s="20">
        <v>0.03</v>
      </c>
      <c r="B65" s="18" t="inlineStr">
        <is>
          <t>ALL</t>
        </is>
      </c>
      <c r="C65" s="19">
        <v>8</v>
      </c>
      <c r="D65" s="19">
        <v>6</v>
      </c>
      <c r="E65" s="20">
        <v>0.10166666666666664</v>
      </c>
      <c r="F65" s="22">
        <v>1.0</v>
      </c>
    </row>
    <row r="66" ht="44" customHeight="1">
      <c r="A66" s="20">
        <v>0.03</v>
      </c>
      <c r="B66" s="18" t="inlineStr">
        <is>
          <t>STRICT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0.03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0.05</v>
      </c>
      <c r="B68" s="18" t="inlineStr">
        <is>
          <t>ALL</t>
        </is>
      </c>
      <c r="C68" s="19">
        <v>7</v>
      </c>
      <c r="D68" s="19">
        <v>5</v>
      </c>
      <c r="E68" s="20">
        <v>0.06999999999999998</v>
      </c>
      <c r="F68" s="22">
        <v>1.0</v>
      </c>
    </row>
    <row r="69" ht="44" customHeight="1">
      <c r="A69" s="20">
        <v>0.05</v>
      </c>
      <c r="B69" s="18" t="inlineStr">
        <is>
          <t>STRICT</t>
        </is>
      </c>
      <c r="C69" s="19">
        <v>5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0.05</v>
      </c>
      <c r="B70" s="18" t="inlineStr">
        <is>
          <t>PROVISIONAL</t>
        </is>
      </c>
      <c r="C70" s="19">
        <v>2</v>
      </c>
      <c r="D70" s="19">
        <v>0</v>
      </c>
      <c r="E70" s="20"/>
      <c r="F70" s="22"/>
    </row>
    <row r="73">
      <c r="A73" s="26" t="inlineStr">
        <is>
          <t>Daily review observations</t>
        </is>
      </c>
    </row>
    <row r="74" ht="34" customHeight="1">
      <c r="A74" s="24" t="inlineStr">
        <is>
          <t>Review date</t>
        </is>
      </c>
      <c r="B74" s="24" t="inlineStr">
        <is>
          <t>Graded</t>
        </is>
      </c>
      <c r="C74" s="24" t="inlineStr">
        <is>
          <t>Win rate</t>
        </is>
      </c>
      <c r="D74" s="24" t="inlineStr">
        <is>
          <t>Simulated ROI</t>
        </is>
      </c>
      <c r="E74" s="24" t="inlineStr">
        <is>
          <t>Brier</t>
        </is>
      </c>
    </row>
    <row r="75" ht="44" customHeight="1">
      <c r="A75" s="18" t="inlineStr">
        <is>
          <t>2026-10-13</t>
        </is>
      </c>
      <c r="B75" s="19">
        <v>9</v>
      </c>
      <c r="C75" s="20">
        <v>0.666667</v>
      </c>
      <c r="D75" s="20">
        <v>-0.096667</v>
      </c>
      <c r="E75" s="21">
        <v>0.250532</v>
      </c>
    </row>
    <row r="76" ht="44" customHeight="1">
      <c r="A76" s="18" t="inlineStr">
        <is>
          <t>2026-10-14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7" ht="44" customHeight="1">
      <c r="A77" s="18" t="inlineStr">
        <is>
          <t>2026-10-15</t>
        </is>
      </c>
      <c r="B77" s="19">
        <v>11</v>
      </c>
      <c r="C77" s="20">
        <v>0.727273</v>
      </c>
      <c r="D77" s="20">
        <v>0.01</v>
      </c>
      <c r="E77" s="21">
        <v>0.215932</v>
      </c>
    </row>
    <row r="78" ht="44" customHeight="1">
      <c r="A78" s="18" t="inlineStr">
        <is>
          <t>2026-10-16</t>
        </is>
      </c>
      <c r="B78" s="19">
        <v>12</v>
      </c>
      <c r="C78" s="20">
        <v>0.75</v>
      </c>
      <c r="D78" s="20">
        <v>0.031667</v>
      </c>
      <c r="E78" s="21">
        <v>0.199836</v>
      </c>
    </row>
    <row r="79" ht="44" customHeight="1">
      <c r="A79" s="18" t="inlineStr">
        <is>
          <t>2026-10-17</t>
        </is>
      </c>
      <c r="B79" s="19">
        <v>17</v>
      </c>
      <c r="C79" s="20">
        <v>0.764706</v>
      </c>
      <c r="D79" s="20">
        <v>0.044706</v>
      </c>
      <c r="E79" s="21">
        <v>0.178798</v>
      </c>
    </row>
    <row r="80" ht="44" customHeight="1">
      <c r="A80" s="18" t="inlineStr">
        <is>
          <t>2026-10-18</t>
        </is>
      </c>
      <c r="B80" s="19">
        <v>26</v>
      </c>
      <c r="C80" s="20">
        <v>0.807692</v>
      </c>
      <c r="D80" s="20">
        <v>0.108077</v>
      </c>
      <c r="E80" s="21">
        <v>0.161003</v>
      </c>
    </row>
    <row r="81" ht="44" customHeight="1">
      <c r="A81" s="18" t="inlineStr">
        <is>
          <t>2026-10-19</t>
        </is>
      </c>
      <c r="B81" s="19">
        <v>26</v>
      </c>
      <c r="C81" s="20">
        <v>0.807692</v>
      </c>
      <c r="D81" s="20">
        <v>0.108077</v>
      </c>
      <c r="E81" s="21">
        <v>0.161003</v>
      </c>
    </row>
    <row r="84">
      <c r="A84" s="26" t="inlineStr">
        <is>
          <t>Dependency versions</t>
        </is>
      </c>
    </row>
    <row r="85" ht="34" customHeight="1">
      <c r="A85" s="24" t="inlineStr">
        <is>
          <t>Dependency</t>
        </is>
      </c>
      <c r="B85" s="24" t="inlineStr">
        <is>
          <t>Version</t>
        </is>
      </c>
    </row>
    <row r="86" ht="44" customHeight="1">
      <c r="A86" s="18" t="inlineStr">
        <is>
          <t>python</t>
        </is>
      </c>
      <c r="B86" s="18" t="inlineStr">
        <is>
          <t>3.12.15</t>
        </is>
      </c>
    </row>
    <row r="87" ht="44" customHeight="1">
      <c r="A87" s="18" t="inlineStr">
        <is>
          <t>numpy</t>
        </is>
      </c>
      <c r="B87" s="18" t="inlineStr">
        <is>
          <t>2.5.4</t>
        </is>
      </c>
    </row>
    <row r="88" ht="44" customHeight="1">
      <c r="A88" s="18" t="inlineStr">
        <is>
          <t>pandas</t>
        </is>
      </c>
      <c r="B88" s="18" t="inlineStr">
        <is>
          <t>3.0.6</t>
        </is>
      </c>
    </row>
    <row r="89" ht="44" customHeight="1">
      <c r="A89" s="18" t="inlineStr">
        <is>
          <t>scipy</t>
        </is>
      </c>
      <c r="B89" s="18" t="inlineStr">
        <is>
          <t>1.18.1</t>
        </is>
      </c>
    </row>
    <row r="90" ht="44" customHeight="1">
      <c r="A90" s="18" t="inlineStr">
        <is>
          <t>requests</t>
        </is>
      </c>
      <c r="B90" s="18" t="inlineStr">
        <is>
          <t>2.34.2</t>
        </is>
      </c>
    </row>
    <row r="91" ht="44" customHeight="1">
      <c r="A91" s="18" t="inlineStr">
        <is>
          <t>python-dotenv</t>
        </is>
      </c>
      <c r="B91" s="18" t="inlineStr">
        <is>
          <t>1.2.4</t>
        </is>
      </c>
    </row>
    <row r="92" ht="44" customHeight="1">
      <c r="A92" s="18" t="inlineStr">
        <is>
          <t>coverage</t>
        </is>
      </c>
      <c r="B92" s="18" t="inlineStr">
        <is>
          <t>7.16.2</t>
        </is>
      </c>
    </row>
    <row r="93" ht="44" customHeight="1">
      <c r="A93" s="18" t="inlineStr">
        <is>
          <t>PyYAML</t>
        </is>
      </c>
      <c r="B93" s="18" t="inlineStr">
        <is>
          <t>6.0.3</t>
        </is>
      </c>
    </row>
    <row r="96">
      <c r="A9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60:F60"/>
    <mergeCell ref="A73:F73"/>
    <mergeCell ref="A84:F8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hyperlinks>
    <hyperlink ref="A9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</sheetData>
  <autoFilter ref="A5:H41"/>
  <mergeCells count="2">
    <mergeCell ref="A2:H2"/>
    <mergeCell ref="A4:H4"/>
  </mergeCells>
</worksheet>
</file>