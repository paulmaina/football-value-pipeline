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OI Plan" sheetId="2" ns1:id="R6859d2273dee43f9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0%"/>
    <x:numFmt numFmtId="202" formatCode="0.00"/>
    <x:numFmt numFmtId="203" formatCode="0.0000"/>
  </x:numFmts>
  <x:fonts count="4">
    <x:font>
      <x:sz val="11"/>
      <x:name val="Carlito"/>
    </x:font>
    <x:font>
      <x:sz val="10"/>
      <x:color rgb="FF243247"/>
      <x:name val="Arial"/>
    </x:font>
    <x:font>
      <x:b/>
      <x:sz val="16"/>
      <x:color rgb="FF172B4D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E60"/>
      </x:patternFill>
    </x:fill>
    <x:fill>
      <x:patternFill patternType="solid">
        <x:fgColor rgb="FFFFF1B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DB9C9"/>
      </x:bottom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201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/>
    <x:xf numFmtId="202" fontId="1" fillId="3" borderId="0" xfId="0" applyNumberFormat="1" applyFont="1" applyFill="1" applyBorder="1"/>
  </x:cellXfs>
  <x:cellStyles count="1">
    <x:cellStyle name="Normal" xfId="0"/>
  </x:cellStyles>
  <x:dxfs count="3"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9A6700"/>
      </x:font>
      <x:fill>
        <x:patternFill patternType="solid">
          <x:bgColor rgb="FFFFF1BF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Plan'!$A$10:$A$28</c:f>
              <c:strCache>
                <c:ptCount val="19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2026-10-17T14:00:00+00:00</c:v>
                </c:pt>
                <c:pt idx="14">
                  <c:v>2026-10-17T14:00:00+00:00</c:v>
                </c:pt>
                <c:pt idx="15">
                  <c:v>2026-10-18T12:00:00+00:00</c:v>
                </c:pt>
                <c:pt idx="16">
                  <c:v>2026-10-18T16:30:00+00:00</c:v>
                </c:pt>
                <c:pt idx="17">
                  <c:v>2026-10-18T19:00:00+00:00</c:v>
                </c:pt>
                <c:pt idx="18">
                  <c:v>2026-10-19T19:00:00+00:00</c:v>
                </c:pt>
              </c:strCache>
            </c:strRef>
          </c:cat>
          <c:val>
            <c:numRef>
              <c:f>'ROI Plan'!$F$10:$F$28</c:f>
              <c:numCache>
                <c:formatCode>General</c:formatCode>
                <c:ptCount val="19"/>
                <c:pt idx="0">
                  <c:v>0</c:v>
                </c:pt>
                <c:pt idx="1">
                  <c:v>-1</c:v>
                </c:pt>
                <c:pt idx="2">
                  <c:v>-2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-1.51</c:v>
                </c:pt>
                <c:pt idx="9">
                  <c:v>-1.51</c:v>
                </c:pt>
                <c:pt idx="10">
                  <c:v>-1.51</c:v>
                </c:pt>
                <c:pt idx="11">
                  <c:v>-1.51</c:v>
                </c:pt>
                <c:pt idx="12">
                  <c:v>-1.51</c:v>
                </c:pt>
                <c:pt idx="13">
                  <c:v>-1.51</c:v>
                </c:pt>
                <c:pt idx="14">
                  <c:v>-1.51</c:v>
                </c:pt>
                <c:pt idx="15">
                  <c:v>-1.51</c:v>
                </c:pt>
                <c:pt idx="16">
                  <c:v>-1.51</c:v>
                </c:pt>
                <c:pt idx="17">
                  <c:v>-1.51</c:v>
                </c:pt>
                <c:pt idx="18">
                  <c:v>-1.51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0.6822834074295536</c:v>
                </c:pt>
                <c:pt idx="3">
                  <c:v>0.7778468551107348</c:v>
                </c:pt>
                <c:pt idx="4">
                  <c:v>0.8566010078816761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0.6666666666666666</c:v>
                </c:pt>
                <c:pt idx="4">
                  <c:v>0.3333333333333333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5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beffbb236b4723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8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4acae8c5114e58"/>
        </a:graphicData>
      </a:graphic>
    </xdr:graphicFrame>
    <xdr:clientData/>
  </xdr:twoCellAnchor>
  <xdr:twoCellAnchor>
    <xdr:from>
      <xdr:col>8</xdr:col>
      <xdr:colOff>0</xdr:colOff>
      <xdr:row>30</xdr:row>
      <xdr:rowOff>0</xdr:rowOff>
    </xdr:from>
    <xdr:to>
      <xdr:col>17</xdr:col>
      <xdr:colOff>0</xdr:colOff>
      <xdr:row>46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fd18e031a3467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5" name="ROILedger" displayName="ROILedger" ref="A9:J28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1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Overconfidence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4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3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showGridLines="0" workbookViewId="0"/>
  </sheetViews>
  <sheetFormatPr defaultRowHeight="15"/>
  <cols>
    <col min="1" max="1" width="32" hidden="0" customWidth="1"/>
    <col min="2" max="2" width="20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Football forward performance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Only verified 90-minute results settle a selection. Win rate = wins / settled selections.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5" t="str">
        <v>Metric</v>
      </c>
      <c r="B6" s="5" t="str">
        <v>Result</v>
      </c>
      <c r="C6" s="1"/>
      <c r="D6" s="5" t="str">
        <v>Tier</v>
      </c>
      <c r="E6" s="5" t="str">
        <v>Settled</v>
      </c>
      <c r="F6" s="5" t="str">
        <v>Win rate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Archived selections</v>
      </c>
      <c r="B7" s="12">
        <f>Breakdowns!C6</f>
        <v>19</v>
      </c>
      <c r="C7" s="1"/>
      <c r="D7" s="1" t="str">
        <v>STRICT</v>
      </c>
      <c r="E7" s="12">
        <f>Breakdowns!D7</f>
        <v>2</v>
      </c>
      <c r="F7" s="13">
        <f>Breakdowns!H7</f>
        <v>1.0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str">
        <v>Settled selections</v>
      </c>
      <c r="B8" s="12">
        <f>Breakdowns!D6</f>
        <v>7</v>
      </c>
      <c r="C8" s="1"/>
      <c r="D8" s="1" t="str">
        <v>PROVISIONAL</v>
      </c>
      <c r="E8" s="12">
        <f>Breakdowns!D8</f>
        <v>5</v>
      </c>
      <c r="F8" s="13">
        <f>Breakdowns!H8</f>
        <v>0.4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str">
        <v>Wins</v>
      </c>
      <c r="B9" s="12">
        <f>Breakdowns!E6</f>
        <v>4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str">
        <v>Losses</v>
      </c>
      <c r="B10" s="12">
        <f>Breakdowns!F6</f>
        <v>3</v>
      </c>
      <c r="C10" s="1"/>
      <c r="D10" s="1" t="str">
        <v>Evidence status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str">
        <v>Pending / unverified</v>
      </c>
      <c r="B11" s="12">
        <f>Breakdowns!G6</f>
        <v>12</v>
      </c>
      <c r="C11" s="1"/>
      <c r="D11" s="1" t="str">
        <f>IF(B8=0,"Awaiting verified results",IF(B8&lt;30,"Early sample: continue forward testing","Review calibration and ROI by segment"))</f>
        <v>Early sample: continue forward testing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str">
        <v>Win rate</v>
      </c>
      <c r="B12" s="13">
        <f>Breakdowns!H6</f>
        <v>0.5714285714285714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str">
        <v>Simulated flat-stake ROI</v>
      </c>
      <c r="B13" s="13">
        <f>Breakdowns!K6</f>
        <v>-0.21571428571428572</v>
      </c>
      <c r="C13" s="1"/>
      <c r="D13" s="1" t="str">
        <v>Results coverage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str">
        <v>Net profit (units)</v>
      </c>
      <c r="B14" s="15">
        <f>Breakdowns!J6</f>
        <v>-1.51</v>
      </c>
      <c r="C14" s="1"/>
      <c r="D14" s="1" t="inlineStr">
        <is>
          <t>7 settled; 12 pending / unverified</t>
        </is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str">
        <v>Binary Brier</v>
      </c>
      <c r="B15" s="14">
        <f>Breakdowns!L6</f>
        <v>0.3092991303835796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str">
        <v>1X2 forecast accuracy</v>
      </c>
      <c r="B16" s="13">
        <f>IF(COUNT(Predictions!H6:H93)=0,"n.a.",AVERAGE(Predictions!H6:H93))</f>
        <v>0.6111111111111112</v>
      </c>
      <c r="C16" s="1"/>
      <c r="D16" s="1" t="inlineStr">
        <is>
          <t>Forecast metric</t>
        </is>
      </c>
      <c r="E16" s="1" t="inlineStr">
        <is>
          <t>Samples</t>
        </is>
      </c>
      <c r="F16" s="1" t="inlineStr">
        <is>
          <t>Accuracy</t>
        </is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str">
        <v>1X2 multiclass Brier</v>
      </c>
      <c r="B17" s="14">
        <f>IF(COUNT(Predictions!I6:I93)=0,"n.a.",AVERAGE(Predictions!I6:I93))</f>
        <v>0.5584064911111111</v>
      </c>
      <c r="C17" s="1"/>
      <c r="D17" s="1" t="inlineStr">
        <is>
          <t>Over 1.5</t>
        </is>
      </c>
      <c r="E17" s="1">
        <f>COUNT(Predictions!J6:J93)</f>
        <v>18</v>
      </c>
      <c r="F17" s="9">
        <f>IF(E17=0,"n.a.",AVERAGE(Predictions!J6:J93))</f>
        <v>1.0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str">
        <v>Win-rate 95% lower</v>
      </c>
      <c r="B18" s="13">
        <f>IF(B8=0,"n.a.",(B12+1.96^2/(2*B8)-1.96*SQRT(B12*(1-B12)/B8+1.96^2/(4*B8^2)))/(1+1.96^2/B8))</f>
        <v>0.2504542304090258</v>
      </c>
      <c r="C18" s="1"/>
      <c r="D18" s="1" t="inlineStr">
        <is>
          <t>Under 3.5</t>
        </is>
      </c>
      <c r="E18" s="1">
        <f>COUNT(Predictions!K6:K93)</f>
        <v>18</v>
      </c>
      <c r="F18" s="9">
        <f>IF(E18=0,"n.a.",AVERAGE(Predictions!K6:K93))</f>
        <v>0.5555555555555556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str">
        <v>Win-rate 95% upper</v>
      </c>
      <c r="B19" s="13">
        <f>IF(B8=0,"n.a.",(B12+1.96^2/(2*B8)+1.96*SQRT(B12*(1-B12)/B8+1.96^2/(4*B8^2)))/(1+1.96^2/B8))</f>
        <v>0.8417830777373732</v>
      </c>
      <c r="C19" s="1"/>
      <c r="D19" s="1" t="inlineStr">
        <is>
          <t>BTTS Yes</t>
        </is>
      </c>
      <c r="E19" s="1">
        <f>COUNT(Predictions!L6:L93)</f>
        <v>18</v>
      </c>
      <c r="F19" s="9">
        <f>IF(E19=0,"n.a.",AVERAGE(Predictions!L6:L93))</f>
        <v>0.5555555555555556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ht="22" customHeight="1">
      <c r="A20" s="1"/>
      <c r="B20" s="1"/>
      <c r="C20" s="1"/>
      <c r="D20" s="1" t="inlineStr">
        <is>
          <t>BTTS No</t>
        </is>
      </c>
      <c r="E20" s="1">
        <f>COUNT(Predictions!M6:M93)</f>
        <v>18</v>
      </c>
      <c r="F20" s="9">
        <f>IF(E20=0,"n.a.",AVERAGE(Predictions!M6:M93))</f>
        <v>0.5555555555555556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Conclusion: 4 wins from 7 settled selections. Early evidence; do not retune from this sample.</t>
        </is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ht="22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str">
        <v>ROI Plan: editable bankroll and flat stake. ROI excludes settled entries with missing odds.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str">
        <v>Model review: compare tiers, markets, leagues and policies in Breakdowns. Decisions remain manual.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str">
        <v>Weeks use the ISO calendar, not competition matchweek numbers.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Result-source issues: none recorded</t>
        </is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Review as of UTC: 2026-10-13T11:10:06Z</t>
        </is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PROVISIONAL is a research watchlist. Positive simulated ROI does not establish profitability.</t>
        </is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Review notes use 30 scored samples as a prompt, not statistical proof. Reassess on a future holdout.</t>
        </is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ht="22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2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2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22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22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22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2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2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2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2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2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2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2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2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2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2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2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2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2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2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2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2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2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2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2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9" topLeftCell="A10" activePane="bottomLeft" state="frozen"/>
    </sheetView>
  </sheetViews>
  <sheetFormatPr defaultRowHeight="15"/>
  <cols>
    <col min="1" max="1" width="25" hidden="0" customWidth="1"/>
    <col min="2" max="2" width="44" hidden="0" customWidth="1"/>
    <col min="3" max="3" width="38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ROI Plan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36" customHeight="1">
      <c r="A9" s="7" t="str">
        <v>Kickoff label</v>
      </c>
      <c r="B9" s="7" t="str">
        <v>Match</v>
      </c>
      <c r="C9" s="7" t="str">
        <v>Status</v>
      </c>
      <c r="D9" s="7" t="str">
        <v>Staked units</v>
      </c>
      <c r="E9" s="7" t="str">
        <v>Profit units</v>
      </c>
      <c r="F9" s="7" t="str">
        <v>Cumulative profit</v>
      </c>
      <c r="G9" s="7" t="str">
        <v>Simulated bankroll</v>
      </c>
      <c r="H9" s="7" t="str">
        <v>Peak bankroll</v>
      </c>
      <c r="I9" s="7" t="str">
        <v>Drawdown</v>
      </c>
      <c r="J9" s="7" t="str">
        <v>ISO week</v>
      </c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2026-10-11T12:00:00+00:00</t>
        </is>
      </c>
      <c r="B10" s="1" t="inlineStr">
        <is>
          <t>Elche CF vs Celta Vigo</t>
        </is>
      </c>
      <c r="C10" s="1" t="inlineStr">
        <is>
          <t>UNVERIFIED_FIXTURE_OR_RESULT</t>
        </is>
      </c>
      <c r="D10" s="10" t="str">
        <f>IF(ISNUMBER(Selections!M6),Selections!M6,"")</f>
        <v/>
      </c>
      <c r="E10" s="10" t="str">
        <f>IF(ISNUMBER(Selections!N6),Selections!N6,"")</f>
        <v/>
      </c>
      <c r="F10" s="10">
        <f>SUM($E$10:E10)</f>
        <v>0</v>
      </c>
      <c r="G10" s="10">
        <f>$B$4+F10</f>
        <v>100</v>
      </c>
      <c r="H10" s="10">
        <f>MAX($B$4,$G$10:G10)</f>
        <v>100</v>
      </c>
      <c r="I10" s="10">
        <f>H10-G10</f>
        <v>0</v>
      </c>
      <c r="J10" s="1" t="inlineStr">
        <is>
          <t>2026-W41</t>
        </is>
      </c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2026-10-11T13:00:00+00:00</t>
        </is>
      </c>
      <c r="B11" s="1" t="inlineStr">
        <is>
          <t>Crystal Palace vs Nottingham Forest</t>
        </is>
      </c>
      <c r="C11" s="1" t="inlineStr">
        <is>
          <t>LOST</t>
        </is>
      </c>
      <c r="D11" s="10">
        <f>IF(ISNUMBER(Selections!M7),Selections!M7,"")</f>
        <v>1</v>
      </c>
      <c r="E11" s="10">
        <f>IF(ISNUMBER(Selections!N7),Selections!N7,"")</f>
        <v>-1</v>
      </c>
      <c r="F11" s="10">
        <f>SUM($E$10:E11)</f>
        <v>-1</v>
      </c>
      <c r="G11" s="10">
        <f>$B$4+F11</f>
        <v>99</v>
      </c>
      <c r="H11" s="10">
        <f>MAX($B$4,$G$10:G11)</f>
        <v>100</v>
      </c>
      <c r="I11" s="10">
        <f>H11-G11</f>
        <v>1</v>
      </c>
      <c r="J11" s="1" t="inlineStr">
        <is>
          <t>2026-W41</t>
        </is>
      </c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inlineStr">
        <is>
          <t>2026-10-11T13:00:00+00:00</t>
        </is>
      </c>
      <c r="B12" s="1" t="inlineStr">
        <is>
          <t>Hull City vs Everton</t>
        </is>
      </c>
      <c r="C12" s="1" t="inlineStr">
        <is>
          <t>LOST</t>
        </is>
      </c>
      <c r="D12" s="10">
        <f>IF(ISNUMBER(Selections!M8),Selections!M8,"")</f>
        <v>1</v>
      </c>
      <c r="E12" s="10">
        <f>IF(ISNUMBER(Selections!N8),Selections!N8,"")</f>
        <v>-1</v>
      </c>
      <c r="F12" s="10">
        <f>SUM($E$10:E12)</f>
        <v>-2</v>
      </c>
      <c r="G12" s="10">
        <f>$B$4+F12</f>
        <v>98</v>
      </c>
      <c r="H12" s="10">
        <f>MAX($B$4,$G$10:G12)</f>
        <v>100</v>
      </c>
      <c r="I12" s="10">
        <f>H12-G12</f>
        <v>2</v>
      </c>
      <c r="J12" s="1" t="inlineStr">
        <is>
          <t>2026-W41</t>
        </is>
      </c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inlineStr">
        <is>
          <t>2026-10-11T13:00:00+00:00</t>
        </is>
      </c>
      <c r="B13" s="1" t="inlineStr">
        <is>
          <t>Lecce vs Bologna</t>
        </is>
      </c>
      <c r="C13" s="1" t="inlineStr">
        <is>
          <t>WON</t>
        </is>
      </c>
      <c r="D13" s="10">
        <f>IF(ISNUMBER(Selections!M9),Selections!M9,"")</f>
        <v>1</v>
      </c>
      <c r="E13" s="10">
        <f>IF(ISNUMBER(Selections!N9),Selections!N9,"")</f>
        <v>0.28</v>
      </c>
      <c r="F13" s="10">
        <f>SUM($E$10:E13)</f>
        <v>-1.72</v>
      </c>
      <c r="G13" s="10">
        <f>$B$4+F13</f>
        <v>98.28</v>
      </c>
      <c r="H13" s="10">
        <f>MAX($B$4,$G$10:G13)</f>
        <v>100</v>
      </c>
      <c r="I13" s="10">
        <f>H13-G13</f>
        <v>1.7199999999999989</v>
      </c>
      <c r="J13" s="1" t="inlineStr">
        <is>
          <t>2026-W41</t>
        </is>
      </c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inlineStr">
        <is>
          <t>2026-10-11T19:00:00+00:00</t>
        </is>
      </c>
      <c r="B14" s="1" t="inlineStr">
        <is>
          <t>Real Racing Club de Santander vs Valencia</t>
        </is>
      </c>
      <c r="C14" s="1" t="inlineStr">
        <is>
          <t>WON</t>
        </is>
      </c>
      <c r="D14" s="10">
        <f>IF(ISNUMBER(Selections!M10),Selections!M10,"")</f>
        <v>1</v>
      </c>
      <c r="E14" s="10">
        <f>IF(ISNUMBER(Selections!N10),Selections!N10,"")</f>
        <v>0.24</v>
      </c>
      <c r="F14" s="10">
        <f>SUM($E$10:E14)</f>
        <v>-1.48</v>
      </c>
      <c r="G14" s="10">
        <f>$B$4+F14</f>
        <v>98.52</v>
      </c>
      <c r="H14" s="10">
        <f>MAX($B$4,$G$10:G14)</f>
        <v>100</v>
      </c>
      <c r="I14" s="10">
        <f>H14-G14</f>
        <v>1.480000000000004</v>
      </c>
      <c r="J14" s="1" t="inlineStr">
        <is>
          <t>2026-W41</t>
        </is>
      </c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inlineStr">
        <is>
          <t>2026-10-12T16:30:00+00:00</t>
        </is>
      </c>
      <c r="B15" s="1" t="inlineStr">
        <is>
          <t>Atalanta BC vs Venezia</t>
        </is>
      </c>
      <c r="C15" s="1" t="inlineStr">
        <is>
          <t>WON</t>
        </is>
      </c>
      <c r="D15" s="10">
        <f>IF(ISNUMBER(Selections!M11),Selections!M11,"")</f>
        <v>1</v>
      </c>
      <c r="E15" s="10">
        <f>IF(ISNUMBER(Selections!N11),Selections!N11,"")</f>
        <v>0.6299999999999999</v>
      </c>
      <c r="F15" s="10">
        <f>SUM($E$10:E15)</f>
        <v>-0.8500000000000001</v>
      </c>
      <c r="G15" s="10">
        <f>$B$4+F15</f>
        <v>99.15</v>
      </c>
      <c r="H15" s="10">
        <f>MAX($B$4,$G$10:G15)</f>
        <v>100</v>
      </c>
      <c r="I15" s="10">
        <f>H15-G15</f>
        <v>0.8499999999999943</v>
      </c>
      <c r="J15" s="1" t="inlineStr">
        <is>
          <t>2026-W42</t>
        </is>
      </c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inlineStr">
        <is>
          <t>2026-10-12T19:00:00+00:00</t>
        </is>
      </c>
      <c r="B16" s="1" t="inlineStr">
        <is>
          <t>Levante vs Sevilla</t>
        </is>
      </c>
      <c r="C16" s="1" t="inlineStr">
        <is>
          <t>WON</t>
        </is>
      </c>
      <c r="D16" s="10">
        <f>IF(ISNUMBER(Selections!M12),Selections!M12,"")</f>
        <v>1</v>
      </c>
      <c r="E16" s="10">
        <f>IF(ISNUMBER(Selections!N12),Selections!N12,"")</f>
        <v>0.3400000000000001</v>
      </c>
      <c r="F16" s="10">
        <f>SUM($E$10:E16)</f>
        <v>-0.51</v>
      </c>
      <c r="G16" s="10">
        <f>$B$4+F16</f>
        <v>99.49</v>
      </c>
      <c r="H16" s="10">
        <f>MAX($B$4,$G$10:G16)</f>
        <v>100</v>
      </c>
      <c r="I16" s="10">
        <f>H16-G16</f>
        <v>0.5100000000000051</v>
      </c>
      <c r="J16" s="1" t="inlineStr">
        <is>
          <t>2026-W42</t>
        </is>
      </c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inlineStr">
        <is>
          <t>2026-10-12T19:00:00+00:00</t>
        </is>
      </c>
      <c r="B17" s="1" t="inlineStr">
        <is>
          <t>Coventry City vs Newcastle United</t>
        </is>
      </c>
      <c r="C17" s="1" t="inlineStr">
        <is>
          <t>LOST</t>
        </is>
      </c>
      <c r="D17" s="10">
        <f>IF(ISNUMBER(Selections!M13),Selections!M13,"")</f>
        <v>1</v>
      </c>
      <c r="E17" s="10">
        <f>IF(ISNUMBER(Selections!N13),Selections!N13,"")</f>
        <v>-1</v>
      </c>
      <c r="F17" s="10">
        <f>SUM($E$10:E17)</f>
        <v>-1.51</v>
      </c>
      <c r="G17" s="10">
        <f>$B$4+F17</f>
        <v>98.49</v>
      </c>
      <c r="H17" s="10">
        <f>MAX($B$4,$G$10:G17)</f>
        <v>100</v>
      </c>
      <c r="I17" s="10">
        <f>H17-G17</f>
        <v>1.5100000000000051</v>
      </c>
      <c r="J17" s="1" t="inlineStr">
        <is>
          <t>2026-W42</t>
        </is>
      </c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inlineStr">
        <is>
          <t>2026-10-13T19:00:00+00:00</t>
        </is>
      </c>
      <c r="B18" s="1" t="inlineStr">
        <is>
          <t>Atlético Madrid vs Manchester United</t>
        </is>
      </c>
      <c r="C18" s="1" t="inlineStr">
        <is>
          <t>PENDING_KICKOFF_OR_FINAL_SCORE</t>
        </is>
      </c>
      <c r="D18" s="10" t="str">
        <f>IF(ISNUMBER(Selections!M14),Selections!M14,"")</f>
        <v/>
      </c>
      <c r="E18" s="10" t="str">
        <f>IF(ISNUMBER(Selections!N14),Selections!N14,"")</f>
        <v/>
      </c>
      <c r="F18" s="10">
        <f>SUM($E$10:E18)</f>
        <v>-1.51</v>
      </c>
      <c r="G18" s="10">
        <f>$B$4+F18</f>
        <v>98.49</v>
      </c>
      <c r="H18" s="10">
        <f>MAX($B$4,$G$10:G18)</f>
        <v>100</v>
      </c>
      <c r="I18" s="10">
        <f>H18-G18</f>
        <v>1.5100000000000051</v>
      </c>
      <c r="J18" s="1" t="inlineStr">
        <is>
          <t>2026-W42</t>
        </is>
      </c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inlineStr">
        <is>
          <t>2026-10-13T19:00:00+00:00</t>
        </is>
      </c>
      <c r="B19" s="1" t="inlineStr">
        <is>
          <t>Galatasaray vs Barcelona</t>
        </is>
      </c>
      <c r="C19" s="1" t="inlineStr">
        <is>
          <t>PENDING_KICKOFF_OR_FINAL_SCORE</t>
        </is>
      </c>
      <c r="D19" s="10" t="str">
        <f>IF(ISNUMBER(Selections!M15),Selections!M15,"")</f>
        <v/>
      </c>
      <c r="E19" s="10" t="str">
        <f>IF(ISNUMBER(Selections!N15),Selections!N15,"")</f>
        <v/>
      </c>
      <c r="F19" s="10">
        <f>SUM($E$10:E19)</f>
        <v>-1.51</v>
      </c>
      <c r="G19" s="10">
        <f>$B$4+F19</f>
        <v>98.49</v>
      </c>
      <c r="H19" s="10">
        <f>MAX($B$4,$G$10:G19)</f>
        <v>100</v>
      </c>
      <c r="I19" s="10">
        <f>H19-G19</f>
        <v>1.5100000000000051</v>
      </c>
      <c r="J19" s="1" t="inlineStr">
        <is>
          <t>2026-W42</t>
        </is>
      </c>
      <c r="K19" s="1"/>
      <c r="L19" s="1"/>
      <c r="M19" s="1"/>
      <c r="N19" s="1"/>
      <c r="O19" s="1"/>
      <c r="P19" s="1"/>
      <c r="Q19" s="1"/>
      <c r="R19" s="1"/>
    </row>
    <row r="20" ht="22" customHeight="1">
      <c r="A20" s="1" t="inlineStr">
        <is>
          <t>2026-10-14T16:45:00+00:00</t>
        </is>
      </c>
      <c r="B20" s="1" t="inlineStr">
        <is>
          <t>Feyenoord vs Como</t>
        </is>
      </c>
      <c r="C20" s="1" t="inlineStr">
        <is>
          <t>PENDING_KICKOFF_OR_FINAL_SCORE</t>
        </is>
      </c>
      <c r="D20" s="10" t="str">
        <f>IF(ISNUMBER(Selections!M16),Selections!M16,"")</f>
        <v/>
      </c>
      <c r="E20" s="10" t="str">
        <f>IF(ISNUMBER(Selections!N16),Selections!N16,"")</f>
        <v/>
      </c>
      <c r="F20" s="10">
        <f>SUM($E$10:E20)</f>
        <v>-1.51</v>
      </c>
      <c r="G20" s="10">
        <f>$B$4+F20</f>
        <v>98.49</v>
      </c>
      <c r="H20" s="10">
        <f>MAX($B$4,$G$10:G20)</f>
        <v>100</v>
      </c>
      <c r="I20" s="10">
        <f>H20-G20</f>
        <v>1.5100000000000051</v>
      </c>
      <c r="J20" s="1" t="inlineStr">
        <is>
          <t>2026-W42</t>
        </is>
      </c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2026-10-14T19:00:00+00:00</t>
        </is>
      </c>
      <c r="B21" s="1" t="inlineStr">
        <is>
          <t>Aston Villa vs Fenerbahce</t>
        </is>
      </c>
      <c r="C21" s="1" t="inlineStr">
        <is>
          <t>PENDING_KICKOFF_OR_FINAL_SCORE</t>
        </is>
      </c>
      <c r="D21" s="10" t="str">
        <f>IF(ISNUMBER(Selections!M17),Selections!M17,"")</f>
        <v/>
      </c>
      <c r="E21" s="10" t="str">
        <f>IF(ISNUMBER(Selections!N17),Selections!N17,"")</f>
        <v/>
      </c>
      <c r="F21" s="10">
        <f>SUM($E$10:E21)</f>
        <v>-1.51</v>
      </c>
      <c r="G21" s="10">
        <f>$B$4+F21</f>
        <v>98.49</v>
      </c>
      <c r="H21" s="10">
        <f>MAX($B$4,$G$10:G21)</f>
        <v>100</v>
      </c>
      <c r="I21" s="10">
        <f>H21-G21</f>
        <v>1.5100000000000051</v>
      </c>
      <c r="J21" s="1" t="inlineStr">
        <is>
          <t>2026-W42</t>
        </is>
      </c>
      <c r="K21" s="1"/>
      <c r="L21" s="1"/>
      <c r="M21" s="1"/>
      <c r="N21" s="1"/>
      <c r="O21" s="1"/>
      <c r="P21" s="1"/>
      <c r="Q21" s="1"/>
      <c r="R21" s="1"/>
    </row>
    <row r="22" ht="22" customHeight="1">
      <c r="A22" s="1" t="inlineStr">
        <is>
          <t>2026-10-14T19:00:00+00:00</t>
        </is>
      </c>
      <c r="B22" s="1" t="inlineStr">
        <is>
          <t>Real Betis vs Porto</t>
        </is>
      </c>
      <c r="C22" s="1" t="inlineStr">
        <is>
          <t>PENDING_KICKOFF_OR_FINAL_SCORE</t>
        </is>
      </c>
      <c r="D22" s="10" t="str">
        <f>IF(ISNUMBER(Selections!M18),Selections!M18,"")</f>
        <v/>
      </c>
      <c r="E22" s="10" t="str">
        <f>IF(ISNUMBER(Selections!N18),Selections!N18,"")</f>
        <v/>
      </c>
      <c r="F22" s="10">
        <f>SUM($E$10:E22)</f>
        <v>-1.51</v>
      </c>
      <c r="G22" s="10">
        <f>$B$4+F22</f>
        <v>98.49</v>
      </c>
      <c r="H22" s="10">
        <f>MAX($B$4,$G$10:G22)</f>
        <v>100</v>
      </c>
      <c r="I22" s="10">
        <f>H22-G22</f>
        <v>1.5100000000000051</v>
      </c>
      <c r="J22" s="1" t="inlineStr">
        <is>
          <t>2026-W42</t>
        </is>
      </c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inlineStr">
        <is>
          <t>2026-10-17T14:00:00+00:00</t>
        </is>
      </c>
      <c r="B23" s="1" t="inlineStr">
        <is>
          <t>Fulham vs Hull City</t>
        </is>
      </c>
      <c r="C23" s="1" t="inlineStr">
        <is>
          <t>PENDING_KICKOFF_OR_FINAL_SCORE</t>
        </is>
      </c>
      <c r="D23" s="10" t="str">
        <f>IF(ISNUMBER(Selections!M19),Selections!M19,"")</f>
        <v/>
      </c>
      <c r="E23" s="10" t="str">
        <f>IF(ISNUMBER(Selections!N19),Selections!N19,"")</f>
        <v/>
      </c>
      <c r="F23" s="10">
        <f>SUM($E$10:E23)</f>
        <v>-1.51</v>
      </c>
      <c r="G23" s="10">
        <f>$B$4+F23</f>
        <v>98.49</v>
      </c>
      <c r="H23" s="10">
        <f>MAX($B$4,$G$10:G23)</f>
        <v>100</v>
      </c>
      <c r="I23" s="10">
        <f>H23-G23</f>
        <v>1.5100000000000051</v>
      </c>
      <c r="J23" s="1" t="inlineStr">
        <is>
          <t>2026-W42</t>
        </is>
      </c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inlineStr">
        <is>
          <t>2026-10-17T14:00:00+00:00</t>
        </is>
      </c>
      <c r="B24" s="1" t="inlineStr">
        <is>
          <t>Manchester City vs Ipswich Town</t>
        </is>
      </c>
      <c r="C24" s="1" t="inlineStr">
        <is>
          <t>PENDING_KICKOFF_OR_FINAL_SCORE</t>
        </is>
      </c>
      <c r="D24" s="10" t="str">
        <f>IF(ISNUMBER(Selections!M20),Selections!M20,"")</f>
        <v/>
      </c>
      <c r="E24" s="10" t="str">
        <f>IF(ISNUMBER(Selections!N20),Selections!N20,"")</f>
        <v/>
      </c>
      <c r="F24" s="10">
        <f>SUM($E$10:E24)</f>
        <v>-1.51</v>
      </c>
      <c r="G24" s="10">
        <f>$B$4+F24</f>
        <v>98.49</v>
      </c>
      <c r="H24" s="10">
        <f>MAX($B$4,$G$10:G24)</f>
        <v>100</v>
      </c>
      <c r="I24" s="10">
        <f>H24-G24</f>
        <v>1.5100000000000051</v>
      </c>
      <c r="J24" s="1" t="inlineStr">
        <is>
          <t>2026-W42</t>
        </is>
      </c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inlineStr">
        <is>
          <t>2026-10-18T12:00:00+00:00</t>
        </is>
      </c>
      <c r="B25" s="1" t="inlineStr">
        <is>
          <t>CA Osasuna vs Real Racing Club de Santander</t>
        </is>
      </c>
      <c r="C25" s="1" t="inlineStr">
        <is>
          <t>PENDING_KICKOFF_OR_FINAL_SCORE</t>
        </is>
      </c>
      <c r="D25" s="10" t="str">
        <f>IF(ISNUMBER(Selections!M21),Selections!M21,"")</f>
        <v/>
      </c>
      <c r="E25" s="10" t="str">
        <f>IF(ISNUMBER(Selections!N21),Selections!N21,"")</f>
        <v/>
      </c>
      <c r="F25" s="10">
        <f>SUM($E$10:E25)</f>
        <v>-1.51</v>
      </c>
      <c r="G25" s="10">
        <f>$B$4+F25</f>
        <v>98.49</v>
      </c>
      <c r="H25" s="10">
        <f>MAX($B$4,$G$10:G25)</f>
        <v>100</v>
      </c>
      <c r="I25" s="10">
        <f>H25-G25</f>
        <v>1.5100000000000051</v>
      </c>
      <c r="J25" s="1" t="inlineStr">
        <is>
          <t>2026-W42</t>
        </is>
      </c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2026-10-18T16:30:00+00:00</t>
        </is>
      </c>
      <c r="B26" s="1" t="inlineStr">
        <is>
          <t>Málaga vs Real Sociedad</t>
        </is>
      </c>
      <c r="C26" s="1" t="inlineStr">
        <is>
          <t>PENDING_KICKOFF_OR_FINAL_SCORE</t>
        </is>
      </c>
      <c r="D26" s="10" t="str">
        <f>IF(ISNUMBER(Selections!M22),Selections!M22,"")</f>
        <v/>
      </c>
      <c r="E26" s="10" t="str">
        <f>IF(ISNUMBER(Selections!N22),Selections!N22,"")</f>
        <v/>
      </c>
      <c r="F26" s="10">
        <f>SUM($E$10:E26)</f>
        <v>-1.51</v>
      </c>
      <c r="G26" s="10">
        <f>$B$4+F26</f>
        <v>98.49</v>
      </c>
      <c r="H26" s="10">
        <f>MAX($B$4,$G$10:G26)</f>
        <v>100</v>
      </c>
      <c r="I26" s="10">
        <f>H26-G26</f>
        <v>1.5100000000000051</v>
      </c>
      <c r="J26" s="1" t="inlineStr">
        <is>
          <t>2026-W42</t>
        </is>
      </c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2026-10-18T19:00:00+00:00</t>
        </is>
      </c>
      <c r="B27" s="1" t="inlineStr">
        <is>
          <t>Real Madrid vs Sevilla</t>
        </is>
      </c>
      <c r="C27" s="1" t="inlineStr">
        <is>
          <t>PENDING_KICKOFF_OR_FINAL_SCORE</t>
        </is>
      </c>
      <c r="D27" s="10" t="str">
        <f>IF(ISNUMBER(Selections!M23),Selections!M23,"")</f>
        <v/>
      </c>
      <c r="E27" s="10" t="str">
        <f>IF(ISNUMBER(Selections!N23),Selections!N23,"")</f>
        <v/>
      </c>
      <c r="F27" s="10">
        <f>SUM($E$10:E27)</f>
        <v>-1.51</v>
      </c>
      <c r="G27" s="10">
        <f>$B$4+F27</f>
        <v>98.49</v>
      </c>
      <c r="H27" s="10">
        <f>MAX($B$4,$G$10:G27)</f>
        <v>100</v>
      </c>
      <c r="I27" s="10">
        <f>H27-G27</f>
        <v>1.5100000000000051</v>
      </c>
      <c r="J27" s="1" t="inlineStr">
        <is>
          <t>2026-W42</t>
        </is>
      </c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2026-10-19T19:00:00+00:00</t>
        </is>
      </c>
      <c r="B28" s="1" t="inlineStr">
        <is>
          <t>Tottenham Hotspur vs Coventry City</t>
        </is>
      </c>
      <c r="C28" s="1" t="inlineStr">
        <is>
          <t>PENDING_KICKOFF_OR_FINAL_SCORE</t>
        </is>
      </c>
      <c r="D28" s="10" t="str">
        <f>IF(ISNUMBER(Selections!M24),Selections!M24,"")</f>
        <v/>
      </c>
      <c r="E28" s="10" t="str">
        <f>IF(ISNUMBER(Selections!N24),Selections!N24,"")</f>
        <v/>
      </c>
      <c r="F28" s="10">
        <f>SUM($E$10:E28)</f>
        <v>-1.51</v>
      </c>
      <c r="G28" s="10">
        <f>$B$4+F28</f>
        <v>98.49</v>
      </c>
      <c r="H28" s="10">
        <f>MAX($B$4,$G$10:G28)</f>
        <v>100</v>
      </c>
      <c r="I28" s="10">
        <f>H28-G28</f>
        <v>1.5100000000000051</v>
      </c>
      <c r="J28" s="1" t="inlineStr">
        <is>
          <t>2026-W43</t>
        </is>
      </c>
      <c r="K28" s="1"/>
      <c r="L28" s="1"/>
      <c r="M28" s="1"/>
      <c r="N28" s="1"/>
      <c r="O28" s="1"/>
      <c r="P28" s="1"/>
      <c r="Q28" s="1"/>
      <c r="R28" s="1"/>
    </row>
  </sheetData>
  <conditionalFormatting sqref="E10:E28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27" hidden="0" customWidth="1"/>
    <col min="2" max="2" width="27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2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Breakdowns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Calculated from the archived selection ledger. Pending outcomes are excluded from rates.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Dimension</v>
      </c>
      <c r="B5" s="7" t="str">
        <v>Group</v>
      </c>
      <c r="C5" s="7" t="str">
        <v>Archived</v>
      </c>
      <c r="D5" s="7" t="str">
        <v>Settled</v>
      </c>
      <c r="E5" s="7" t="str">
        <v>Wins</v>
      </c>
      <c r="F5" s="7" t="str">
        <v>Losses</v>
      </c>
      <c r="G5" s="7" t="str">
        <v>Pending</v>
      </c>
      <c r="H5" s="7" t="str">
        <v>Win rate</v>
      </c>
      <c r="I5" s="7" t="str">
        <v>Staked units</v>
      </c>
      <c r="J5" s="7" t="str">
        <v>Profit units</v>
      </c>
      <c r="K5" s="7" t="str">
        <v>ROI</v>
      </c>
      <c r="L5" s="7" t="str">
        <v>Brier</v>
      </c>
      <c r="M5" s="7" t="str">
        <v>Mean forecast</v>
      </c>
      <c r="N5" s="7" t="str">
        <v>Observed rate</v>
      </c>
      <c r="O5" s="7" t="str">
        <v>Overconfidence</v>
      </c>
      <c r="P5" s="7" t="str">
        <v>Probability samples</v>
      </c>
      <c r="Q5" s="7" t="str">
        <v>Review</v>
      </c>
      <c r="R5" s="1"/>
    </row>
    <row r="6" ht="22" customHeight="1">
      <c r="A6" s="1" t="inlineStr">
        <is>
          <t>All</t>
        </is>
      </c>
      <c r="B6" s="1" t="inlineStr">
        <is>
          <t>All selections</t>
        </is>
      </c>
      <c r="C6" s="12">
        <f>COUNTA(Selections!$A$6:$A$24)</f>
        <v>19</v>
      </c>
      <c r="D6" s="12">
        <f>(COUNTIFS(Selections!$K$6:$K$24,"WON")+COUNTIFS(Selections!$K$6:$K$24,"LOST"))</f>
        <v>7</v>
      </c>
      <c r="E6" s="12">
        <f>COUNTIFS(Selections!$K$6:$K$24,"WON")</f>
        <v>4</v>
      </c>
      <c r="F6" s="12">
        <f>COUNTIFS(Selections!$K$6:$K$24,"LOST")</f>
        <v>3</v>
      </c>
      <c r="G6" s="12">
        <f>COUNTA(Selections!$A$6:$A$24)-(COUNTIFS(Selections!$K$6:$K$24,"WON")+COUNTIFS(Selections!$K$6:$K$24,"LOST"))</f>
        <v>12</v>
      </c>
      <c r="H6" s="13">
        <f>IF((COUNTIFS(Selections!$K$6:$K$24,"WON")+COUNTIFS(Selections!$K$6:$K$24,"LOST"))=0,"n.a.",COUNTIFS(Selections!$K$6:$K$24,"WON")/(COUNTIFS(Selections!$K$6:$K$24,"WON")+COUNTIFS(Selections!$K$6:$K$24,"LOST")))</f>
        <v>0.5714285714285714</v>
      </c>
      <c r="I6" s="15">
        <f>SUM(Selections!$M$6:$M$24)</f>
        <v>7</v>
      </c>
      <c r="J6" s="15">
        <f>SUM(Selections!$N$6:$N$24)</f>
        <v>-1.51</v>
      </c>
      <c r="K6" s="13">
        <f>IF(SUM(Selections!$M$6:$M$24)=0,"n.a.",SUM(Selections!$N$6:$N$24)/SUM(Selections!$M$6:$M$24))</f>
        <v>-0.21571428571428572</v>
      </c>
      <c r="L6" s="14">
        <f>IF(SUM(Selections!$T$6:$T$24)=0,"n.a.",SUM(Selections!$O$6:$O$24)/SUM(Selections!$T$6:$T$24))</f>
        <v>0.3092991303835796</v>
      </c>
      <c r="M6" s="13">
        <f>IF(SUM(Selections!$T$6:$T$24)=0,"n.a.",SUM(Selections!$S$6:$S$24)/SUM(Selections!$T$6:$T$24))</f>
        <v>0.797946713772398</v>
      </c>
      <c r="N6" s="13">
        <f>IF(SUM(Selections!$T$6:$T$24)=0,"n.a.",(SUMIFS(Selections!$L$6:$L$24,Selections!$T$6:$T$24,1))/SUM(Selections!$T$6:$T$24))</f>
        <v>0.5714285714285714</v>
      </c>
      <c r="O6" s="13">
        <f>IF(SUM(Selections!$T$6:$T$24)=0,"n.a.",(SUM(Selections!$S$6:$S$24)-(SUMIFS(Selections!$L$6:$L$24,Selections!$T$6:$T$24,1)))/SUM(Selections!$T$6:$T$24))</f>
        <v>0.2265181423438266</v>
      </c>
      <c r="P6" s="12">
        <f>SUM(Selections!$T$6:$T$24)</f>
        <v>7</v>
      </c>
      <c r="Q6" s="1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(n=7).</v>
      </c>
      <c r="R6" s="1"/>
    </row>
    <row r="7" ht="22" customHeight="1">
      <c r="A7" s="1" t="inlineStr">
        <is>
          <t>Tier</t>
        </is>
      </c>
      <c r="B7" s="1" t="inlineStr">
        <is>
          <t>STRICT</t>
        </is>
      </c>
      <c r="C7" s="12">
        <f>COUNTIFS(Selections!$F$6:$F$24,"STRICT")</f>
        <v>9</v>
      </c>
      <c r="D7" s="12">
        <f>(COUNTIFS(Selections!$F$6:$F$24,"STRICT",Selections!$K$6:$K$24,"WON")+COUNTIFS(Selections!$F$6:$F$24,"STRICT",Selections!$K$6:$K$24,"LOST"))</f>
        <v>2</v>
      </c>
      <c r="E7" s="12">
        <f>COUNTIFS(Selections!$F$6:$F$24,"STRICT",Selections!$K$6:$K$24,"WON")</f>
        <v>2</v>
      </c>
      <c r="F7" s="12">
        <f>COUNTIFS(Selections!$F$6:$F$24,"STRICT",Selections!$K$6:$K$24,"LOST")</f>
        <v>0</v>
      </c>
      <c r="G7" s="12">
        <f>COUNTIFS(Selections!$F$6:$F$24,"STRICT")-(COUNTIFS(Selections!$F$6:$F$24,"STRICT",Selections!$K$6:$K$24,"WON")+COUNTIFS(Selections!$F$6:$F$24,"STRICT",Selections!$K$6:$K$24,"LOST"))</f>
        <v>7</v>
      </c>
      <c r="H7" s="13">
        <f>IF((COUNTIFS(Selections!$F$6:$F$24,"STRICT",Selections!$K$6:$K$24,"WON")+COUNTIFS(Selections!$F$6:$F$24,"STRICT",Selections!$K$6:$K$24,"LOST"))=0,"n.a.",COUNTIFS(Selections!$F$6:$F$24,"STRICT",Selections!$K$6:$K$24,"WON")/(COUNTIFS(Selections!$F$6:$F$24,"STRICT",Selections!$K$6:$K$24,"WON")+COUNTIFS(Selections!$F$6:$F$24,"STRICT",Selections!$K$6:$K$24,"LOST")))</f>
        <v>1.0</v>
      </c>
      <c r="I7" s="15">
        <f>SUMIFS(Selections!$M$6:$M$24,Selections!$F$6:$F$24,"STRICT")</f>
        <v>2</v>
      </c>
      <c r="J7" s="15">
        <f>SUMIFS(Selections!$N$6:$N$24,Selections!$F$6:$F$24,"STRICT")</f>
        <v>0.97</v>
      </c>
      <c r="K7" s="13">
        <f>IF(SUMIFS(Selections!$M$6:$M$24,Selections!$F$6:$F$24,"STRICT")=0,"n.a.",SUMIFS(Selections!$N$6:$N$24,Selections!$F$6:$F$24,"STRICT")/SUMIFS(Selections!$M$6:$M$24,Selections!$F$6:$F$24,"STRICT"))</f>
        <v>0.485</v>
      </c>
      <c r="L7" s="14">
        <f>IF(SUMIFS(Selections!$T$6:$T$24,Selections!$F$6:$F$24,"STRICT")=0,"n.a.",SUMIFS(Selections!$O$6:$O$24,Selections!$F$6:$F$24,"STRICT")/SUMIFS(Selections!$T$6:$T$24,Selections!$F$6:$F$24,"STRICT"))</f>
        <v>0.0742352290068108</v>
      </c>
      <c r="M7" s="13">
        <f>IF(SUMIFS(Selections!$T$6:$T$24,Selections!$F$6:$F$24,"STRICT")=0,"n.a.",SUMIFS(Selections!$S$6:$S$24,Selections!$F$6:$F$24,"STRICT")/SUMIFS(Selections!$T$6:$T$24,Selections!$F$6:$F$24,"STRICT"))</f>
        <v>0.7321386936427534</v>
      </c>
      <c r="N7" s="13">
        <f>IF(SUMIFS(Selections!$T$6:$T$24,Selections!$F$6:$F$24,"STRICT")=0,"n.a.",(SUMIFS(Selections!$L$6:$L$24,Selections!$F$6:$F$24,"STRICT",Selections!$T$6:$T$24,1))/SUMIFS(Selections!$T$6:$T$24,Selections!$F$6:$F$24,"STRICT"))</f>
        <v>1.0</v>
      </c>
      <c r="O7" s="13">
        <f>IF(SUMIFS(Selections!$T$6:$T$24,Selections!$F$6:$F$24,"STRICT")=0,"n.a.",(SUMIFS(Selections!$S$6:$S$24,Selections!$F$6:$F$24,"STRICT")-(SUMIFS(Selections!$L$6:$L$24,Selections!$F$6:$F$24,"STRICT",Selections!$T$6:$T$24,1)))/SUMIFS(Selections!$T$6:$T$24,Selections!$F$6:$F$24,"STRICT"))</f>
        <v>-0.2678613063572466</v>
      </c>
      <c r="P7" s="12">
        <f>SUMIFS(Selections!$T$6:$T$24,Selections!$F$6:$F$24,"STRICT")</f>
        <v>2</v>
      </c>
      <c r="Q7" s="1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(n=2).</v>
      </c>
      <c r="R7" s="1"/>
    </row>
    <row r="8" ht="22" customHeight="1">
      <c r="A8" s="1" t="inlineStr">
        <is>
          <t>Tier</t>
        </is>
      </c>
      <c r="B8" s="1" t="inlineStr">
        <is>
          <t>PROVISIONAL</t>
        </is>
      </c>
      <c r="C8" s="12">
        <f>COUNTIFS(Selections!$F$6:$F$24,"PROVISIONAL")</f>
        <v>10</v>
      </c>
      <c r="D8" s="12">
        <f>(COUNTIFS(Selections!$F$6:$F$24,"PROVISIONAL",Selections!$K$6:$K$24,"WON")+COUNTIFS(Selections!$F$6:$F$24,"PROVISIONAL",Selections!$K$6:$K$24,"LOST"))</f>
        <v>5</v>
      </c>
      <c r="E8" s="12">
        <f>COUNTIFS(Selections!$F$6:$F$24,"PROVISIONAL",Selections!$K$6:$K$24,"WON")</f>
        <v>2</v>
      </c>
      <c r="F8" s="12">
        <f>COUNTIFS(Selections!$F$6:$F$24,"PROVISIONAL",Selections!$K$6:$K$24,"LOST")</f>
        <v>3</v>
      </c>
      <c r="G8" s="12">
        <f>COUNTIFS(Selections!$F$6:$F$24,"PROVISIONAL")-(COUNTIFS(Selections!$F$6:$F$24,"PROVISIONAL",Selections!$K$6:$K$24,"WON")+COUNTIFS(Selections!$F$6:$F$24,"PROVISIONAL",Selections!$K$6:$K$24,"LOST"))</f>
        <v>5</v>
      </c>
      <c r="H8" s="13">
        <f>IF((COUNTIFS(Selections!$F$6:$F$24,"PROVISIONAL",Selections!$K$6:$K$24,"WON")+COUNTIFS(Selections!$F$6:$F$24,"PROVISIONAL",Selections!$K$6:$K$24,"LOST"))=0,"n.a.",COUNTIFS(Selections!$F$6:$F$24,"PROVISIONAL",Selections!$K$6:$K$24,"WON")/(COUNTIFS(Selections!$F$6:$F$24,"PROVISIONAL",Selections!$K$6:$K$24,"WON")+COUNTIFS(Selections!$F$6:$F$24,"PROVISIONAL",Selections!$K$6:$K$24,"LOST")))</f>
        <v>0.4</v>
      </c>
      <c r="I8" s="15">
        <f>SUMIFS(Selections!$M$6:$M$24,Selections!$F$6:$F$24,"PROVISIONAL")</f>
        <v>5</v>
      </c>
      <c r="J8" s="15">
        <f>SUMIFS(Selections!$N$6:$N$24,Selections!$F$6:$F$24,"PROVISIONAL")</f>
        <v>-2.48</v>
      </c>
      <c r="K8" s="13">
        <f>IF(SUMIFS(Selections!$M$6:$M$24,Selections!$F$6:$F$24,"PROVISIONAL")=0,"n.a.",SUMIFS(Selections!$N$6:$N$24,Selections!$F$6:$F$24,"PROVISIONAL")/SUMIFS(Selections!$M$6:$M$24,Selections!$F$6:$F$24,"PROVISIONAL"))</f>
        <v>-0.496</v>
      </c>
      <c r="L8" s="14">
        <f>IF(SUMIFS(Selections!$T$6:$T$24,Selections!$F$6:$F$24,"PROVISIONAL")=0,"n.a.",SUMIFS(Selections!$O$6:$O$24,Selections!$F$6:$F$24,"PROVISIONAL")/SUMIFS(Selections!$T$6:$T$24,Selections!$F$6:$F$24,"PROVISIONAL"))</f>
        <v>0.40332469093428713</v>
      </c>
      <c r="M8" s="13">
        <f>IF(SUMIFS(Selections!$T$6:$T$24,Selections!$F$6:$F$24,"PROVISIONAL")=0,"n.a.",SUMIFS(Selections!$S$6:$S$24,Selections!$F$6:$F$24,"PROVISIONAL")/SUMIFS(Selections!$T$6:$T$24,Selections!$F$6:$F$24,"PROVISIONAL"))</f>
        <v>0.824269921824256</v>
      </c>
      <c r="N8" s="13">
        <f>IF(SUMIFS(Selections!$T$6:$T$24,Selections!$F$6:$F$24,"PROVISIONAL")=0,"n.a.",(SUMIFS(Selections!$L$6:$L$24,Selections!$F$6:$F$24,"PROVISIONAL",Selections!$T$6:$T$24,1))/SUMIFS(Selections!$T$6:$T$24,Selections!$F$6:$F$24,"PROVISIONAL"))</f>
        <v>0.4</v>
      </c>
      <c r="O8" s="13">
        <f>IF(SUMIFS(Selections!$T$6:$T$24,Selections!$F$6:$F$24,"PROVISIONAL")=0,"n.a.",(SUMIFS(Selections!$S$6:$S$24,Selections!$F$6:$F$24,"PROVISIONAL")-(SUMIFS(Selections!$L$6:$L$24,Selections!$F$6:$F$24,"PROVISIONAL",Selections!$T$6:$T$24,1)))/SUMIFS(Selections!$T$6:$T$24,Selections!$F$6:$F$24,"PROVISIONAL"))</f>
        <v>0.42426992182425594</v>
      </c>
      <c r="P8" s="12">
        <f>SUMIFS(Selections!$T$6:$T$24,Selections!$F$6:$F$24,"PROVISIONAL")</f>
        <v>5</v>
      </c>
      <c r="Q8" s="1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"/>
    </row>
    <row r="9" ht="22" customHeight="1">
      <c r="A9" s="1" t="inlineStr">
        <is>
          <t>League</t>
        </is>
      </c>
      <c r="B9" s="1" t="inlineStr">
        <is>
          <t>La Liga</t>
        </is>
      </c>
      <c r="C9" s="12">
        <f>COUNTIFS(Selections!$C$6:$C$24,"La Liga")</f>
        <v>6</v>
      </c>
      <c r="D9" s="12">
        <f>(COUNTIFS(Selections!$C$6:$C$24,"La Liga",Selections!$K$6:$K$24,"WON")+COUNTIFS(Selections!$C$6:$C$24,"La Liga",Selections!$K$6:$K$24,"LOST"))</f>
        <v>2</v>
      </c>
      <c r="E9" s="12">
        <f>COUNTIFS(Selections!$C$6:$C$24,"La Liga",Selections!$K$6:$K$24,"WON")</f>
        <v>2</v>
      </c>
      <c r="F9" s="12">
        <f>COUNTIFS(Selections!$C$6:$C$24,"La Liga",Selections!$K$6:$K$24,"LOST")</f>
        <v>0</v>
      </c>
      <c r="G9" s="12">
        <f>COUNTIFS(Selections!$C$6:$C$24,"La Liga")-(COUNTIFS(Selections!$C$6:$C$24,"La Liga",Selections!$K$6:$K$24,"WON")+COUNTIFS(Selections!$C$6:$C$24,"La Liga",Selections!$K$6:$K$24,"LOST"))</f>
        <v>4</v>
      </c>
      <c r="H9" s="13">
        <f>IF((COUNTIFS(Selections!$C$6:$C$24,"La Liga",Selections!$K$6:$K$24,"WON")+COUNTIFS(Selections!$C$6:$C$24,"La Liga",Selections!$K$6:$K$24,"LOST"))=0,"n.a.",COUNTIFS(Selections!$C$6:$C$24,"La Liga",Selections!$K$6:$K$24,"WON")/(COUNTIFS(Selections!$C$6:$C$24,"La Liga",Selections!$K$6:$K$24,"WON")+COUNTIFS(Selections!$C$6:$C$24,"La Liga",Selections!$K$6:$K$24,"LOST")))</f>
        <v>1.0</v>
      </c>
      <c r="I9" s="15">
        <f>SUMIFS(Selections!$M$6:$M$24,Selections!$C$6:$C$24,"La Liga")</f>
        <v>2</v>
      </c>
      <c r="J9" s="15">
        <f>SUMIFS(Selections!$N$6:$N$24,Selections!$C$6:$C$24,"La Liga")</f>
        <v>0.5800000000000001</v>
      </c>
      <c r="K9" s="13">
        <f>IF(SUMIFS(Selections!$M$6:$M$24,Selections!$C$6:$C$24,"La Liga")=0,"n.a.",SUMIFS(Selections!$N$6:$N$24,Selections!$C$6:$C$24,"La Liga")/SUMIFS(Selections!$M$6:$M$24,Selections!$C$6:$C$24,"La Liga"))</f>
        <v>0.29000000000000004</v>
      </c>
      <c r="L9" s="14">
        <f>IF(SUMIFS(Selections!$T$6:$T$24,Selections!$C$6:$C$24,"La Liga")=0,"n.a.",SUMIFS(Selections!$O$6:$O$24,Selections!$C$6:$C$24,"La Liga")/SUMIFS(Selections!$T$6:$T$24,Selections!$C$6:$C$24,"La Liga"))</f>
        <v>0.028808603206313725</v>
      </c>
      <c r="M9" s="13">
        <f>IF(SUMIFS(Selections!$T$6:$T$24,Selections!$C$6:$C$24,"La Liga")=0,"n.a.",SUMIFS(Selections!$S$6:$S$24,Selections!$C$6:$C$24,"La Liga")/SUMIFS(Selections!$T$6:$T$24,Selections!$C$6:$C$24,"La Liga"))</f>
        <v>0.8407710464485831</v>
      </c>
      <c r="N9" s="13">
        <f>IF(SUMIFS(Selections!$T$6:$T$24,Selections!$C$6:$C$24,"La Liga")=0,"n.a.",(SUMIFS(Selections!$L$6:$L$24,Selections!$C$6:$C$24,"La Liga",Selections!$T$6:$T$24,1))/SUMIFS(Selections!$T$6:$T$24,Selections!$C$6:$C$24,"La Liga"))</f>
        <v>1.0</v>
      </c>
      <c r="O9" s="13">
        <f>IF(SUMIFS(Selections!$T$6:$T$24,Selections!$C$6:$C$24,"La Liga")=0,"n.a.",(SUMIFS(Selections!$S$6:$S$24,Selections!$C$6:$C$24,"La Liga")-(SUMIFS(Selections!$L$6:$L$24,Selections!$C$6:$C$24,"La Liga",Selections!$T$6:$T$24,1)))/SUMIFS(Selections!$T$6:$T$24,Selections!$C$6:$C$24,"La Liga"))</f>
        <v>-0.15922895355141686</v>
      </c>
      <c r="P9" s="12">
        <f>SUMIFS(Selections!$T$6:$T$24,Selections!$C$6:$C$24,"La Liga")</f>
        <v>2</v>
      </c>
      <c r="Q9" s="1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"/>
    </row>
    <row r="10" ht="22" customHeight="1">
      <c r="A10" s="1" t="inlineStr">
        <is>
          <t>League</t>
        </is>
      </c>
      <c r="B10" s="1" t="inlineStr">
        <is>
          <t>Premier League</t>
        </is>
      </c>
      <c r="C10" s="12">
        <f>COUNTIFS(Selections!$C$6:$C$24,"Premier League")</f>
        <v>6</v>
      </c>
      <c r="D10" s="12">
        <f>(COUNTIFS(Selections!$C$6:$C$24,"Premier League",Selections!$K$6:$K$24,"WON")+COUNTIFS(Selections!$C$6:$C$24,"Premier League",Selections!$K$6:$K$24,"LOST"))</f>
        <v>3</v>
      </c>
      <c r="E10" s="12">
        <f>COUNTIFS(Selections!$C$6:$C$24,"Premier League",Selections!$K$6:$K$24,"WON")</f>
        <v>0</v>
      </c>
      <c r="F10" s="12">
        <f>COUNTIFS(Selections!$C$6:$C$24,"Premier League",Selections!$K$6:$K$24,"LOST")</f>
        <v>3</v>
      </c>
      <c r="G10" s="12">
        <f>COUNTIFS(Selections!$C$6:$C$24,"Premier League")-(COUNTIFS(Selections!$C$6:$C$24,"Premier League",Selections!$K$6:$K$24,"WON")+COUNTIFS(Selections!$C$6:$C$24,"Premier League",Selections!$K$6:$K$24,"LOST"))</f>
        <v>3</v>
      </c>
      <c r="H10" s="13">
        <f>IF((COUNTIFS(Selections!$C$6:$C$24,"Premier League",Selections!$K$6:$K$24,"WON")+COUNTIFS(Selections!$C$6:$C$24,"Premier League",Selections!$K$6:$K$24,"LOST"))=0,"n.a.",COUNTIFS(Selections!$C$6:$C$24,"Premier League",Selections!$K$6:$K$24,"WON")/(COUNTIFS(Selections!$C$6:$C$24,"Premier League",Selections!$K$6:$K$24,"WON")+COUNTIFS(Selections!$C$6:$C$24,"Premier League",Selections!$K$6:$K$24,"LOST")))</f>
        <v>0.0</v>
      </c>
      <c r="I10" s="15">
        <f>SUMIFS(Selections!$M$6:$M$24,Selections!$C$6:$C$24,"Premier League")</f>
        <v>3</v>
      </c>
      <c r="J10" s="15">
        <f>SUMIFS(Selections!$N$6:$N$24,Selections!$C$6:$C$24,"Premier League")</f>
        <v>-3</v>
      </c>
      <c r="K10" s="13">
        <f>IF(SUMIFS(Selections!$M$6:$M$24,Selections!$C$6:$C$24,"Premier League")=0,"n.a.",SUMIFS(Selections!$N$6:$N$24,Selections!$C$6:$C$24,"Premier League")/SUMIFS(Selections!$M$6:$M$24,Selections!$C$6:$C$24,"Premier League"))</f>
        <v>-1.0</v>
      </c>
      <c r="L10" s="14">
        <f>IF(SUMIFS(Selections!$T$6:$T$24,Selections!$C$6:$C$24,"Premier League")=0,"n.a.",SUMIFS(Selections!$O$6:$O$24,Selections!$C$6:$C$24,"Premier League")/SUMIFS(Selections!$T$6:$T$24,Selections!$C$6:$C$24,"Premier League"))</f>
        <v>0.6550299989350173</v>
      </c>
      <c r="M10" s="13">
        <f>IF(SUMIFS(Selections!$T$6:$T$24,Selections!$C$6:$C$24,"Premier League")=0,"n.a.",SUMIFS(Selections!$S$6:$S$24,Selections!$C$6:$C$24,"Premier League")/SUMIFS(Selections!$T$6:$T$24,Selections!$C$6:$C$24,"Premier League"))</f>
        <v>0.8084589103334122</v>
      </c>
      <c r="N10" s="13">
        <f>IF(SUMIFS(Selections!$T$6:$T$24,Selections!$C$6:$C$24,"Premier League")=0,"n.a.",(SUMIFS(Selections!$L$6:$L$24,Selections!$C$6:$C$24,"Premier League",Selections!$T$6:$T$24,1))/SUMIFS(Selections!$T$6:$T$24,Selections!$C$6:$C$24,"Premier League"))</f>
        <v>0.0</v>
      </c>
      <c r="O10" s="13">
        <f>IF(SUMIFS(Selections!$T$6:$T$24,Selections!$C$6:$C$24,"Premier League")=0,"n.a.",(SUMIFS(Selections!$S$6:$S$24,Selections!$C$6:$C$24,"Premier League")-(SUMIFS(Selections!$L$6:$L$24,Selections!$C$6:$C$24,"Premier League",Selections!$T$6:$T$24,1)))/SUMIFS(Selections!$T$6:$T$24,Selections!$C$6:$C$24,"Premier League"))</f>
        <v>0.8084589103334122</v>
      </c>
      <c r="P10" s="12">
        <f>SUMIFS(Selections!$T$6:$T$24,Selections!$C$6:$C$24,"Premier League")</f>
        <v>3</v>
      </c>
      <c r="Q10" s="1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"/>
    </row>
    <row r="11" ht="22" customHeight="1">
      <c r="A11" s="1" t="inlineStr">
        <is>
          <t>League</t>
        </is>
      </c>
      <c r="B11" s="1" t="inlineStr">
        <is>
          <t>Serie A</t>
        </is>
      </c>
      <c r="C11" s="12">
        <f>COUNTIFS(Selections!$C$6:$C$24,"Serie A")</f>
        <v>2</v>
      </c>
      <c r="D11" s="12">
        <f>(COUNTIFS(Selections!$C$6:$C$24,"Serie A",Selections!$K$6:$K$24,"WON")+COUNTIFS(Selections!$C$6:$C$24,"Serie A",Selections!$K$6:$K$24,"LOST"))</f>
        <v>2</v>
      </c>
      <c r="E11" s="12">
        <f>COUNTIFS(Selections!$C$6:$C$24,"Serie A",Selections!$K$6:$K$24,"WON")</f>
        <v>2</v>
      </c>
      <c r="F11" s="12">
        <f>COUNTIFS(Selections!$C$6:$C$24,"Serie A",Selections!$K$6:$K$24,"LOST")</f>
        <v>0</v>
      </c>
      <c r="G11" s="12">
        <f>COUNTIFS(Selections!$C$6:$C$24,"Serie A")-(COUNTIFS(Selections!$C$6:$C$24,"Serie A",Selections!$K$6:$K$24,"WON")+COUNTIFS(Selections!$C$6:$C$24,"Serie A",Selections!$K$6:$K$24,"LOST"))</f>
        <v>0</v>
      </c>
      <c r="H11" s="13">
        <f>IF((COUNTIFS(Selections!$C$6:$C$24,"Serie A",Selections!$K$6:$K$24,"WON")+COUNTIFS(Selections!$C$6:$C$24,"Serie A",Selections!$K$6:$K$24,"LOST"))=0,"n.a.",COUNTIFS(Selections!$C$6:$C$24,"Serie A",Selections!$K$6:$K$24,"WON")/(COUNTIFS(Selections!$C$6:$C$24,"Serie A",Selections!$K$6:$K$24,"WON")+COUNTIFS(Selections!$C$6:$C$24,"Serie A",Selections!$K$6:$K$24,"LOST")))</f>
        <v>1.0</v>
      </c>
      <c r="I11" s="15">
        <f>SUMIFS(Selections!$M$6:$M$24,Selections!$C$6:$C$24,"Serie A")</f>
        <v>2</v>
      </c>
      <c r="J11" s="15">
        <f>SUMIFS(Selections!$N$6:$N$24,Selections!$C$6:$C$24,"Serie A")</f>
        <v>0.9099999999999999</v>
      </c>
      <c r="K11" s="13">
        <f>IF(SUMIFS(Selections!$M$6:$M$24,Selections!$C$6:$C$24,"Serie A")=0,"n.a.",SUMIFS(Selections!$N$6:$N$24,Selections!$C$6:$C$24,"Serie A")/SUMIFS(Selections!$M$6:$M$24,Selections!$C$6:$C$24,"Serie A"))</f>
        <v>0.45499999999999996</v>
      </c>
      <c r="L11" s="14">
        <f>IF(SUMIFS(Selections!$T$6:$T$24,Selections!$C$6:$C$24,"Serie A")=0,"n.a.",SUMIFS(Selections!$O$6:$O$24,Selections!$C$6:$C$24,"Serie A")/SUMIFS(Selections!$T$6:$T$24,Selections!$C$6:$C$24,"Serie A"))</f>
        <v>0.07119335473368883</v>
      </c>
      <c r="M11" s="13">
        <f>IF(SUMIFS(Selections!$T$6:$T$24,Selections!$C$6:$C$24,"Serie A")=0,"n.a.",SUMIFS(Selections!$S$6:$S$24,Selections!$C$6:$C$24,"Serie A")/SUMIFS(Selections!$T$6:$T$24,Selections!$C$6:$C$24,"Serie A"))</f>
        <v>0.7393540862546915</v>
      </c>
      <c r="N11" s="13">
        <f>IF(SUMIFS(Selections!$T$6:$T$24,Selections!$C$6:$C$24,"Serie A")=0,"n.a.",(SUMIFS(Selections!$L$6:$L$24,Selections!$C$6:$C$24,"Serie A",Selections!$T$6:$T$24,1))/SUMIFS(Selections!$T$6:$T$24,Selections!$C$6:$C$24,"Serie A"))</f>
        <v>1.0</v>
      </c>
      <c r="O11" s="13">
        <f>IF(SUMIFS(Selections!$T$6:$T$24,Selections!$C$6:$C$24,"Serie A")=0,"n.a.",(SUMIFS(Selections!$S$6:$S$24,Selections!$C$6:$C$24,"Serie A")-(SUMIFS(Selections!$L$6:$L$24,Selections!$C$6:$C$24,"Serie A",Selections!$T$6:$T$24,1)))/SUMIFS(Selections!$T$6:$T$24,Selections!$C$6:$C$24,"Serie A"))</f>
        <v>-0.26064591374530854</v>
      </c>
      <c r="P11" s="12">
        <f>SUMIFS(Selections!$T$6:$T$24,Selections!$C$6:$C$24,"Serie A")</f>
        <v>2</v>
      </c>
      <c r="Q11" s="1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"/>
    </row>
    <row r="12" ht="22" customHeight="1">
      <c r="A12" s="1" t="inlineStr">
        <is>
          <t>League</t>
        </is>
      </c>
      <c r="B12" s="1" t="inlineStr">
        <is>
          <t>UEFA Champions League</t>
        </is>
      </c>
      <c r="C12" s="12">
        <f>COUNTIFS(Selections!$C$6:$C$24,"UEFA Champions League")</f>
        <v>5</v>
      </c>
      <c r="D12" s="12">
        <f>(COUNTIFS(Selections!$C$6:$C$24,"UEFA Champions League",Selections!$K$6:$K$24,"WON")+COUNTIFS(Selections!$C$6:$C$24,"UEFA Champions League",Selections!$K$6:$K$24,"LOST"))</f>
        <v>0</v>
      </c>
      <c r="E12" s="12">
        <f>COUNTIFS(Selections!$C$6:$C$24,"UEFA Champions League",Selections!$K$6:$K$24,"WON")</f>
        <v>0</v>
      </c>
      <c r="F12" s="12">
        <f>COUNTIFS(Selections!$C$6:$C$24,"UEFA Champions League",Selections!$K$6:$K$24,"LOST")</f>
        <v>0</v>
      </c>
      <c r="G12" s="12">
        <f>COUNTIFS(Selections!$C$6:$C$24,"UEFA Champions League")-(COUNTIFS(Selections!$C$6:$C$24,"UEFA Champions League",Selections!$K$6:$K$24,"WON")+COUNTIFS(Selections!$C$6:$C$24,"UEFA Champions League",Selections!$K$6:$K$24,"LOST"))</f>
        <v>5</v>
      </c>
      <c r="H12" s="13" t="str">
        <f>IF((COUNTIFS(Selections!$C$6:$C$24,"UEFA Champions League",Selections!$K$6:$K$24,"WON")+COUNTIFS(Selections!$C$6:$C$24,"UEFA Champions League",Selections!$K$6:$K$24,"LOST"))=0,"n.a.",COUNTIFS(Selections!$C$6:$C$24,"UEFA Champions League",Selections!$K$6:$K$24,"WON")/(COUNTIFS(Selections!$C$6:$C$24,"UEFA Champions League",Selections!$K$6:$K$24,"WON")+COUNTIFS(Selections!$C$6:$C$24,"UEFA Champions League",Selections!$K$6:$K$24,"LOST")))</f>
        <v>n.a.</v>
      </c>
      <c r="I12" s="15">
        <f>SUMIFS(Selections!$M$6:$M$24,Selections!$C$6:$C$24,"UEFA Champions League")</f>
        <v>0</v>
      </c>
      <c r="J12" s="15">
        <f>SUMIFS(Selections!$N$6:$N$24,Selections!$C$6:$C$24,"UEFA Champions League")</f>
        <v>0</v>
      </c>
      <c r="K12" s="13" t="str">
        <f>IF(SUMIFS(Selections!$M$6:$M$24,Selections!$C$6:$C$24,"UEFA Champions League")=0,"n.a.",SUMIFS(Selections!$N$6:$N$24,Selections!$C$6:$C$24,"UEFA Champions League")/SUMIFS(Selections!$M$6:$M$24,Selections!$C$6:$C$24,"UEFA Champions League"))</f>
        <v>n.a.</v>
      </c>
      <c r="L12" s="14" t="str">
        <f>IF(SUMIFS(Selections!$T$6:$T$24,Selections!$C$6:$C$24,"UEFA Champions League")=0,"n.a.",SUMIFS(Selections!$O$6:$O$24,Selections!$C$6:$C$24,"UEFA Champions League")/SUMIFS(Selections!$T$6:$T$24,Selections!$C$6:$C$24,"UEFA Champions League"))</f>
        <v>n.a.</v>
      </c>
      <c r="M12" s="13" t="str">
        <f>IF(SUMIFS(Selections!$T$6:$T$24,Selections!$C$6:$C$24,"UEFA Champions League")=0,"n.a.",SUMIFS(Selections!$S$6:$S$24,Selections!$C$6:$C$24,"UEFA Champions League")/SUMIFS(Selections!$T$6:$T$24,Selections!$C$6:$C$24,"UEFA Champions League"))</f>
        <v>n.a.</v>
      </c>
      <c r="N12" s="13" t="str">
        <f>IF(SUMIFS(Selections!$T$6:$T$24,Selections!$C$6:$C$24,"UEFA Champions League")=0,"n.a.",(SUMIFS(Selections!$L$6:$L$24,Selections!$C$6:$C$24,"UEFA Champions League",Selections!$T$6:$T$24,1))/SUMIFS(Selections!$T$6:$T$24,Selections!$C$6:$C$24,"UEFA Champions League"))</f>
        <v>n.a.</v>
      </c>
      <c r="O12" s="13" t="str">
        <f>IF(SUMIFS(Selections!$T$6:$T$24,Selections!$C$6:$C$24,"UEFA Champions League")=0,"n.a.",(SUMIFS(Selections!$S$6:$S$24,Selections!$C$6:$C$24,"UEFA Champions League")-(SUMIFS(Selections!$L$6:$L$24,Selections!$C$6:$C$24,"UEFA Champions League",Selections!$T$6:$T$24,1)))/SUMIFS(Selections!$T$6:$T$24,Selections!$C$6:$C$24,"UEFA Champions League"))</f>
        <v>n.a.</v>
      </c>
      <c r="P12" s="12">
        <f>SUMIFS(Selections!$T$6:$T$24,Selections!$C$6:$C$24,"UEFA Champions League")</f>
        <v>0</v>
      </c>
      <c r="Q12" s="1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(n=0).</v>
      </c>
      <c r="R12" s="1"/>
    </row>
    <row r="13" ht="22" customHeight="1">
      <c r="A13" s="1" t="inlineStr">
        <is>
          <t>Market</t>
        </is>
      </c>
      <c r="B13" s="1" t="inlineStr">
        <is>
          <t>Both Teams to Score - Yes</t>
        </is>
      </c>
      <c r="C13" s="12">
        <f>COUNTIFS(Selections!$E$6:$E$24,"Both Teams to Score - Yes")</f>
        <v>1</v>
      </c>
      <c r="D13" s="12">
        <f>(COUNTIFS(Selections!$E$6:$E$24,"Both Teams to Score - Yes",Selections!$K$6:$K$24,"WON")+COUNTIFS(Selections!$E$6:$E$24,"Both Teams to Score - Yes",Selections!$K$6:$K$24,"LOST"))</f>
        <v>0</v>
      </c>
      <c r="E13" s="12">
        <f>COUNTIFS(Selections!$E$6:$E$24,"Both Teams to Score - Yes",Selections!$K$6:$K$24,"WON")</f>
        <v>0</v>
      </c>
      <c r="F13" s="12">
        <f>COUNTIFS(Selections!$E$6:$E$24,"Both Teams to Score - Yes",Selections!$K$6:$K$24,"LOST")</f>
        <v>0</v>
      </c>
      <c r="G13" s="12">
        <f>COUNTIFS(Selections!$E$6:$E$24,"Both Teams to Score - Yes")-(COUNTIFS(Selections!$E$6:$E$24,"Both Teams to Score - Yes",Selections!$K$6:$K$24,"WON")+COUNTIFS(Selections!$E$6:$E$24,"Both Teams to Score - Yes",Selections!$K$6:$K$24,"LOST"))</f>
        <v>1</v>
      </c>
      <c r="H13" s="13" t="str">
        <f>IF((COUNTIFS(Selections!$E$6:$E$24,"Both Teams to Score - Yes",Selections!$K$6:$K$24,"WON")+COUNTIFS(Selections!$E$6:$E$24,"Both Teams to Score - Yes",Selections!$K$6:$K$24,"LOST"))=0,"n.a.",COUNTIFS(Selections!$E$6:$E$24,"Both Teams to Score - Yes",Selections!$K$6:$K$24,"WON")/(COUNTIFS(Selections!$E$6:$E$24,"Both Teams to Score - Yes",Selections!$K$6:$K$24,"WON")+COUNTIFS(Selections!$E$6:$E$24,"Both Teams to Score - Yes",Selections!$K$6:$K$24,"LOST")))</f>
        <v>n.a.</v>
      </c>
      <c r="I13" s="15">
        <f>SUMIFS(Selections!$M$6:$M$24,Selections!$E$6:$E$24,"Both Teams to Score - Yes")</f>
        <v>0</v>
      </c>
      <c r="J13" s="15">
        <f>SUMIFS(Selections!$N$6:$N$24,Selections!$E$6:$E$24,"Both Teams to Score - Yes")</f>
        <v>0</v>
      </c>
      <c r="K13" s="13" t="str">
        <f>IF(SUMIFS(Selections!$M$6:$M$24,Selections!$E$6:$E$24,"Both Teams to Score - Yes")=0,"n.a.",SUMIFS(Selections!$N$6:$N$24,Selections!$E$6:$E$24,"Both Teams to Score - Yes")/SUMIFS(Selections!$M$6:$M$24,Selections!$E$6:$E$24,"Both Teams to Score - Yes"))</f>
        <v>n.a.</v>
      </c>
      <c r="L13" s="14" t="str">
        <f>IF(SUMIFS(Selections!$T$6:$T$24,Selections!$E$6:$E$24,"Both Teams to Score - Yes")=0,"n.a.",SUMIFS(Selections!$O$6:$O$24,Selections!$E$6:$E$24,"Both Teams to Score - Yes")/SUMIFS(Selections!$T$6:$T$24,Selections!$E$6:$E$24,"Both Teams to Score - Yes"))</f>
        <v>n.a.</v>
      </c>
      <c r="M13" s="13" t="str">
        <f>IF(SUMIFS(Selections!$T$6:$T$24,Selections!$E$6:$E$24,"Both Teams to Score - Yes")=0,"n.a.",SUMIFS(Selections!$S$6:$S$24,Selections!$E$6:$E$24,"Both Teams to Score - Yes")/SUMIFS(Selections!$T$6:$T$24,Selections!$E$6:$E$24,"Both Teams to Score - Yes"))</f>
        <v>n.a.</v>
      </c>
      <c r="N13" s="13" t="str">
        <f>IF(SUMIFS(Selections!$T$6:$T$24,Selections!$E$6:$E$24,"Both Teams to Score - Yes")=0,"n.a.",(SUMIFS(Selections!$L$6:$L$24,Selections!$E$6:$E$24,"Both Teams to Score - Yes",Selections!$T$6:$T$24,1))/SUMIFS(Selections!$T$6:$T$24,Selections!$E$6:$E$24,"Both Teams to Score - Yes"))</f>
        <v>n.a.</v>
      </c>
      <c r="O13" s="13" t="str">
        <f>IF(SUMIFS(Selections!$T$6:$T$24,Selections!$E$6:$E$24,"Both Teams to Score - Yes")=0,"n.a.",(SUMIFS(Selections!$S$6:$S$24,Selections!$E$6:$E$24,"Both Teams to Score - Yes")-(SUMIFS(Selections!$L$6:$L$24,Selections!$E$6:$E$24,"Both Teams to Score - Yes",Selections!$T$6:$T$24,1)))/SUMIFS(Selections!$T$6:$T$24,Selections!$E$6:$E$24,"Both Teams to Score - Yes"))</f>
        <v>n.a.</v>
      </c>
      <c r="P13" s="12">
        <f>SUMIFS(Selections!$T$6:$T$24,Selections!$E$6:$E$24,"Both Teams to Score - Yes")</f>
        <v>0</v>
      </c>
      <c r="Q13" s="1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"/>
    </row>
    <row r="14" ht="22" customHeight="1">
      <c r="A14" s="1" t="inlineStr">
        <is>
          <t>Market</t>
        </is>
      </c>
      <c r="B14" s="1" t="inlineStr">
        <is>
          <t>Home win</t>
        </is>
      </c>
      <c r="C14" s="12">
        <f>COUNTIFS(Selections!$E$6:$E$24,"Home win")</f>
        <v>4</v>
      </c>
      <c r="D14" s="12">
        <f>(COUNTIFS(Selections!$E$6:$E$24,"Home win",Selections!$K$6:$K$24,"WON")+COUNTIFS(Selections!$E$6:$E$24,"Home win",Selections!$K$6:$K$24,"LOST"))</f>
        <v>1</v>
      </c>
      <c r="E14" s="12">
        <f>COUNTIFS(Selections!$E$6:$E$24,"Home win",Selections!$K$6:$K$24,"WON")</f>
        <v>1</v>
      </c>
      <c r="F14" s="12">
        <f>COUNTIFS(Selections!$E$6:$E$24,"Home win",Selections!$K$6:$K$24,"LOST")</f>
        <v>0</v>
      </c>
      <c r="G14" s="12">
        <f>COUNTIFS(Selections!$E$6:$E$24,"Home win")-(COUNTIFS(Selections!$E$6:$E$24,"Home win",Selections!$K$6:$K$24,"WON")+COUNTIFS(Selections!$E$6:$E$24,"Home win",Selections!$K$6:$K$24,"LOST"))</f>
        <v>3</v>
      </c>
      <c r="H14" s="13">
        <f>IF((COUNTIFS(Selections!$E$6:$E$24,"Home win",Selections!$K$6:$K$24,"WON")+COUNTIFS(Selections!$E$6:$E$24,"Home win",Selections!$K$6:$K$24,"LOST"))=0,"n.a.",COUNTIFS(Selections!$E$6:$E$24,"Home win",Selections!$K$6:$K$24,"WON")/(COUNTIFS(Selections!$E$6:$E$24,"Home win",Selections!$K$6:$K$24,"WON")+COUNTIFS(Selections!$E$6:$E$24,"Home win",Selections!$K$6:$K$24,"LOST")))</f>
        <v>1.0</v>
      </c>
      <c r="I14" s="15">
        <f>SUMIFS(Selections!$M$6:$M$24,Selections!$E$6:$E$24,"Home win")</f>
        <v>1</v>
      </c>
      <c r="J14" s="15">
        <f>SUMIFS(Selections!$N$6:$N$24,Selections!$E$6:$E$24,"Home win")</f>
        <v>0.6299999999999999</v>
      </c>
      <c r="K14" s="13">
        <f>IF(SUMIFS(Selections!$M$6:$M$24,Selections!$E$6:$E$24,"Home win")=0,"n.a.",SUMIFS(Selections!$N$6:$N$24,Selections!$E$6:$E$24,"Home win")/SUMIFS(Selections!$M$6:$M$24,Selections!$E$6:$E$24,"Home win"))</f>
        <v>0.6299999999999999</v>
      </c>
      <c r="L14" s="14">
        <f>IF(SUMIFS(Selections!$T$6:$T$24,Selections!$E$6:$E$24,"Home win")=0,"n.a.",SUMIFS(Selections!$O$6:$O$24,Selections!$E$6:$E$24,"Home win")/SUMIFS(Selections!$T$6:$T$24,Selections!$E$6:$E$24,"Home win"))</f>
        <v>0.10094383319457502</v>
      </c>
      <c r="M14" s="13">
        <f>IF(SUMIFS(Selections!$T$6:$T$24,Selections!$E$6:$E$24,"Home win")=0,"n.a.",SUMIFS(Selections!$S$6:$S$24,Selections!$E$6:$E$24,"Home win")/SUMIFS(Selections!$T$6:$T$24,Selections!$E$6:$E$24,"Home win"))</f>
        <v>0.6822834074295536</v>
      </c>
      <c r="N14" s="13">
        <f>IF(SUMIFS(Selections!$T$6:$T$24,Selections!$E$6:$E$24,"Home win")=0,"n.a.",(SUMIFS(Selections!$L$6:$L$24,Selections!$E$6:$E$24,"Home win",Selections!$T$6:$T$24,1))/SUMIFS(Selections!$T$6:$T$24,Selections!$E$6:$E$24,"Home win"))</f>
        <v>1.0</v>
      </c>
      <c r="O14" s="13">
        <f>IF(SUMIFS(Selections!$T$6:$T$24,Selections!$E$6:$E$24,"Home win")=0,"n.a.",(SUMIFS(Selections!$S$6:$S$24,Selections!$E$6:$E$24,"Home win")-(SUMIFS(Selections!$L$6:$L$24,Selections!$E$6:$E$24,"Home win",Selections!$T$6:$T$24,1)))/SUMIFS(Selections!$T$6:$T$24,Selections!$E$6:$E$24,"Home win"))</f>
        <v>-0.3177165925704464</v>
      </c>
      <c r="P14" s="12">
        <f>SUMIFS(Selections!$T$6:$T$24,Selections!$E$6:$E$24,"Home win")</f>
        <v>1</v>
      </c>
      <c r="Q14" s="1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"/>
    </row>
    <row r="15" ht="22" customHeight="1">
      <c r="A15" s="1" t="inlineStr">
        <is>
          <t>Market</t>
        </is>
      </c>
      <c r="B15" s="1" t="inlineStr">
        <is>
          <t>Over 1.5</t>
        </is>
      </c>
      <c r="C15" s="12">
        <f>COUNTIFS(Selections!$E$6:$E$24,"Over 1.5")</f>
        <v>8</v>
      </c>
      <c r="D15" s="12">
        <f>(COUNTIFS(Selections!$E$6:$E$24,"Over 1.5",Selections!$K$6:$K$24,"WON")+COUNTIFS(Selections!$E$6:$E$24,"Over 1.5",Selections!$K$6:$K$24,"LOST"))</f>
        <v>2</v>
      </c>
      <c r="E15" s="12">
        <f>COUNTIFS(Selections!$E$6:$E$24,"Over 1.5",Selections!$K$6:$K$24,"WON")</f>
        <v>2</v>
      </c>
      <c r="F15" s="12">
        <f>COUNTIFS(Selections!$E$6:$E$24,"Over 1.5",Selections!$K$6:$K$24,"LOST")</f>
        <v>0</v>
      </c>
      <c r="G15" s="12">
        <f>COUNTIFS(Selections!$E$6:$E$24,"Over 1.5")-(COUNTIFS(Selections!$E$6:$E$24,"Over 1.5",Selections!$K$6:$K$24,"WON")+COUNTIFS(Selections!$E$6:$E$24,"Over 1.5",Selections!$K$6:$K$24,"LOST"))</f>
        <v>6</v>
      </c>
      <c r="H15" s="13">
        <f>IF((COUNTIFS(Selections!$E$6:$E$24,"Over 1.5",Selections!$K$6:$K$24,"WON")+COUNTIFS(Selections!$E$6:$E$24,"Over 1.5",Selections!$K$6:$K$24,"LOST"))=0,"n.a.",COUNTIFS(Selections!$E$6:$E$24,"Over 1.5",Selections!$K$6:$K$24,"WON")/(COUNTIFS(Selections!$E$6:$E$24,"Over 1.5",Selections!$K$6:$K$24,"WON")+COUNTIFS(Selections!$E$6:$E$24,"Over 1.5",Selections!$K$6:$K$24,"LOST")))</f>
        <v>1.0</v>
      </c>
      <c r="I15" s="15">
        <f>SUMIFS(Selections!$M$6:$M$24,Selections!$E$6:$E$24,"Over 1.5")</f>
        <v>2</v>
      </c>
      <c r="J15" s="15">
        <f>SUMIFS(Selections!$N$6:$N$24,Selections!$E$6:$E$24,"Over 1.5")</f>
        <v>0.5800000000000001</v>
      </c>
      <c r="K15" s="13">
        <f>IF(SUMIFS(Selections!$M$6:$M$24,Selections!$E$6:$E$24,"Over 1.5")=0,"n.a.",SUMIFS(Selections!$N$6:$N$24,Selections!$E$6:$E$24,"Over 1.5")/SUMIFS(Selections!$M$6:$M$24,Selections!$E$6:$E$24,"Over 1.5"))</f>
        <v>0.29000000000000004</v>
      </c>
      <c r="L15" s="14">
        <f>IF(SUMIFS(Selections!$T$6:$T$24,Selections!$E$6:$E$24,"Over 1.5")=0,"n.a.",SUMIFS(Selections!$O$6:$O$24,Selections!$E$6:$E$24,"Over 1.5")/SUMIFS(Selections!$T$6:$T$24,Selections!$E$6:$E$24,"Over 1.5"))</f>
        <v>0.028808603206313725</v>
      </c>
      <c r="M15" s="13">
        <f>IF(SUMIFS(Selections!$T$6:$T$24,Selections!$E$6:$E$24,"Over 1.5")=0,"n.a.",SUMIFS(Selections!$S$6:$S$24,Selections!$E$6:$E$24,"Over 1.5")/SUMIFS(Selections!$T$6:$T$24,Selections!$E$6:$E$24,"Over 1.5"))</f>
        <v>0.8407710464485831</v>
      </c>
      <c r="N15" s="13">
        <f>IF(SUMIFS(Selections!$T$6:$T$24,Selections!$E$6:$E$24,"Over 1.5")=0,"n.a.",(SUMIFS(Selections!$L$6:$L$24,Selections!$E$6:$E$24,"Over 1.5",Selections!$T$6:$T$24,1))/SUMIFS(Selections!$T$6:$T$24,Selections!$E$6:$E$24,"Over 1.5"))</f>
        <v>1.0</v>
      </c>
      <c r="O15" s="13">
        <f>IF(SUMIFS(Selections!$T$6:$T$24,Selections!$E$6:$E$24,"Over 1.5")=0,"n.a.",(SUMIFS(Selections!$S$6:$S$24,Selections!$E$6:$E$24,"Over 1.5")-(SUMIFS(Selections!$L$6:$L$24,Selections!$E$6:$E$24,"Over 1.5",Selections!$T$6:$T$24,1)))/SUMIFS(Selections!$T$6:$T$24,Selections!$E$6:$E$24,"Over 1.5"))</f>
        <v>-0.15922895355141686</v>
      </c>
      <c r="P15" s="12">
        <f>SUMIFS(Selections!$T$6:$T$24,Selections!$E$6:$E$24,"Over 1.5")</f>
        <v>2</v>
      </c>
      <c r="Q15" s="1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(n=2).</v>
      </c>
      <c r="R15" s="1"/>
    </row>
    <row r="16" ht="22" customHeight="1">
      <c r="A16" s="1" t="inlineStr">
        <is>
          <t>Market</t>
        </is>
      </c>
      <c r="B16" s="1" t="inlineStr">
        <is>
          <t>Under 3.5</t>
        </is>
      </c>
      <c r="C16" s="12">
        <f>COUNTIFS(Selections!$E$6:$E$24,"Under 3.5")</f>
        <v>6</v>
      </c>
      <c r="D16" s="12">
        <f>(COUNTIFS(Selections!$E$6:$E$24,"Under 3.5",Selections!$K$6:$K$24,"WON")+COUNTIFS(Selections!$E$6:$E$24,"Under 3.5",Selections!$K$6:$K$24,"LOST"))</f>
        <v>4</v>
      </c>
      <c r="E16" s="12">
        <f>COUNTIFS(Selections!$E$6:$E$24,"Under 3.5",Selections!$K$6:$K$24,"WON")</f>
        <v>1</v>
      </c>
      <c r="F16" s="12">
        <f>COUNTIFS(Selections!$E$6:$E$24,"Under 3.5",Selections!$K$6:$K$24,"LOST")</f>
        <v>3</v>
      </c>
      <c r="G16" s="12">
        <f>COUNTIFS(Selections!$E$6:$E$24,"Under 3.5")-(COUNTIFS(Selections!$E$6:$E$24,"Under 3.5",Selections!$K$6:$K$24,"WON")+COUNTIFS(Selections!$E$6:$E$24,"Under 3.5",Selections!$K$6:$K$24,"LOST"))</f>
        <v>2</v>
      </c>
      <c r="H16" s="13">
        <f>IF((COUNTIFS(Selections!$E$6:$E$24,"Under 3.5",Selections!$K$6:$K$24,"WON")+COUNTIFS(Selections!$E$6:$E$24,"Under 3.5",Selections!$K$6:$K$24,"LOST"))=0,"n.a.",COUNTIFS(Selections!$E$6:$E$24,"Under 3.5",Selections!$K$6:$K$24,"WON")/(COUNTIFS(Selections!$E$6:$E$24,"Under 3.5",Selections!$K$6:$K$24,"WON")+COUNTIFS(Selections!$E$6:$E$24,"Under 3.5",Selections!$K$6:$K$24,"LOST")))</f>
        <v>0.25</v>
      </c>
      <c r="I16" s="15">
        <f>SUMIFS(Selections!$M$6:$M$24,Selections!$E$6:$E$24,"Under 3.5")</f>
        <v>4</v>
      </c>
      <c r="J16" s="15">
        <f>SUMIFS(Selections!$N$6:$N$24,Selections!$E$6:$E$24,"Under 3.5")</f>
        <v>-2.7199999999999998</v>
      </c>
      <c r="K16" s="13">
        <f>IF(SUMIFS(Selections!$M$6:$M$24,Selections!$E$6:$E$24,"Under 3.5")=0,"n.a.",SUMIFS(Selections!$N$6:$N$24,Selections!$E$6:$E$24,"Under 3.5")/SUMIFS(Selections!$M$6:$M$24,Selections!$E$6:$E$24,"Under 3.5"))</f>
        <v>-0.6799999999999999</v>
      </c>
      <c r="L16" s="14">
        <f>IF(SUMIFS(Selections!$T$6:$T$24,Selections!$E$6:$E$24,"Under 3.5")=0,"n.a.",SUMIFS(Selections!$O$6:$O$24,Selections!$E$6:$E$24,"Under 3.5")/SUMIFS(Selections!$T$6:$T$24,Selections!$E$6:$E$24,"Under 3.5"))</f>
        <v>0.5016332182694637</v>
      </c>
      <c r="M16" s="13">
        <f>IF(SUMIFS(Selections!$T$6:$T$24,Selections!$E$6:$E$24,"Under 3.5")=0,"n.a.",SUMIFS(Selections!$S$6:$S$24,Selections!$E$6:$E$24,"Under 3.5")/SUMIFS(Selections!$T$6:$T$24,Selections!$E$6:$E$24,"Under 3.5"))</f>
        <v>0.8054503740200165</v>
      </c>
      <c r="N16" s="13">
        <f>IF(SUMIFS(Selections!$T$6:$T$24,Selections!$E$6:$E$24,"Under 3.5")=0,"n.a.",(SUMIFS(Selections!$L$6:$L$24,Selections!$E$6:$E$24,"Under 3.5",Selections!$T$6:$T$24,1))/SUMIFS(Selections!$T$6:$T$24,Selections!$E$6:$E$24,"Under 3.5"))</f>
        <v>0.25</v>
      </c>
      <c r="O16" s="13">
        <f>IF(SUMIFS(Selections!$T$6:$T$24,Selections!$E$6:$E$24,"Under 3.5")=0,"n.a.",(SUMIFS(Selections!$S$6:$S$24,Selections!$E$6:$E$24,"Under 3.5")-(SUMIFS(Selections!$L$6:$L$24,Selections!$E$6:$E$24,"Under 3.5",Selections!$T$6:$T$24,1)))/SUMIFS(Selections!$T$6:$T$24,Selections!$E$6:$E$24,"Under 3.5"))</f>
        <v>0.5554503740200165</v>
      </c>
      <c r="P16" s="12">
        <f>SUMIFS(Selections!$T$6:$T$24,Selections!$E$6:$E$24,"Under 3.5")</f>
        <v>4</v>
      </c>
      <c r="Q16" s="1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"/>
    </row>
    <row r="17" ht="22" customHeight="1">
      <c r="A17" s="1" t="inlineStr">
        <is>
          <t>Policy</t>
        </is>
      </c>
      <c r="B17" s="1" t="inlineStr">
        <is>
          <t>72h-ucl-v3</t>
        </is>
      </c>
      <c r="C17" s="12">
        <f>COUNTIFS(Selections!$G$6:$G$24,"72h-ucl-v3")</f>
        <v>8</v>
      </c>
      <c r="D17" s="12">
        <f>(COUNTIFS(Selections!$G$6:$G$24,"72h-ucl-v3",Selections!$K$6:$K$24,"WON")+COUNTIFS(Selections!$G$6:$G$24,"72h-ucl-v3",Selections!$K$6:$K$24,"LOST"))</f>
        <v>2</v>
      </c>
      <c r="E17" s="12">
        <f>COUNTIFS(Selections!$G$6:$G$24,"72h-ucl-v3",Selections!$K$6:$K$24,"WON")</f>
        <v>1</v>
      </c>
      <c r="F17" s="12">
        <f>COUNTIFS(Selections!$G$6:$G$24,"72h-ucl-v3",Selections!$K$6:$K$24,"LOST")</f>
        <v>1</v>
      </c>
      <c r="G17" s="12">
        <f>COUNTIFS(Selections!$G$6:$G$24,"72h-ucl-v3")-(COUNTIFS(Selections!$G$6:$G$24,"72h-ucl-v3",Selections!$K$6:$K$24,"WON")+COUNTIFS(Selections!$G$6:$G$24,"72h-ucl-v3",Selections!$K$6:$K$24,"LOST"))</f>
        <v>6</v>
      </c>
      <c r="H17" s="13">
        <f>IF((COUNTIFS(Selections!$G$6:$G$24,"72h-ucl-v3",Selections!$K$6:$K$24,"WON")+COUNTIFS(Selections!$G$6:$G$24,"72h-ucl-v3",Selections!$K$6:$K$24,"LOST"))=0,"n.a.",COUNTIFS(Selections!$G$6:$G$24,"72h-ucl-v3",Selections!$K$6:$K$24,"WON")/(COUNTIFS(Selections!$G$6:$G$24,"72h-ucl-v3",Selections!$K$6:$K$24,"WON")+COUNTIFS(Selections!$G$6:$G$24,"72h-ucl-v3",Selections!$K$6:$K$24,"LOST")))</f>
        <v>0.5</v>
      </c>
      <c r="I17" s="15">
        <f>SUMIFS(Selections!$M$6:$M$24,Selections!$G$6:$G$24,"72h-ucl-v3")</f>
        <v>2</v>
      </c>
      <c r="J17" s="15">
        <f>SUMIFS(Selections!$N$6:$N$24,Selections!$G$6:$G$24,"72h-ucl-v3")</f>
        <v>-0.6599999999999999</v>
      </c>
      <c r="K17" s="13">
        <f>IF(SUMIFS(Selections!$M$6:$M$24,Selections!$G$6:$G$24,"72h-ucl-v3")=0,"n.a.",SUMIFS(Selections!$N$6:$N$24,Selections!$G$6:$G$24,"72h-ucl-v3")/SUMIFS(Selections!$M$6:$M$24,Selections!$G$6:$G$24,"72h-ucl-v3"))</f>
        <v>-0.32999999999999996</v>
      </c>
      <c r="L17" s="14">
        <f>IF(SUMIFS(Selections!$T$6:$T$24,Selections!$G$6:$G$24,"72h-ucl-v3")=0,"n.a.",SUMIFS(Selections!$O$6:$O$24,Selections!$G$6:$G$24,"72h-ucl-v3")/SUMIFS(Selections!$T$6:$T$24,Selections!$G$6:$G$24,"72h-ucl-v3"))</f>
        <v>0.30886779422892635</v>
      </c>
      <c r="M17" s="13">
        <f>IF(SUMIFS(Selections!$T$6:$T$24,Selections!$G$6:$G$24,"72h-ucl-v3")=0,"n.a.",SUMIFS(Selections!$S$6:$S$24,Selections!$G$6:$G$24,"72h-ucl-v3")/SUMIFS(Selections!$T$6:$T$24,Selections!$G$6:$G$24,"72h-ucl-v3"))</f>
        <v>0.7685579001261875</v>
      </c>
      <c r="N17" s="13">
        <f>IF(SUMIFS(Selections!$T$6:$T$24,Selections!$G$6:$G$24,"72h-ucl-v3")=0,"n.a.",(SUMIFS(Selections!$L$6:$L$24,Selections!$G$6:$G$24,"72h-ucl-v3",Selections!$T$6:$T$24,1))/SUMIFS(Selections!$T$6:$T$24,Selections!$G$6:$G$24,"72h-ucl-v3"))</f>
        <v>0.5</v>
      </c>
      <c r="O17" s="13">
        <f>IF(SUMIFS(Selections!$T$6:$T$24,Selections!$G$6:$G$24,"72h-ucl-v3")=0,"n.a.",(SUMIFS(Selections!$S$6:$S$24,Selections!$G$6:$G$24,"72h-ucl-v3")-(SUMIFS(Selections!$L$6:$L$24,Selections!$G$6:$G$24,"72h-ucl-v3",Selections!$T$6:$T$24,1)))/SUMIFS(Selections!$T$6:$T$24,Selections!$G$6:$G$24,"72h-ucl-v3"))</f>
        <v>0.2685579001261875</v>
      </c>
      <c r="P17" s="12">
        <f>SUMIFS(Selections!$T$6:$T$24,Selections!$G$6:$G$24,"72h-ucl-v3")</f>
        <v>2</v>
      </c>
      <c r="Q17" s="1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"/>
    </row>
    <row r="18" ht="22" customHeight="1">
      <c r="A18" s="1" t="inlineStr">
        <is>
          <t>Policy</t>
        </is>
      </c>
      <c r="B18" s="1" t="inlineStr">
        <is>
          <t>legacy/unspecified</t>
        </is>
      </c>
      <c r="C18" s="12">
        <f>COUNTIFS(Selections!$G$6:$G$24,"legacy/unspecified")</f>
        <v>11</v>
      </c>
      <c r="D18" s="12">
        <f>(COUNTIFS(Selections!$G$6:$G$24,"legacy/unspecified",Selections!$K$6:$K$24,"WON")+COUNTIFS(Selections!$G$6:$G$24,"legacy/unspecified",Selections!$K$6:$K$24,"LOST"))</f>
        <v>5</v>
      </c>
      <c r="E18" s="12">
        <f>COUNTIFS(Selections!$G$6:$G$24,"legacy/unspecified",Selections!$K$6:$K$24,"WON")</f>
        <v>3</v>
      </c>
      <c r="F18" s="12">
        <f>COUNTIFS(Selections!$G$6:$G$24,"legacy/unspecified",Selections!$K$6:$K$24,"LOST")</f>
        <v>2</v>
      </c>
      <c r="G18" s="12">
        <f>COUNTIFS(Selections!$G$6:$G$24,"legacy/unspecified")-(COUNTIFS(Selections!$G$6:$G$24,"legacy/unspecified",Selections!$K$6:$K$24,"WON")+COUNTIFS(Selections!$G$6:$G$24,"legacy/unspecified",Selections!$K$6:$K$24,"LOST"))</f>
        <v>6</v>
      </c>
      <c r="H18" s="13">
        <f>IF((COUNTIFS(Selections!$G$6:$G$24,"legacy/unspecified",Selections!$K$6:$K$24,"WON")+COUNTIFS(Selections!$G$6:$G$24,"legacy/unspecified",Selections!$K$6:$K$24,"LOST"))=0,"n.a.",COUNTIFS(Selections!$G$6:$G$24,"legacy/unspecified",Selections!$K$6:$K$24,"WON")/(COUNTIFS(Selections!$G$6:$G$24,"legacy/unspecified",Selections!$K$6:$K$24,"WON")+COUNTIFS(Selections!$G$6:$G$24,"legacy/unspecified",Selections!$K$6:$K$24,"LOST")))</f>
        <v>0.6</v>
      </c>
      <c r="I18" s="15">
        <f>SUMIFS(Selections!$M$6:$M$24,Selections!$G$6:$G$24,"legacy/unspecified")</f>
        <v>5</v>
      </c>
      <c r="J18" s="15">
        <f>SUMIFS(Selections!$N$6:$N$24,Selections!$G$6:$G$24,"legacy/unspecified")</f>
        <v>-0.8500000000000001</v>
      </c>
      <c r="K18" s="13">
        <f>IF(SUMIFS(Selections!$M$6:$M$24,Selections!$G$6:$G$24,"legacy/unspecified")=0,"n.a.",SUMIFS(Selections!$N$6:$N$24,Selections!$G$6:$G$24,"legacy/unspecified")/SUMIFS(Selections!$M$6:$M$24,Selections!$G$6:$G$24,"legacy/unspecified"))</f>
        <v>-0.17</v>
      </c>
      <c r="L18" s="14">
        <f>IF(SUMIFS(Selections!$T$6:$T$24,Selections!$G$6:$G$24,"legacy/unspecified")=0,"n.a.",SUMIFS(Selections!$O$6:$O$24,Selections!$G$6:$G$24,"legacy/unspecified")/SUMIFS(Selections!$T$6:$T$24,Selections!$G$6:$G$24,"legacy/unspecified"))</f>
        <v>0.30947166484544086</v>
      </c>
      <c r="M18" s="13">
        <f>IF(SUMIFS(Selections!$T$6:$T$24,Selections!$G$6:$G$24,"legacy/unspecified")=0,"n.a.",SUMIFS(Selections!$S$6:$S$24,Selections!$G$6:$G$24,"legacy/unspecified")/SUMIFS(Selections!$T$6:$T$24,Selections!$G$6:$G$24,"legacy/unspecified"))</f>
        <v>0.8097022392308822</v>
      </c>
      <c r="N18" s="13">
        <f>IF(SUMIFS(Selections!$T$6:$T$24,Selections!$G$6:$G$24,"legacy/unspecified")=0,"n.a.",(SUMIFS(Selections!$L$6:$L$24,Selections!$G$6:$G$24,"legacy/unspecified",Selections!$T$6:$T$24,1))/SUMIFS(Selections!$T$6:$T$24,Selections!$G$6:$G$24,"legacy/unspecified"))</f>
        <v>0.6</v>
      </c>
      <c r="O18" s="13">
        <f>IF(SUMIFS(Selections!$T$6:$T$24,Selections!$G$6:$G$24,"legacy/unspecified")=0,"n.a.",(SUMIFS(Selections!$S$6:$S$24,Selections!$G$6:$G$24,"legacy/unspecified")-(SUMIFS(Selections!$L$6:$L$24,Selections!$G$6:$G$24,"legacy/unspecified",Selections!$T$6:$T$24,1)))/SUMIFS(Selections!$T$6:$T$24,Selections!$G$6:$G$24,"legacy/unspecified"))</f>
        <v>0.20970223923088227</v>
      </c>
      <c r="P18" s="12">
        <f>SUMIFS(Selections!$T$6:$T$24,Selections!$G$6:$G$24,"legacy/unspecified")</f>
        <v>5</v>
      </c>
      <c r="Q18" s="1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"/>
    </row>
    <row r="19" ht="22" customHeight="1">
      <c r="A19" s="1" t="inlineStr">
        <is>
          <t>Week</t>
        </is>
      </c>
      <c r="B19" s="1" t="inlineStr">
        <is>
          <t>2026-W41</t>
        </is>
      </c>
      <c r="C19" s="12">
        <f>COUNTIFS(Selections!$P$6:$P$24,"2026-W41")</f>
        <v>5</v>
      </c>
      <c r="D19" s="12">
        <f>(COUNTIFS(Selections!$P$6:$P$24,"2026-W41",Selections!$K$6:$K$24,"WON")+COUNTIFS(Selections!$P$6:$P$24,"2026-W41",Selections!$K$6:$K$24,"LOST"))</f>
        <v>4</v>
      </c>
      <c r="E19" s="12">
        <f>COUNTIFS(Selections!$P$6:$P$24,"2026-W41",Selections!$K$6:$K$24,"WON")</f>
        <v>2</v>
      </c>
      <c r="F19" s="12">
        <f>COUNTIFS(Selections!$P$6:$P$24,"2026-W41",Selections!$K$6:$K$24,"LOST")</f>
        <v>2</v>
      </c>
      <c r="G19" s="12">
        <f>COUNTIFS(Selections!$P$6:$P$24,"2026-W41")-(COUNTIFS(Selections!$P$6:$P$24,"2026-W41",Selections!$K$6:$K$24,"WON")+COUNTIFS(Selections!$P$6:$P$24,"2026-W41",Selections!$K$6:$K$24,"LOST"))</f>
        <v>1</v>
      </c>
      <c r="H19" s="13">
        <f>IF((COUNTIFS(Selections!$P$6:$P$24,"2026-W41",Selections!$K$6:$K$24,"WON")+COUNTIFS(Selections!$P$6:$P$24,"2026-W41",Selections!$K$6:$K$24,"LOST"))=0,"n.a.",COUNTIFS(Selections!$P$6:$P$24,"2026-W41",Selections!$K$6:$K$24,"WON")/(COUNTIFS(Selections!$P$6:$P$24,"2026-W41",Selections!$K$6:$K$24,"WON")+COUNTIFS(Selections!$P$6:$P$24,"2026-W41",Selections!$K$6:$K$24,"LOST")))</f>
        <v>0.5</v>
      </c>
      <c r="I19" s="15">
        <f>SUMIFS(Selections!$M$6:$M$24,Selections!$P$6:$P$24,"2026-W41")</f>
        <v>4</v>
      </c>
      <c r="J19" s="15">
        <f>SUMIFS(Selections!$N$6:$N$24,Selections!$P$6:$P$24,"2026-W41")</f>
        <v>-1.48</v>
      </c>
      <c r="K19" s="13">
        <f>IF(SUMIFS(Selections!$M$6:$M$24,Selections!$P$6:$P$24,"2026-W41")=0,"n.a.",SUMIFS(Selections!$N$6:$N$24,Selections!$P$6:$P$24,"2026-W41")/SUMIFS(Selections!$M$6:$M$24,Selections!$P$6:$P$24,"2026-W41"))</f>
        <v>-0.37</v>
      </c>
      <c r="L19" s="14">
        <f>IF(SUMIFS(Selections!$T$6:$T$24,Selections!$P$6:$P$24,"2026-W41")=0,"n.a.",SUMIFS(Selections!$O$6:$O$24,Selections!$P$6:$P$24,"2026-W41")/SUMIFS(Selections!$T$6:$T$24,Selections!$P$6:$P$24,"2026-W41"))</f>
        <v>0.32911599206243786</v>
      </c>
      <c r="M19" s="13">
        <f>IF(SUMIFS(Selections!$T$6:$T$24,Selections!$P$6:$P$24,"2026-W41")=0,"n.a.",SUMIFS(Selections!$S$6:$S$24,Selections!$P$6:$P$24,"2026-W41")/SUMIFS(Selections!$T$6:$T$24,Selections!$P$6:$P$24,"2026-W41"))</f>
        <v>0.8211485691621172</v>
      </c>
      <c r="N19" s="13">
        <f>IF(SUMIFS(Selections!$T$6:$T$24,Selections!$P$6:$P$24,"2026-W41")=0,"n.a.",(SUMIFS(Selections!$L$6:$L$24,Selections!$P$6:$P$24,"2026-W41",Selections!$T$6:$T$24,1))/SUMIFS(Selections!$T$6:$T$24,Selections!$P$6:$P$24,"2026-W41"))</f>
        <v>0.5</v>
      </c>
      <c r="O19" s="13">
        <f>IF(SUMIFS(Selections!$T$6:$T$24,Selections!$P$6:$P$24,"2026-W41")=0,"n.a.",(SUMIFS(Selections!$S$6:$S$24,Selections!$P$6:$P$24,"2026-W41")-(SUMIFS(Selections!$L$6:$L$24,Selections!$P$6:$P$24,"2026-W41",Selections!$T$6:$T$24,1)))/SUMIFS(Selections!$T$6:$T$24,Selections!$P$6:$P$24,"2026-W41"))</f>
        <v>0.3211485691621172</v>
      </c>
      <c r="P19" s="12">
        <f>SUMIFS(Selections!$T$6:$T$24,Selections!$P$6:$P$24,"2026-W41")</f>
        <v>4</v>
      </c>
      <c r="Q19" s="1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"/>
    </row>
    <row r="20" ht="22" customHeight="1">
      <c r="A20" s="1" t="inlineStr">
        <is>
          <t>Week</t>
        </is>
      </c>
      <c r="B20" s="1" t="inlineStr">
        <is>
          <t>2026-W42</t>
        </is>
      </c>
      <c r="C20" s="12">
        <f>COUNTIFS(Selections!$P$6:$P$24,"2026-W42")</f>
        <v>13</v>
      </c>
      <c r="D20" s="12">
        <f>(COUNTIFS(Selections!$P$6:$P$24,"2026-W42",Selections!$K$6:$K$24,"WON")+COUNTIFS(Selections!$P$6:$P$24,"2026-W42",Selections!$K$6:$K$24,"LOST"))</f>
        <v>3</v>
      </c>
      <c r="E20" s="12">
        <f>COUNTIFS(Selections!$P$6:$P$24,"2026-W42",Selections!$K$6:$K$24,"WON")</f>
        <v>2</v>
      </c>
      <c r="F20" s="12">
        <f>COUNTIFS(Selections!$P$6:$P$24,"2026-W42",Selections!$K$6:$K$24,"LOST")</f>
        <v>1</v>
      </c>
      <c r="G20" s="12">
        <f>COUNTIFS(Selections!$P$6:$P$24,"2026-W42")-(COUNTIFS(Selections!$P$6:$P$24,"2026-W42",Selections!$K$6:$K$24,"WON")+COUNTIFS(Selections!$P$6:$P$24,"2026-W42",Selections!$K$6:$K$24,"LOST"))</f>
        <v>10</v>
      </c>
      <c r="H20" s="13">
        <f>IF((COUNTIFS(Selections!$P$6:$P$24,"2026-W42",Selections!$K$6:$K$24,"WON")+COUNTIFS(Selections!$P$6:$P$24,"2026-W42",Selections!$K$6:$K$24,"LOST"))=0,"n.a.",COUNTIFS(Selections!$P$6:$P$24,"2026-W42",Selections!$K$6:$K$24,"WON")/(COUNTIFS(Selections!$P$6:$P$24,"2026-W42",Selections!$K$6:$K$24,"WON")+COUNTIFS(Selections!$P$6:$P$24,"2026-W42",Selections!$K$6:$K$24,"LOST")))</f>
        <v>0.6666666666666666</v>
      </c>
      <c r="I20" s="15">
        <f>SUMIFS(Selections!$M$6:$M$24,Selections!$P$6:$P$24,"2026-W42")</f>
        <v>3</v>
      </c>
      <c r="J20" s="15">
        <f>SUMIFS(Selections!$N$6:$N$24,Selections!$P$6:$P$24,"2026-W42")</f>
        <v>-0.030000000000000027</v>
      </c>
      <c r="K20" s="13">
        <f>IF(SUMIFS(Selections!$M$6:$M$24,Selections!$P$6:$P$24,"2026-W42")=0,"n.a.",SUMIFS(Selections!$N$6:$N$24,Selections!$P$6:$P$24,"2026-W42")/SUMIFS(Selections!$M$6:$M$24,Selections!$P$6:$P$24,"2026-W42"))</f>
        <v>-0.010000000000000009</v>
      </c>
      <c r="L20" s="14">
        <f>IF(SUMIFS(Selections!$T$6:$T$24,Selections!$P$6:$P$24,"2026-W42")=0,"n.a.",SUMIFS(Selections!$O$6:$O$24,Selections!$P$6:$P$24,"2026-W42")/SUMIFS(Selections!$T$6:$T$24,Selections!$P$6:$P$24,"2026-W42"))</f>
        <v>0.2828766481451019</v>
      </c>
      <c r="M20" s="13">
        <f>IF(SUMIFS(Selections!$T$6:$T$24,Selections!$P$6:$P$24,"2026-W42")=0,"n.a.",SUMIFS(Selections!$S$6:$S$24,Selections!$P$6:$P$24,"2026-W42")/SUMIFS(Selections!$T$6:$T$24,Selections!$P$6:$P$24,"2026-W42"))</f>
        <v>0.7670109065861058</v>
      </c>
      <c r="N20" s="13">
        <f>IF(SUMIFS(Selections!$T$6:$T$24,Selections!$P$6:$P$24,"2026-W42")=0,"n.a.",(SUMIFS(Selections!$L$6:$L$24,Selections!$P$6:$P$24,"2026-W42",Selections!$T$6:$T$24,1))/SUMIFS(Selections!$T$6:$T$24,Selections!$P$6:$P$24,"2026-W42"))</f>
        <v>0.6666666666666666</v>
      </c>
      <c r="O20" s="13">
        <f>IF(SUMIFS(Selections!$T$6:$T$24,Selections!$P$6:$P$24,"2026-W42")=0,"n.a.",(SUMIFS(Selections!$S$6:$S$24,Selections!$P$6:$P$24,"2026-W42")-(SUMIFS(Selections!$L$6:$L$24,Selections!$P$6:$P$24,"2026-W42",Selections!$T$6:$T$24,1)))/SUMIFS(Selections!$T$6:$T$24,Selections!$P$6:$P$24,"2026-W42"))</f>
        <v>0.1003442399194392</v>
      </c>
      <c r="P20" s="12">
        <f>SUMIFS(Selections!$T$6:$T$24,Selections!$P$6:$P$24,"2026-W42")</f>
        <v>3</v>
      </c>
      <c r="Q20" s="1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(n=3).</v>
      </c>
      <c r="R20" s="1"/>
    </row>
    <row r="21" ht="22" customHeight="1">
      <c r="A21" s="1" t="inlineStr">
        <is>
          <t>Week</t>
        </is>
      </c>
      <c r="B21" s="1" t="inlineStr">
        <is>
          <t>2026-W43</t>
        </is>
      </c>
      <c r="C21" s="12">
        <f>COUNTIFS(Selections!$P$6:$P$24,"2026-W43")</f>
        <v>1</v>
      </c>
      <c r="D21" s="12">
        <f>(COUNTIFS(Selections!$P$6:$P$24,"2026-W43",Selections!$K$6:$K$24,"WON")+COUNTIFS(Selections!$P$6:$P$24,"2026-W43",Selections!$K$6:$K$24,"LOST"))</f>
        <v>0</v>
      </c>
      <c r="E21" s="12">
        <f>COUNTIFS(Selections!$P$6:$P$24,"2026-W43",Selections!$K$6:$K$24,"WON")</f>
        <v>0</v>
      </c>
      <c r="F21" s="12">
        <f>COUNTIFS(Selections!$P$6:$P$24,"2026-W43",Selections!$K$6:$K$24,"LOST")</f>
        <v>0</v>
      </c>
      <c r="G21" s="12">
        <f>COUNTIFS(Selections!$P$6:$P$24,"2026-W43")-(COUNTIFS(Selections!$P$6:$P$24,"2026-W43",Selections!$K$6:$K$24,"WON")+COUNTIFS(Selections!$P$6:$P$24,"2026-W43",Selections!$K$6:$K$24,"LOST"))</f>
        <v>1</v>
      </c>
      <c r="H21" s="13" t="str">
        <f>IF((COUNTIFS(Selections!$P$6:$P$24,"2026-W43",Selections!$K$6:$K$24,"WON")+COUNTIFS(Selections!$P$6:$P$24,"2026-W43",Selections!$K$6:$K$24,"LOST"))=0,"n.a.",COUNTIFS(Selections!$P$6:$P$24,"2026-W43",Selections!$K$6:$K$24,"WON")/(COUNTIFS(Selections!$P$6:$P$24,"2026-W43",Selections!$K$6:$K$24,"WON")+COUNTIFS(Selections!$P$6:$P$24,"2026-W43",Selections!$K$6:$K$24,"LOST")))</f>
        <v>n.a.</v>
      </c>
      <c r="I21" s="15">
        <f>SUMIFS(Selections!$M$6:$M$24,Selections!$P$6:$P$24,"2026-W43")</f>
        <v>0</v>
      </c>
      <c r="J21" s="15">
        <f>SUMIFS(Selections!$N$6:$N$24,Selections!$P$6:$P$24,"2026-W43")</f>
        <v>0</v>
      </c>
      <c r="K21" s="13" t="str">
        <f>IF(SUMIFS(Selections!$M$6:$M$24,Selections!$P$6:$P$24,"2026-W43")=0,"n.a.",SUMIFS(Selections!$N$6:$N$24,Selections!$P$6:$P$24,"2026-W43")/SUMIFS(Selections!$M$6:$M$24,Selections!$P$6:$P$24,"2026-W43"))</f>
        <v>n.a.</v>
      </c>
      <c r="L21" s="14" t="str">
        <f>IF(SUMIFS(Selections!$T$6:$T$24,Selections!$P$6:$P$24,"2026-W43")=0,"n.a.",SUMIFS(Selections!$O$6:$O$24,Selections!$P$6:$P$24,"2026-W43")/SUMIFS(Selections!$T$6:$T$24,Selections!$P$6:$P$24,"2026-W43"))</f>
        <v>n.a.</v>
      </c>
      <c r="M21" s="13" t="str">
        <f>IF(SUMIFS(Selections!$T$6:$T$24,Selections!$P$6:$P$24,"2026-W43")=0,"n.a.",SUMIFS(Selections!$S$6:$S$24,Selections!$P$6:$P$24,"2026-W43")/SUMIFS(Selections!$T$6:$T$24,Selections!$P$6:$P$24,"2026-W43"))</f>
        <v>n.a.</v>
      </c>
      <c r="N21" s="13" t="str">
        <f>IF(SUMIFS(Selections!$T$6:$T$24,Selections!$P$6:$P$24,"2026-W43")=0,"n.a.",(SUMIFS(Selections!$L$6:$L$24,Selections!$P$6:$P$24,"2026-W43",Selections!$T$6:$T$24,1))/SUMIFS(Selections!$T$6:$T$24,Selections!$P$6:$P$24,"2026-W43"))</f>
        <v>n.a.</v>
      </c>
      <c r="O21" s="13" t="str">
        <f>IF(SUMIFS(Selections!$T$6:$T$24,Selections!$P$6:$P$24,"2026-W43")=0,"n.a.",(SUMIFS(Selections!$S$6:$S$24,Selections!$P$6:$P$24,"2026-W43")-(SUMIFS(Selections!$L$6:$L$24,Selections!$P$6:$P$24,"2026-W43",Selections!$T$6:$T$24,1)))/SUMIFS(Selections!$T$6:$T$24,Selections!$P$6:$P$24,"2026-W43"))</f>
        <v>n.a.</v>
      </c>
      <c r="P21" s="12">
        <f>SUMIFS(Selections!$T$6:$T$24,Selections!$P$6:$P$24,"2026-W43")</f>
        <v>0</v>
      </c>
      <c r="Q21" s="1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"/>
    </row>
  </sheetData>
  <conditionalFormatting sqref="K6:K21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16" hidden="0" customWidth="1"/>
    <col min="2" max="2" width="16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45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Calibration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Calibration compares scored forecast probabilities with observed outcomes. Small bins remain provisional evidence.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Probability band</v>
      </c>
      <c r="B5" s="7" t="str">
        <v>Lower bound</v>
      </c>
      <c r="C5" s="7" t="str">
        <v>Upper bound</v>
      </c>
      <c r="D5" s="7" t="str">
        <v>Samples</v>
      </c>
      <c r="E5" s="7" t="str">
        <v>Mean forecast</v>
      </c>
      <c r="F5" s="7" t="str">
        <v>Observed win rate</v>
      </c>
      <c r="G5" s="7" t="str">
        <v>Overconfidence</v>
      </c>
      <c r="H5" s="7" t="str">
        <v>Binary Brier</v>
      </c>
      <c r="I5" s="7" t="str">
        <v>Review</v>
      </c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 t="inlineStr">
        <is>
          <t>0%–50%</t>
        </is>
      </c>
      <c r="B6" s="12">
        <v>0</v>
      </c>
      <c r="C6" s="12">
        <v>0.5</v>
      </c>
      <c r="D6" s="12">
        <f>COUNTIFS(Selections!$S$6:$S$24,"&gt;="&amp;B6,Selections!$S$6:$S$24,"&lt;"&amp;C6,Selections!$T$6:$T$24,1)</f>
        <v>0</v>
      </c>
      <c r="E6" s="13" t="str">
        <f>IF(D6=0,"n.a.",SUMIFS(Selections!$S$6:$S$24,Selections!$S$6:$S$24,"&gt;="&amp;B6,Selections!$S$6:$S$24,"&lt;"&amp;C6,Selections!$T$6:$T$24,1)/D6)</f>
        <v>n.a.</v>
      </c>
      <c r="F6" s="13" t="str">
        <f>IF(D6=0,"n.a.",SUMIFS(Selections!$L$6:$L$24,Selections!$S$6:$S$24,"&gt;="&amp;B6,Selections!$S$6:$S$24,"&lt;"&amp;C6,Selections!$T$6:$T$24,1)/D6)</f>
        <v>n.a.</v>
      </c>
      <c r="G6" s="13" t="str">
        <f>IF(D6=0,"n.a.",E6-F6)</f>
        <v>n.a.</v>
      </c>
      <c r="H6" s="14" t="str">
        <f>IF(D6=0,"n.a.",SUMIFS(Selections!$O$6:$O$24,Selections!$S$6:$S$24,"&gt;="&amp;B6,Selections!$S$6:$S$24,"&lt;"&amp;C6,Selections!$T$6:$T$24,1)/D6)</f>
        <v>n.a.</v>
      </c>
      <c r="I6" s="1" t="inlineStr">
        <is>
          <t>Collect more scored forecasts (n=0).</t>
        </is>
      </c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inlineStr">
        <is>
          <t>50%–60%</t>
        </is>
      </c>
      <c r="B7" s="12">
        <v>0.5</v>
      </c>
      <c r="C7" s="12">
        <v>0.6</v>
      </c>
      <c r="D7" s="12">
        <f>COUNTIFS(Selections!$S$6:$S$24,"&gt;="&amp;B7,Selections!$S$6:$S$24,"&lt;"&amp;C7,Selections!$T$6:$T$24,1)</f>
        <v>0</v>
      </c>
      <c r="E7" s="13" t="str">
        <f>IF(D7=0,"n.a.",SUMIFS(Selections!$S$6:$S$24,Selections!$S$6:$S$24,"&gt;="&amp;B7,Selections!$S$6:$S$24,"&lt;"&amp;C7,Selections!$T$6:$T$24,1)/D7)</f>
        <v>n.a.</v>
      </c>
      <c r="F7" s="13" t="str">
        <f>IF(D7=0,"n.a.",SUMIFS(Selections!$L$6:$L$24,Selections!$S$6:$S$24,"&gt;="&amp;B7,Selections!$S$6:$S$24,"&lt;"&amp;C7,Selections!$T$6:$T$24,1)/D7)</f>
        <v>n.a.</v>
      </c>
      <c r="G7" s="13" t="str">
        <f>IF(D7=0,"n.a.",E7-F7)</f>
        <v>n.a.</v>
      </c>
      <c r="H7" s="14" t="str">
        <f>IF(D7=0,"n.a.",SUMIFS(Selections!$O$6:$O$24,Selections!$S$6:$S$24,"&gt;="&amp;B7,Selections!$S$6:$S$24,"&lt;"&amp;C7,Selections!$T$6:$T$24,1)/D7)</f>
        <v>n.a.</v>
      </c>
      <c r="I7" s="1" t="inlineStr">
        <is>
          <t>Collect more scored forecasts (n=0).</t>
        </is>
      </c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inlineStr">
        <is>
          <t>60%–70%</t>
        </is>
      </c>
      <c r="B8" s="12">
        <v>0.6</v>
      </c>
      <c r="C8" s="12">
        <v>0.7</v>
      </c>
      <c r="D8" s="12">
        <f>COUNTIFS(Selections!$S$6:$S$24,"&gt;="&amp;B8,Selections!$S$6:$S$24,"&lt;"&amp;C8,Selections!$T$6:$T$24,1)</f>
        <v>1</v>
      </c>
      <c r="E8" s="13">
        <f>IF(D8=0,"n.a.",SUMIFS(Selections!$S$6:$S$24,Selections!$S$6:$S$24,"&gt;="&amp;B8,Selections!$S$6:$S$24,"&lt;"&amp;C8,Selections!$T$6:$T$24,1)/D8)</f>
        <v>0.6822834074295536</v>
      </c>
      <c r="F8" s="13">
        <f>IF(D8=0,"n.a.",SUMIFS(Selections!$L$6:$L$24,Selections!$S$6:$S$24,"&gt;="&amp;B8,Selections!$S$6:$S$24,"&lt;"&amp;C8,Selections!$T$6:$T$24,1)/D8)</f>
        <v>1.0</v>
      </c>
      <c r="G8" s="13">
        <f>IF(D8=0,"n.a.",E8-F8)</f>
        <v>-0.3177165925704464</v>
      </c>
      <c r="H8" s="14">
        <f>IF(D8=0,"n.a.",SUMIFS(Selections!$O$6:$O$24,Selections!$S$6:$S$24,"&gt;="&amp;B8,Selections!$S$6:$S$24,"&lt;"&amp;C8,Selections!$T$6:$T$24,1)/D8)</f>
        <v>0.10094383319457502</v>
      </c>
      <c r="I8" s="1" t="inlineStr">
        <is>
          <t>Collect more scored forecasts (n=1).</t>
        </is>
      </c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inlineStr">
        <is>
          <t>70%–80%</t>
        </is>
      </c>
      <c r="B9" s="12">
        <v>0.7</v>
      </c>
      <c r="C9" s="12">
        <v>0.8</v>
      </c>
      <c r="D9" s="12">
        <f>COUNTIFS(Selections!$S$6:$S$24,"&gt;="&amp;B9,Selections!$S$6:$S$24,"&lt;"&amp;C9,Selections!$T$6:$T$24,1)</f>
        <v>3</v>
      </c>
      <c r="E9" s="13">
        <f>IF(D9=0,"n.a.",SUMIFS(Selections!$S$6:$S$24,Selections!$S$6:$S$24,"&gt;="&amp;B9,Selections!$S$6:$S$24,"&lt;"&amp;C9,Selections!$T$6:$T$24,1)/D9)</f>
        <v>0.7778468551107348</v>
      </c>
      <c r="F9" s="13">
        <f>IF(D9=0,"n.a.",SUMIFS(Selections!$L$6:$L$24,Selections!$S$6:$S$24,"&gt;="&amp;B9,Selections!$S$6:$S$24,"&lt;"&amp;C9,Selections!$T$6:$T$24,1)/D9)</f>
        <v>0.6666666666666666</v>
      </c>
      <c r="G9" s="13">
        <f>IF(D9=0,"n.a.",E9-F9)</f>
        <v>0.11118018844406818</v>
      </c>
      <c r="H9" s="14">
        <f>IF(D9=0,"n.a.",SUMIFS(Selections!$O$6:$O$24,Selections!$S$6:$S$24,"&gt;="&amp;B9,Selections!$S$6:$S$24,"&lt;"&amp;C9,Selections!$T$6:$T$24,1)/D9)</f>
        <v>0.21972615491021844</v>
      </c>
      <c r="I9" s="1" t="inlineStr">
        <is>
          <t>Collect more scored forecasts (n=3).</t>
        </is>
      </c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80%–90%</t>
        </is>
      </c>
      <c r="B10" s="12">
        <v>0.8</v>
      </c>
      <c r="C10" s="12">
        <v>0.9</v>
      </c>
      <c r="D10" s="12">
        <f>COUNTIFS(Selections!$S$6:$S$24,"&gt;="&amp;B10,Selections!$S$6:$S$24,"&lt;"&amp;C10,Selections!$T$6:$T$24,1)</f>
        <v>3</v>
      </c>
      <c r="E10" s="13">
        <f>IF(D10=0,"n.a.",SUMIFS(Selections!$S$6:$S$24,Selections!$S$6:$S$24,"&gt;="&amp;B10,Selections!$S$6:$S$24,"&lt;"&amp;C10,Selections!$T$6:$T$24,1)/D10)</f>
        <v>0.8566010078816761</v>
      </c>
      <c r="F10" s="13">
        <f>IF(D10=0,"n.a.",SUMIFS(Selections!$L$6:$L$24,Selections!$S$6:$S$24,"&gt;="&amp;B10,Selections!$S$6:$S$24,"&lt;"&amp;C10,Selections!$T$6:$T$24,1)/D10)</f>
        <v>0.3333333333333333</v>
      </c>
      <c r="G10" s="13">
        <f>IF(D10=0,"n.a.",E10-F10)</f>
        <v>0.5232676745483429</v>
      </c>
      <c r="H10" s="14">
        <f>IF(D10=0,"n.a.",SUMIFS(Selections!$O$6:$O$24,Selections!$S$6:$S$24,"&gt;="&amp;B10,Selections!$S$6:$S$24,"&lt;"&amp;C10,Selections!$T$6:$T$24,1)/D10)</f>
        <v>0.46832387158660893</v>
      </c>
      <c r="I10" s="1" t="inlineStr">
        <is>
          <t>Collect more scored forecasts (n=3).</t>
        </is>
      </c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90%–100%</t>
        </is>
      </c>
      <c r="B11" s="12">
        <v>0.9</v>
      </c>
      <c r="C11" s="12">
        <v>1.000001</v>
      </c>
      <c r="D11" s="12">
        <f>COUNTIFS(Selections!$S$6:$S$24,"&gt;="&amp;B11,Selections!$S$6:$S$24,"&lt;"&amp;C11,Selections!$T$6:$T$24,1)</f>
        <v>0</v>
      </c>
      <c r="E11" s="13" t="str">
        <f>IF(D11=0,"n.a.",SUMIFS(Selections!$S$6:$S$24,Selections!$S$6:$S$24,"&gt;="&amp;B11,Selections!$S$6:$S$24,"&lt;"&amp;C11,Selections!$T$6:$T$24,1)/D11)</f>
        <v>n.a.</v>
      </c>
      <c r="F11" s="13" t="str">
        <f>IF(D11=0,"n.a.",SUMIFS(Selections!$L$6:$L$24,Selections!$S$6:$S$24,"&gt;="&amp;B11,Selections!$S$6:$S$24,"&lt;"&amp;C11,Selections!$T$6:$T$24,1)/D11)</f>
        <v>n.a.</v>
      </c>
      <c r="G11" s="13" t="str">
        <f>IF(D11=0,"n.a.",E11-F11)</f>
        <v>n.a.</v>
      </c>
      <c r="H11" s="14" t="str">
        <f>IF(D11=0,"n.a.",SUMIFS(Selections!$O$6:$O$24,Selections!$S$6:$S$24,"&gt;="&amp;B11,Selections!$S$6:$S$24,"&lt;"&amp;C11,Selections!$T$6:$T$24,1)/D11)</f>
        <v>n.a.</v>
      </c>
      <c r="I11" s="1" t="inlineStr">
        <is>
          <t>Collect more scored forecasts (n=0).</t>
        </is>
      </c>
      <c r="J11" s="1"/>
      <c r="K11" s="1"/>
      <c r="L11" s="1"/>
      <c r="M11" s="1"/>
      <c r="N11" s="1"/>
      <c r="O11" s="1"/>
      <c r="P11" s="1"/>
      <c r="Q11" s="1"/>
      <c r="R11" s="1"/>
    </row>
  </sheetData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30" hidden="0" customWidth="1"/>
    <col min="6" max="6" width="16" hidden="0" customWidth="1"/>
    <col min="7" max="7" width="26" hidden="0" customWidth="1"/>
    <col min="8" max="8" width="16" hidden="0" customWidth="1"/>
    <col min="9" max="9" width="16" hidden="0" customWidth="1"/>
    <col min="10" max="10" width="16" hidden="0" customWidth="1"/>
    <col min="11" max="11" width="38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3" hidden="0" customWidth="1"/>
    <col min="18" max="18" width="43" hidden="0" customWidth="1"/>
    <col min="19" max="19" width="16" hidden="0" customWidth="1"/>
    <col min="20" max="20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" t="str">
        <v>Selections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Market</v>
      </c>
      <c r="F5" s="7" t="str">
        <v>Tier</v>
      </c>
      <c r="G5" s="7" t="str">
        <v>Selection policy</v>
      </c>
      <c r="H5" s="7" t="str">
        <v>Adjusted probability</v>
      </c>
      <c r="I5" s="7" t="str">
        <v>Decimal odds</v>
      </c>
      <c r="J5" s="7" t="str">
        <v>Final score</v>
      </c>
      <c r="K5" s="7" t="str">
        <v>Status</v>
      </c>
      <c r="L5" s="7" t="str">
        <v>Won = 1</v>
      </c>
      <c r="M5" s="7" t="str">
        <v>Stake units</v>
      </c>
      <c r="N5" s="7" t="str">
        <v>Profit units</v>
      </c>
      <c r="O5" s="7" t="str">
        <v>Binary Brier</v>
      </c>
      <c r="P5" s="7" t="str">
        <v>ISO week</v>
      </c>
      <c r="Q5" s="7" t="str">
        <v>Snapshot commit</v>
      </c>
      <c r="R5" s="7" t="str">
        <v>Result source</v>
      </c>
      <c r="S5" s="7" t="str">
        <v>Scored forecast</v>
      </c>
      <c r="T5" s="7" t="str">
        <v>Probability sample</v>
      </c>
    </row>
    <row r="6" ht="22" customHeight="1">
      <c r="A6" s="1" t="inlineStr">
        <is>
          <t>La Liga|elche|celta vigo|2026-10-11</t>
        </is>
      </c>
      <c r="B6" s="8">
        <v>46306.5</v>
      </c>
      <c r="C6" s="1" t="inlineStr">
        <is>
          <t>La Liga</t>
        </is>
      </c>
      <c r="D6" s="1" t="inlineStr">
        <is>
          <t>Elche CF vs Celta Vigo</t>
        </is>
      </c>
      <c r="E6" s="1" t="inlineStr">
        <is>
          <t>Over 1.5</t>
        </is>
      </c>
      <c r="F6" s="1" t="inlineStr">
        <is>
          <t>STRICT</t>
        </is>
      </c>
      <c r="G6" s="1" t="inlineStr">
        <is>
          <t>72h-ucl-v3</t>
        </is>
      </c>
      <c r="H6" s="9">
        <v>0.8013506483291103</v>
      </c>
      <c r="I6" s="10">
        <v>1.35</v>
      </c>
      <c r="J6" s="1"/>
      <c r="K6" s="1" t="inlineStr">
        <is>
          <t>UNVERIFIED_FIXTURE_OR_RESULT</t>
        </is>
      </c>
      <c r="L6" s="1"/>
      <c r="M6" s="10" t="str">
        <f>IF(AND(ISNUMBER(L6),ISNUMBER(I6),I6&gt;1),'ROI Plan'!$B$5,"")</f>
        <v/>
      </c>
      <c r="N6" s="10" t="str">
        <f>IF(ISNUMBER(M6),M6*(I6*L6-1),"")</f>
        <v/>
      </c>
      <c r="O6" s="11">
        <f>IF(AND(ISNUMBER(L6),ISNUMBER(H6)),(H6-L6)^2,"")</f>
      </c>
      <c r="P6" s="1" t="inlineStr">
        <is>
          <t>2026-W41</t>
        </is>
      </c>
      <c r="Q6" s="1" t="inlineStr">
        <is>
          <t>a2cdead106b513fd623cffd1e43a491685d68cc3</t>
        </is>
      </c>
      <c r="R6" s="1"/>
      <c r="S6" s="9">
        <f>IF(AND(ISNUMBER(L6),ISNUMBER(H6)),H6,"")</f>
      </c>
      <c r="T6" s="1">
        <f>IF(AND(ISNUMBER(L6),ISNUMBER(H6)),1,0)</f>
        <v>0</v>
      </c>
    </row>
    <row r="7" ht="22" customHeight="1">
      <c r="A7" s="1" t="inlineStr">
        <is>
          <t>Premier League|crystal palace|nott m forest|2026-10-11</t>
        </is>
      </c>
      <c r="B7" s="8">
        <v>46306.541666666664</v>
      </c>
      <c r="C7" s="1" t="inlineStr">
        <is>
          <t>Premier League</t>
        </is>
      </c>
      <c r="D7" s="1" t="inlineStr">
        <is>
          <t>Crystal Palace vs Nottingham Forest</t>
        </is>
      </c>
      <c r="E7" s="1" t="inlineStr">
        <is>
          <t>Under 3.5</t>
        </is>
      </c>
      <c r="F7" s="1" t="inlineStr">
        <is>
          <t>PROVISIONAL</t>
        </is>
      </c>
      <c r="G7" s="1" t="inlineStr">
        <is>
          <t>72h-ucl-v3</t>
        </is>
      </c>
      <c r="H7" s="9">
        <v>0.755121820396422</v>
      </c>
      <c r="I7" s="10">
        <v>1.39</v>
      </c>
      <c r="J7" s="1" t="inlineStr">
        <is>
          <t>3-1</t>
        </is>
      </c>
      <c r="K7" s="1" t="inlineStr">
        <is>
          <t>LOST</t>
        </is>
      </c>
      <c r="L7" s="1">
        <v>0</v>
      </c>
      <c r="M7" s="10">
        <f>IF(AND(ISNUMBER(L7),ISNUMBER(I7),I7&gt;1),'ROI Plan'!$B$5,"")</f>
        <v>1</v>
      </c>
      <c r="N7" s="10">
        <f>IF(ISNUMBER(M7),M7*(I7*L7-1),"")</f>
        <v>-1</v>
      </c>
      <c r="O7" s="11">
        <f>IF(AND(ISNUMBER(L7),ISNUMBER(H7)),(H7-L7)^2,"")</f>
        <v>0.5702089636388061</v>
      </c>
      <c r="P7" s="1" t="inlineStr">
        <is>
          <t>2026-W41</t>
        </is>
      </c>
      <c r="Q7" s="1" t="inlineStr">
        <is>
          <t>a2cdead106b513fd623cffd1e43a491685d68cc3</t>
        </is>
      </c>
      <c r="R7" s="1" t="inlineStr">
        <is>
          <t>football-data.org/v4</t>
        </is>
      </c>
      <c r="S7" s="9">
        <f>IF(AND(ISNUMBER(L7),ISNUMBER(H7)),H7,"")</f>
        <v>0.755121820396422</v>
      </c>
      <c r="T7" s="1">
        <f>IF(AND(ISNUMBER(L7),ISNUMBER(H7)),1,0)</f>
        <v>1</v>
      </c>
    </row>
    <row r="8" ht="22" customHeight="1">
      <c r="A8" s="1" t="inlineStr">
        <is>
          <t>Premier League|hull city|everton|2026-10-11</t>
        </is>
      </c>
      <c r="B8" s="8">
        <v>46306.541666666664</v>
      </c>
      <c r="C8" s="1" t="inlineStr">
        <is>
          <t>Premier League</t>
        </is>
      </c>
      <c r="D8" s="1" t="inlineStr">
        <is>
          <t>Hull City vs Everton</t>
        </is>
      </c>
      <c r="E8" s="1" t="inlineStr">
        <is>
          <t>Under 3.5</t>
        </is>
      </c>
      <c r="F8" s="1" t="inlineStr">
        <is>
          <t>PROVISIONAL</t>
        </is>
      </c>
      <c r="G8" s="1" t="inlineStr">
        <is>
          <t>legacy/unspecified</t>
        </is>
      </c>
      <c r="H8" s="9">
        <v>0.8334995781310042</v>
      </c>
      <c r="I8" s="10">
        <v>1.32</v>
      </c>
      <c r="J8" s="1" t="inlineStr">
        <is>
          <t>2-2</t>
        </is>
      </c>
      <c r="K8" s="1" t="inlineStr">
        <is>
          <t>LOST</t>
        </is>
      </c>
      <c r="L8" s="1">
        <v>0</v>
      </c>
      <c r="M8" s="10">
        <f>IF(AND(ISNUMBER(L8),ISNUMBER(I8),I8&gt;1),'ROI Plan'!$B$5,"")</f>
        <v>1</v>
      </c>
      <c r="N8" s="10">
        <f>IF(ISNUMBER(M8),M8*(I8*L8-1),"")</f>
        <v>-1</v>
      </c>
      <c r="O8" s="11">
        <f>IF(AND(ISNUMBER(L8),ISNUMBER(H8)),(H8-L8)^2,"")</f>
        <v>0.6947215467445619</v>
      </c>
      <c r="P8" s="1" t="inlineStr">
        <is>
          <t>2026-W41</t>
        </is>
      </c>
      <c r="Q8" s="1" t="inlineStr">
        <is>
          <t>bdc690a8c70643c93f1595d53c067b7d91325270</t>
        </is>
      </c>
      <c r="R8" s="1" t="inlineStr">
        <is>
          <t>football-data.org/v4</t>
        </is>
      </c>
      <c r="S8" s="9">
        <f>IF(AND(ISNUMBER(L8),ISNUMBER(H8)),H8,"")</f>
        <v>0.8334995781310042</v>
      </c>
      <c r="T8" s="1">
        <f>IF(AND(ISNUMBER(L8),ISNUMBER(H8)),1,0)</f>
        <v>1</v>
      </c>
    </row>
    <row r="9" ht="22" customHeight="1">
      <c r="A9" s="1" t="inlineStr">
        <is>
          <t>Serie A|lecce|bologna|2026-10-11</t>
        </is>
      </c>
      <c r="B9" s="8">
        <v>46306.541666666664</v>
      </c>
      <c r="C9" s="1" t="inlineStr">
        <is>
          <t>Serie A</t>
        </is>
      </c>
      <c r="D9" s="1" t="inlineStr">
        <is>
          <t>Lecce vs Bologna</t>
        </is>
      </c>
      <c r="E9" s="1" t="inlineStr">
        <is>
          <t>Under 3.5</t>
        </is>
      </c>
      <c r="F9" s="1" t="inlineStr">
        <is>
          <t>PROVISIONAL</t>
        </is>
      </c>
      <c r="G9" s="1" t="inlineStr">
        <is>
          <t>legacy/unspecified</t>
        </is>
      </c>
      <c r="H9" s="9">
        <v>0.7964247650798294</v>
      </c>
      <c r="I9" s="10">
        <v>1.28</v>
      </c>
      <c r="J9" s="1" t="inlineStr">
        <is>
          <t>1-2</t>
        </is>
      </c>
      <c r="K9" s="1" t="inlineStr">
        <is>
          <t>WON</t>
        </is>
      </c>
      <c r="L9" s="1">
        <v>1</v>
      </c>
      <c r="M9" s="10">
        <f>IF(AND(ISNUMBER(L9),ISNUMBER(I9),I9&gt;1),'ROI Plan'!$B$5,"")</f>
        <v>1</v>
      </c>
      <c r="N9" s="10">
        <f>IF(ISNUMBER(M9),M9*(I9*L9-1),"")</f>
        <v>0.28</v>
      </c>
      <c r="O9" s="11">
        <f>IF(AND(ISNUMBER(L9),ISNUMBER(H9)),(H9-L9)^2,"")</f>
        <v>0.041442876272802645</v>
      </c>
      <c r="P9" s="1" t="inlineStr">
        <is>
          <t>2026-W41</t>
        </is>
      </c>
      <c r="Q9" s="1" t="inlineStr">
        <is>
          <t>bdc690a8c70643c93f1595d53c067b7d91325270</t>
        </is>
      </c>
      <c r="R9" s="1" t="inlineStr">
        <is>
          <t>football-data.org/v4</t>
        </is>
      </c>
      <c r="S9" s="9">
        <f>IF(AND(ISNUMBER(L9),ISNUMBER(H9)),H9,"")</f>
        <v>0.7964247650798294</v>
      </c>
      <c r="T9" s="1">
        <f>IF(AND(ISNUMBER(L9),ISNUMBER(H9)),1,0)</f>
        <v>1</v>
      </c>
    </row>
    <row r="10" ht="22" customHeight="1">
      <c r="A10" s="1" t="inlineStr">
        <is>
          <t>La Liga|real racing santander|valencia|2026-10-11</t>
        </is>
      </c>
      <c r="B10" s="8">
        <v>46306.791666666664</v>
      </c>
      <c r="C10" s="1" t="inlineStr">
        <is>
          <t>La Liga</t>
        </is>
      </c>
      <c r="D10" s="1" t="inlineStr">
        <is>
          <t>Real Racing Club de Santander vs Valencia</t>
        </is>
      </c>
      <c r="E10" s="1" t="inlineStr">
        <is>
          <t>Over 1.5</t>
        </is>
      </c>
      <c r="F10" s="1" t="inlineStr">
        <is>
          <t>PROVISIONAL</t>
        </is>
      </c>
      <c r="G10" s="1" t="inlineStr">
        <is>
          <t>legacy/unspecified</t>
        </is>
      </c>
      <c r="H10" s="9">
        <v>0.8995481130412133</v>
      </c>
      <c r="I10" s="10">
        <v>1.24</v>
      </c>
      <c r="J10" s="1" t="inlineStr">
        <is>
          <t>2-2</t>
        </is>
      </c>
      <c r="K10" s="1" t="inlineStr">
        <is>
          <t>WON</t>
        </is>
      </c>
      <c r="L10" s="1">
        <v>1</v>
      </c>
      <c r="M10" s="10">
        <f>IF(AND(ISNUMBER(L10),ISNUMBER(I10),I10&gt;1),'ROI Plan'!$B$5,"")</f>
        <v>1</v>
      </c>
      <c r="N10" s="10">
        <f>IF(ISNUMBER(M10),M10*(I10*L10-1),"")</f>
        <v>0.24</v>
      </c>
      <c r="O10" s="11">
        <f>IF(AND(ISNUMBER(L10),ISNUMBER(H10)),(H10-L10)^2,"")</f>
        <v>0.010090581593580863</v>
      </c>
      <c r="P10" s="1" t="inlineStr">
        <is>
          <t>2026-W41</t>
        </is>
      </c>
      <c r="Q10" s="1" t="inlineStr">
        <is>
          <t>bdc690a8c70643c93f1595d53c067b7d91325270</t>
        </is>
      </c>
      <c r="R10" s="1" t="inlineStr">
        <is>
          <t>football-data.org/v4</t>
        </is>
      </c>
      <c r="S10" s="9">
        <f>IF(AND(ISNUMBER(L10),ISNUMBER(H10)),H10,"")</f>
        <v>0.8995481130412133</v>
      </c>
      <c r="T10" s="1">
        <f>IF(AND(ISNUMBER(L10),ISNUMBER(H10)),1,0)</f>
        <v>1</v>
      </c>
    </row>
    <row r="11" ht="22" customHeight="1">
      <c r="A11" s="1" t="inlineStr">
        <is>
          <t>Serie A|atalanta bc|venezia|2026-10-12</t>
        </is>
      </c>
      <c r="B11" s="8">
        <v>46307.6875</v>
      </c>
      <c r="C11" s="1" t="inlineStr">
        <is>
          <t>Serie A</t>
        </is>
      </c>
      <c r="D11" s="1" t="inlineStr">
        <is>
          <t>Atalanta BC vs Venezia</t>
        </is>
      </c>
      <c r="E11" s="1" t="inlineStr">
        <is>
          <t>Home win</t>
        </is>
      </c>
      <c r="F11" s="1" t="inlineStr">
        <is>
          <t>STRICT</t>
        </is>
      </c>
      <c r="G11" s="1" t="inlineStr">
        <is>
          <t>legacy/unspecified</t>
        </is>
      </c>
      <c r="H11" s="9">
        <v>0.6822834074295536</v>
      </c>
      <c r="I11" s="10">
        <v>1.63</v>
      </c>
      <c r="J11" s="1" t="inlineStr">
        <is>
          <t>3-1</t>
        </is>
      </c>
      <c r="K11" s="1" t="inlineStr">
        <is>
          <t>WON</t>
        </is>
      </c>
      <c r="L11" s="1">
        <v>1</v>
      </c>
      <c r="M11" s="10">
        <f>IF(AND(ISNUMBER(L11),ISNUMBER(I11),I11&gt;1),'ROI Plan'!$B$5,"")</f>
        <v>1</v>
      </c>
      <c r="N11" s="10">
        <f>IF(ISNUMBER(M11),M11*(I11*L11-1),"")</f>
        <v>0.6299999999999999</v>
      </c>
      <c r="O11" s="11">
        <f>IF(AND(ISNUMBER(L11),ISNUMBER(H11)),(H11-L11)^2,"")</f>
        <v>0.10094383319457502</v>
      </c>
      <c r="P11" s="1" t="inlineStr">
        <is>
          <t>2026-W42</t>
        </is>
      </c>
      <c r="Q11" s="1" t="inlineStr">
        <is>
          <t>bdc690a8c70643c93f1595d53c067b7d91325270</t>
        </is>
      </c>
      <c r="R11" s="1" t="inlineStr">
        <is>
          <t>football-data.org/v4</t>
        </is>
      </c>
      <c r="S11" s="9">
        <f>IF(AND(ISNUMBER(L11),ISNUMBER(H11)),H11,"")</f>
        <v>0.6822834074295536</v>
      </c>
      <c r="T11" s="1">
        <f>IF(AND(ISNUMBER(L11),ISNUMBER(H11)),1,0)</f>
        <v>1</v>
      </c>
    </row>
    <row r="12" ht="22" customHeight="1">
      <c r="A12" s="1" t="inlineStr">
        <is>
          <t>La Liga|levante|sevilla|2026-10-12</t>
        </is>
      </c>
      <c r="B12" s="8">
        <v>46307.791666666664</v>
      </c>
      <c r="C12" s="1" t="inlineStr">
        <is>
          <t>La Liga</t>
        </is>
      </c>
      <c r="D12" s="1" t="inlineStr">
        <is>
          <t>Levante vs Sevilla</t>
        </is>
      </c>
      <c r="E12" s="1" t="inlineStr">
        <is>
          <t>Over 1.5</t>
        </is>
      </c>
      <c r="F12" s="1" t="inlineStr">
        <is>
          <t>STRICT</t>
        </is>
      </c>
      <c r="G12" s="1" t="inlineStr">
        <is>
          <t>72h-ucl-v3</t>
        </is>
      </c>
      <c r="H12" s="9">
        <v>0.7819939798559531</v>
      </c>
      <c r="I12" s="10">
        <v>1.34</v>
      </c>
      <c r="J12" s="1" t="inlineStr">
        <is>
          <t>3-3</t>
        </is>
      </c>
      <c r="K12" s="1" t="inlineStr">
        <is>
          <t>WON</t>
        </is>
      </c>
      <c r="L12" s="1">
        <v>1</v>
      </c>
      <c r="M12" s="10">
        <f>IF(AND(ISNUMBER(L12),ISNUMBER(I12),I12&gt;1),'ROI Plan'!$B$5,"")</f>
        <v>1</v>
      </c>
      <c r="N12" s="10">
        <f>IF(ISNUMBER(M12),M12*(I12*L12-1),"")</f>
        <v>0.3400000000000001</v>
      </c>
      <c r="O12" s="11">
        <f>IF(AND(ISNUMBER(L12),ISNUMBER(H12)),(H12-L12)^2,"")</f>
        <v>0.047526624819046584</v>
      </c>
      <c r="P12" s="1" t="inlineStr">
        <is>
          <t>2026-W42</t>
        </is>
      </c>
      <c r="Q12" s="1" t="inlineStr">
        <is>
          <t>a2cdead106b513fd623cffd1e43a491685d68cc3</t>
        </is>
      </c>
      <c r="R12" s="1" t="inlineStr">
        <is>
          <t>football-data.org/v4</t>
        </is>
      </c>
      <c r="S12" s="9">
        <f>IF(AND(ISNUMBER(L12),ISNUMBER(H12)),H12,"")</f>
        <v>0.7819939798559531</v>
      </c>
      <c r="T12" s="1">
        <f>IF(AND(ISNUMBER(L12),ISNUMBER(H12)),1,0)</f>
        <v>1</v>
      </c>
    </row>
    <row r="13" ht="22" customHeight="1">
      <c r="A13" s="1" t="inlineStr">
        <is>
          <t>Premier League|coventry city|newcastle|2026-10-12</t>
        </is>
      </c>
      <c r="B13" s="8">
        <v>46307.791666666664</v>
      </c>
      <c r="C13" s="1" t="inlineStr">
        <is>
          <t>Premier League</t>
        </is>
      </c>
      <c r="D13" s="1" t="inlineStr">
        <is>
          <t>Coventry City vs Newcastle United</t>
        </is>
      </c>
      <c r="E13" s="1" t="inlineStr">
        <is>
          <t>Under 3.5</t>
        </is>
      </c>
      <c r="F13" s="1" t="inlineStr">
        <is>
          <t>PROVISIONAL</t>
        </is>
      </c>
      <c r="G13" s="1" t="inlineStr">
        <is>
          <t>legacy/unspecified</t>
        </is>
      </c>
      <c r="H13" s="9">
        <v>0.8367553324728108</v>
      </c>
      <c r="I13" s="10">
        <v>1.5</v>
      </c>
      <c r="J13" s="1" t="inlineStr">
        <is>
          <t>4-1</t>
        </is>
      </c>
      <c r="K13" s="1" t="inlineStr">
        <is>
          <t>LOST</t>
        </is>
      </c>
      <c r="L13" s="1">
        <v>0</v>
      </c>
      <c r="M13" s="10">
        <f>IF(AND(ISNUMBER(L13),ISNUMBER(I13),I13&gt;1),'ROI Plan'!$B$5,"")</f>
        <v>1</v>
      </c>
      <c r="N13" s="10">
        <f>IF(ISNUMBER(M13),M13*(I13*L13-1),"")</f>
        <v>-1</v>
      </c>
      <c r="O13" s="11">
        <f>IF(AND(ISNUMBER(L13),ISNUMBER(H13)),(H13-L13)^2,"")</f>
        <v>0.700159486421684</v>
      </c>
      <c r="P13" s="1" t="inlineStr">
        <is>
          <t>2026-W42</t>
        </is>
      </c>
      <c r="Q13" s="1" t="inlineStr">
        <is>
          <t>bdc690a8c70643c93f1595d53c067b7d91325270</t>
        </is>
      </c>
      <c r="R13" s="1" t="inlineStr">
        <is>
          <t>football-data.org/v4</t>
        </is>
      </c>
      <c r="S13" s="9">
        <f>IF(AND(ISNUMBER(L13),ISNUMBER(H13)),H13,"")</f>
        <v>0.8367553324728108</v>
      </c>
      <c r="T13" s="1">
        <f>IF(AND(ISNUMBER(L13),ISNUMBER(H13)),1,0)</f>
        <v>1</v>
      </c>
    </row>
    <row r="14" ht="22" customHeight="1">
      <c r="A14" s="1" t="inlineStr">
        <is>
          <t>UEFA Champions League|ath madrid|man united|2026-10-13</t>
        </is>
      </c>
      <c r="B14" s="8">
        <v>46308.791666666664</v>
      </c>
      <c r="C14" s="1" t="inlineStr">
        <is>
          <t>UEFA Champions League</t>
        </is>
      </c>
      <c r="D14" s="1" t="inlineStr">
        <is>
          <t>Atlético Madrid vs Manchester United</t>
        </is>
      </c>
      <c r="E14" s="1" t="inlineStr">
        <is>
          <t>Over 1.5</t>
        </is>
      </c>
      <c r="F14" s="1" t="inlineStr">
        <is>
          <t>STRICT</t>
        </is>
      </c>
      <c r="G14" s="1" t="inlineStr">
        <is>
          <t>72h-ucl-v3</t>
        </is>
      </c>
      <c r="H14" s="9">
        <v>0.9446461535133436</v>
      </c>
      <c r="I14" s="10">
        <v>1.15</v>
      </c>
      <c r="J14" s="1"/>
      <c r="K14" s="1" t="inlineStr">
        <is>
          <t>PENDING_KICKOFF_OR_FINAL_SCORE</t>
        </is>
      </c>
      <c r="L14" s="1"/>
      <c r="M14" s="10" t="str">
        <f>IF(AND(ISNUMBER(L14),ISNUMBER(I14),I14&gt;1),'ROI Plan'!$B$5,"")</f>
        <v/>
      </c>
      <c r="N14" s="10" t="str">
        <f>IF(ISNUMBER(M14),M14*(I14*L14-1),"")</f>
        <v/>
      </c>
      <c r="O14" s="11">
        <f>IF(AND(ISNUMBER(L14),ISNUMBER(H14)),(H14-L14)^2,"")</f>
      </c>
      <c r="P14" s="1" t="inlineStr">
        <is>
          <t>2026-W42</t>
        </is>
      </c>
      <c r="Q14" s="1" t="inlineStr">
        <is>
          <t>a2cdead106b513fd623cffd1e43a491685d68cc3</t>
        </is>
      </c>
      <c r="R14" s="1"/>
      <c r="S14" s="9">
        <f>IF(AND(ISNUMBER(L14),ISNUMBER(H14)),H14,"")</f>
      </c>
      <c r="T14" s="1">
        <f>IF(AND(ISNUMBER(L14),ISNUMBER(H14)),1,0)</f>
        <v>0</v>
      </c>
    </row>
    <row r="15" ht="22" customHeight="1">
      <c r="A15" s="1" t="inlineStr">
        <is>
          <t>UEFA Champions League|galatasaray|barcelona|2026-10-13</t>
        </is>
      </c>
      <c r="B15" s="8">
        <v>46308.791666666664</v>
      </c>
      <c r="C15" s="1" t="inlineStr">
        <is>
          <t>UEFA Champions League</t>
        </is>
      </c>
      <c r="D15" s="1" t="inlineStr">
        <is>
          <t>Galatasaray vs Barcelona</t>
        </is>
      </c>
      <c r="E15" s="1" t="inlineStr">
        <is>
          <t>Both Teams to Score - Yes</t>
        </is>
      </c>
      <c r="F15" s="1" t="inlineStr">
        <is>
          <t>STRICT</t>
        </is>
      </c>
      <c r="G15" s="1" t="inlineStr">
        <is>
          <t>72h-ucl-v3</t>
        </is>
      </c>
      <c r="H15" s="9">
        <v>0.7056728757654207</v>
      </c>
      <c r="I15" s="10">
        <v>1.49</v>
      </c>
      <c r="J15" s="1"/>
      <c r="K15" s="1" t="inlineStr">
        <is>
          <t>PENDING_KICKOFF_OR_FINAL_SCORE</t>
        </is>
      </c>
      <c r="L15" s="1"/>
      <c r="M15" s="10" t="str">
        <f>IF(AND(ISNUMBER(L15),ISNUMBER(I15),I15&gt;1),'ROI Plan'!$B$5,"")</f>
        <v/>
      </c>
      <c r="N15" s="10" t="str">
        <f>IF(ISNUMBER(M15),M15*(I15*L15-1),"")</f>
        <v/>
      </c>
      <c r="O15" s="11">
        <f>IF(AND(ISNUMBER(L15),ISNUMBER(H15)),(H15-L15)^2,"")</f>
      </c>
      <c r="P15" s="1" t="inlineStr">
        <is>
          <t>2026-W42</t>
        </is>
      </c>
      <c r="Q15" s="1" t="inlineStr">
        <is>
          <t>a2cdead106b513fd623cffd1e43a491685d68cc3</t>
        </is>
      </c>
      <c r="R15" s="1"/>
      <c r="S15" s="9">
        <f>IF(AND(ISNUMBER(L15),ISNUMBER(H15)),H15,"")</f>
      </c>
      <c r="T15" s="1">
        <f>IF(AND(ISNUMBER(L15),ISNUMBER(H15)),1,0)</f>
        <v>0</v>
      </c>
    </row>
    <row r="16" ht="22" customHeight="1">
      <c r="A16" s="1" t="inlineStr">
        <is>
          <t>UEFA Champions League|feyenoord|como|2026-10-14</t>
        </is>
      </c>
      <c r="B16" s="8">
        <v>46309.697916666664</v>
      </c>
      <c r="C16" s="1" t="inlineStr">
        <is>
          <t>UEFA Champions League</t>
        </is>
      </c>
      <c r="D16" s="1" t="inlineStr">
        <is>
          <t>Feyenoord vs Como</t>
        </is>
      </c>
      <c r="E16" s="1" t="inlineStr">
        <is>
          <t>Over 1.5</t>
        </is>
      </c>
      <c r="F16" s="1" t="inlineStr">
        <is>
          <t>STRICT</t>
        </is>
      </c>
      <c r="G16" s="1" t="inlineStr">
        <is>
          <t>72h-ucl-v3</t>
        </is>
      </c>
      <c r="H16" s="9">
        <v>0.9558088803119968</v>
      </c>
      <c r="I16" s="10">
        <v>1.14</v>
      </c>
      <c r="J16" s="1"/>
      <c r="K16" s="1" t="inlineStr">
        <is>
          <t>PENDING_KICKOFF_OR_FINAL_SCORE</t>
        </is>
      </c>
      <c r="L16" s="1"/>
      <c r="M16" s="10" t="str">
        <f>IF(AND(ISNUMBER(L16),ISNUMBER(I16),I16&gt;1),'ROI Plan'!$B$5,"")</f>
        <v/>
      </c>
      <c r="N16" s="10" t="str">
        <f>IF(ISNUMBER(M16),M16*(I16*L16-1),"")</f>
        <v/>
      </c>
      <c r="O16" s="11">
        <f>IF(AND(ISNUMBER(L16),ISNUMBER(H16)),(H16-L16)^2,"")</f>
      </c>
      <c r="P16" s="1" t="inlineStr">
        <is>
          <t>2026-W42</t>
        </is>
      </c>
      <c r="Q16" s="1" t="inlineStr">
        <is>
          <t>4f7af2f470a0b5cdb7b8ae974c859f87b0236fc4</t>
        </is>
      </c>
      <c r="R16" s="1"/>
      <c r="S16" s="9">
        <f>IF(AND(ISNUMBER(L16),ISNUMBER(H16)),H16,"")</f>
      </c>
      <c r="T16" s="1">
        <f>IF(AND(ISNUMBER(L16),ISNUMBER(H16)),1,0)</f>
        <v>0</v>
      </c>
    </row>
    <row r="17" ht="22" customHeight="1">
      <c r="A17" s="1" t="inlineStr">
        <is>
          <t>UEFA Champions League|aston villa|fenerbahce|2026-10-14</t>
        </is>
      </c>
      <c r="B17" s="8">
        <v>46309.791666666664</v>
      </c>
      <c r="C17" s="1" t="inlineStr">
        <is>
          <t>UEFA Champions League</t>
        </is>
      </c>
      <c r="D17" s="1" t="inlineStr">
        <is>
          <t>Aston Villa vs Fenerbahce</t>
        </is>
      </c>
      <c r="E17" s="1" t="inlineStr">
        <is>
          <t>Home win</t>
        </is>
      </c>
      <c r="F17" s="1" t="inlineStr">
        <is>
          <t>STRICT</t>
        </is>
      </c>
      <c r="G17" s="1" t="inlineStr">
        <is>
          <t>72h-ucl-v3</t>
        </is>
      </c>
      <c r="H17" s="9">
        <v>0.6635401387888005</v>
      </c>
      <c r="I17" s="10">
        <v>1.74</v>
      </c>
      <c r="J17" s="1"/>
      <c r="K17" s="1" t="inlineStr">
        <is>
          <t>PENDING_KICKOFF_OR_FINAL_SCORE</t>
        </is>
      </c>
      <c r="L17" s="1"/>
      <c r="M17" s="10" t="str">
        <f>IF(AND(ISNUMBER(L17),ISNUMBER(I17),I17&gt;1),'ROI Plan'!$B$5,"")</f>
        <v/>
      </c>
      <c r="N17" s="10" t="str">
        <f>IF(ISNUMBER(M17),M17*(I17*L17-1),"")</f>
        <v/>
      </c>
      <c r="O17" s="11">
        <f>IF(AND(ISNUMBER(L17),ISNUMBER(H17)),(H17-L17)^2,"")</f>
      </c>
      <c r="P17" s="1" t="inlineStr">
        <is>
          <t>2026-W42</t>
        </is>
      </c>
      <c r="Q17" s="1" t="inlineStr">
        <is>
          <t>4f7af2f470a0b5cdb7b8ae974c859f87b0236fc4</t>
        </is>
      </c>
      <c r="R17" s="1"/>
      <c r="S17" s="9">
        <f>IF(AND(ISNUMBER(L17),ISNUMBER(H17)),H17,"")</f>
      </c>
      <c r="T17" s="1">
        <f>IF(AND(ISNUMBER(L17),ISNUMBER(H17)),1,0)</f>
        <v>0</v>
      </c>
    </row>
    <row r="18" ht="22" customHeight="1">
      <c r="A18" s="1" t="inlineStr">
        <is>
          <t>UEFA Champions League|real betis|porto|2026-10-14</t>
        </is>
      </c>
      <c r="B18" s="8">
        <v>46309.791666666664</v>
      </c>
      <c r="C18" s="1" t="inlineStr">
        <is>
          <t>UEFA Champions League</t>
        </is>
      </c>
      <c r="D18" s="1" t="inlineStr">
        <is>
          <t>Real Betis vs Porto</t>
        </is>
      </c>
      <c r="E18" s="1" t="inlineStr">
        <is>
          <t>Over 1.5</t>
        </is>
      </c>
      <c r="F18" s="1" t="inlineStr">
        <is>
          <t>STRICT</t>
        </is>
      </c>
      <c r="G18" s="1" t="inlineStr">
        <is>
          <t>72h-ucl-v3</t>
        </is>
      </c>
      <c r="H18" s="9">
        <v>0.9147945927169935</v>
      </c>
      <c r="I18" s="10">
        <v>1.24</v>
      </c>
      <c r="J18" s="1"/>
      <c r="K18" s="1" t="inlineStr">
        <is>
          <t>PENDING_KICKOFF_OR_FINAL_SCORE</t>
        </is>
      </c>
      <c r="L18" s="1"/>
      <c r="M18" s="10" t="str">
        <f>IF(AND(ISNUMBER(L18),ISNUMBER(I18),I18&gt;1),'ROI Plan'!$B$5,"")</f>
        <v/>
      </c>
      <c r="N18" s="10" t="str">
        <f>IF(ISNUMBER(M18),M18*(I18*L18-1),"")</f>
        <v/>
      </c>
      <c r="O18" s="11">
        <f>IF(AND(ISNUMBER(L18),ISNUMBER(H18)),(H18-L18)^2,"")</f>
      </c>
      <c r="P18" s="1" t="inlineStr">
        <is>
          <t>2026-W42</t>
        </is>
      </c>
      <c r="Q18" s="1" t="inlineStr">
        <is>
          <t>4f7af2f470a0b5cdb7b8ae974c859f87b0236fc4</t>
        </is>
      </c>
      <c r="R18" s="1"/>
      <c r="S18" s="9">
        <f>IF(AND(ISNUMBER(L18),ISNUMBER(H18)),H18,"")</f>
      </c>
      <c r="T18" s="1">
        <f>IF(AND(ISNUMBER(L18),ISNUMBER(H18)),1,0)</f>
        <v>0</v>
      </c>
    </row>
    <row r="19" ht="22" customHeight="1">
      <c r="A19" s="1" t="inlineStr">
        <is>
          <t>Premier League|fulham|hull city|2026-10-17</t>
        </is>
      </c>
      <c r="B19" s="8">
        <v>46312.583333333336</v>
      </c>
      <c r="C19" s="1" t="inlineStr">
        <is>
          <t>Premier League</t>
        </is>
      </c>
      <c r="D19" s="1" t="inlineStr">
        <is>
          <t>Fulham vs Hull City</t>
        </is>
      </c>
      <c r="E19" s="1" t="inlineStr">
        <is>
          <t>Under 3.5</t>
        </is>
      </c>
      <c r="F19" s="1" t="inlineStr">
        <is>
          <t>PROVISIONAL</t>
        </is>
      </c>
      <c r="G19" s="1" t="inlineStr">
        <is>
          <t>legacy/unspecified</t>
        </is>
      </c>
      <c r="H19" s="9">
        <v>0.8021994552742411</v>
      </c>
      <c r="I19" s="10">
        <v>1.42</v>
      </c>
      <c r="J19" s="1"/>
      <c r="K19" s="1" t="inlineStr">
        <is>
          <t>PENDING_KICKOFF_OR_FINAL_SCORE</t>
        </is>
      </c>
      <c r="L19" s="1"/>
      <c r="M19" s="10" t="str">
        <f>IF(AND(ISNUMBER(L19),ISNUMBER(I19),I19&gt;1),'ROI Plan'!$B$5,"")</f>
        <v/>
      </c>
      <c r="N19" s="10" t="str">
        <f>IF(ISNUMBER(M19),M19*(I19*L19-1),"")</f>
        <v/>
      </c>
      <c r="O19" s="11">
        <f>IF(AND(ISNUMBER(L19),ISNUMBER(H19)),(H19-L19)^2,"")</f>
      </c>
      <c r="P19" s="1" t="inlineStr">
        <is>
          <t>2026-W42</t>
        </is>
      </c>
      <c r="Q19" s="1" t="inlineStr">
        <is>
          <t>bdc690a8c70643c93f1595d53c067b7d91325270</t>
        </is>
      </c>
      <c r="R19" s="1"/>
      <c r="S19" s="9">
        <f>IF(AND(ISNUMBER(L19),ISNUMBER(H19)),H19,"")</f>
      </c>
      <c r="T19" s="1">
        <f>IF(AND(ISNUMBER(L19),ISNUMBER(H19)),1,0)</f>
        <v>0</v>
      </c>
    </row>
    <row r="20" ht="22" customHeight="1">
      <c r="A20" s="1" t="inlineStr">
        <is>
          <t>Premier League|man city|ipswich town|2026-10-17</t>
        </is>
      </c>
      <c r="B20" s="8">
        <v>46312.583333333336</v>
      </c>
      <c r="C20" s="1" t="inlineStr">
        <is>
          <t>Premier League</t>
        </is>
      </c>
      <c r="D20" s="1" t="inlineStr">
        <is>
          <t>Manchester City vs Ipswich Town</t>
        </is>
      </c>
      <c r="E20" s="1" t="inlineStr">
        <is>
          <t>Over 1.5</t>
        </is>
      </c>
      <c r="F20" s="1" t="inlineStr">
        <is>
          <t>PROVISIONAL</t>
        </is>
      </c>
      <c r="G20" s="1" t="inlineStr">
        <is>
          <t>legacy/unspecified</t>
        </is>
      </c>
      <c r="H20" s="9">
        <v>0.9163621198072895</v>
      </c>
      <c r="I20" s="10">
        <v>1.11</v>
      </c>
      <c r="J20" s="1"/>
      <c r="K20" s="1" t="inlineStr">
        <is>
          <t>PENDING_KICKOFF_OR_FINAL_SCORE</t>
        </is>
      </c>
      <c r="L20" s="1"/>
      <c r="M20" s="10" t="str">
        <f>IF(AND(ISNUMBER(L20),ISNUMBER(I20),I20&gt;1),'ROI Plan'!$B$5,"")</f>
        <v/>
      </c>
      <c r="N20" s="10" t="str">
        <f>IF(ISNUMBER(M20),M20*(I20*L20-1),"")</f>
        <v/>
      </c>
      <c r="O20" s="11">
        <f>IF(AND(ISNUMBER(L20),ISNUMBER(H20)),(H20-L20)^2,"")</f>
      </c>
      <c r="P20" s="1" t="inlineStr">
        <is>
          <t>2026-W42</t>
        </is>
      </c>
      <c r="Q20" s="1" t="inlineStr">
        <is>
          <t>bdc690a8c70643c93f1595d53c067b7d91325270</t>
        </is>
      </c>
      <c r="R20" s="1"/>
      <c r="S20" s="9">
        <f>IF(AND(ISNUMBER(L20),ISNUMBER(H20)),H20,"")</f>
      </c>
      <c r="T20" s="1">
        <f>IF(AND(ISNUMBER(L20),ISNUMBER(H20)),1,0)</f>
        <v>0</v>
      </c>
    </row>
    <row r="21" ht="22" customHeight="1">
      <c r="A21" s="1" t="inlineStr">
        <is>
          <t>La Liga|ca osasuna|real racing santander|2026-10-18</t>
        </is>
      </c>
      <c r="B21" s="8">
        <v>46313.5</v>
      </c>
      <c r="C21" s="1" t="inlineStr">
        <is>
          <t>La Liga</t>
        </is>
      </c>
      <c r="D21" s="1" t="inlineStr">
        <is>
          <t>CA Osasuna vs Real Racing Club de Santander</t>
        </is>
      </c>
      <c r="E21" s="1" t="inlineStr">
        <is>
          <t>Over 1.5</t>
        </is>
      </c>
      <c r="F21" s="1" t="inlineStr">
        <is>
          <t>PROVISIONAL</t>
        </is>
      </c>
      <c r="G21" s="1" t="inlineStr">
        <is>
          <t>legacy/unspecified</t>
        </is>
      </c>
      <c r="H21" s="9">
        <v>0.9202632648998413</v>
      </c>
      <c r="I21" s="10">
        <v>1.22</v>
      </c>
      <c r="J21" s="1"/>
      <c r="K21" s="1" t="inlineStr">
        <is>
          <t>PENDING_KICKOFF_OR_FINAL_SCORE</t>
        </is>
      </c>
      <c r="L21" s="1"/>
      <c r="M21" s="10" t="str">
        <f>IF(AND(ISNUMBER(L21),ISNUMBER(I21),I21&gt;1),'ROI Plan'!$B$5,"")</f>
        <v/>
      </c>
      <c r="N21" s="10" t="str">
        <f>IF(ISNUMBER(M21),M21*(I21*L21-1),"")</f>
        <v/>
      </c>
      <c r="O21" s="11">
        <f>IF(AND(ISNUMBER(L21),ISNUMBER(H21)),(H21-L21)^2,"")</f>
      </c>
      <c r="P21" s="1" t="inlineStr">
        <is>
          <t>2026-W42</t>
        </is>
      </c>
      <c r="Q21" s="1" t="inlineStr">
        <is>
          <t>bdc690a8c70643c93f1595d53c067b7d91325270</t>
        </is>
      </c>
      <c r="R21" s="1"/>
      <c r="S21" s="9">
        <f>IF(AND(ISNUMBER(L21),ISNUMBER(H21)),H21,"")</f>
      </c>
      <c r="T21" s="1">
        <f>IF(AND(ISNUMBER(L21),ISNUMBER(H21)),1,0)</f>
        <v>0</v>
      </c>
    </row>
    <row r="22" ht="22" customHeight="1">
      <c r="A22" s="1" t="inlineStr">
        <is>
          <t>La Liga|malaga|real sociedad|2026-10-18</t>
        </is>
      </c>
      <c r="B22" s="8">
        <v>46313.6875</v>
      </c>
      <c r="C22" s="1" t="inlineStr">
        <is>
          <t>La Liga</t>
        </is>
      </c>
      <c r="D22" s="1" t="inlineStr">
        <is>
          <t>Málaga vs Real Sociedad</t>
        </is>
      </c>
      <c r="E22" s="1" t="inlineStr">
        <is>
          <t>Under 3.5</t>
        </is>
      </c>
      <c r="F22" s="1" t="inlineStr">
        <is>
          <t>STRICT</t>
        </is>
      </c>
      <c r="G22" s="1" t="inlineStr">
        <is>
          <t>legacy/unspecified</t>
        </is>
      </c>
      <c r="H22" s="9">
        <v>0.8261247842244344</v>
      </c>
      <c r="I22" s="10">
        <v>1.41</v>
      </c>
      <c r="J22" s="1"/>
      <c r="K22" s="1" t="inlineStr">
        <is>
          <t>PENDING_KICKOFF_OR_FINAL_SCORE</t>
        </is>
      </c>
      <c r="L22" s="1"/>
      <c r="M22" s="10" t="str">
        <f>IF(AND(ISNUMBER(L22),ISNUMBER(I22),I22&gt;1),'ROI Plan'!$B$5,"")</f>
        <v/>
      </c>
      <c r="N22" s="10" t="str">
        <f>IF(ISNUMBER(M22),M22*(I22*L22-1),"")</f>
        <v/>
      </c>
      <c r="O22" s="11">
        <f>IF(AND(ISNUMBER(L22),ISNUMBER(H22)),(H22-L22)^2,"")</f>
      </c>
      <c r="P22" s="1" t="inlineStr">
        <is>
          <t>2026-W42</t>
        </is>
      </c>
      <c r="Q22" s="1" t="inlineStr">
        <is>
          <t>bdc690a8c70643c93f1595d53c067b7d91325270</t>
        </is>
      </c>
      <c r="R22" s="1"/>
      <c r="S22" s="9">
        <f>IF(AND(ISNUMBER(L22),ISNUMBER(H22)),H22,"")</f>
      </c>
      <c r="T22" s="1">
        <f>IF(AND(ISNUMBER(L22),ISNUMBER(H22)),1,0)</f>
        <v>0</v>
      </c>
    </row>
    <row r="23" ht="22" customHeight="1">
      <c r="A23" s="1" t="inlineStr">
        <is>
          <t>La Liga|real madrid|sevilla|2026-10-18</t>
        </is>
      </c>
      <c r="B23" s="8">
        <v>46313.791666666664</v>
      </c>
      <c r="C23" s="1" t="inlineStr">
        <is>
          <t>La Liga</t>
        </is>
      </c>
      <c r="D23" s="1" t="inlineStr">
        <is>
          <t>Real Madrid vs Sevilla</t>
        </is>
      </c>
      <c r="E23" s="1" t="inlineStr">
        <is>
          <t>Home win</t>
        </is>
      </c>
      <c r="F23" s="1" t="inlineStr">
        <is>
          <t>PROVISIONAL</t>
        </is>
      </c>
      <c r="G23" s="1" t="inlineStr">
        <is>
          <t>legacy/unspecified</t>
        </is>
      </c>
      <c r="H23" s="9">
        <v>0.78842217536022</v>
      </c>
      <c r="I23" s="10">
        <v>1.3</v>
      </c>
      <c r="J23" s="1"/>
      <c r="K23" s="1" t="inlineStr">
        <is>
          <t>PENDING_KICKOFF_OR_FINAL_SCORE</t>
        </is>
      </c>
      <c r="L23" s="1"/>
      <c r="M23" s="10" t="str">
        <f>IF(AND(ISNUMBER(L23),ISNUMBER(I23),I23&gt;1),'ROI Plan'!$B$5,"")</f>
        <v/>
      </c>
      <c r="N23" s="10" t="str">
        <f>IF(ISNUMBER(M23),M23*(I23*L23-1),"")</f>
        <v/>
      </c>
      <c r="O23" s="11">
        <f>IF(AND(ISNUMBER(L23),ISNUMBER(H23)),(H23-L23)^2,"")</f>
      </c>
      <c r="P23" s="1" t="inlineStr">
        <is>
          <t>2026-W42</t>
        </is>
      </c>
      <c r="Q23" s="1" t="inlineStr">
        <is>
          <t>bdc690a8c70643c93f1595d53c067b7d91325270</t>
        </is>
      </c>
      <c r="R23" s="1"/>
      <c r="S23" s="9">
        <f>IF(AND(ISNUMBER(L23),ISNUMBER(H23)),H23,"")</f>
      </c>
      <c r="T23" s="1">
        <f>IF(AND(ISNUMBER(L23),ISNUMBER(H23)),1,0)</f>
        <v>0</v>
      </c>
    </row>
    <row r="24" ht="22" customHeight="1">
      <c r="A24" s="1" t="inlineStr">
        <is>
          <t>Premier League|tottenham|coventry city|2026-10-19</t>
        </is>
      </c>
      <c r="B24" s="8">
        <v>46314.791666666664</v>
      </c>
      <c r="C24" s="1" t="inlineStr">
        <is>
          <t>Premier League</t>
        </is>
      </c>
      <c r="D24" s="1" t="inlineStr">
        <is>
          <t>Tottenham Hotspur vs Coventry City</t>
        </is>
      </c>
      <c r="E24" s="1" t="inlineStr">
        <is>
          <t>Home win</t>
        </is>
      </c>
      <c r="F24" s="1" t="inlineStr">
        <is>
          <t>PROVISIONAL</t>
        </is>
      </c>
      <c r="G24" s="1" t="inlineStr">
        <is>
          <t>legacy/unspecified</t>
        </is>
      </c>
      <c r="H24" s="9">
        <v>0.6624411929150106</v>
      </c>
      <c r="I24" s="10">
        <v>1.54</v>
      </c>
      <c r="J24" s="1"/>
      <c r="K24" s="1" t="inlineStr">
        <is>
          <t>PENDING_KICKOFF_OR_FINAL_SCORE</t>
        </is>
      </c>
      <c r="L24" s="1"/>
      <c r="M24" s="10" t="str">
        <f>IF(AND(ISNUMBER(L24),ISNUMBER(I24),I24&gt;1),'ROI Plan'!$B$5,"")</f>
        <v/>
      </c>
      <c r="N24" s="10" t="str">
        <f>IF(ISNUMBER(M24),M24*(I24*L24-1),"")</f>
        <v/>
      </c>
      <c r="O24" s="11">
        <f>IF(AND(ISNUMBER(L24),ISNUMBER(H24)),(H24-L24)^2,"")</f>
      </c>
      <c r="P24" s="1" t="inlineStr">
        <is>
          <t>2026-W43</t>
        </is>
      </c>
      <c r="Q24" s="1" t="inlineStr">
        <is>
          <t>b9c15c09504aaf57de5ad0957adb91c0e9b37243</t>
        </is>
      </c>
      <c r="R24" s="1"/>
      <c r="S24" s="9">
        <f>IF(AND(ISNUMBER(L24),ISNUMBER(H24)),H24,"")</f>
      </c>
      <c r="T24" s="1">
        <f>IF(AND(ISNUMBER(L24),ISNUMBER(H24)),1,0)</f>
        <v>0</v>
      </c>
    </row>
  </sheetData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27" hidden="0" customWidth="1"/>
    <col min="6" max="6" width="38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43" hidden="0" customWidth="1"/>
    <col min="16" max="16" width="43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Predictions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Selection policy</v>
      </c>
      <c r="F5" s="7" t="str">
        <v>Status</v>
      </c>
      <c r="G5" s="7" t="str">
        <v>Final score</v>
      </c>
      <c r="H5" s="7" t="str">
        <v>1X2 correct</v>
      </c>
      <c r="I5" s="7" t="str">
        <v>1X2 Brier</v>
      </c>
      <c r="J5" s="7" t="str">
        <v>Over 1.5 correct</v>
      </c>
      <c r="K5" s="7" t="str">
        <v>Under 3.5 correct</v>
      </c>
      <c r="L5" s="7" t="str">
        <v>BTTS Yes correct</v>
      </c>
      <c r="M5" s="7" t="str">
        <v>BTTS No correct</v>
      </c>
      <c r="N5" s="7" t="str">
        <v>ISO week</v>
      </c>
      <c r="O5" s="7" t="str">
        <v>Snapshot commit</v>
      </c>
      <c r="P5" s="7" t="str">
        <v>Result source</v>
      </c>
      <c r="Q5" s="1"/>
      <c r="R5" s="1"/>
    </row>
    <row r="6" ht="22" customHeight="1">
      <c r="A6" s="1" t="inlineStr">
        <is>
          <t>Serie A|como|as roma|2026-10-11</t>
        </is>
      </c>
      <c r="B6" s="8">
        <v>46306.4375</v>
      </c>
      <c r="C6" s="1" t="inlineStr">
        <is>
          <t>Serie A</t>
        </is>
      </c>
      <c r="D6" s="1" t="inlineStr">
        <is>
          <t>Como vs AS Roma</t>
        </is>
      </c>
      <c r="E6" s="1" t="inlineStr">
        <is>
          <t>legacy/unspecified</t>
        </is>
      </c>
      <c r="F6" s="1" t="inlineStr">
        <is>
          <t>UNVERIFIED_FIXTURE_OR_RESULT</t>
        </is>
      </c>
      <c r="G6" s="1"/>
      <c r="H6" s="1"/>
      <c r="I6" s="11"/>
      <c r="J6" s="1"/>
      <c r="K6" s="1"/>
      <c r="L6" s="1"/>
      <c r="M6" s="1"/>
      <c r="N6" s="1" t="inlineStr">
        <is>
          <t>2026-W41</t>
        </is>
      </c>
      <c r="O6" s="1" t="inlineStr">
        <is>
          <t>2fd31d33722311d8e0155bb5eca6b3a310ac938b</t>
        </is>
      </c>
      <c r="P6" s="1"/>
      <c r="Q6" s="1"/>
      <c r="R6" s="1"/>
    </row>
    <row r="7" ht="22" customHeight="1">
      <c r="A7" s="1" t="inlineStr">
        <is>
          <t>La Liga|elche|celta vigo|2026-10-11</t>
        </is>
      </c>
      <c r="B7" s="8">
        <v>46306.5</v>
      </c>
      <c r="C7" s="1" t="inlineStr">
        <is>
          <t>La Liga</t>
        </is>
      </c>
      <c r="D7" s="1" t="inlineStr">
        <is>
          <t>Elche CF vs Celta Vigo</t>
        </is>
      </c>
      <c r="E7" s="1" t="inlineStr">
        <is>
          <t>legacy/unspecified</t>
        </is>
      </c>
      <c r="F7" s="1" t="inlineStr">
        <is>
          <t>UNVERIFIED_FIXTURE_OR_RESULT</t>
        </is>
      </c>
      <c r="G7" s="1"/>
      <c r="H7" s="1"/>
      <c r="I7" s="11"/>
      <c r="J7" s="1"/>
      <c r="K7" s="1"/>
      <c r="L7" s="1"/>
      <c r="M7" s="1"/>
      <c r="N7" s="1" t="inlineStr">
        <is>
          <t>2026-W41</t>
        </is>
      </c>
      <c r="O7" s="1" t="inlineStr">
        <is>
          <t>2fd31d33722311d8e0155bb5eca6b3a310ac938b</t>
        </is>
      </c>
      <c r="P7" s="1"/>
      <c r="Q7" s="1"/>
      <c r="R7" s="1"/>
    </row>
    <row r="8" ht="22" customHeight="1">
      <c r="A8" s="1" t="inlineStr">
        <is>
          <t>Ligue 1|nice|strasbourg|2026-10-11</t>
        </is>
      </c>
      <c r="B8" s="8">
        <v>46306.541666666664</v>
      </c>
      <c r="C8" s="1" t="inlineStr">
        <is>
          <t>Ligue 1</t>
        </is>
      </c>
      <c r="D8" s="1" t="inlineStr">
        <is>
          <t>Nice vs Strasbourg</t>
        </is>
      </c>
      <c r="E8" s="1" t="inlineStr">
        <is>
          <t>legacy/unspecified</t>
        </is>
      </c>
      <c r="F8" s="1" t="inlineStr">
        <is>
          <t>GRADED</t>
        </is>
      </c>
      <c r="G8" s="1" t="inlineStr">
        <is>
          <t>2-1</t>
        </is>
      </c>
      <c r="H8" s="1">
        <v>1.0</v>
      </c>
      <c r="I8" s="11">
        <v>0.54540666</v>
      </c>
      <c r="J8" s="1">
        <v>1.0</v>
      </c>
      <c r="K8" s="1">
        <v>1.0</v>
      </c>
      <c r="L8" s="1">
        <v>1.0</v>
      </c>
      <c r="M8" s="1">
        <v>1.0</v>
      </c>
      <c r="N8" s="1" t="inlineStr">
        <is>
          <t>2026-W41</t>
        </is>
      </c>
      <c r="O8" s="1" t="inlineStr">
        <is>
          <t>2fd31d33722311d8e0155bb5eca6b3a310ac938b</t>
        </is>
      </c>
      <c r="P8" s="1" t="inlineStr">
        <is>
          <t>football-data.org/v4</t>
        </is>
      </c>
      <c r="Q8" s="1"/>
      <c r="R8" s="1"/>
    </row>
    <row r="9" ht="22" customHeight="1">
      <c r="A9" s="1" t="inlineStr">
        <is>
          <t>Premier League|crystal palace|nott m forest|2026-10-11</t>
        </is>
      </c>
      <c r="B9" s="8">
        <v>46306.541666666664</v>
      </c>
      <c r="C9" s="1" t="inlineStr">
        <is>
          <t>Premier League</t>
        </is>
      </c>
      <c r="D9" s="1" t="inlineStr">
        <is>
          <t>Crystal Palace vs Nottingham Forest</t>
        </is>
      </c>
      <c r="E9" s="1" t="inlineStr">
        <is>
          <t>legacy/unspecified</t>
        </is>
      </c>
      <c r="F9" s="1" t="inlineStr">
        <is>
          <t>GRADED</t>
        </is>
      </c>
      <c r="G9" s="1" t="inlineStr">
        <is>
          <t>3-1</t>
        </is>
      </c>
      <c r="H9" s="1">
        <v>0.0</v>
      </c>
      <c r="I9" s="11">
        <v>0.62873666</v>
      </c>
      <c r="J9" s="1">
        <v>1.0</v>
      </c>
      <c r="K9" s="1">
        <v>0.0</v>
      </c>
      <c r="L9" s="1">
        <v>1.0</v>
      </c>
      <c r="M9" s="1">
        <v>1.0</v>
      </c>
      <c r="N9" s="1" t="inlineStr">
        <is>
          <t>2026-W41</t>
        </is>
      </c>
      <c r="O9" s="1" t="inlineStr">
        <is>
          <t>2fd31d33722311d8e0155bb5eca6b3a310ac938b</t>
        </is>
      </c>
      <c r="P9" s="1" t="inlineStr">
        <is>
          <t>football-data.org/v4</t>
        </is>
      </c>
      <c r="Q9" s="1"/>
      <c r="R9" s="1"/>
    </row>
    <row r="10" ht="22" customHeight="1">
      <c r="A10" s="1" t="inlineStr">
        <is>
          <t>Premier League|hull city|everton|2026-10-11</t>
        </is>
      </c>
      <c r="B10" s="8">
        <v>46306.541666666664</v>
      </c>
      <c r="C10" s="1" t="inlineStr">
        <is>
          <t>Premier League</t>
        </is>
      </c>
      <c r="D10" s="1" t="inlineStr">
        <is>
          <t>Hull City vs Everton</t>
        </is>
      </c>
      <c r="E10" s="1" t="inlineStr">
        <is>
          <t>legacy/unspecified</t>
        </is>
      </c>
      <c r="F10" s="1" t="inlineStr">
        <is>
          <t>GRADED</t>
        </is>
      </c>
      <c r="G10" s="1" t="inlineStr">
        <is>
          <t>2-2</t>
        </is>
      </c>
      <c r="H10" s="1">
        <v>0.0</v>
      </c>
      <c r="I10" s="11">
        <v>0.70638787</v>
      </c>
      <c r="J10" s="1">
        <v>1.0</v>
      </c>
      <c r="K10" s="1">
        <v>0.0</v>
      </c>
      <c r="L10" s="1">
        <v>0.0</v>
      </c>
      <c r="M10" s="1">
        <v>0.0</v>
      </c>
      <c r="N10" s="1" t="inlineStr">
        <is>
          <t>2026-W41</t>
        </is>
      </c>
      <c r="O10" s="1" t="inlineStr">
        <is>
          <t>2fd31d33722311d8e0155bb5eca6b3a310ac938b</t>
        </is>
      </c>
      <c r="P10" s="1" t="inlineStr">
        <is>
          <t>football-data.org/v4</t>
        </is>
      </c>
      <c r="Q10" s="1"/>
      <c r="R10" s="1"/>
    </row>
    <row r="11" ht="22" customHeight="1">
      <c r="A11" s="1" t="inlineStr">
        <is>
          <t>Serie A|lazio|monza|2026-10-11</t>
        </is>
      </c>
      <c r="B11" s="8">
        <v>46306.541666666664</v>
      </c>
      <c r="C11" s="1" t="inlineStr">
        <is>
          <t>Serie A</t>
        </is>
      </c>
      <c r="D11" s="1" t="inlineStr">
        <is>
          <t>Lazio vs Monza</t>
        </is>
      </c>
      <c r="E11" s="1" t="inlineStr">
        <is>
          <t>legacy/unspecified</t>
        </is>
      </c>
      <c r="F11" s="1" t="inlineStr">
        <is>
          <t>GRADED</t>
        </is>
      </c>
      <c r="G11" s="1" t="inlineStr">
        <is>
          <t>3-1</t>
        </is>
      </c>
      <c r="H11" s="1">
        <v>1.0</v>
      </c>
      <c r="I11" s="11">
        <v>0.2112717</v>
      </c>
      <c r="J11" s="1">
        <v>1.0</v>
      </c>
      <c r="K11" s="1">
        <v>0.0</v>
      </c>
      <c r="L11" s="1">
        <v>1.0</v>
      </c>
      <c r="M11" s="1">
        <v>1.0</v>
      </c>
      <c r="N11" s="1" t="inlineStr">
        <is>
          <t>2026-W41</t>
        </is>
      </c>
      <c r="O11" s="1" t="inlineStr">
        <is>
          <t>2fd31d33722311d8e0155bb5eca6b3a310ac938b</t>
        </is>
      </c>
      <c r="P11" s="1" t="inlineStr">
        <is>
          <t>football-data.org/v4</t>
        </is>
      </c>
      <c r="Q11" s="1"/>
      <c r="R11" s="1"/>
    </row>
    <row r="12" ht="22" customHeight="1">
      <c r="A12" s="1" t="inlineStr">
        <is>
          <t>Serie A|lecce|bologna|2026-10-11</t>
        </is>
      </c>
      <c r="B12" s="8">
        <v>46306.541666666664</v>
      </c>
      <c r="C12" s="1" t="inlineStr">
        <is>
          <t>Serie A</t>
        </is>
      </c>
      <c r="D12" s="1" t="inlineStr">
        <is>
          <t>Lecce vs Bologna</t>
        </is>
      </c>
      <c r="E12" s="1" t="inlineStr">
        <is>
          <t>legacy/unspecified</t>
        </is>
      </c>
      <c r="F12" s="1" t="inlineStr">
        <is>
          <t>GRADED</t>
        </is>
      </c>
      <c r="G12" s="1" t="inlineStr">
        <is>
          <t>1-2</t>
        </is>
      </c>
      <c r="H12" s="1">
        <v>1.0</v>
      </c>
      <c r="I12" s="11">
        <v>0.37701409</v>
      </c>
      <c r="J12" s="1">
        <v>1.0</v>
      </c>
      <c r="K12" s="1">
        <v>1.0</v>
      </c>
      <c r="L12" s="1">
        <v>0.0</v>
      </c>
      <c r="M12" s="1">
        <v>0.0</v>
      </c>
      <c r="N12" s="1" t="inlineStr">
        <is>
          <t>2026-W41</t>
        </is>
      </c>
      <c r="O12" s="1" t="inlineStr">
        <is>
          <t>2fd31d33722311d8e0155bb5eca6b3a310ac938b</t>
        </is>
      </c>
      <c r="P12" s="1" t="inlineStr">
        <is>
          <t>football-data.org/v4</t>
        </is>
      </c>
      <c r="Q12" s="1"/>
      <c r="R12" s="1"/>
    </row>
    <row r="13" ht="22" customHeight="1">
      <c r="A13" s="1" t="inlineStr">
        <is>
          <t>Bundesliga|1 koln|m gladbach|2026-10-11</t>
        </is>
      </c>
      <c r="B13" s="8">
        <v>46306.5625</v>
      </c>
      <c r="C13" s="1" t="inlineStr">
        <is>
          <t>Bundesliga</t>
        </is>
      </c>
      <c r="D13" s="1" t="inlineStr">
        <is>
          <t>1. FC Köln vs Borussia Monchengladbach</t>
        </is>
      </c>
      <c r="E13" s="1" t="inlineStr">
        <is>
          <t>legacy/unspecified</t>
        </is>
      </c>
      <c r="F13" s="1" t="inlineStr">
        <is>
          <t>GRADED</t>
        </is>
      </c>
      <c r="G13" s="1" t="inlineStr">
        <is>
          <t>2-1</t>
        </is>
      </c>
      <c r="H13" s="1">
        <v>1.0</v>
      </c>
      <c r="I13" s="11">
        <v>0.54115992</v>
      </c>
      <c r="J13" s="1">
        <v>1.0</v>
      </c>
      <c r="K13" s="1">
        <v>1.0</v>
      </c>
      <c r="L13" s="1">
        <v>1.0</v>
      </c>
      <c r="M13" s="1">
        <v>1.0</v>
      </c>
      <c r="N13" s="1" t="inlineStr">
        <is>
          <t>2026-W41</t>
        </is>
      </c>
      <c r="O13" s="1" t="inlineStr">
        <is>
          <t>2fd31d33722311d8e0155bb5eca6b3a310ac938b</t>
        </is>
      </c>
      <c r="P13" s="1" t="inlineStr">
        <is>
          <t>football-data.org/v4</t>
        </is>
      </c>
      <c r="Q13" s="1"/>
      <c r="R13" s="1"/>
    </row>
    <row r="14" ht="22" customHeight="1">
      <c r="A14" s="1" t="inlineStr">
        <is>
          <t>La Liga|real sociedad|deportivo la coruna|2026-10-11</t>
        </is>
      </c>
      <c r="B14" s="8">
        <v>46306.59375</v>
      </c>
      <c r="C14" s="1" t="inlineStr">
        <is>
          <t>La Liga</t>
        </is>
      </c>
      <c r="D14" s="1" t="inlineStr">
        <is>
          <t>Real Sociedad vs Deportivo La Coruña</t>
        </is>
      </c>
      <c r="E14" s="1" t="inlineStr">
        <is>
          <t>legacy/unspecified</t>
        </is>
      </c>
      <c r="F14" s="1" t="inlineStr">
        <is>
          <t>GRADED</t>
        </is>
      </c>
      <c r="G14" s="1" t="inlineStr">
        <is>
          <t>3-2</t>
        </is>
      </c>
      <c r="H14" s="1">
        <v>1.0</v>
      </c>
      <c r="I14" s="11">
        <v>0.35056735</v>
      </c>
      <c r="J14" s="1">
        <v>1.0</v>
      </c>
      <c r="K14" s="1">
        <v>0.0</v>
      </c>
      <c r="L14" s="1">
        <v>1.0</v>
      </c>
      <c r="M14" s="1">
        <v>1.0</v>
      </c>
      <c r="N14" s="1" t="inlineStr">
        <is>
          <t>2026-W41</t>
        </is>
      </c>
      <c r="O14" s="1" t="inlineStr">
        <is>
          <t>2fd31d33722311d8e0155bb5eca6b3a310ac938b</t>
        </is>
      </c>
      <c r="P14" s="1" t="inlineStr">
        <is>
          <t>football-data.org/v4</t>
        </is>
      </c>
      <c r="Q14" s="1"/>
      <c r="R14" s="1"/>
    </row>
    <row r="15" ht="22" customHeight="1">
      <c r="A15" s="1" t="inlineStr">
        <is>
          <t>Ligue 1|rennes|auxerre|2026-10-11</t>
        </is>
      </c>
      <c r="B15" s="8">
        <v>46306.635416666664</v>
      </c>
      <c r="C15" s="1" t="inlineStr">
        <is>
          <t>Ligue 1</t>
        </is>
      </c>
      <c r="D15" s="1" t="inlineStr">
        <is>
          <t>Rennes vs Auxerre</t>
        </is>
      </c>
      <c r="E15" s="1" t="inlineStr">
        <is>
          <t>legacy/unspecified</t>
        </is>
      </c>
      <c r="F15" s="1" t="inlineStr">
        <is>
          <t>UNVERIFIED_FIXTURE_OR_RESULT</t>
        </is>
      </c>
      <c r="G15" s="1"/>
      <c r="H15" s="1"/>
      <c r="I15" s="11"/>
      <c r="J15" s="1"/>
      <c r="K15" s="1"/>
      <c r="L15" s="1"/>
      <c r="M15" s="1"/>
      <c r="N15" s="1" t="inlineStr">
        <is>
          <t>2026-W41</t>
        </is>
      </c>
      <c r="O15" s="1" t="inlineStr">
        <is>
          <t>2fd31d33722311d8e0155bb5eca6b3a310ac938b</t>
        </is>
      </c>
      <c r="P15" s="1"/>
      <c r="Q15" s="1"/>
      <c r="R15" s="1"/>
    </row>
    <row r="16" ht="22" customHeight="1">
      <c r="A16" s="1" t="inlineStr">
        <is>
          <t>Bundesliga|freiburg|schalke|2026-10-11</t>
        </is>
      </c>
      <c r="B16" s="8">
        <v>46306.645833333336</v>
      </c>
      <c r="C16" s="1" t="inlineStr">
        <is>
          <t>Bundesliga</t>
        </is>
      </c>
      <c r="D16" s="1" t="inlineStr">
        <is>
          <t>SC Freiburg vs FC Schalke 04</t>
        </is>
      </c>
      <c r="E16" s="1" t="inlineStr">
        <is>
          <t>legacy/unspecified</t>
        </is>
      </c>
      <c r="F16" s="1" t="inlineStr">
        <is>
          <t>GRADED</t>
        </is>
      </c>
      <c r="G16" s="1" t="inlineStr">
        <is>
          <t>2-1</t>
        </is>
      </c>
      <c r="H16" s="1">
        <v>1.0</v>
      </c>
      <c r="I16" s="11">
        <v>0.42840131</v>
      </c>
      <c r="J16" s="1">
        <v>1.0</v>
      </c>
      <c r="K16" s="1">
        <v>1.0</v>
      </c>
      <c r="L16" s="1">
        <v>0.0</v>
      </c>
      <c r="M16" s="1">
        <v>0.0</v>
      </c>
      <c r="N16" s="1" t="inlineStr">
        <is>
          <t>2026-W41</t>
        </is>
      </c>
      <c r="O16" s="1" t="inlineStr">
        <is>
          <t>2fd31d33722311d8e0155bb5eca6b3a310ac938b</t>
        </is>
      </c>
      <c r="P16" s="1" t="inlineStr">
        <is>
          <t>football-data.org/v4</t>
        </is>
      </c>
      <c r="Q16" s="1"/>
      <c r="R16" s="1"/>
    </row>
    <row r="17" ht="22" customHeight="1">
      <c r="A17" s="1" t="inlineStr">
        <is>
          <t>Premier League|liverpool|man city|2026-10-11</t>
        </is>
      </c>
      <c r="B17" s="8">
        <v>46306.645833333336</v>
      </c>
      <c r="C17" s="1" t="inlineStr">
        <is>
          <t>Premier League</t>
        </is>
      </c>
      <c r="D17" s="1" t="inlineStr">
        <is>
          <t>Liverpool vs Manchester City</t>
        </is>
      </c>
      <c r="E17" s="1" t="inlineStr">
        <is>
          <t>legacy/unspecified</t>
        </is>
      </c>
      <c r="F17" s="1" t="inlineStr">
        <is>
          <t>GRADED</t>
        </is>
      </c>
      <c r="G17" s="1" t="inlineStr">
        <is>
          <t>0-3</t>
        </is>
      </c>
      <c r="H17" s="1">
        <v>1.0</v>
      </c>
      <c r="I17" s="11">
        <v>0.5110281</v>
      </c>
      <c r="J17" s="1">
        <v>1.0</v>
      </c>
      <c r="K17" s="1">
        <v>1.0</v>
      </c>
      <c r="L17" s="1">
        <v>0.0</v>
      </c>
      <c r="M17" s="1">
        <v>0.0</v>
      </c>
      <c r="N17" s="1" t="inlineStr">
        <is>
          <t>2026-W41</t>
        </is>
      </c>
      <c r="O17" s="1" t="inlineStr">
        <is>
          <t>2fd31d33722311d8e0155bb5eca6b3a310ac938b</t>
        </is>
      </c>
      <c r="P17" s="1" t="inlineStr">
        <is>
          <t>football-data.org/v4</t>
        </is>
      </c>
      <c r="Q17" s="1"/>
      <c r="R17" s="1"/>
    </row>
    <row r="18" ht="22" customHeight="1">
      <c r="A18" s="1" t="inlineStr">
        <is>
          <t>Serie A|sassuolo|milan|2026-10-11</t>
        </is>
      </c>
      <c r="B18" s="8">
        <v>46306.666666666664</v>
      </c>
      <c r="C18" s="1" t="inlineStr">
        <is>
          <t>Serie A</t>
        </is>
      </c>
      <c r="D18" s="1" t="inlineStr">
        <is>
          <t>Sassuolo vs AC Milan</t>
        </is>
      </c>
      <c r="E18" s="1" t="inlineStr">
        <is>
          <t>legacy/unspecified</t>
        </is>
      </c>
      <c r="F18" s="1" t="inlineStr">
        <is>
          <t>GRADED</t>
        </is>
      </c>
      <c r="G18" s="1" t="inlineStr">
        <is>
          <t>1-1</t>
        </is>
      </c>
      <c r="H18" s="1">
        <v>0.0</v>
      </c>
      <c r="I18" s="11">
        <v>0.89862621</v>
      </c>
      <c r="J18" s="1">
        <v>1.0</v>
      </c>
      <c r="K18" s="1">
        <v>1.0</v>
      </c>
      <c r="L18" s="1">
        <v>1.0</v>
      </c>
      <c r="M18" s="1">
        <v>1.0</v>
      </c>
      <c r="N18" s="1" t="inlineStr">
        <is>
          <t>2026-W41</t>
        </is>
      </c>
      <c r="O18" s="1" t="inlineStr">
        <is>
          <t>2fd31d33722311d8e0155bb5eca6b3a310ac938b</t>
        </is>
      </c>
      <c r="P18" s="1" t="inlineStr">
        <is>
          <t>football-data.org/v4</t>
        </is>
      </c>
      <c r="Q18" s="1"/>
      <c r="R18" s="1"/>
    </row>
    <row r="19" ht="22" customHeight="1">
      <c r="A19" s="1" t="inlineStr">
        <is>
          <t>La Liga|real betis|ca osasuna|2026-10-11</t>
        </is>
      </c>
      <c r="B19" s="8">
        <v>46306.6875</v>
      </c>
      <c r="C19" s="1" t="inlineStr">
        <is>
          <t>La Liga</t>
        </is>
      </c>
      <c r="D19" s="1" t="inlineStr">
        <is>
          <t>Real Betis vs CA Osasuna</t>
        </is>
      </c>
      <c r="E19" s="1" t="inlineStr">
        <is>
          <t>legacy/unspecified</t>
        </is>
      </c>
      <c r="F19" s="1" t="inlineStr">
        <is>
          <t>GRADED</t>
        </is>
      </c>
      <c r="G19" s="1" t="inlineStr">
        <is>
          <t>5-2</t>
        </is>
      </c>
      <c r="H19" s="1">
        <v>1.0</v>
      </c>
      <c r="I19" s="11">
        <v>0.2459057</v>
      </c>
      <c r="J19" s="1">
        <v>1.0</v>
      </c>
      <c r="K19" s="1">
        <v>0.0</v>
      </c>
      <c r="L19" s="1">
        <v>1.0</v>
      </c>
      <c r="M19" s="1">
        <v>1.0</v>
      </c>
      <c r="N19" s="1" t="inlineStr">
        <is>
          <t>2026-W41</t>
        </is>
      </c>
      <c r="O19" s="1" t="inlineStr">
        <is>
          <t>2fd31d33722311d8e0155bb5eca6b3a310ac938b</t>
        </is>
      </c>
      <c r="P19" s="1" t="inlineStr">
        <is>
          <t>football-data.org/v4</t>
        </is>
      </c>
      <c r="Q19" s="1"/>
      <c r="R19" s="1"/>
    </row>
    <row r="20" ht="22" customHeight="1">
      <c r="A20" s="1" t="inlineStr">
        <is>
          <t>Ligue 1|troyes|marseille|2026-10-11</t>
        </is>
      </c>
      <c r="B20" s="8">
        <v>46306.78125</v>
      </c>
      <c r="C20" s="1" t="inlineStr">
        <is>
          <t>Ligue 1</t>
        </is>
      </c>
      <c r="D20" s="1" t="inlineStr">
        <is>
          <t>Troyes vs Marseille</t>
        </is>
      </c>
      <c r="E20" s="1" t="inlineStr">
        <is>
          <t>legacy/unspecified</t>
        </is>
      </c>
      <c r="F20" s="1" t="inlineStr">
        <is>
          <t>GRADED</t>
        </is>
      </c>
      <c r="G20" s="1" t="inlineStr">
        <is>
          <t>0-2</t>
        </is>
      </c>
      <c r="H20" s="1">
        <v>1.0</v>
      </c>
      <c r="I20" s="11">
        <v>0.2073436</v>
      </c>
      <c r="J20" s="1">
        <v>1.0</v>
      </c>
      <c r="K20" s="1">
        <v>1.0</v>
      </c>
      <c r="L20" s="1">
        <v>0.0</v>
      </c>
      <c r="M20" s="1">
        <v>0.0</v>
      </c>
      <c r="N20" s="1" t="inlineStr">
        <is>
          <t>2026-W41</t>
        </is>
      </c>
      <c r="O20" s="1" t="inlineStr">
        <is>
          <t>2fd31d33722311d8e0155bb5eca6b3a310ac938b</t>
        </is>
      </c>
      <c r="P20" s="1" t="inlineStr">
        <is>
          <t>football-data.org/v4</t>
        </is>
      </c>
      <c r="Q20" s="1"/>
      <c r="R20" s="1"/>
    </row>
    <row r="21" ht="22" customHeight="1">
      <c r="A21" s="1" t="inlineStr">
        <is>
          <t>Serie A|cagliari|juventus|2026-10-11</t>
        </is>
      </c>
      <c r="B21" s="8">
        <v>46306.78125</v>
      </c>
      <c r="C21" s="1" t="inlineStr">
        <is>
          <t>Serie A</t>
        </is>
      </c>
      <c r="D21" s="1" t="inlineStr">
        <is>
          <t>Cagliari vs Juventus</t>
        </is>
      </c>
      <c r="E21" s="1" t="inlineStr">
        <is>
          <t>legacy/unspecified</t>
        </is>
      </c>
      <c r="F21" s="1" t="inlineStr">
        <is>
          <t>GRADED</t>
        </is>
      </c>
      <c r="G21" s="1" t="inlineStr">
        <is>
          <t>1-1</t>
        </is>
      </c>
      <c r="H21" s="1">
        <v>0.0</v>
      </c>
      <c r="I21" s="11">
        <v>0.9256308</v>
      </c>
      <c r="J21" s="1">
        <v>1.0</v>
      </c>
      <c r="K21" s="1">
        <v>1.0</v>
      </c>
      <c r="L21" s="1">
        <v>0.0</v>
      </c>
      <c r="M21" s="1">
        <v>0.0</v>
      </c>
      <c r="N21" s="1" t="inlineStr">
        <is>
          <t>2026-W41</t>
        </is>
      </c>
      <c r="O21" s="1" t="inlineStr">
        <is>
          <t>2fd31d33722311d8e0155bb5eca6b3a310ac938b</t>
        </is>
      </c>
      <c r="P21" s="1" t="inlineStr">
        <is>
          <t>football-data.org/v4</t>
        </is>
      </c>
      <c r="Q21" s="1"/>
      <c r="R21" s="1"/>
    </row>
    <row r="22" ht="22" customHeight="1">
      <c r="A22" s="1" t="inlineStr">
        <is>
          <t>La Liga|real racing santander|valencia|2026-10-11</t>
        </is>
      </c>
      <c r="B22" s="8">
        <v>46306.791666666664</v>
      </c>
      <c r="C22" s="1" t="inlineStr">
        <is>
          <t>La Liga</t>
        </is>
      </c>
      <c r="D22" s="1" t="inlineStr">
        <is>
          <t>Real Racing Club de Santander vs Valencia</t>
        </is>
      </c>
      <c r="E22" s="1" t="inlineStr">
        <is>
          <t>legacy/unspecified</t>
        </is>
      </c>
      <c r="F22" s="1" t="inlineStr">
        <is>
          <t>GRADED</t>
        </is>
      </c>
      <c r="G22" s="1" t="inlineStr">
        <is>
          <t>2-2</t>
        </is>
      </c>
      <c r="H22" s="1">
        <v>0.0</v>
      </c>
      <c r="I22" s="11">
        <v>0.86201314</v>
      </c>
      <c r="J22" s="1">
        <v>1.0</v>
      </c>
      <c r="K22" s="1">
        <v>1.0</v>
      </c>
      <c r="L22" s="1">
        <v>1.0</v>
      </c>
      <c r="M22" s="1">
        <v>1.0</v>
      </c>
      <c r="N22" s="1" t="inlineStr">
        <is>
          <t>2026-W41</t>
        </is>
      </c>
      <c r="O22" s="1" t="inlineStr">
        <is>
          <t>2fd31d33722311d8e0155bb5eca6b3a310ac938b</t>
        </is>
      </c>
      <c r="P22" s="1" t="inlineStr">
        <is>
          <t>football-data.org/v4</t>
        </is>
      </c>
      <c r="Q22" s="1"/>
      <c r="R22" s="1"/>
    </row>
    <row r="23" ht="22" customHeight="1">
      <c r="A23" s="1" t="inlineStr">
        <is>
          <t>Serie A|atalanta bc|venezia|2026-10-12</t>
        </is>
      </c>
      <c r="B23" s="8">
        <v>46307.6875</v>
      </c>
      <c r="C23" s="1" t="inlineStr">
        <is>
          <t>Serie A</t>
        </is>
      </c>
      <c r="D23" s="1" t="inlineStr">
        <is>
          <t>Atalanta BC vs Venezia</t>
        </is>
      </c>
      <c r="E23" s="1" t="inlineStr">
        <is>
          <t>legacy/unspecified</t>
        </is>
      </c>
      <c r="F23" s="1" t="inlineStr">
        <is>
          <t>GRADED</t>
        </is>
      </c>
      <c r="G23" s="1" t="inlineStr">
        <is>
          <t>3-1</t>
        </is>
      </c>
      <c r="H23" s="1">
        <v>1.0</v>
      </c>
      <c r="I23" s="11">
        <v>0.14951884</v>
      </c>
      <c r="J23" s="1">
        <v>1.0</v>
      </c>
      <c r="K23" s="1">
        <v>0.0</v>
      </c>
      <c r="L23" s="1">
        <v>0.0</v>
      </c>
      <c r="M23" s="1">
        <v>0.0</v>
      </c>
      <c r="N23" s="1" t="inlineStr">
        <is>
          <t>2026-W42</t>
        </is>
      </c>
      <c r="O23" s="1" t="inlineStr">
        <is>
          <t>2fd31d33722311d8e0155bb5eca6b3a310ac938b</t>
        </is>
      </c>
      <c r="P23" s="1" t="inlineStr">
        <is>
          <t>football-data.org/v4</t>
        </is>
      </c>
      <c r="Q23" s="1"/>
      <c r="R23" s="1"/>
    </row>
    <row r="24" ht="22" customHeight="1">
      <c r="A24" s="1" t="inlineStr">
        <is>
          <t>Serie A|torino|udinese|2026-10-12</t>
        </is>
      </c>
      <c r="B24" s="8">
        <v>46307.78125</v>
      </c>
      <c r="C24" s="1" t="inlineStr">
        <is>
          <t>Serie A</t>
        </is>
      </c>
      <c r="D24" s="1" t="inlineStr">
        <is>
          <t>Torino vs Udinese</t>
        </is>
      </c>
      <c r="E24" s="1" t="inlineStr">
        <is>
          <t>legacy/unspecified</t>
        </is>
      </c>
      <c r="F24" s="1" t="inlineStr">
        <is>
          <t>GRADED</t>
        </is>
      </c>
      <c r="G24" s="1" t="inlineStr">
        <is>
          <t>2-1</t>
        </is>
      </c>
      <c r="H24" s="1">
        <v>1.0</v>
      </c>
      <c r="I24" s="11">
        <v>0.56760261</v>
      </c>
      <c r="J24" s="1">
        <v>1.0</v>
      </c>
      <c r="K24" s="1">
        <v>1.0</v>
      </c>
      <c r="L24" s="1">
        <v>1.0</v>
      </c>
      <c r="M24" s="1">
        <v>1.0</v>
      </c>
      <c r="N24" s="1" t="inlineStr">
        <is>
          <t>2026-W42</t>
        </is>
      </c>
      <c r="O24" s="1" t="inlineStr">
        <is>
          <t>2fd31d33722311d8e0155bb5eca6b3a310ac938b</t>
        </is>
      </c>
      <c r="P24" s="1" t="inlineStr">
        <is>
          <t>football-data.org/v4</t>
        </is>
      </c>
      <c r="Q24" s="1"/>
      <c r="R24" s="1"/>
    </row>
    <row r="25" ht="22" customHeight="1">
      <c r="A25" s="1" t="inlineStr">
        <is>
          <t>La Liga|levante|sevilla|2026-10-12</t>
        </is>
      </c>
      <c r="B25" s="8">
        <v>46307.791666666664</v>
      </c>
      <c r="C25" s="1" t="inlineStr">
        <is>
          <t>La Liga</t>
        </is>
      </c>
      <c r="D25" s="1" t="inlineStr">
        <is>
          <t>Levante vs Sevilla</t>
        </is>
      </c>
      <c r="E25" s="1" t="inlineStr">
        <is>
          <t>legacy/unspecified</t>
        </is>
      </c>
      <c r="F25" s="1" t="inlineStr">
        <is>
          <t>GRADED</t>
        </is>
      </c>
      <c r="G25" s="1" t="inlineStr">
        <is>
          <t>3-3</t>
        </is>
      </c>
      <c r="H25" s="1">
        <v>0.0</v>
      </c>
      <c r="I25" s="11">
        <v>0.80099687</v>
      </c>
      <c r="J25" s="1">
        <v>1.0</v>
      </c>
      <c r="K25" s="1">
        <v>0.0</v>
      </c>
      <c r="L25" s="1">
        <v>1.0</v>
      </c>
      <c r="M25" s="1">
        <v>1.0</v>
      </c>
      <c r="N25" s="1" t="inlineStr">
        <is>
          <t>2026-W42</t>
        </is>
      </c>
      <c r="O25" s="1" t="inlineStr">
        <is>
          <t>2fd31d33722311d8e0155bb5eca6b3a310ac938b</t>
        </is>
      </c>
      <c r="P25" s="1" t="inlineStr">
        <is>
          <t>football-data.org/v4</t>
        </is>
      </c>
      <c r="Q25" s="1"/>
      <c r="R25" s="1"/>
    </row>
    <row r="26" ht="22" customHeight="1">
      <c r="A26" s="1" t="inlineStr">
        <is>
          <t>Premier League|coventry city|newcastle|2026-10-12</t>
        </is>
      </c>
      <c r="B26" s="8">
        <v>46307.791666666664</v>
      </c>
      <c r="C26" s="1" t="inlineStr">
        <is>
          <t>Premier League</t>
        </is>
      </c>
      <c r="D26" s="1" t="inlineStr">
        <is>
          <t>Coventry City vs Newcastle United</t>
        </is>
      </c>
      <c r="E26" s="1" t="inlineStr">
        <is>
          <t>legacy/unspecified</t>
        </is>
      </c>
      <c r="F26" s="1" t="inlineStr">
        <is>
          <t>GRADED</t>
        </is>
      </c>
      <c r="G26" s="1" t="inlineStr">
        <is>
          <t>4-1</t>
        </is>
      </c>
      <c r="H26" s="1">
        <v>0.0</v>
      </c>
      <c r="I26" s="11">
        <v>1.09370541</v>
      </c>
      <c r="J26" s="1">
        <v>1.0</v>
      </c>
      <c r="K26" s="1">
        <v>0.0</v>
      </c>
      <c r="L26" s="1">
        <v>0.0</v>
      </c>
      <c r="M26" s="1">
        <v>0.0</v>
      </c>
      <c r="N26" s="1" t="inlineStr">
        <is>
          <t>2026-W42</t>
        </is>
      </c>
      <c r="O26" s="1" t="inlineStr">
        <is>
          <t>2fd31d33722311d8e0155bb5eca6b3a310ac938b</t>
        </is>
      </c>
      <c r="P26" s="1" t="inlineStr">
        <is>
          <t>football-data.org/v4</t>
        </is>
      </c>
      <c r="Q26" s="1"/>
      <c r="R26" s="1"/>
    </row>
    <row r="27" ht="22" customHeight="1">
      <c r="A27" s="1" t="inlineStr">
        <is>
          <t>UEFA Champions League|rc lens|sporting cp|2026-10-13</t>
        </is>
      </c>
      <c r="B27" s="8">
        <v>46308.697916666664</v>
      </c>
      <c r="C27" s="1" t="inlineStr">
        <is>
          <t>UEFA Champions League</t>
        </is>
      </c>
      <c r="D27" s="1" t="inlineStr">
        <is>
          <t>RC Lens vs Sporting Lisbon</t>
        </is>
      </c>
      <c r="E27" s="1" t="inlineStr">
        <is>
          <t>legacy/unspecified</t>
        </is>
      </c>
      <c r="F27" s="1" t="inlineStr">
        <is>
          <t>PENDING_KICKOFF_OR_FINAL_SCORE</t>
        </is>
      </c>
      <c r="G27" s="1"/>
      <c r="H27" s="1"/>
      <c r="I27" s="11"/>
      <c r="J27" s="1"/>
      <c r="K27" s="1"/>
      <c r="L27" s="1"/>
      <c r="M27" s="1"/>
      <c r="N27" s="1" t="inlineStr">
        <is>
          <t>2026-W42</t>
        </is>
      </c>
      <c r="O27" s="1" t="inlineStr">
        <is>
          <t>2fd31d33722311d8e0155bb5eca6b3a310ac938b</t>
        </is>
      </c>
      <c r="P27" s="1"/>
      <c r="Q27" s="1"/>
      <c r="R27" s="1"/>
    </row>
    <row r="28" ht="22" customHeight="1">
      <c r="A28" s="1" t="inlineStr">
        <is>
          <t>UEFA Champions League|sabah fk|slavia prague|2026-10-13</t>
        </is>
      </c>
      <c r="B28" s="8">
        <v>46308.697916666664</v>
      </c>
      <c r="C28" s="1" t="inlineStr">
        <is>
          <t>UEFA Champions League</t>
        </is>
      </c>
      <c r="D28" s="1" t="inlineStr">
        <is>
          <t>Sabah FK vs Slavia Praha</t>
        </is>
      </c>
      <c r="E28" s="1" t="inlineStr">
        <is>
          <t>legacy/unspecified</t>
        </is>
      </c>
      <c r="F28" s="1" t="inlineStr">
        <is>
          <t>PENDING_KICKOFF_OR_FINAL_SCORE</t>
        </is>
      </c>
      <c r="G28" s="1"/>
      <c r="H28" s="1"/>
      <c r="I28" s="11"/>
      <c r="J28" s="1"/>
      <c r="K28" s="1"/>
      <c r="L28" s="1"/>
      <c r="M28" s="1"/>
      <c r="N28" s="1" t="inlineStr">
        <is>
          <t>2026-W42</t>
        </is>
      </c>
      <c r="O28" s="1" t="inlineStr">
        <is>
          <t>2fd31d33722311d8e0155bb5eca6b3a310ac938b</t>
        </is>
      </c>
      <c r="P28" s="1"/>
      <c r="Q28" s="1"/>
      <c r="R28" s="1"/>
    </row>
    <row r="29" ht="22" customHeight="1">
      <c r="A29" s="1" t="inlineStr">
        <is>
          <t>UEFA Champions League|arsenal|lille|2026-10-13</t>
        </is>
      </c>
      <c r="B29" s="8">
        <v>46308.791666666664</v>
      </c>
      <c r="C29" s="1" t="inlineStr">
        <is>
          <t>UEFA Champions League</t>
        </is>
      </c>
      <c r="D29" s="1" t="inlineStr">
        <is>
          <t>Arsenal vs Lille</t>
        </is>
      </c>
      <c r="E29" s="1" t="inlineStr">
        <is>
          <t>legacy/unspecified</t>
        </is>
      </c>
      <c r="F29" s="1" t="inlineStr">
        <is>
          <t>PENDING_KICKOFF_OR_FINAL_SCORE</t>
        </is>
      </c>
      <c r="G29" s="1"/>
      <c r="H29" s="1"/>
      <c r="I29" s="11"/>
      <c r="J29" s="1"/>
      <c r="K29" s="1"/>
      <c r="L29" s="1"/>
      <c r="M29" s="1"/>
      <c r="N29" s="1" t="inlineStr">
        <is>
          <t>2026-W42</t>
        </is>
      </c>
      <c r="O29" s="1" t="inlineStr">
        <is>
          <t>2fd31d33722311d8e0155bb5eca6b3a310ac938b</t>
        </is>
      </c>
      <c r="P29" s="1"/>
      <c r="Q29" s="1"/>
      <c r="R29" s="1"/>
    </row>
    <row r="30" ht="22" customHeight="1">
      <c r="A30" s="1" t="inlineStr">
        <is>
          <t>UEFA Champions League|ath madrid|man united|2026-10-13</t>
        </is>
      </c>
      <c r="B30" s="8">
        <v>46308.791666666664</v>
      </c>
      <c r="C30" s="1" t="inlineStr">
        <is>
          <t>UEFA Champions League</t>
        </is>
      </c>
      <c r="D30" s="1" t="inlineStr">
        <is>
          <t>Atlético Madrid vs Manchester United</t>
        </is>
      </c>
      <c r="E30" s="1" t="inlineStr">
        <is>
          <t>legacy/unspecified</t>
        </is>
      </c>
      <c r="F30" s="1" t="inlineStr">
        <is>
          <t>PENDING_KICKOFF_OR_FINAL_SCORE</t>
        </is>
      </c>
      <c r="G30" s="1"/>
      <c r="H30" s="1"/>
      <c r="I30" s="11"/>
      <c r="J30" s="1"/>
      <c r="K30" s="1"/>
      <c r="L30" s="1"/>
      <c r="M30" s="1"/>
      <c r="N30" s="1" t="inlineStr">
        <is>
          <t>2026-W42</t>
        </is>
      </c>
      <c r="O30" s="1" t="inlineStr">
        <is>
          <t>2fd31d33722311d8e0155bb5eca6b3a310ac938b</t>
        </is>
      </c>
      <c r="P30" s="1"/>
      <c r="Q30" s="1"/>
      <c r="R30" s="1"/>
    </row>
    <row r="31" ht="22" customHeight="1">
      <c r="A31" s="1" t="inlineStr">
        <is>
          <t>UEFA Champions League|galatasaray|barcelona|2026-10-13</t>
        </is>
      </c>
      <c r="B31" s="8">
        <v>46308.791666666664</v>
      </c>
      <c r="C31" s="1" t="inlineStr">
        <is>
          <t>UEFA Champions League</t>
        </is>
      </c>
      <c r="D31" s="1" t="inlineStr">
        <is>
          <t>Galatasaray vs Barcelona</t>
        </is>
      </c>
      <c r="E31" s="1" t="inlineStr">
        <is>
          <t>legacy/unspecified</t>
        </is>
      </c>
      <c r="F31" s="1" t="inlineStr">
        <is>
          <t>PENDING_KICKOFF_OR_FINAL_SCORE</t>
        </is>
      </c>
      <c r="G31" s="1"/>
      <c r="H31" s="1"/>
      <c r="I31" s="11"/>
      <c r="J31" s="1"/>
      <c r="K31" s="1"/>
      <c r="L31" s="1"/>
      <c r="M31" s="1"/>
      <c r="N31" s="1" t="inlineStr">
        <is>
          <t>2026-W42</t>
        </is>
      </c>
      <c r="O31" s="1" t="inlineStr">
        <is>
          <t>2fd31d33722311d8e0155bb5eca6b3a310ac938b</t>
        </is>
      </c>
      <c r="P31" s="1"/>
      <c r="Q31" s="1"/>
      <c r="R31" s="1"/>
    </row>
    <row r="32" ht="22" customHeight="1">
      <c r="A32" s="1" t="inlineStr">
        <is>
          <t>UEFA Champions League|inter|brugge|2026-10-13</t>
        </is>
      </c>
      <c r="B32" s="8">
        <v>46308.791666666664</v>
      </c>
      <c r="C32" s="1" t="inlineStr">
        <is>
          <t>UEFA Champions League</t>
        </is>
      </c>
      <c r="D32" s="1" t="inlineStr">
        <is>
          <t>Inter Milan vs Club Brugge</t>
        </is>
      </c>
      <c r="E32" s="1" t="inlineStr">
        <is>
          <t>legacy/unspecified</t>
        </is>
      </c>
      <c r="F32" s="1" t="inlineStr">
        <is>
          <t>PENDING_KICKOFF_OR_FINAL_SCORE</t>
        </is>
      </c>
      <c r="G32" s="1"/>
      <c r="H32" s="1"/>
      <c r="I32" s="11"/>
      <c r="J32" s="1"/>
      <c r="K32" s="1"/>
      <c r="L32" s="1"/>
      <c r="M32" s="1"/>
      <c r="N32" s="1" t="inlineStr">
        <is>
          <t>2026-W42</t>
        </is>
      </c>
      <c r="O32" s="1" t="inlineStr">
        <is>
          <t>2fd31d33722311d8e0155bb5eca6b3a310ac938b</t>
        </is>
      </c>
      <c r="P32" s="1"/>
      <c r="Q32" s="1"/>
      <c r="R32" s="1"/>
    </row>
    <row r="33" ht="22" customHeight="1">
      <c r="A33" s="1" t="inlineStr">
        <is>
          <t>UEFA Champions League|rb leipzig|psv|2026-10-13</t>
        </is>
      </c>
      <c r="B33" s="8">
        <v>46308.791666666664</v>
      </c>
      <c r="C33" s="1" t="inlineStr">
        <is>
          <t>UEFA Champions League</t>
        </is>
      </c>
      <c r="D33" s="1" t="inlineStr">
        <is>
          <t>RB Leipzig vs PSV Eindhoven</t>
        </is>
      </c>
      <c r="E33" s="1" t="inlineStr">
        <is>
          <t>legacy/unspecified</t>
        </is>
      </c>
      <c r="F33" s="1" t="inlineStr">
        <is>
          <t>PENDING_KICKOFF_OR_FINAL_SCORE</t>
        </is>
      </c>
      <c r="G33" s="1"/>
      <c r="H33" s="1"/>
      <c r="I33" s="11"/>
      <c r="J33" s="1"/>
      <c r="K33" s="1"/>
      <c r="L33" s="1"/>
      <c r="M33" s="1"/>
      <c r="N33" s="1" t="inlineStr">
        <is>
          <t>2026-W42</t>
        </is>
      </c>
      <c r="O33" s="1" t="inlineStr">
        <is>
          <t>2fd31d33722311d8e0155bb5eca6b3a310ac938b</t>
        </is>
      </c>
      <c r="P33" s="1"/>
      <c r="Q33" s="1"/>
      <c r="R33" s="1"/>
    </row>
    <row r="34" ht="22" customHeight="1">
      <c r="A34" s="1" t="inlineStr">
        <is>
          <t>UEFA Champions League|viking fk|bayern munich|2026-10-13</t>
        </is>
      </c>
      <c r="B34" s="8">
        <v>46308.791666666664</v>
      </c>
      <c r="C34" s="1" t="inlineStr">
        <is>
          <t>UEFA Champions League</t>
        </is>
      </c>
      <c r="D34" s="1" t="inlineStr">
        <is>
          <t>Viking FK vs Bayern Munich</t>
        </is>
      </c>
      <c r="E34" s="1" t="inlineStr">
        <is>
          <t>legacy/unspecified</t>
        </is>
      </c>
      <c r="F34" s="1" t="inlineStr">
        <is>
          <t>PENDING_KICKOFF_OR_FINAL_SCORE</t>
        </is>
      </c>
      <c r="G34" s="1"/>
      <c r="H34" s="1"/>
      <c r="I34" s="11"/>
      <c r="J34" s="1"/>
      <c r="K34" s="1"/>
      <c r="L34" s="1"/>
      <c r="M34" s="1"/>
      <c r="N34" s="1" t="inlineStr">
        <is>
          <t>2026-W42</t>
        </is>
      </c>
      <c r="O34" s="1" t="inlineStr">
        <is>
          <t>2fd31d33722311d8e0155bb5eca6b3a310ac938b</t>
        </is>
      </c>
      <c r="P34" s="1"/>
      <c r="Q34" s="1"/>
      <c r="R34" s="1"/>
    </row>
    <row r="35" ht="22" customHeight="1">
      <c r="A35" s="1" t="inlineStr">
        <is>
          <t>UEFA Champions League|villarreal|napoli|2026-10-13</t>
        </is>
      </c>
      <c r="B35" s="8">
        <v>46308.791666666664</v>
      </c>
      <c r="C35" s="1" t="inlineStr">
        <is>
          <t>UEFA Champions League</t>
        </is>
      </c>
      <c r="D35" s="1" t="inlineStr">
        <is>
          <t>Villarreal vs Napoli</t>
        </is>
      </c>
      <c r="E35" s="1" t="inlineStr">
        <is>
          <t>legacy/unspecified</t>
        </is>
      </c>
      <c r="F35" s="1" t="inlineStr">
        <is>
          <t>PENDING_KICKOFF_OR_FINAL_SCORE</t>
        </is>
      </c>
      <c r="G35" s="1"/>
      <c r="H35" s="1"/>
      <c r="I35" s="11"/>
      <c r="J35" s="1"/>
      <c r="K35" s="1"/>
      <c r="L35" s="1"/>
      <c r="M35" s="1"/>
      <c r="N35" s="1" t="inlineStr">
        <is>
          <t>2026-W42</t>
        </is>
      </c>
      <c r="O35" s="1" t="inlineStr">
        <is>
          <t>2fd31d33722311d8e0155bb5eca6b3a310ac938b</t>
        </is>
      </c>
      <c r="P35" s="1"/>
      <c r="Q35" s="1"/>
      <c r="R35" s="1"/>
    </row>
    <row r="36" ht="22" customHeight="1">
      <c r="A36" s="1" t="inlineStr">
        <is>
          <t>UEFA Champions League|feyenoord|como|2026-10-14</t>
        </is>
      </c>
      <c r="B36" s="8">
        <v>46309.697916666664</v>
      </c>
      <c r="C36" s="1" t="inlineStr">
        <is>
          <t>UEFA Champions League</t>
        </is>
      </c>
      <c r="D36" s="1" t="inlineStr">
        <is>
          <t>Feyenoord vs Como</t>
        </is>
      </c>
      <c r="E36" s="1" t="inlineStr">
        <is>
          <t>legacy/unspecified</t>
        </is>
      </c>
      <c r="F36" s="1" t="inlineStr">
        <is>
          <t>PENDING_KICKOFF_OR_FINAL_SCORE</t>
        </is>
      </c>
      <c r="G36" s="1"/>
      <c r="H36" s="1"/>
      <c r="I36" s="11"/>
      <c r="J36" s="1"/>
      <c r="K36" s="1"/>
      <c r="L36" s="1"/>
      <c r="M36" s="1"/>
      <c r="N36" s="1" t="inlineStr">
        <is>
          <t>2026-W42</t>
        </is>
      </c>
      <c r="O36" s="1" t="inlineStr">
        <is>
          <t>2fd31d33722311d8e0155bb5eca6b3a310ac938b</t>
        </is>
      </c>
      <c r="P36" s="1"/>
      <c r="Q36" s="1"/>
      <c r="R36" s="1"/>
    </row>
    <row r="37" ht="22" customHeight="1">
      <c r="A37" s="1" t="inlineStr">
        <is>
          <t>UEFA Champions League|lask|liverpool|2026-10-14</t>
        </is>
      </c>
      <c r="B37" s="8">
        <v>46309.697916666664</v>
      </c>
      <c r="C37" s="1" t="inlineStr">
        <is>
          <t>UEFA Champions League</t>
        </is>
      </c>
      <c r="D37" s="1" t="inlineStr">
        <is>
          <t>LASK vs Liverpool</t>
        </is>
      </c>
      <c r="E37" s="1" t="inlineStr">
        <is>
          <t>legacy/unspecified</t>
        </is>
      </c>
      <c r="F37" s="1" t="inlineStr">
        <is>
          <t>PENDING_KICKOFF_OR_FINAL_SCORE</t>
        </is>
      </c>
      <c r="G37" s="1"/>
      <c r="H37" s="1"/>
      <c r="I37" s="11"/>
      <c r="J37" s="1"/>
      <c r="K37" s="1"/>
      <c r="L37" s="1"/>
      <c r="M37" s="1"/>
      <c r="N37" s="1" t="inlineStr">
        <is>
          <t>2026-W42</t>
        </is>
      </c>
      <c r="O37" s="1" t="inlineStr">
        <is>
          <t>2fd31d33722311d8e0155bb5eca6b3a310ac938b</t>
        </is>
      </c>
      <c r="P37" s="1"/>
      <c r="Q37" s="1"/>
      <c r="R37" s="1"/>
    </row>
    <row r="38" ht="22" customHeight="1">
      <c r="A38" s="1" t="inlineStr">
        <is>
          <t>UEFA Champions League|as roma|real madrid|2026-10-14</t>
        </is>
      </c>
      <c r="B38" s="8">
        <v>46309.791666666664</v>
      </c>
      <c r="C38" s="1" t="inlineStr">
        <is>
          <t>UEFA Champions League</t>
        </is>
      </c>
      <c r="D38" s="1" t="inlineStr">
        <is>
          <t>AS Roma vs Real Madrid</t>
        </is>
      </c>
      <c r="E38" s="1" t="inlineStr">
        <is>
          <t>legacy/unspecified</t>
        </is>
      </c>
      <c r="F38" s="1" t="inlineStr">
        <is>
          <t>PENDING_KICKOFF_OR_FINAL_SCORE</t>
        </is>
      </c>
      <c r="G38" s="1"/>
      <c r="H38" s="1"/>
      <c r="I38" s="11"/>
      <c r="J38" s="1"/>
      <c r="K38" s="1"/>
      <c r="L38" s="1"/>
      <c r="M38" s="1"/>
      <c r="N38" s="1" t="inlineStr">
        <is>
          <t>2026-W42</t>
        </is>
      </c>
      <c r="O38" s="1" t="inlineStr">
        <is>
          <t>2fd31d33722311d8e0155bb5eca6b3a310ac938b</t>
        </is>
      </c>
      <c r="P38" s="1"/>
      <c r="Q38" s="1"/>
      <c r="R38" s="1"/>
    </row>
    <row r="39" ht="22" customHeight="1">
      <c r="A39" s="1" t="inlineStr">
        <is>
          <t>UEFA Champions League|aston villa|fenerbahce|2026-10-14</t>
        </is>
      </c>
      <c r="B39" s="8">
        <v>46309.791666666664</v>
      </c>
      <c r="C39" s="1" t="inlineStr">
        <is>
          <t>UEFA Champions League</t>
        </is>
      </c>
      <c r="D39" s="1" t="inlineStr">
        <is>
          <t>Aston Villa vs Fenerbahce</t>
        </is>
      </c>
      <c r="E39" s="1" t="inlineStr">
        <is>
          <t>legacy/unspecified</t>
        </is>
      </c>
      <c r="F39" s="1" t="inlineStr">
        <is>
          <t>PENDING_KICKOFF_OR_FINAL_SCORE</t>
        </is>
      </c>
      <c r="G39" s="1"/>
      <c r="H39" s="1"/>
      <c r="I39" s="11"/>
      <c r="J39" s="1"/>
      <c r="K39" s="1"/>
      <c r="L39" s="1"/>
      <c r="M39" s="1"/>
      <c r="N39" s="1" t="inlineStr">
        <is>
          <t>2026-W42</t>
        </is>
      </c>
      <c r="O39" s="1" t="inlineStr">
        <is>
          <t>2fd31d33722311d8e0155bb5eca6b3a310ac938b</t>
        </is>
      </c>
      <c r="P39" s="1"/>
      <c r="Q39" s="1"/>
      <c r="R39" s="1"/>
    </row>
    <row r="40" ht="22" customHeight="1">
      <c r="A40" s="1" t="inlineStr">
        <is>
          <t>UEFA Champions League|bod glimt|borussia dortmund|2026-10-14</t>
        </is>
      </c>
      <c r="B40" s="8">
        <v>46309.791666666664</v>
      </c>
      <c r="C40" s="1" t="inlineStr">
        <is>
          <t>UEFA Champions League</t>
        </is>
      </c>
      <c r="D40" s="1" t="inlineStr">
        <is>
          <t>Bodø/Glimt vs Borussia Dortmund</t>
        </is>
      </c>
      <c r="E40" s="1" t="inlineStr">
        <is>
          <t>legacy/unspecified</t>
        </is>
      </c>
      <c r="F40" s="1" t="inlineStr">
        <is>
          <t>PENDING_KICKOFF_OR_FINAL_SCORE</t>
        </is>
      </c>
      <c r="G40" s="1"/>
      <c r="H40" s="1"/>
      <c r="I40" s="11"/>
      <c r="J40" s="1"/>
      <c r="K40" s="1"/>
      <c r="L40" s="1"/>
      <c r="M40" s="1"/>
      <c r="N40" s="1" t="inlineStr">
        <is>
          <t>2026-W42</t>
        </is>
      </c>
      <c r="O40" s="1" t="inlineStr">
        <is>
          <t>2fd31d33722311d8e0155bb5eca6b3a310ac938b</t>
        </is>
      </c>
      <c r="P40" s="1"/>
      <c r="Q40" s="1"/>
      <c r="R40" s="1"/>
    </row>
    <row r="41" ht="22" customHeight="1">
      <c r="A41" s="1" t="inlineStr">
        <is>
          <t>UEFA Champions League|man city|paris sg|2026-10-14</t>
        </is>
      </c>
      <c r="B41" s="8">
        <v>46309.791666666664</v>
      </c>
      <c r="C41" s="1" t="inlineStr">
        <is>
          <t>UEFA Champions League</t>
        </is>
      </c>
      <c r="D41" s="1" t="inlineStr">
        <is>
          <t>Manchester City vs Paris Saint Germain</t>
        </is>
      </c>
      <c r="E41" s="1" t="inlineStr">
        <is>
          <t>legacy/unspecified</t>
        </is>
      </c>
      <c r="F41" s="1" t="inlineStr">
        <is>
          <t>PENDING_KICKOFF_OR_FINAL_SCORE</t>
        </is>
      </c>
      <c r="G41" s="1"/>
      <c r="H41" s="1"/>
      <c r="I41" s="11"/>
      <c r="J41" s="1"/>
      <c r="K41" s="1"/>
      <c r="L41" s="1"/>
      <c r="M41" s="1"/>
      <c r="N41" s="1" t="inlineStr">
        <is>
          <t>2026-W42</t>
        </is>
      </c>
      <c r="O41" s="1" t="inlineStr">
        <is>
          <t>2fd31d33722311d8e0155bb5eca6b3a310ac938b</t>
        </is>
      </c>
      <c r="P41" s="1"/>
      <c r="Q41" s="1"/>
      <c r="R41" s="1"/>
    </row>
    <row r="42" ht="22" customHeight="1">
      <c r="A42" s="1" t="inlineStr">
        <is>
          <t>UEFA Champions League|real betis|porto|2026-10-14</t>
        </is>
      </c>
      <c r="B42" s="8">
        <v>46309.791666666664</v>
      </c>
      <c r="C42" s="1" t="inlineStr">
        <is>
          <t>UEFA Champions League</t>
        </is>
      </c>
      <c r="D42" s="1" t="inlineStr">
        <is>
          <t>Real Betis vs Porto</t>
        </is>
      </c>
      <c r="E42" s="1" t="inlineStr">
        <is>
          <t>legacy/unspecified</t>
        </is>
      </c>
      <c r="F42" s="1" t="inlineStr">
        <is>
          <t>PENDING_KICKOFF_OR_FINAL_SCORE</t>
        </is>
      </c>
      <c r="G42" s="1"/>
      <c r="H42" s="1"/>
      <c r="I42" s="11"/>
      <c r="J42" s="1"/>
      <c r="K42" s="1"/>
      <c r="L42" s="1"/>
      <c r="M42" s="1"/>
      <c r="N42" s="1" t="inlineStr">
        <is>
          <t>2026-W42</t>
        </is>
      </c>
      <c r="O42" s="1" t="inlineStr">
        <is>
          <t>2fd31d33722311d8e0155bb5eca6b3a310ac938b</t>
        </is>
      </c>
      <c r="P42" s="1"/>
      <c r="Q42" s="1"/>
      <c r="R42" s="1"/>
    </row>
    <row r="43" ht="22" customHeight="1">
      <c r="A43" s="1" t="inlineStr">
        <is>
          <t>UEFA Champions League|shakhtar|aek athens|2026-10-14</t>
        </is>
      </c>
      <c r="B43" s="8">
        <v>46309.791666666664</v>
      </c>
      <c r="C43" s="1" t="inlineStr">
        <is>
          <t>UEFA Champions League</t>
        </is>
      </c>
      <c r="D43" s="1" t="inlineStr">
        <is>
          <t>Shakhtar Donetsk vs AEK Athens</t>
        </is>
      </c>
      <c r="E43" s="1" t="inlineStr">
        <is>
          <t>legacy/unspecified</t>
        </is>
      </c>
      <c r="F43" s="1" t="inlineStr">
        <is>
          <t>PENDING_KICKOFF_OR_FINAL_SCORE</t>
        </is>
      </c>
      <c r="G43" s="1"/>
      <c r="H43" s="1"/>
      <c r="I43" s="11"/>
      <c r="J43" s="1"/>
      <c r="K43" s="1"/>
      <c r="L43" s="1"/>
      <c r="M43" s="1"/>
      <c r="N43" s="1" t="inlineStr">
        <is>
          <t>2026-W42</t>
        </is>
      </c>
      <c r="O43" s="1" t="inlineStr">
        <is>
          <t>2fd31d33722311d8e0155bb5eca6b3a310ac938b</t>
        </is>
      </c>
      <c r="P43" s="1"/>
      <c r="Q43" s="1"/>
      <c r="R43" s="1"/>
    </row>
    <row r="44" ht="22" customHeight="1">
      <c r="A44" s="1" t="inlineStr">
        <is>
          <t>UEFA Champions League|sk slovan bratislava|vfb stuttgart|2026-10-14</t>
        </is>
      </c>
      <c r="B44" s="8">
        <v>46309.791666666664</v>
      </c>
      <c r="C44" s="1" t="inlineStr">
        <is>
          <t>UEFA Champions League</t>
        </is>
      </c>
      <c r="D44" s="1" t="inlineStr">
        <is>
          <t>ŠK Slovan Bratislava vs VfB Stuttgart</t>
        </is>
      </c>
      <c r="E44" s="1" t="inlineStr">
        <is>
          <t>legacy/unspecified</t>
        </is>
      </c>
      <c r="F44" s="1" t="inlineStr">
        <is>
          <t>PENDING_KICKOFF_OR_FINAL_SCORE</t>
        </is>
      </c>
      <c r="G44" s="1"/>
      <c r="H44" s="1"/>
      <c r="I44" s="11"/>
      <c r="J44" s="1"/>
      <c r="K44" s="1"/>
      <c r="L44" s="1"/>
      <c r="M44" s="1"/>
      <c r="N44" s="1" t="inlineStr">
        <is>
          <t>2026-W42</t>
        </is>
      </c>
      <c r="O44" s="1" t="inlineStr">
        <is>
          <t>2fd31d33722311d8e0155bb5eca6b3a310ac938b</t>
        </is>
      </c>
      <c r="P44" s="1"/>
      <c r="Q44" s="1"/>
      <c r="R44" s="1"/>
    </row>
    <row r="45" ht="22" customHeight="1">
      <c r="A45" s="1" t="inlineStr">
        <is>
          <t>Bundesliga|eintracht frankfurt|1 koln|2026-10-16</t>
        </is>
      </c>
      <c r="B45" s="8">
        <v>46311.770833333336</v>
      </c>
      <c r="C45" s="1" t="inlineStr">
        <is>
          <t>Bundesliga</t>
        </is>
      </c>
      <c r="D45" s="1" t="inlineStr">
        <is>
          <t>Eintracht Frankfurt vs 1. FC Köln</t>
        </is>
      </c>
      <c r="E45" s="1" t="inlineStr">
        <is>
          <t>legacy/unspecified</t>
        </is>
      </c>
      <c r="F45" s="1" t="inlineStr">
        <is>
          <t>PENDING_KICKOFF_OR_FINAL_SCORE</t>
        </is>
      </c>
      <c r="G45" s="1"/>
      <c r="H45" s="1"/>
      <c r="I45" s="11"/>
      <c r="J45" s="1"/>
      <c r="K45" s="1"/>
      <c r="L45" s="1"/>
      <c r="M45" s="1"/>
      <c r="N45" s="1" t="inlineStr">
        <is>
          <t>2026-W42</t>
        </is>
      </c>
      <c r="O45" s="1" t="inlineStr">
        <is>
          <t>2fd31d33722311d8e0155bb5eca6b3a310ac938b</t>
        </is>
      </c>
      <c r="P45" s="1"/>
      <c r="Q45" s="1"/>
      <c r="R45" s="1"/>
    </row>
    <row r="46" ht="22" customHeight="1">
      <c r="A46" s="1" t="inlineStr">
        <is>
          <t>Ligue 1|le mans|toulouse|2026-10-16</t>
        </is>
      </c>
      <c r="B46" s="8">
        <v>46311.78125</v>
      </c>
      <c r="C46" s="1" t="inlineStr">
        <is>
          <t>Ligue 1</t>
        </is>
      </c>
      <c r="D46" s="1" t="inlineStr">
        <is>
          <t>Le Mans FC vs Toulouse</t>
        </is>
      </c>
      <c r="E46" s="1" t="inlineStr">
        <is>
          <t>legacy/unspecified</t>
        </is>
      </c>
      <c r="F46" s="1" t="inlineStr">
        <is>
          <t>PENDING_KICKOFF_OR_FINAL_SCORE</t>
        </is>
      </c>
      <c r="G46" s="1"/>
      <c r="H46" s="1"/>
      <c r="I46" s="11"/>
      <c r="J46" s="1"/>
      <c r="K46" s="1"/>
      <c r="L46" s="1"/>
      <c r="M46" s="1"/>
      <c r="N46" s="1" t="inlineStr">
        <is>
          <t>2026-W42</t>
        </is>
      </c>
      <c r="O46" s="1" t="inlineStr">
        <is>
          <t>2fd31d33722311d8e0155bb5eca6b3a310ac938b</t>
        </is>
      </c>
      <c r="P46" s="1"/>
      <c r="Q46" s="1"/>
      <c r="R46" s="1"/>
    </row>
    <row r="47" ht="22" customHeight="1">
      <c r="A47" s="1" t="inlineStr">
        <is>
          <t>Serie A|frosinone|sassuolo|2026-10-16</t>
        </is>
      </c>
      <c r="B47" s="8">
        <v>46311.78125</v>
      </c>
      <c r="C47" s="1" t="inlineStr">
        <is>
          <t>Serie A</t>
        </is>
      </c>
      <c r="D47" s="1" t="inlineStr">
        <is>
          <t>Frosinone vs Sassuolo</t>
        </is>
      </c>
      <c r="E47" s="1" t="inlineStr">
        <is>
          <t>legacy/unspecified</t>
        </is>
      </c>
      <c r="F47" s="1" t="inlineStr">
        <is>
          <t>PENDING_KICKOFF_OR_FINAL_SCORE</t>
        </is>
      </c>
      <c r="G47" s="1"/>
      <c r="H47" s="1"/>
      <c r="I47" s="11"/>
      <c r="J47" s="1"/>
      <c r="K47" s="1"/>
      <c r="L47" s="1"/>
      <c r="M47" s="1"/>
      <c r="N47" s="1" t="inlineStr">
        <is>
          <t>2026-W42</t>
        </is>
      </c>
      <c r="O47" s="1" t="inlineStr">
        <is>
          <t>2fd31d33722311d8e0155bb5eca6b3a310ac938b</t>
        </is>
      </c>
      <c r="P47" s="1"/>
      <c r="Q47" s="1"/>
      <c r="R47" s="1"/>
    </row>
    <row r="48" ht="22" customHeight="1">
      <c r="A48" s="1" t="inlineStr">
        <is>
          <t>La Liga|deportivo la coruna|levante|2026-10-16</t>
        </is>
      </c>
      <c r="B48" s="8">
        <v>46311.791666666664</v>
      </c>
      <c r="C48" s="1" t="inlineStr">
        <is>
          <t>La Liga</t>
        </is>
      </c>
      <c r="D48" s="1" t="inlineStr">
        <is>
          <t>Deportivo La Coruña vs Levante</t>
        </is>
      </c>
      <c r="E48" s="1" t="inlineStr">
        <is>
          <t>legacy/unspecified</t>
        </is>
      </c>
      <c r="F48" s="1" t="inlineStr">
        <is>
          <t>PENDING_KICKOFF_OR_FINAL_SCORE</t>
        </is>
      </c>
      <c r="G48" s="1"/>
      <c r="H48" s="1"/>
      <c r="I48" s="11"/>
      <c r="J48" s="1"/>
      <c r="K48" s="1"/>
      <c r="L48" s="1"/>
      <c r="M48" s="1"/>
      <c r="N48" s="1" t="inlineStr">
        <is>
          <t>2026-W42</t>
        </is>
      </c>
      <c r="O48" s="1" t="inlineStr">
        <is>
          <t>2fd31d33722311d8e0155bb5eca6b3a310ac938b</t>
        </is>
      </c>
      <c r="P48" s="1"/>
      <c r="Q48" s="1"/>
      <c r="R48" s="1"/>
    </row>
    <row r="49" ht="22" customHeight="1">
      <c r="A49" s="1" t="inlineStr">
        <is>
          <t>Premier League|everton|chelsea|2026-10-17</t>
        </is>
      </c>
      <c r="B49" s="8">
        <v>46312.479166666664</v>
      </c>
      <c r="C49" s="1" t="inlineStr">
        <is>
          <t>Premier League</t>
        </is>
      </c>
      <c r="D49" s="1" t="inlineStr">
        <is>
          <t>Everton vs Chelsea</t>
        </is>
      </c>
      <c r="E49" s="1" t="inlineStr">
        <is>
          <t>legacy/unspecified</t>
        </is>
      </c>
      <c r="F49" s="1" t="inlineStr">
        <is>
          <t>PENDING_KICKOFF_OR_FINAL_SCORE</t>
        </is>
      </c>
      <c r="G49" s="1"/>
      <c r="H49" s="1"/>
      <c r="I49" s="11"/>
      <c r="J49" s="1"/>
      <c r="K49" s="1"/>
      <c r="L49" s="1"/>
      <c r="M49" s="1"/>
      <c r="N49" s="1" t="inlineStr">
        <is>
          <t>2026-W42</t>
        </is>
      </c>
      <c r="O49" s="1" t="inlineStr">
        <is>
          <t>2fd31d33722311d8e0155bb5eca6b3a310ac938b</t>
        </is>
      </c>
      <c r="P49" s="1"/>
      <c r="Q49" s="1"/>
      <c r="R49" s="1"/>
    </row>
    <row r="50" ht="22" customHeight="1">
      <c r="A50" s="1" t="inlineStr">
        <is>
          <t>La Liga|espanyol|ath madrid|2026-10-17</t>
        </is>
      </c>
      <c r="B50" s="8">
        <v>46312.5</v>
      </c>
      <c r="C50" s="1" t="inlineStr">
        <is>
          <t>La Liga</t>
        </is>
      </c>
      <c r="D50" s="1" t="inlineStr">
        <is>
          <t>Espanyol vs Atlético Madrid</t>
        </is>
      </c>
      <c r="E50" s="1" t="inlineStr">
        <is>
          <t>legacy/unspecified</t>
        </is>
      </c>
      <c r="F50" s="1" t="inlineStr">
        <is>
          <t>PENDING_KICKOFF_OR_FINAL_SCORE</t>
        </is>
      </c>
      <c r="G50" s="1"/>
      <c r="H50" s="1"/>
      <c r="I50" s="11"/>
      <c r="J50" s="1"/>
      <c r="K50" s="1"/>
      <c r="L50" s="1"/>
      <c r="M50" s="1"/>
      <c r="N50" s="1" t="inlineStr">
        <is>
          <t>2026-W42</t>
        </is>
      </c>
      <c r="O50" s="1" t="inlineStr">
        <is>
          <t>2fd31d33722311d8e0155bb5eca6b3a310ac938b</t>
        </is>
      </c>
      <c r="P50" s="1"/>
      <c r="Q50" s="1"/>
      <c r="R50" s="1"/>
    </row>
    <row r="51" ht="22" customHeight="1">
      <c r="A51" s="1" t="inlineStr">
        <is>
          <t>Serie A|venezia|napoli|2026-10-17</t>
        </is>
      </c>
      <c r="B51" s="8">
        <v>46312.541666666664</v>
      </c>
      <c r="C51" s="1" t="inlineStr">
        <is>
          <t>Serie A</t>
        </is>
      </c>
      <c r="D51" s="1" t="inlineStr">
        <is>
          <t>Venezia vs Napoli</t>
        </is>
      </c>
      <c r="E51" s="1" t="inlineStr">
        <is>
          <t>legacy/unspecified</t>
        </is>
      </c>
      <c r="F51" s="1" t="inlineStr">
        <is>
          <t>PENDING_KICKOFF_OR_FINAL_SCORE</t>
        </is>
      </c>
      <c r="G51" s="1"/>
      <c r="H51" s="1"/>
      <c r="I51" s="11"/>
      <c r="J51" s="1"/>
      <c r="K51" s="1"/>
      <c r="L51" s="1"/>
      <c r="M51" s="1"/>
      <c r="N51" s="1" t="inlineStr">
        <is>
          <t>2026-W42</t>
        </is>
      </c>
      <c r="O51" s="1" t="inlineStr">
        <is>
          <t>2fd31d33722311d8e0155bb5eca6b3a310ac938b</t>
        </is>
      </c>
      <c r="P51" s="1"/>
      <c r="Q51" s="1"/>
      <c r="R51" s="1"/>
    </row>
    <row r="52" ht="22" customHeight="1">
      <c r="A52" s="1" t="inlineStr">
        <is>
          <t>Bundesliga|elversberg|augsburg|2026-10-17</t>
        </is>
      </c>
      <c r="B52" s="8">
        <v>46312.5625</v>
      </c>
      <c r="C52" s="1" t="inlineStr">
        <is>
          <t>Bundesliga</t>
        </is>
      </c>
      <c r="D52" s="1" t="inlineStr">
        <is>
          <t>Elversberg vs Augsburg</t>
        </is>
      </c>
      <c r="E52" s="1" t="inlineStr">
        <is>
          <t>legacy/unspecified</t>
        </is>
      </c>
      <c r="F52" s="1" t="inlineStr">
        <is>
          <t>PENDING_KICKOFF_OR_FINAL_SCORE</t>
        </is>
      </c>
      <c r="G52" s="1"/>
      <c r="H52" s="1"/>
      <c r="I52" s="11"/>
      <c r="J52" s="1"/>
      <c r="K52" s="1"/>
      <c r="L52" s="1"/>
      <c r="M52" s="1"/>
      <c r="N52" s="1" t="inlineStr">
        <is>
          <t>2026-W42</t>
        </is>
      </c>
      <c r="O52" s="1" t="inlineStr">
        <is>
          <t>2fd31d33722311d8e0155bb5eca6b3a310ac938b</t>
        </is>
      </c>
      <c r="P52" s="1"/>
      <c r="Q52" s="1"/>
      <c r="R52" s="1"/>
    </row>
    <row r="53" ht="22" customHeight="1">
      <c r="A53" s="1" t="inlineStr">
        <is>
          <t>Bundesliga|hamburger|vfb stuttgart|2026-10-17</t>
        </is>
      </c>
      <c r="B53" s="8">
        <v>46312.5625</v>
      </c>
      <c r="C53" s="1" t="inlineStr">
        <is>
          <t>Bundesliga</t>
        </is>
      </c>
      <c r="D53" s="1" t="inlineStr">
        <is>
          <t>Hamburger SV vs VfB Stuttgart</t>
        </is>
      </c>
      <c r="E53" s="1" t="inlineStr">
        <is>
          <t>legacy/unspecified</t>
        </is>
      </c>
      <c r="F53" s="1" t="inlineStr">
        <is>
          <t>PENDING_KICKOFF_OR_FINAL_SCORE</t>
        </is>
      </c>
      <c r="G53" s="1"/>
      <c r="H53" s="1"/>
      <c r="I53" s="11"/>
      <c r="J53" s="1"/>
      <c r="K53" s="1"/>
      <c r="L53" s="1"/>
      <c r="M53" s="1"/>
      <c r="N53" s="1" t="inlineStr">
        <is>
          <t>2026-W42</t>
        </is>
      </c>
      <c r="O53" s="1" t="inlineStr">
        <is>
          <t>2fd31d33722311d8e0155bb5eca6b3a310ac938b</t>
        </is>
      </c>
      <c r="P53" s="1"/>
      <c r="Q53" s="1"/>
      <c r="R53" s="1"/>
    </row>
    <row r="54" ht="22" customHeight="1">
      <c r="A54" s="1" t="inlineStr">
        <is>
          <t>Bundesliga|schalke|fsv mainz|2026-10-17</t>
        </is>
      </c>
      <c r="B54" s="8">
        <v>46312.5625</v>
      </c>
      <c r="C54" s="1" t="inlineStr">
        <is>
          <t>Bundesliga</t>
        </is>
      </c>
      <c r="D54" s="1" t="inlineStr">
        <is>
          <t>FC Schalke 04 vs FSV Mainz 05</t>
        </is>
      </c>
      <c r="E54" s="1" t="inlineStr">
        <is>
          <t>legacy/unspecified</t>
        </is>
      </c>
      <c r="F54" s="1" t="inlineStr">
        <is>
          <t>PENDING_KICKOFF_OR_FINAL_SCORE</t>
        </is>
      </c>
      <c r="G54" s="1"/>
      <c r="H54" s="1"/>
      <c r="I54" s="11"/>
      <c r="J54" s="1"/>
      <c r="K54" s="1"/>
      <c r="L54" s="1"/>
      <c r="M54" s="1"/>
      <c r="N54" s="1" t="inlineStr">
        <is>
          <t>2026-W42</t>
        </is>
      </c>
      <c r="O54" s="1" t="inlineStr">
        <is>
          <t>2fd31d33722311d8e0155bb5eca6b3a310ac938b</t>
        </is>
      </c>
      <c r="P54" s="1"/>
      <c r="Q54" s="1"/>
      <c r="R54" s="1"/>
    </row>
    <row r="55" ht="22" customHeight="1">
      <c r="A55" s="1" t="inlineStr">
        <is>
          <t>Bundesliga|union berlin|borussia dortmund|2026-10-17</t>
        </is>
      </c>
      <c r="B55" s="8">
        <v>46312.5625</v>
      </c>
      <c r="C55" s="1" t="inlineStr">
        <is>
          <t>Bundesliga</t>
        </is>
      </c>
      <c r="D55" s="1" t="inlineStr">
        <is>
          <t>Union Berlin vs Borussia Dortmund</t>
        </is>
      </c>
      <c r="E55" s="1" t="inlineStr">
        <is>
          <t>legacy/unspecified</t>
        </is>
      </c>
      <c r="F55" s="1" t="inlineStr">
        <is>
          <t>PENDING_KICKOFF_OR_FINAL_SCORE</t>
        </is>
      </c>
      <c r="G55" s="1"/>
      <c r="H55" s="1"/>
      <c r="I55" s="11"/>
      <c r="J55" s="1"/>
      <c r="K55" s="1"/>
      <c r="L55" s="1"/>
      <c r="M55" s="1"/>
      <c r="N55" s="1" t="inlineStr">
        <is>
          <t>2026-W42</t>
        </is>
      </c>
      <c r="O55" s="1" t="inlineStr">
        <is>
          <t>2fd31d33722311d8e0155bb5eca6b3a310ac938b</t>
        </is>
      </c>
      <c r="P55" s="1"/>
      <c r="Q55" s="1"/>
      <c r="R55" s="1"/>
    </row>
    <row r="56" ht="22" customHeight="1">
      <c r="A56" s="1" t="inlineStr">
        <is>
          <t>Bundesliga|werder bremen|paderborn|2026-10-17</t>
        </is>
      </c>
      <c r="B56" s="8">
        <v>46312.5625</v>
      </c>
      <c r="C56" s="1" t="inlineStr">
        <is>
          <t>Bundesliga</t>
        </is>
      </c>
      <c r="D56" s="1" t="inlineStr">
        <is>
          <t>Werder Bremen vs SC Paderborn</t>
        </is>
      </c>
      <c r="E56" s="1" t="inlineStr">
        <is>
          <t>legacy/unspecified</t>
        </is>
      </c>
      <c r="F56" s="1" t="inlineStr">
        <is>
          <t>PENDING_KICKOFF_OR_FINAL_SCORE</t>
        </is>
      </c>
      <c r="G56" s="1"/>
      <c r="H56" s="1"/>
      <c r="I56" s="11"/>
      <c r="J56" s="1"/>
      <c r="K56" s="1"/>
      <c r="L56" s="1"/>
      <c r="M56" s="1"/>
      <c r="N56" s="1" t="inlineStr">
        <is>
          <t>2026-W42</t>
        </is>
      </c>
      <c r="O56" s="1" t="inlineStr">
        <is>
          <t>2fd31d33722311d8e0155bb5eca6b3a310ac938b</t>
        </is>
      </c>
      <c r="P56" s="1"/>
      <c r="Q56" s="1"/>
      <c r="R56" s="1"/>
    </row>
    <row r="57" ht="22" customHeight="1">
      <c r="A57" s="1" t="inlineStr">
        <is>
          <t>Premier League|brentford|liverpool|2026-10-17</t>
        </is>
      </c>
      <c r="B57" s="8">
        <v>46312.583333333336</v>
      </c>
      <c r="C57" s="1" t="inlineStr">
        <is>
          <t>Premier League</t>
        </is>
      </c>
      <c r="D57" s="1" t="inlineStr">
        <is>
          <t>Brentford vs Liverpool</t>
        </is>
      </c>
      <c r="E57" s="1" t="inlineStr">
        <is>
          <t>legacy/unspecified</t>
        </is>
      </c>
      <c r="F57" s="1" t="inlineStr">
        <is>
          <t>PENDING_KICKOFF_OR_FINAL_SCORE</t>
        </is>
      </c>
      <c r="G57" s="1"/>
      <c r="H57" s="1"/>
      <c r="I57" s="11"/>
      <c r="J57" s="1"/>
      <c r="K57" s="1"/>
      <c r="L57" s="1"/>
      <c r="M57" s="1"/>
      <c r="N57" s="1" t="inlineStr">
        <is>
          <t>2026-W42</t>
        </is>
      </c>
      <c r="O57" s="1" t="inlineStr">
        <is>
          <t>2fd31d33722311d8e0155bb5eca6b3a310ac938b</t>
        </is>
      </c>
      <c r="P57" s="1"/>
      <c r="Q57" s="1"/>
      <c r="R57" s="1"/>
    </row>
    <row r="58" ht="22" customHeight="1">
      <c r="A58" s="1" t="inlineStr">
        <is>
          <t>Premier League|fulham|hull city|2026-10-17</t>
        </is>
      </c>
      <c r="B58" s="8">
        <v>46312.583333333336</v>
      </c>
      <c r="C58" s="1" t="inlineStr">
        <is>
          <t>Premier League</t>
        </is>
      </c>
      <c r="D58" s="1" t="inlineStr">
        <is>
          <t>Fulham vs Hull City</t>
        </is>
      </c>
      <c r="E58" s="1" t="inlineStr">
        <is>
          <t>legacy/unspecified</t>
        </is>
      </c>
      <c r="F58" s="1" t="inlineStr">
        <is>
          <t>PENDING_KICKOFF_OR_FINAL_SCORE</t>
        </is>
      </c>
      <c r="G58" s="1"/>
      <c r="H58" s="1"/>
      <c r="I58" s="11"/>
      <c r="J58" s="1"/>
      <c r="K58" s="1"/>
      <c r="L58" s="1"/>
      <c r="M58" s="1"/>
      <c r="N58" s="1" t="inlineStr">
        <is>
          <t>2026-W42</t>
        </is>
      </c>
      <c r="O58" s="1" t="inlineStr">
        <is>
          <t>2fd31d33722311d8e0155bb5eca6b3a310ac938b</t>
        </is>
      </c>
      <c r="P58" s="1"/>
      <c r="Q58" s="1"/>
      <c r="R58" s="1"/>
    </row>
    <row r="59" ht="22" customHeight="1">
      <c r="A59" s="1" t="inlineStr">
        <is>
          <t>Premier League|man city|ipswich town|2026-10-17</t>
        </is>
      </c>
      <c r="B59" s="8">
        <v>46312.583333333336</v>
      </c>
      <c r="C59" s="1" t="inlineStr">
        <is>
          <t>Premier League</t>
        </is>
      </c>
      <c r="D59" s="1" t="inlineStr">
        <is>
          <t>Manchester City vs Ipswich Town</t>
        </is>
      </c>
      <c r="E59" s="1" t="inlineStr">
        <is>
          <t>legacy/unspecified</t>
        </is>
      </c>
      <c r="F59" s="1" t="inlineStr">
        <is>
          <t>PENDING_KICKOFF_OR_FINAL_SCORE</t>
        </is>
      </c>
      <c r="G59" s="1"/>
      <c r="H59" s="1"/>
      <c r="I59" s="11"/>
      <c r="J59" s="1"/>
      <c r="K59" s="1"/>
      <c r="L59" s="1"/>
      <c r="M59" s="1"/>
      <c r="N59" s="1" t="inlineStr">
        <is>
          <t>2026-W42</t>
        </is>
      </c>
      <c r="O59" s="1" t="inlineStr">
        <is>
          <t>2fd31d33722311d8e0155bb5eca6b3a310ac938b</t>
        </is>
      </c>
      <c r="P59" s="1"/>
      <c r="Q59" s="1"/>
      <c r="R59" s="1"/>
    </row>
    <row r="60" ht="22" customHeight="1">
      <c r="A60" s="1" t="inlineStr">
        <is>
          <t>La Liga|villarreal|elche|2026-10-17</t>
        </is>
      </c>
      <c r="B60" s="8">
        <v>46312.59375</v>
      </c>
      <c r="C60" s="1" t="inlineStr">
        <is>
          <t>La Liga</t>
        </is>
      </c>
      <c r="D60" s="1" t="inlineStr">
        <is>
          <t>Villarreal vs Elche CF</t>
        </is>
      </c>
      <c r="E60" s="1" t="inlineStr">
        <is>
          <t>legacy/unspecified</t>
        </is>
      </c>
      <c r="F60" s="1" t="inlineStr">
        <is>
          <t>PENDING_KICKOFF_OR_FINAL_SCORE</t>
        </is>
      </c>
      <c r="G60" s="1"/>
      <c r="H60" s="1"/>
      <c r="I60" s="11"/>
      <c r="J60" s="1"/>
      <c r="K60" s="1"/>
      <c r="L60" s="1"/>
      <c r="M60" s="1"/>
      <c r="N60" s="1" t="inlineStr">
        <is>
          <t>2026-W42</t>
        </is>
      </c>
      <c r="O60" s="1" t="inlineStr">
        <is>
          <t>2fd31d33722311d8e0155bb5eca6b3a310ac938b</t>
        </is>
      </c>
      <c r="P60" s="1"/>
      <c r="Q60" s="1"/>
      <c r="R60" s="1"/>
    </row>
    <row r="61" ht="22" customHeight="1">
      <c r="A61" s="1" t="inlineStr">
        <is>
          <t>Ligue 1|strasbourg|paris sg|2026-10-17</t>
        </is>
      </c>
      <c r="B61" s="8">
        <v>46312.635416666664</v>
      </c>
      <c r="C61" s="1" t="inlineStr">
        <is>
          <t>Ligue 1</t>
        </is>
      </c>
      <c r="D61" s="1" t="inlineStr">
        <is>
          <t>Strasbourg vs Paris Saint Germain</t>
        </is>
      </c>
      <c r="E61" s="1" t="inlineStr">
        <is>
          <t>legacy/unspecified</t>
        </is>
      </c>
      <c r="F61" s="1" t="inlineStr">
        <is>
          <t>PENDING_KICKOFF_OR_FINAL_SCORE</t>
        </is>
      </c>
      <c r="G61" s="1"/>
      <c r="H61" s="1"/>
      <c r="I61" s="11"/>
      <c r="J61" s="1"/>
      <c r="K61" s="1"/>
      <c r="L61" s="1"/>
      <c r="M61" s="1"/>
      <c r="N61" s="1" t="inlineStr">
        <is>
          <t>2026-W42</t>
        </is>
      </c>
      <c r="O61" s="1" t="inlineStr">
        <is>
          <t>2fd31d33722311d8e0155bb5eca6b3a310ac938b</t>
        </is>
      </c>
      <c r="P61" s="1"/>
      <c r="Q61" s="1"/>
      <c r="R61" s="1"/>
    </row>
    <row r="62" ht="22" customHeight="1">
      <c r="A62" s="1" t="inlineStr">
        <is>
          <t>Serie A|bologna|inter|2026-10-17</t>
        </is>
      </c>
      <c r="B62" s="8">
        <v>46312.666666666664</v>
      </c>
      <c r="C62" s="1" t="inlineStr">
        <is>
          <t>Serie A</t>
        </is>
      </c>
      <c r="D62" s="1" t="inlineStr">
        <is>
          <t>Bologna vs Inter Milan</t>
        </is>
      </c>
      <c r="E62" s="1" t="inlineStr">
        <is>
          <t>legacy/unspecified</t>
        </is>
      </c>
      <c r="F62" s="1" t="inlineStr">
        <is>
          <t>PENDING_KICKOFF_OR_FINAL_SCORE</t>
        </is>
      </c>
      <c r="G62" s="1"/>
      <c r="H62" s="1"/>
      <c r="I62" s="11"/>
      <c r="J62" s="1"/>
      <c r="K62" s="1"/>
      <c r="L62" s="1"/>
      <c r="M62" s="1"/>
      <c r="N62" s="1" t="inlineStr">
        <is>
          <t>2026-W42</t>
        </is>
      </c>
      <c r="O62" s="1" t="inlineStr">
        <is>
          <t>2fd31d33722311d8e0155bb5eca6b3a310ac938b</t>
        </is>
      </c>
      <c r="P62" s="1"/>
      <c r="Q62" s="1"/>
      <c r="R62" s="1"/>
    </row>
    <row r="63" ht="22" customHeight="1">
      <c r="A63" s="1" t="inlineStr">
        <is>
          <t>Bundesliga|bayern munich|rb leipzig|2026-10-17</t>
        </is>
      </c>
      <c r="B63" s="8">
        <v>46312.6875</v>
      </c>
      <c r="C63" s="1" t="inlineStr">
        <is>
          <t>Bundesliga</t>
        </is>
      </c>
      <c r="D63" s="1" t="inlineStr">
        <is>
          <t>Bayern Munich vs RB Leipzig</t>
        </is>
      </c>
      <c r="E63" s="1" t="inlineStr">
        <is>
          <t>legacy/unspecified</t>
        </is>
      </c>
      <c r="F63" s="1" t="inlineStr">
        <is>
          <t>PENDING_KICKOFF_OR_FINAL_SCORE</t>
        </is>
      </c>
      <c r="G63" s="1"/>
      <c r="H63" s="1"/>
      <c r="I63" s="11"/>
      <c r="J63" s="1"/>
      <c r="K63" s="1"/>
      <c r="L63" s="1"/>
      <c r="M63" s="1"/>
      <c r="N63" s="1" t="inlineStr">
        <is>
          <t>2026-W42</t>
        </is>
      </c>
      <c r="O63" s="1" t="inlineStr">
        <is>
          <t>2fd31d33722311d8e0155bb5eca6b3a310ac938b</t>
        </is>
      </c>
      <c r="P63" s="1"/>
      <c r="Q63" s="1"/>
      <c r="R63" s="1"/>
    </row>
    <row r="64" ht="22" customHeight="1">
      <c r="A64" s="1" t="inlineStr">
        <is>
          <t>La Liga|real betis|barcelona|2026-10-17</t>
        </is>
      </c>
      <c r="B64" s="8">
        <v>46312.6875</v>
      </c>
      <c r="C64" s="1" t="inlineStr">
        <is>
          <t>La Liga</t>
        </is>
      </c>
      <c r="D64" s="1" t="inlineStr">
        <is>
          <t>Real Betis vs Barcelona</t>
        </is>
      </c>
      <c r="E64" s="1" t="inlineStr">
        <is>
          <t>legacy/unspecified</t>
        </is>
      </c>
      <c r="F64" s="1" t="inlineStr">
        <is>
          <t>PENDING_KICKOFF_OR_FINAL_SCORE</t>
        </is>
      </c>
      <c r="G64" s="1"/>
      <c r="H64" s="1"/>
      <c r="I64" s="11"/>
      <c r="J64" s="1"/>
      <c r="K64" s="1"/>
      <c r="L64" s="1"/>
      <c r="M64" s="1"/>
      <c r="N64" s="1" t="inlineStr">
        <is>
          <t>2026-W42</t>
        </is>
      </c>
      <c r="O64" s="1" t="inlineStr">
        <is>
          <t>2fd31d33722311d8e0155bb5eca6b3a310ac938b</t>
        </is>
      </c>
      <c r="P64" s="1"/>
      <c r="Q64" s="1"/>
      <c r="R64" s="1"/>
    </row>
    <row r="65" ht="22" customHeight="1">
      <c r="A65" s="1" t="inlineStr">
        <is>
          <t>Premier League|newcastle|aston villa|2026-10-17</t>
        </is>
      </c>
      <c r="B65" s="8">
        <v>46312.6875</v>
      </c>
      <c r="C65" s="1" t="inlineStr">
        <is>
          <t>Premier League</t>
        </is>
      </c>
      <c r="D65" s="1" t="inlineStr">
        <is>
          <t>Newcastle United vs Aston Villa</t>
        </is>
      </c>
      <c r="E65" s="1" t="inlineStr">
        <is>
          <t>legacy/unspecified</t>
        </is>
      </c>
      <c r="F65" s="1" t="inlineStr">
        <is>
          <t>PENDING_KICKOFF_OR_FINAL_SCORE</t>
        </is>
      </c>
      <c r="G65" s="1"/>
      <c r="H65" s="1"/>
      <c r="I65" s="11"/>
      <c r="J65" s="1"/>
      <c r="K65" s="1"/>
      <c r="L65" s="1"/>
      <c r="M65" s="1"/>
      <c r="N65" s="1" t="inlineStr">
        <is>
          <t>2026-W42</t>
        </is>
      </c>
      <c r="O65" s="1" t="inlineStr">
        <is>
          <t>2fd31d33722311d8e0155bb5eca6b3a310ac938b</t>
        </is>
      </c>
      <c r="P65" s="1"/>
      <c r="Q65" s="1"/>
      <c r="R65" s="1"/>
    </row>
    <row r="66" ht="22" customHeight="1">
      <c r="A66" s="1" t="inlineStr">
        <is>
          <t>Ligue 1|lille|brest|2026-10-17</t>
        </is>
      </c>
      <c r="B66" s="8">
        <v>46312.78125</v>
      </c>
      <c r="C66" s="1" t="inlineStr">
        <is>
          <t>Ligue 1</t>
        </is>
      </c>
      <c r="D66" s="1" t="inlineStr">
        <is>
          <t>Lille vs Brest</t>
        </is>
      </c>
      <c r="E66" s="1" t="inlineStr">
        <is>
          <t>legacy/unspecified</t>
        </is>
      </c>
      <c r="F66" s="1" t="inlineStr">
        <is>
          <t>PENDING_KICKOFF_OR_FINAL_SCORE</t>
        </is>
      </c>
      <c r="G66" s="1"/>
      <c r="H66" s="1"/>
      <c r="I66" s="11"/>
      <c r="J66" s="1"/>
      <c r="K66" s="1"/>
      <c r="L66" s="1"/>
      <c r="M66" s="1"/>
      <c r="N66" s="1" t="inlineStr">
        <is>
          <t>2026-W42</t>
        </is>
      </c>
      <c r="O66" s="1" t="inlineStr">
        <is>
          <t>2fd31d33722311d8e0155bb5eca6b3a310ac938b</t>
        </is>
      </c>
      <c r="P66" s="1"/>
      <c r="Q66" s="1"/>
      <c r="R66" s="1"/>
    </row>
    <row r="67" ht="22" customHeight="1">
      <c r="A67" s="1" t="inlineStr">
        <is>
          <t>Ligue 1|troyes|rc lens|2026-10-17</t>
        </is>
      </c>
      <c r="B67" s="8">
        <v>46312.78125</v>
      </c>
      <c r="C67" s="1" t="inlineStr">
        <is>
          <t>Ligue 1</t>
        </is>
      </c>
      <c r="D67" s="1" t="inlineStr">
        <is>
          <t>Troyes vs RC Lens</t>
        </is>
      </c>
      <c r="E67" s="1" t="inlineStr">
        <is>
          <t>legacy/unspecified</t>
        </is>
      </c>
      <c r="F67" s="1" t="inlineStr">
        <is>
          <t>PENDING_KICKOFF_OR_FINAL_SCORE</t>
        </is>
      </c>
      <c r="G67" s="1"/>
      <c r="H67" s="1"/>
      <c r="I67" s="11"/>
      <c r="J67" s="1"/>
      <c r="K67" s="1"/>
      <c r="L67" s="1"/>
      <c r="M67" s="1"/>
      <c r="N67" s="1" t="inlineStr">
        <is>
          <t>2026-W42</t>
        </is>
      </c>
      <c r="O67" s="1" t="inlineStr">
        <is>
          <t>2fd31d33722311d8e0155bb5eca6b3a310ac938b</t>
        </is>
      </c>
      <c r="P67" s="1"/>
      <c r="Q67" s="1"/>
      <c r="R67" s="1"/>
    </row>
    <row r="68" ht="22" customHeight="1">
      <c r="A68" s="1" t="inlineStr">
        <is>
          <t>Serie A|as roma|genoa|2026-10-17</t>
        </is>
      </c>
      <c r="B68" s="8">
        <v>46312.78125</v>
      </c>
      <c r="C68" s="1" t="inlineStr">
        <is>
          <t>Serie A</t>
        </is>
      </c>
      <c r="D68" s="1" t="inlineStr">
        <is>
          <t>AS Roma vs Genoa</t>
        </is>
      </c>
      <c r="E68" s="1" t="inlineStr">
        <is>
          <t>legacy/unspecified</t>
        </is>
      </c>
      <c r="F68" s="1" t="inlineStr">
        <is>
          <t>PENDING_KICKOFF_OR_FINAL_SCORE</t>
        </is>
      </c>
      <c r="G68" s="1"/>
      <c r="H68" s="1"/>
      <c r="I68" s="11"/>
      <c r="J68" s="1"/>
      <c r="K68" s="1"/>
      <c r="L68" s="1"/>
      <c r="M68" s="1"/>
      <c r="N68" s="1" t="inlineStr">
        <is>
          <t>2026-W42</t>
        </is>
      </c>
      <c r="O68" s="1" t="inlineStr">
        <is>
          <t>2fd31d33722311d8e0155bb5eca6b3a310ac938b</t>
        </is>
      </c>
      <c r="P68" s="1"/>
      <c r="Q68" s="1"/>
      <c r="R68" s="1"/>
    </row>
    <row r="69" ht="22" customHeight="1">
      <c r="A69" s="1" t="inlineStr">
        <is>
          <t>La Liga|valencia|ath bilbao|2026-10-17</t>
        </is>
      </c>
      <c r="B69" s="8">
        <v>46312.791666666664</v>
      </c>
      <c r="C69" s="1" t="inlineStr">
        <is>
          <t>La Liga</t>
        </is>
      </c>
      <c r="D69" s="1" t="inlineStr">
        <is>
          <t>Valencia vs Athletic Bilbao</t>
        </is>
      </c>
      <c r="E69" s="1" t="inlineStr">
        <is>
          <t>legacy/unspecified</t>
        </is>
      </c>
      <c r="F69" s="1" t="inlineStr">
        <is>
          <t>PENDING_KICKOFF_OR_FINAL_SCORE</t>
        </is>
      </c>
      <c r="G69" s="1"/>
      <c r="H69" s="1"/>
      <c r="I69" s="11"/>
      <c r="J69" s="1"/>
      <c r="K69" s="1"/>
      <c r="L69" s="1"/>
      <c r="M69" s="1"/>
      <c r="N69" s="1" t="inlineStr">
        <is>
          <t>2026-W42</t>
        </is>
      </c>
      <c r="O69" s="1" t="inlineStr">
        <is>
          <t>2fd31d33722311d8e0155bb5eca6b3a310ac938b</t>
        </is>
      </c>
      <c r="P69" s="1"/>
      <c r="Q69" s="1"/>
      <c r="R69" s="1"/>
    </row>
    <row r="70" ht="22" customHeight="1">
      <c r="A70" s="1" t="inlineStr">
        <is>
          <t>Serie A|udinese|lecce|2026-10-18</t>
        </is>
      </c>
      <c r="B70" s="8">
        <v>46313.4375</v>
      </c>
      <c r="C70" s="1" t="inlineStr">
        <is>
          <t>Serie A</t>
        </is>
      </c>
      <c r="D70" s="1" t="inlineStr">
        <is>
          <t>Udinese vs Lecce</t>
        </is>
      </c>
      <c r="E70" s="1" t="inlineStr">
        <is>
          <t>legacy/unspecified</t>
        </is>
      </c>
      <c r="F70" s="1" t="inlineStr">
        <is>
          <t>PENDING_KICKOFF_OR_FINAL_SCORE</t>
        </is>
      </c>
      <c r="G70" s="1"/>
      <c r="H70" s="1"/>
      <c r="I70" s="11"/>
      <c r="J70" s="1"/>
      <c r="K70" s="1"/>
      <c r="L70" s="1"/>
      <c r="M70" s="1"/>
      <c r="N70" s="1" t="inlineStr">
        <is>
          <t>2026-W42</t>
        </is>
      </c>
      <c r="O70" s="1" t="inlineStr">
        <is>
          <t>2fd31d33722311d8e0155bb5eca6b3a310ac938b</t>
        </is>
      </c>
      <c r="P70" s="1"/>
      <c r="Q70" s="1"/>
      <c r="R70" s="1"/>
    </row>
    <row r="71" ht="22" customHeight="1">
      <c r="A71" s="1" t="inlineStr">
        <is>
          <t>La Liga|ca osasuna|real racing santander|2026-10-18</t>
        </is>
      </c>
      <c r="B71" s="8">
        <v>46313.5</v>
      </c>
      <c r="C71" s="1" t="inlineStr">
        <is>
          <t>La Liga</t>
        </is>
      </c>
      <c r="D71" s="1" t="inlineStr">
        <is>
          <t>CA Osasuna vs Real Racing Club de Santander</t>
        </is>
      </c>
      <c r="E71" s="1" t="inlineStr">
        <is>
          <t>legacy/unspecified</t>
        </is>
      </c>
      <c r="F71" s="1" t="inlineStr">
        <is>
          <t>PENDING_KICKOFF_OR_FINAL_SCORE</t>
        </is>
      </c>
      <c r="G71" s="1"/>
      <c r="H71" s="1"/>
      <c r="I71" s="11"/>
      <c r="J71" s="1"/>
      <c r="K71" s="1"/>
      <c r="L71" s="1"/>
      <c r="M71" s="1"/>
      <c r="N71" s="1" t="inlineStr">
        <is>
          <t>2026-W42</t>
        </is>
      </c>
      <c r="O71" s="1" t="inlineStr">
        <is>
          <t>2fd31d33722311d8e0155bb5eca6b3a310ac938b</t>
        </is>
      </c>
      <c r="P71" s="1"/>
      <c r="Q71" s="1"/>
      <c r="R71" s="1"/>
    </row>
    <row r="72" ht="22" customHeight="1">
      <c r="A72" s="1" t="inlineStr">
        <is>
          <t>Ligue 1|angers|marseille|2026-10-18</t>
        </is>
      </c>
      <c r="B72" s="8">
        <v>46313.541666666664</v>
      </c>
      <c r="C72" s="1" t="inlineStr">
        <is>
          <t>Ligue 1</t>
        </is>
      </c>
      <c r="D72" s="1" t="inlineStr">
        <is>
          <t>Angers vs Marseille</t>
        </is>
      </c>
      <c r="E72" s="1" t="inlineStr">
        <is>
          <t>legacy/unspecified</t>
        </is>
      </c>
      <c r="F72" s="1" t="inlineStr">
        <is>
          <t>PENDING_KICKOFF_OR_FINAL_SCORE</t>
        </is>
      </c>
      <c r="G72" s="1"/>
      <c r="H72" s="1"/>
      <c r="I72" s="11"/>
      <c r="J72" s="1"/>
      <c r="K72" s="1"/>
      <c r="L72" s="1"/>
      <c r="M72" s="1"/>
      <c r="N72" s="1" t="inlineStr">
        <is>
          <t>2026-W42</t>
        </is>
      </c>
      <c r="O72" s="1" t="inlineStr">
        <is>
          <t>2fd31d33722311d8e0155bb5eca6b3a310ac938b</t>
        </is>
      </c>
      <c r="P72" s="1"/>
      <c r="Q72" s="1"/>
      <c r="R72" s="1"/>
    </row>
    <row r="73" ht="22" customHeight="1">
      <c r="A73" s="1" t="inlineStr">
        <is>
          <t>Premier League|bournemouth|sunderland|2026-10-18</t>
        </is>
      </c>
      <c r="B73" s="8">
        <v>46313.541666666664</v>
      </c>
      <c r="C73" s="1" t="inlineStr">
        <is>
          <t>Premier League</t>
        </is>
      </c>
      <c r="D73" s="1" t="inlineStr">
        <is>
          <t>Bournemouth vs Sunderland</t>
        </is>
      </c>
      <c r="E73" s="1" t="inlineStr">
        <is>
          <t>legacy/unspecified</t>
        </is>
      </c>
      <c r="F73" s="1" t="inlineStr">
        <is>
          <t>PENDING_KICKOFF_OR_FINAL_SCORE</t>
        </is>
      </c>
      <c r="G73" s="1"/>
      <c r="H73" s="1"/>
      <c r="I73" s="11"/>
      <c r="J73" s="1"/>
      <c r="K73" s="1"/>
      <c r="L73" s="1"/>
      <c r="M73" s="1"/>
      <c r="N73" s="1" t="inlineStr">
        <is>
          <t>2026-W42</t>
        </is>
      </c>
      <c r="O73" s="1" t="inlineStr">
        <is>
          <t>2fd31d33722311d8e0155bb5eca6b3a310ac938b</t>
        </is>
      </c>
      <c r="P73" s="1"/>
      <c r="Q73" s="1"/>
      <c r="R73" s="1"/>
    </row>
    <row r="74" ht="22" customHeight="1">
      <c r="A74" s="1" t="inlineStr">
        <is>
          <t>Premier League|brighton|crystal palace|2026-10-18</t>
        </is>
      </c>
      <c r="B74" s="8">
        <v>46313.541666666664</v>
      </c>
      <c r="C74" s="1" t="inlineStr">
        <is>
          <t>Premier League</t>
        </is>
      </c>
      <c r="D74" s="1" t="inlineStr">
        <is>
          <t>Brighton and Hove Albion vs Crystal Palace</t>
        </is>
      </c>
      <c r="E74" s="1" t="inlineStr">
        <is>
          <t>legacy/unspecified</t>
        </is>
      </c>
      <c r="F74" s="1" t="inlineStr">
        <is>
          <t>PENDING_KICKOFF_OR_FINAL_SCORE</t>
        </is>
      </c>
      <c r="G74" s="1"/>
      <c r="H74" s="1"/>
      <c r="I74" s="11"/>
      <c r="J74" s="1"/>
      <c r="K74" s="1"/>
      <c r="L74" s="1"/>
      <c r="M74" s="1"/>
      <c r="N74" s="1" t="inlineStr">
        <is>
          <t>2026-W42</t>
        </is>
      </c>
      <c r="O74" s="1" t="inlineStr">
        <is>
          <t>2fd31d33722311d8e0155bb5eca6b3a310ac938b</t>
        </is>
      </c>
      <c r="P74" s="1"/>
      <c r="Q74" s="1"/>
      <c r="R74" s="1"/>
    </row>
    <row r="75" ht="22" customHeight="1">
      <c r="A75" s="1" t="inlineStr">
        <is>
          <t>Premier League|leeds|man united|2026-10-18</t>
        </is>
      </c>
      <c r="B75" s="8">
        <v>46313.541666666664</v>
      </c>
      <c r="C75" s="1" t="inlineStr">
        <is>
          <t>Premier League</t>
        </is>
      </c>
      <c r="D75" s="1" t="inlineStr">
        <is>
          <t>Leeds United vs Manchester United</t>
        </is>
      </c>
      <c r="E75" s="1" t="inlineStr">
        <is>
          <t>legacy/unspecified</t>
        </is>
      </c>
      <c r="F75" s="1" t="inlineStr">
        <is>
          <t>PENDING_KICKOFF_OR_FINAL_SCORE</t>
        </is>
      </c>
      <c r="G75" s="1"/>
      <c r="H75" s="1"/>
      <c r="I75" s="11"/>
      <c r="J75" s="1"/>
      <c r="K75" s="1"/>
      <c r="L75" s="1"/>
      <c r="M75" s="1"/>
      <c r="N75" s="1" t="inlineStr">
        <is>
          <t>2026-W42</t>
        </is>
      </c>
      <c r="O75" s="1" t="inlineStr">
        <is>
          <t>2fd31d33722311d8e0155bb5eca6b3a310ac938b</t>
        </is>
      </c>
      <c r="P75" s="1"/>
      <c r="Q75" s="1"/>
      <c r="R75" s="1"/>
    </row>
    <row r="76" ht="22" customHeight="1">
      <c r="A76" s="1" t="inlineStr">
        <is>
          <t>Serie A|fiorentina|como|2026-10-18</t>
        </is>
      </c>
      <c r="B76" s="8">
        <v>46313.541666666664</v>
      </c>
      <c r="C76" s="1" t="inlineStr">
        <is>
          <t>Serie A</t>
        </is>
      </c>
      <c r="D76" s="1" t="inlineStr">
        <is>
          <t>Fiorentina vs Como</t>
        </is>
      </c>
      <c r="E76" s="1" t="inlineStr">
        <is>
          <t>legacy/unspecified</t>
        </is>
      </c>
      <c r="F76" s="1" t="inlineStr">
        <is>
          <t>PENDING_KICKOFF_OR_FINAL_SCORE</t>
        </is>
      </c>
      <c r="G76" s="1"/>
      <c r="H76" s="1"/>
      <c r="I76" s="11"/>
      <c r="J76" s="1"/>
      <c r="K76" s="1"/>
      <c r="L76" s="1"/>
      <c r="M76" s="1"/>
      <c r="N76" s="1" t="inlineStr">
        <is>
          <t>2026-W42</t>
        </is>
      </c>
      <c r="O76" s="1" t="inlineStr">
        <is>
          <t>2fd31d33722311d8e0155bb5eca6b3a310ac938b</t>
        </is>
      </c>
      <c r="P76" s="1"/>
      <c r="Q76" s="1"/>
      <c r="R76" s="1"/>
    </row>
    <row r="77" ht="22" customHeight="1">
      <c r="A77" s="1" t="inlineStr">
        <is>
          <t>Bundesliga|bayer leverkusen|freiburg|2026-10-18</t>
        </is>
      </c>
      <c r="B77" s="8">
        <v>46313.5625</v>
      </c>
      <c r="C77" s="1" t="inlineStr">
        <is>
          <t>Bundesliga</t>
        </is>
      </c>
      <c r="D77" s="1" t="inlineStr">
        <is>
          <t>Bayer Leverkusen vs SC Freiburg</t>
        </is>
      </c>
      <c r="E77" s="1" t="inlineStr">
        <is>
          <t>legacy/unspecified</t>
        </is>
      </c>
      <c r="F77" s="1" t="inlineStr">
        <is>
          <t>PENDING_KICKOFF_OR_FINAL_SCORE</t>
        </is>
      </c>
      <c r="G77" s="1"/>
      <c r="H77" s="1"/>
      <c r="I77" s="11"/>
      <c r="J77" s="1"/>
      <c r="K77" s="1"/>
      <c r="L77" s="1"/>
      <c r="M77" s="1"/>
      <c r="N77" s="1" t="inlineStr">
        <is>
          <t>2026-W42</t>
        </is>
      </c>
      <c r="O77" s="1" t="inlineStr">
        <is>
          <t>2fd31d33722311d8e0155bb5eca6b3a310ac938b</t>
        </is>
      </c>
      <c r="P77" s="1"/>
      <c r="Q77" s="1"/>
      <c r="R77" s="1"/>
    </row>
    <row r="78" ht="22" customHeight="1">
      <c r="A78" s="1" t="inlineStr">
        <is>
          <t>La Liga|celta vigo|alaves|2026-10-18</t>
        </is>
      </c>
      <c r="B78" s="8">
        <v>46313.59375</v>
      </c>
      <c r="C78" s="1" t="inlineStr">
        <is>
          <t>La Liga</t>
        </is>
      </c>
      <c r="D78" s="1" t="inlineStr">
        <is>
          <t>Celta Vigo vs Alavés</t>
        </is>
      </c>
      <c r="E78" s="1" t="inlineStr">
        <is>
          <t>legacy/unspecified</t>
        </is>
      </c>
      <c r="F78" s="1" t="inlineStr">
        <is>
          <t>PENDING_KICKOFF_OR_FINAL_SCORE</t>
        </is>
      </c>
      <c r="G78" s="1"/>
      <c r="H78" s="1"/>
      <c r="I78" s="11"/>
      <c r="J78" s="1"/>
      <c r="K78" s="1"/>
      <c r="L78" s="1"/>
      <c r="M78" s="1"/>
      <c r="N78" s="1" t="inlineStr">
        <is>
          <t>2026-W42</t>
        </is>
      </c>
      <c r="O78" s="1" t="inlineStr">
        <is>
          <t>2fd31d33722311d8e0155bb5eca6b3a310ac938b</t>
        </is>
      </c>
      <c r="P78" s="1"/>
      <c r="Q78" s="1"/>
      <c r="R78" s="1"/>
    </row>
    <row r="79" ht="22" customHeight="1">
      <c r="A79" s="1" t="inlineStr">
        <is>
          <t>Ligue 1|le havre|auxerre|2026-10-18</t>
        </is>
      </c>
      <c r="B79" s="8">
        <v>46313.635416666664</v>
      </c>
      <c r="C79" s="1" t="inlineStr">
        <is>
          <t>Ligue 1</t>
        </is>
      </c>
      <c r="D79" s="1" t="inlineStr">
        <is>
          <t>Le Havre vs Auxerre</t>
        </is>
      </c>
      <c r="E79" s="1" t="inlineStr">
        <is>
          <t>legacy/unspecified</t>
        </is>
      </c>
      <c r="F79" s="1" t="inlineStr">
        <is>
          <t>PENDING_KICKOFF_OR_FINAL_SCORE</t>
        </is>
      </c>
      <c r="G79" s="1"/>
      <c r="H79" s="1"/>
      <c r="I79" s="11"/>
      <c r="J79" s="1"/>
      <c r="K79" s="1"/>
      <c r="L79" s="1"/>
      <c r="M79" s="1"/>
      <c r="N79" s="1" t="inlineStr">
        <is>
          <t>2026-W42</t>
        </is>
      </c>
      <c r="O79" s="1" t="inlineStr">
        <is>
          <t>2fd31d33722311d8e0155bb5eca6b3a310ac938b</t>
        </is>
      </c>
      <c r="P79" s="1"/>
      <c r="Q79" s="1"/>
      <c r="R79" s="1"/>
    </row>
    <row r="80" ht="22" customHeight="1">
      <c r="A80" s="1" t="inlineStr">
        <is>
          <t>Ligue 1|lorient|as monaco|2026-10-18</t>
        </is>
      </c>
      <c r="B80" s="8">
        <v>46313.635416666664</v>
      </c>
      <c r="C80" s="1" t="inlineStr">
        <is>
          <t>Ligue 1</t>
        </is>
      </c>
      <c r="D80" s="1" t="inlineStr">
        <is>
          <t>Lorient vs AS Monaco</t>
        </is>
      </c>
      <c r="E80" s="1" t="inlineStr">
        <is>
          <t>legacy/unspecified</t>
        </is>
      </c>
      <c r="F80" s="1" t="inlineStr">
        <is>
          <t>PENDING_KICKOFF_OR_FINAL_SCORE</t>
        </is>
      </c>
      <c r="G80" s="1"/>
      <c r="H80" s="1"/>
      <c r="I80" s="11"/>
      <c r="J80" s="1"/>
      <c r="K80" s="1"/>
      <c r="L80" s="1"/>
      <c r="M80" s="1"/>
      <c r="N80" s="1" t="inlineStr">
        <is>
          <t>2026-W42</t>
        </is>
      </c>
      <c r="O80" s="1" t="inlineStr">
        <is>
          <t>2fd31d33722311d8e0155bb5eca6b3a310ac938b</t>
        </is>
      </c>
      <c r="P80" s="1"/>
      <c r="Q80" s="1"/>
      <c r="R80" s="1"/>
    </row>
    <row r="81" ht="22" customHeight="1">
      <c r="A81" s="1" t="inlineStr">
        <is>
          <t>Ligue 1|paris|rennes|2026-10-18</t>
        </is>
      </c>
      <c r="B81" s="8">
        <v>46313.635416666664</v>
      </c>
      <c r="C81" s="1" t="inlineStr">
        <is>
          <t>Ligue 1</t>
        </is>
      </c>
      <c r="D81" s="1" t="inlineStr">
        <is>
          <t>Paris FC vs Rennes</t>
        </is>
      </c>
      <c r="E81" s="1" t="inlineStr">
        <is>
          <t>legacy/unspecified</t>
        </is>
      </c>
      <c r="F81" s="1" t="inlineStr">
        <is>
          <t>PENDING_KICKOFF_OR_FINAL_SCORE</t>
        </is>
      </c>
      <c r="G81" s="1"/>
      <c r="H81" s="1"/>
      <c r="I81" s="11"/>
      <c r="J81" s="1"/>
      <c r="K81" s="1"/>
      <c r="L81" s="1"/>
      <c r="M81" s="1"/>
      <c r="N81" s="1" t="inlineStr">
        <is>
          <t>2026-W42</t>
        </is>
      </c>
      <c r="O81" s="1" t="inlineStr">
        <is>
          <t>2fd31d33722311d8e0155bb5eca6b3a310ac938b</t>
        </is>
      </c>
      <c r="P81" s="1"/>
      <c r="Q81" s="1"/>
      <c r="R81" s="1"/>
    </row>
    <row r="82" ht="22" customHeight="1">
      <c r="A82" s="1" t="inlineStr">
        <is>
          <t>Bundesliga|m gladbach|tsg hoffenheim|2026-10-18</t>
        </is>
      </c>
      <c r="B82" s="8">
        <v>46313.645833333336</v>
      </c>
      <c r="C82" s="1" t="inlineStr">
        <is>
          <t>Bundesliga</t>
        </is>
      </c>
      <c r="D82" s="1" t="inlineStr">
        <is>
          <t>Borussia Monchengladbach vs TSG Hoffenheim</t>
        </is>
      </c>
      <c r="E82" s="1" t="inlineStr">
        <is>
          <t>legacy/unspecified</t>
        </is>
      </c>
      <c r="F82" s="1" t="inlineStr">
        <is>
          <t>PENDING_KICKOFF_OR_FINAL_SCORE</t>
        </is>
      </c>
      <c r="G82" s="1"/>
      <c r="H82" s="1"/>
      <c r="I82" s="11"/>
      <c r="J82" s="1"/>
      <c r="K82" s="1"/>
      <c r="L82" s="1"/>
      <c r="M82" s="1"/>
      <c r="N82" s="1" t="inlineStr">
        <is>
          <t>2026-W42</t>
        </is>
      </c>
      <c r="O82" s="1" t="inlineStr">
        <is>
          <t>2fd31d33722311d8e0155bb5eca6b3a310ac938b</t>
        </is>
      </c>
      <c r="P82" s="1"/>
      <c r="Q82" s="1"/>
      <c r="R82" s="1"/>
    </row>
    <row r="83" ht="22" customHeight="1">
      <c r="A83" s="1" t="inlineStr">
        <is>
          <t>Premier League|nott m forest|arsenal|2026-10-18</t>
        </is>
      </c>
      <c r="B83" s="8">
        <v>46313.645833333336</v>
      </c>
      <c r="C83" s="1" t="inlineStr">
        <is>
          <t>Premier League</t>
        </is>
      </c>
      <c r="D83" s="1" t="inlineStr">
        <is>
          <t>Nottingham Forest vs Arsenal</t>
        </is>
      </c>
      <c r="E83" s="1" t="inlineStr">
        <is>
          <t>legacy/unspecified</t>
        </is>
      </c>
      <c r="F83" s="1" t="inlineStr">
        <is>
          <t>PENDING_KICKOFF_OR_FINAL_SCORE</t>
        </is>
      </c>
      <c r="G83" s="1"/>
      <c r="H83" s="1"/>
      <c r="I83" s="11"/>
      <c r="J83" s="1"/>
      <c r="K83" s="1"/>
      <c r="L83" s="1"/>
      <c r="M83" s="1"/>
      <c r="N83" s="1" t="inlineStr">
        <is>
          <t>2026-W42</t>
        </is>
      </c>
      <c r="O83" s="1" t="inlineStr">
        <is>
          <t>2fd31d33722311d8e0155bb5eca6b3a310ac938b</t>
        </is>
      </c>
      <c r="P83" s="1"/>
      <c r="Q83" s="1"/>
      <c r="R83" s="1"/>
    </row>
    <row r="84" ht="22" customHeight="1">
      <c r="A84" s="1" t="inlineStr">
        <is>
          <t>Serie A|milan|atalanta bc|2026-10-18</t>
        </is>
      </c>
      <c r="B84" s="8">
        <v>46313.666666666664</v>
      </c>
      <c r="C84" s="1" t="inlineStr">
        <is>
          <t>Serie A</t>
        </is>
      </c>
      <c r="D84" s="1" t="inlineStr">
        <is>
          <t>AC Milan vs Atalanta BC</t>
        </is>
      </c>
      <c r="E84" s="1" t="inlineStr">
        <is>
          <t>legacy/unspecified</t>
        </is>
      </c>
      <c r="F84" s="1" t="inlineStr">
        <is>
          <t>PENDING_KICKOFF_OR_FINAL_SCORE</t>
        </is>
      </c>
      <c r="G84" s="1"/>
      <c r="H84" s="1"/>
      <c r="I84" s="11"/>
      <c r="J84" s="1"/>
      <c r="K84" s="1"/>
      <c r="L84" s="1"/>
      <c r="M84" s="1"/>
      <c r="N84" s="1" t="inlineStr">
        <is>
          <t>2026-W42</t>
        </is>
      </c>
      <c r="O84" s="1" t="inlineStr">
        <is>
          <t>2fd31d33722311d8e0155bb5eca6b3a310ac938b</t>
        </is>
      </c>
      <c r="P84" s="1"/>
      <c r="Q84" s="1"/>
      <c r="R84" s="1"/>
    </row>
    <row r="85" ht="22" customHeight="1">
      <c r="A85" s="1" t="inlineStr">
        <is>
          <t>La Liga|malaga|real sociedad|2026-10-18</t>
        </is>
      </c>
      <c r="B85" s="8">
        <v>46313.6875</v>
      </c>
      <c r="C85" s="1" t="inlineStr">
        <is>
          <t>La Liga</t>
        </is>
      </c>
      <c r="D85" s="1" t="inlineStr">
        <is>
          <t>Málaga vs Real Sociedad</t>
        </is>
      </c>
      <c r="E85" s="1" t="inlineStr">
        <is>
          <t>legacy/unspecified</t>
        </is>
      </c>
      <c r="F85" s="1" t="inlineStr">
        <is>
          <t>PENDING_KICKOFF_OR_FINAL_SCORE</t>
        </is>
      </c>
      <c r="G85" s="1"/>
      <c r="H85" s="1"/>
      <c r="I85" s="11"/>
      <c r="J85" s="1"/>
      <c r="K85" s="1"/>
      <c r="L85" s="1"/>
      <c r="M85" s="1"/>
      <c r="N85" s="1" t="inlineStr">
        <is>
          <t>2026-W42</t>
        </is>
      </c>
      <c r="O85" s="1" t="inlineStr">
        <is>
          <t>2fd31d33722311d8e0155bb5eca6b3a310ac938b</t>
        </is>
      </c>
      <c r="P85" s="1"/>
      <c r="Q85" s="1"/>
      <c r="R85" s="1"/>
    </row>
    <row r="86" ht="22" customHeight="1">
      <c r="A86" s="1" t="inlineStr">
        <is>
          <t>Ligue 1|lyon|nice|2026-10-18</t>
        </is>
      </c>
      <c r="B86" s="8">
        <v>46313.78125</v>
      </c>
      <c r="C86" s="1" t="inlineStr">
        <is>
          <t>Ligue 1</t>
        </is>
      </c>
      <c r="D86" s="1" t="inlineStr">
        <is>
          <t>Lyon vs Nice</t>
        </is>
      </c>
      <c r="E86" s="1" t="inlineStr">
        <is>
          <t>legacy/unspecified</t>
        </is>
      </c>
      <c r="F86" s="1" t="inlineStr">
        <is>
          <t>PENDING_KICKOFF_OR_FINAL_SCORE</t>
        </is>
      </c>
      <c r="G86" s="1"/>
      <c r="H86" s="1"/>
      <c r="I86" s="11"/>
      <c r="J86" s="1"/>
      <c r="K86" s="1"/>
      <c r="L86" s="1"/>
      <c r="M86" s="1"/>
      <c r="N86" s="1" t="inlineStr">
        <is>
          <t>2026-W42</t>
        </is>
      </c>
      <c r="O86" s="1" t="inlineStr">
        <is>
          <t>2fd31d33722311d8e0155bb5eca6b3a310ac938b</t>
        </is>
      </c>
      <c r="P86" s="1"/>
      <c r="Q86" s="1"/>
      <c r="R86" s="1"/>
    </row>
    <row r="87" ht="22" customHeight="1">
      <c r="A87" s="1" t="inlineStr">
        <is>
          <t>Serie A|juventus|lazio|2026-10-18</t>
        </is>
      </c>
      <c r="B87" s="8">
        <v>46313.78125</v>
      </c>
      <c r="C87" s="1" t="inlineStr">
        <is>
          <t>Serie A</t>
        </is>
      </c>
      <c r="D87" s="1" t="inlineStr">
        <is>
          <t>Juventus vs Lazio</t>
        </is>
      </c>
      <c r="E87" s="1" t="inlineStr">
        <is>
          <t>legacy/unspecified</t>
        </is>
      </c>
      <c r="F87" s="1" t="inlineStr">
        <is>
          <t>PENDING_KICKOFF_OR_FINAL_SCORE</t>
        </is>
      </c>
      <c r="G87" s="1"/>
      <c r="H87" s="1"/>
      <c r="I87" s="11"/>
      <c r="J87" s="1"/>
      <c r="K87" s="1"/>
      <c r="L87" s="1"/>
      <c r="M87" s="1"/>
      <c r="N87" s="1" t="inlineStr">
        <is>
          <t>2026-W42</t>
        </is>
      </c>
      <c r="O87" s="1" t="inlineStr">
        <is>
          <t>2fd31d33722311d8e0155bb5eca6b3a310ac938b</t>
        </is>
      </c>
      <c r="P87" s="1"/>
      <c r="Q87" s="1"/>
      <c r="R87" s="1"/>
    </row>
    <row r="88" ht="22" customHeight="1">
      <c r="A88" s="1" t="inlineStr">
        <is>
          <t>La Liga|real madrid|sevilla|2026-10-18</t>
        </is>
      </c>
      <c r="B88" s="8">
        <v>46313.791666666664</v>
      </c>
      <c r="C88" s="1" t="inlineStr">
        <is>
          <t>La Liga</t>
        </is>
      </c>
      <c r="D88" s="1" t="inlineStr">
        <is>
          <t>Real Madrid vs Sevilla</t>
        </is>
      </c>
      <c r="E88" s="1" t="inlineStr">
        <is>
          <t>legacy/unspecified</t>
        </is>
      </c>
      <c r="F88" s="1" t="inlineStr">
        <is>
          <t>PENDING_KICKOFF_OR_FINAL_SCORE</t>
        </is>
      </c>
      <c r="G88" s="1"/>
      <c r="H88" s="1"/>
      <c r="I88" s="11"/>
      <c r="J88" s="1"/>
      <c r="K88" s="1"/>
      <c r="L88" s="1"/>
      <c r="M88" s="1"/>
      <c r="N88" s="1" t="inlineStr">
        <is>
          <t>2026-W42</t>
        </is>
      </c>
      <c r="O88" s="1" t="inlineStr">
        <is>
          <t>2fd31d33722311d8e0155bb5eca6b3a310ac938b</t>
        </is>
      </c>
      <c r="P88" s="1"/>
      <c r="Q88" s="1"/>
      <c r="R88" s="1"/>
    </row>
    <row r="89" ht="22" customHeight="1">
      <c r="A89" s="1" t="inlineStr">
        <is>
          <t>Serie A|monza|cagliari|2026-10-19</t>
        </is>
      </c>
      <c r="B89" s="8">
        <v>46314.6875</v>
      </c>
      <c r="C89" s="1" t="inlineStr">
        <is>
          <t>Serie A</t>
        </is>
      </c>
      <c r="D89" s="1" t="inlineStr">
        <is>
          <t>Monza vs Cagliari</t>
        </is>
      </c>
      <c r="E89" s="1" t="inlineStr">
        <is>
          <t>legacy/unspecified</t>
        </is>
      </c>
      <c r="F89" s="1" t="inlineStr">
        <is>
          <t>PENDING_KICKOFF_OR_FINAL_SCORE</t>
        </is>
      </c>
      <c r="G89" s="1"/>
      <c r="H89" s="1"/>
      <c r="I89" s="11"/>
      <c r="J89" s="1"/>
      <c r="K89" s="1"/>
      <c r="L89" s="1"/>
      <c r="M89" s="1"/>
      <c r="N89" s="1" t="inlineStr">
        <is>
          <t>2026-W43</t>
        </is>
      </c>
      <c r="O89" s="1" t="inlineStr">
        <is>
          <t>b9c15c09504aaf57de5ad0957adb91c0e9b37243</t>
        </is>
      </c>
      <c r="P89" s="1"/>
      <c r="Q89" s="1"/>
      <c r="R89" s="1"/>
    </row>
    <row r="90" ht="22" customHeight="1">
      <c r="A90" s="1" t="inlineStr">
        <is>
          <t>Serie A|parma|torino|2026-10-19</t>
        </is>
      </c>
      <c r="B90" s="8">
        <v>46314.78125</v>
      </c>
      <c r="C90" s="1" t="inlineStr">
        <is>
          <t>Serie A</t>
        </is>
      </c>
      <c r="D90" s="1" t="inlineStr">
        <is>
          <t>Parma vs Torino</t>
        </is>
      </c>
      <c r="E90" s="1" t="inlineStr">
        <is>
          <t>legacy/unspecified</t>
        </is>
      </c>
      <c r="F90" s="1" t="inlineStr">
        <is>
          <t>PENDING_KICKOFF_OR_FINAL_SCORE</t>
        </is>
      </c>
      <c r="G90" s="1"/>
      <c r="H90" s="1"/>
      <c r="I90" s="11"/>
      <c r="J90" s="1"/>
      <c r="K90" s="1"/>
      <c r="L90" s="1"/>
      <c r="M90" s="1"/>
      <c r="N90" s="1" t="inlineStr">
        <is>
          <t>2026-W43</t>
        </is>
      </c>
      <c r="O90" s="1" t="inlineStr">
        <is>
          <t>b9c15c09504aaf57de5ad0957adb91c0e9b37243</t>
        </is>
      </c>
      <c r="P90" s="1"/>
      <c r="Q90" s="1"/>
      <c r="R90" s="1"/>
    </row>
    <row r="91" ht="22" customHeight="1">
      <c r="A91" s="1" t="inlineStr">
        <is>
          <t>La Liga|getafe|rayo vallecano|2026-10-19</t>
        </is>
      </c>
      <c r="B91" s="8">
        <v>46314.791666666664</v>
      </c>
      <c r="C91" s="1" t="inlineStr">
        <is>
          <t>La Liga</t>
        </is>
      </c>
      <c r="D91" s="1" t="inlineStr">
        <is>
          <t>Getafe vs Rayo Vallecano</t>
        </is>
      </c>
      <c r="E91" s="1" t="inlineStr">
        <is>
          <t>legacy/unspecified</t>
        </is>
      </c>
      <c r="F91" s="1" t="inlineStr">
        <is>
          <t>PENDING_KICKOFF_OR_FINAL_SCORE</t>
        </is>
      </c>
      <c r="G91" s="1"/>
      <c r="H91" s="1"/>
      <c r="I91" s="11"/>
      <c r="J91" s="1"/>
      <c r="K91" s="1"/>
      <c r="L91" s="1"/>
      <c r="M91" s="1"/>
      <c r="N91" s="1" t="inlineStr">
        <is>
          <t>2026-W43</t>
        </is>
      </c>
      <c r="O91" s="1" t="inlineStr">
        <is>
          <t>b9c15c09504aaf57de5ad0957adb91c0e9b37243</t>
        </is>
      </c>
      <c r="P91" s="1"/>
      <c r="Q91" s="1"/>
      <c r="R91" s="1"/>
    </row>
    <row r="92" ht="22" customHeight="1">
      <c r="A92" s="1" t="inlineStr">
        <is>
          <t>Premier League|tottenham|coventry city|2026-10-19</t>
        </is>
      </c>
      <c r="B92" s="8">
        <v>46314.791666666664</v>
      </c>
      <c r="C92" s="1" t="inlineStr">
        <is>
          <t>Premier League</t>
        </is>
      </c>
      <c r="D92" s="1" t="inlineStr">
        <is>
          <t>Tottenham Hotspur vs Coventry City</t>
        </is>
      </c>
      <c r="E92" s="1" t="inlineStr">
        <is>
          <t>legacy/unspecified</t>
        </is>
      </c>
      <c r="F92" s="1" t="inlineStr">
        <is>
          <t>PENDING_KICKOFF_OR_FINAL_SCORE</t>
        </is>
      </c>
      <c r="G92" s="1"/>
      <c r="H92" s="1"/>
      <c r="I92" s="11"/>
      <c r="J92" s="1"/>
      <c r="K92" s="1"/>
      <c r="L92" s="1"/>
      <c r="M92" s="1"/>
      <c r="N92" s="1" t="inlineStr">
        <is>
          <t>2026-W43</t>
        </is>
      </c>
      <c r="O92" s="1" t="inlineStr">
        <is>
          <t>b9c15c09504aaf57de5ad0957adb91c0e9b37243</t>
        </is>
      </c>
      <c r="P92" s="1"/>
      <c r="Q92" s="1"/>
      <c r="R92" s="1"/>
    </row>
    <row r="93" ht="22" customHeight="1">
      <c r="A93" s="1" t="inlineStr">
        <is>
          <t>La Liga|levante|ath bilbao|2026-10-21</t>
        </is>
      </c>
      <c r="B93" s="8">
        <v>46316.75</v>
      </c>
      <c r="C93" s="1" t="inlineStr">
        <is>
          <t>La Liga</t>
        </is>
      </c>
      <c r="D93" s="1" t="inlineStr">
        <is>
          <t>Levante vs Athletic Bilbao</t>
        </is>
      </c>
      <c r="E93" s="1" t="inlineStr">
        <is>
          <t>72h-ucl-v3</t>
        </is>
      </c>
      <c r="F93" s="1" t="inlineStr">
        <is>
          <t>PENDING_KICKOFF_OR_FINAL_SCORE</t>
        </is>
      </c>
      <c r="G93" s="1"/>
      <c r="H93" s="1"/>
      <c r="I93" s="11"/>
      <c r="J93" s="1"/>
      <c r="K93" s="1"/>
      <c r="L93" s="1"/>
      <c r="M93" s="1"/>
      <c r="N93" s="1" t="inlineStr">
        <is>
          <t>2026-W43</t>
        </is>
      </c>
      <c r="O93" s="1" t="inlineStr">
        <is>
          <t>4f7af2f470a0b5cdb7b8ae974c859f87b0236fc4</t>
        </is>
      </c>
      <c r="P93" s="1"/>
      <c r="Q93" s="1"/>
      <c r="R93" s="1"/>
    </row>
  </sheetData>
  <pageMargins left="0.7" right="0.7" top="0.75" bottom="0.75" header="0.3" footer="0.3"/>
  <tableParts count="1">
    <tablePart ns1:id="Rab36e2e62cba44b5"/>
  </tableParts>
</worksheet>
</file>