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4.0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0.3399999999999994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0.631578947368421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0.33999999999999964</c:v>
                </c:pt>
                <c:pt idx="34">
                  <c:v>0.33999999999999964</c:v>
                </c:pt>
                <c:pt idx="35">
                  <c:v>0.33999999999999964</c:v>
                </c:pt>
                <c:pt idx="36">
                  <c:v>0.33999999999999964</c:v>
                </c:pt>
                <c:pt idx="37">
                  <c:v>0.33999999999999964</c:v>
                </c:pt>
                <c:pt idx="38">
                  <c:v>0.33999999999999964</c:v>
                </c:pt>
                <c:pt idx="39">
                  <c:v>0.33999999999999964</c:v>
                </c:pt>
                <c:pt idx="40">
                  <c:v>0.33999999999999964</c:v>
                </c:pt>
                <c:pt idx="41">
                  <c:v>0.33999999999999964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2">
                  <c:v>0.6487583343163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2">
                  <c:v>0.625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30</v>
      </c>
      <c r="C8" s="18"/>
      <c r="D8" s="18" t="str">
        <v>PROVISIONAL</v>
      </c>
      <c r="E8" s="18">
        <f>Breakdowns!D8</f>
        <v>19</v>
      </c>
      <c r="F8" s="20">
        <f>Breakdowns!H8</f>
        <v>0.631578947368421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8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0.7333333333333333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0.011333333333333322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0.33999999999999964</v>
      </c>
      <c r="C14" s="18"/>
      <c r="D14" s="18" t="inlineStr">
        <is>
          <t>30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0.1756947807165656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0.618421052631579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0.5338084063157895</v>
      </c>
      <c r="C17" s="18"/>
      <c r="D17" s="18" t="inlineStr">
        <is>
          <t>Over 1.5</t>
        </is>
      </c>
      <c r="E17" s="18">
        <f>COUNT(Predictions!J6:J176)</f>
        <v>76</v>
      </c>
      <c r="F17" s="20">
        <f>IF(E17=0,"n.a.",AVERAGE(Predictions!J6:J176))</f>
        <v>0.8157894736842105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0.5555169795568831</v>
      </c>
      <c r="C18" s="18"/>
      <c r="D18" s="18" t="inlineStr">
        <is>
          <t>Under 3.5</t>
        </is>
      </c>
      <c r="E18" s="18">
        <f>COUNT(Predictions!K6:K176)</f>
        <v>76</v>
      </c>
      <c r="F18" s="20">
        <f>IF(E18=0,"n.a.",AVERAGE(Predictions!K6:K176))</f>
        <v>0.5921052631578947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0.8581750444608938</v>
      </c>
      <c r="C19" s="18"/>
      <c r="D19" s="18" t="inlineStr">
        <is>
          <t>BTTS Yes</t>
        </is>
      </c>
      <c r="E19" s="18">
        <f>COUNT(Predictions!L6:L176)</f>
        <v>76</v>
      </c>
      <c r="F19" s="20">
        <f>IF(E19=0,"n.a.",AVERAGE(Predictions!L6:L176))</f>
        <v>0.5263157894736842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76</v>
      </c>
      <c r="F20" s="20">
        <f>IF(E20=0,"n.a.",AVERAGE(Predictions!M6:M176))</f>
        <v>0.5263157894736842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22 wins from 30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2026-10-20T13:43:49.512053+00:00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33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PENDING_KICKOFF_OR_FINAL_SCORE</t>
        </is>
      </c>
      <c r="D43" s="22" t="str">
        <f>IF(ISNUMBER(Selections!M39),Selections!M39,"")</f>
        <v/>
      </c>
      <c r="E43" s="22" t="str">
        <f>IF(ISNUMBER(Selections!N39),Selections!N39,"")</f>
        <v/>
      </c>
      <c r="F43" s="22">
        <f>SUM($E$10:E43)</f>
        <v>0.33999999999999964</v>
      </c>
      <c r="G43" s="22">
        <f>$B$4+F43</f>
        <v>100.34</v>
      </c>
      <c r="H43" s="22">
        <f>MAX($B$4,$G$10:G43)</f>
        <v>102.81</v>
      </c>
      <c r="I43" s="22">
        <f>H43-G43</f>
        <v>2.469999999999999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PENDING_KICKOFF_OR_FINAL_SCORE</t>
        </is>
      </c>
      <c r="D44" s="22" t="str">
        <f>IF(ISNUMBER(Selections!M40),Selections!M40,"")</f>
        <v/>
      </c>
      <c r="E44" s="22" t="str">
        <f>IF(ISNUMBER(Selections!N40),Selections!N40,"")</f>
        <v/>
      </c>
      <c r="F44" s="22">
        <f>SUM($E$10:E44)</f>
        <v>0.33999999999999964</v>
      </c>
      <c r="G44" s="22">
        <f>$B$4+F44</f>
        <v>100.34</v>
      </c>
      <c r="H44" s="22">
        <f>MAX($B$4,$G$10:G44)</f>
        <v>102.81</v>
      </c>
      <c r="I44" s="22">
        <f>H44-G44</f>
        <v>2.469999999999999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PENDING_KICKOFF_OR_FINAL_SCORE</t>
        </is>
      </c>
      <c r="D45" s="22" t="str">
        <f>IF(ISNUMBER(Selections!M41),Selections!M41,"")</f>
        <v/>
      </c>
      <c r="E45" s="22" t="str">
        <f>IF(ISNUMBER(Selections!N41),Selections!N41,"")</f>
        <v/>
      </c>
      <c r="F45" s="22">
        <f>SUM($E$10:E45)</f>
        <v>0.33999999999999964</v>
      </c>
      <c r="G45" s="22">
        <f>$B$4+F45</f>
        <v>100.34</v>
      </c>
      <c r="H45" s="22">
        <f>MAX($B$4,$G$10:G45)</f>
        <v>102.81</v>
      </c>
      <c r="I45" s="22">
        <f>H45-G45</f>
        <v>2.469999999999999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PENDING_KICKOFF_OR_FINAL_SCORE</t>
        </is>
      </c>
      <c r="D46" s="22" t="str">
        <f>IF(ISNUMBER(Selections!M42),Selections!M42,"")</f>
        <v/>
      </c>
      <c r="E46" s="22" t="str">
        <f>IF(ISNUMBER(Selections!N42),Selections!N42,"")</f>
        <v/>
      </c>
      <c r="F46" s="22">
        <f>SUM($E$10:E46)</f>
        <v>0.33999999999999964</v>
      </c>
      <c r="G46" s="22">
        <f>$B$4+F46</f>
        <v>100.34</v>
      </c>
      <c r="H46" s="22">
        <f>MAX($B$4,$G$10:G46)</f>
        <v>102.81</v>
      </c>
      <c r="I46" s="22">
        <f>H46-G46</f>
        <v>2.469999999999999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PENDING_KICKOFF_OR_FINAL_SCORE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0.33999999999999964</v>
      </c>
      <c r="G47" s="22">
        <f>$B$4+F47</f>
        <v>100.34</v>
      </c>
      <c r="H47" s="22">
        <f>MAX($B$4,$G$10:G47)</f>
        <v>102.81</v>
      </c>
      <c r="I47" s="22">
        <f>H47-G47</f>
        <v>2.469999999999999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PENDING_KICKOFF_OR_FINAL_SCORE</t>
        </is>
      </c>
      <c r="D48" s="22" t="str">
        <f>IF(ISNUMBER(Selections!M44),Selections!M44,"")</f>
        <v/>
      </c>
      <c r="E48" s="22" t="str">
        <f>IF(ISNUMBER(Selections!N44),Selections!N44,"")</f>
        <v/>
      </c>
      <c r="F48" s="22">
        <f>SUM($E$10:E48)</f>
        <v>0.33999999999999964</v>
      </c>
      <c r="G48" s="22">
        <f>$B$4+F48</f>
        <v>100.34</v>
      </c>
      <c r="H48" s="22">
        <f>MAX($B$4,$G$10:G48)</f>
        <v>102.81</v>
      </c>
      <c r="I48" s="22">
        <f>H48-G48</f>
        <v>2.469999999999999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PENDING_KICKOFF_OR_FINAL_SCORE</t>
        </is>
      </c>
      <c r="D49" s="22" t="str">
        <f>IF(ISNUMBER(Selections!M45),Selections!M45,"")</f>
        <v/>
      </c>
      <c r="E49" s="22" t="str">
        <f>IF(ISNUMBER(Selections!N45),Selections!N45,"")</f>
        <v/>
      </c>
      <c r="F49" s="22">
        <f>SUM($E$10:E49)</f>
        <v>0.33999999999999964</v>
      </c>
      <c r="G49" s="22">
        <f>$B$4+F49</f>
        <v>100.34</v>
      </c>
      <c r="H49" s="22">
        <f>MAX($B$4,$G$10:G49)</f>
        <v>102.81</v>
      </c>
      <c r="I49" s="22">
        <f>H49-G49</f>
        <v>2.469999999999999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PENDING_KICKOFF_OR_FINAL_SCORE</t>
        </is>
      </c>
      <c r="D50" s="22" t="str">
        <f>IF(ISNUMBER(Selections!M46),Selections!M46,"")</f>
        <v/>
      </c>
      <c r="E50" s="22" t="str">
        <f>IF(ISNUMBER(Selections!N46),Selections!N46,"")</f>
        <v/>
      </c>
      <c r="F50" s="22">
        <f>SUM($E$10:E50)</f>
        <v>0.33999999999999964</v>
      </c>
      <c r="G50" s="22">
        <f>$B$4+F50</f>
        <v>100.34</v>
      </c>
      <c r="H50" s="22">
        <f>MAX($B$4,$G$10:G50)</f>
        <v>102.81</v>
      </c>
      <c r="I50" s="22">
        <f>H50-G50</f>
        <v>2.469999999999999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PENDING_KICKOFF_OR_FINAL_SCORE</t>
        </is>
      </c>
      <c r="D51" s="22" t="str">
        <f>IF(ISNUMBER(Selections!M47),Selections!M47,"")</f>
        <v/>
      </c>
      <c r="E51" s="22" t="str">
        <f>IF(ISNUMBER(Selections!N47),Selections!N47,"")</f>
        <v/>
      </c>
      <c r="F51" s="22">
        <f>SUM($E$10:E51)</f>
        <v>0.33999999999999964</v>
      </c>
      <c r="G51" s="22">
        <f>$B$4+F51</f>
        <v>100.34</v>
      </c>
      <c r="H51" s="22">
        <f>MAX($B$4,$G$10:G51)</f>
        <v>102.81</v>
      </c>
      <c r="I51" s="22">
        <f>H51-G51</f>
        <v>2.469999999999999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(COUNTIFS(Selections!$K$6:$K$47,"WON")+COUNTIFS(Selections!$K$6:$K$47,"LOST"))</f>
        <v>30</v>
      </c>
      <c r="E6" s="19">
        <f>COUNTIFS(Selections!$K$6:$K$47,"WON")</f>
        <v>22</v>
      </c>
      <c r="F6" s="19">
        <f>COUNTIFS(Selections!$K$6:$K$47,"LOST")</f>
        <v>8</v>
      </c>
      <c r="G6" s="19">
        <f>COUNTA(Selections!$A$6:$A$47)-(COUNTIFS(Selections!$K$6:$K$47,"WON")+COUNTIFS(Selections!$K$6:$K$47,"LOST"))</f>
        <v>12</v>
      </c>
      <c r="H6" s="20">
        <f>IF((COUNTIFS(Selections!$K$6:$K$47,"WON")+COUNTIFS(Selections!$K$6:$K$47,"LOST"))=0,"n.a.",COUNTIFS(Selections!$K$6:$K$47,"WON")/(COUNTIFS(Selections!$K$6:$K$47,"WON")+COUNTIFS(Selections!$K$6:$K$47,"LOST")))</f>
        <v>0.7333333333333333</v>
      </c>
      <c r="I6" s="22">
        <f>SUM(Selections!$M$6:$M$47)</f>
        <v>30</v>
      </c>
      <c r="J6" s="22">
        <f>SUM(Selections!$N$6:$N$47)</f>
        <v>0.33999999999999964</v>
      </c>
      <c r="K6" s="20">
        <f>IF(SUM(Selections!$M$6:$M$47)=0,"n.a.",SUM(Selections!$N$6:$N$47)/SUM(Selections!$M$6:$M$47))</f>
        <v>0.011333333333333322</v>
      </c>
      <c r="L6" s="21">
        <f>IF(SUM(Selections!$T$6:$T$47)=0,"n.a.",SUM(Selections!$O$6:$O$47)/SUM(Selections!$T$6:$T$47))</f>
        <v>0.1756947807165656</v>
      </c>
      <c r="M6" s="20">
        <f>IF(SUM(Selections!$T$6:$T$47)=0,"n.a.",SUM(Selections!$S$6:$S$47)/SUM(Selections!$T$6:$T$47))</f>
        <v>0.7528774106324534</v>
      </c>
      <c r="N6" s="20">
        <f>IF(SUM(Selections!$T$6:$T$47)=0,"n.a.",(SUMIFS(Selections!$L$6:$L$47,Selections!$T$6:$T$47,1))/SUM(Selections!$T$6:$T$47))</f>
        <v>0.7333333333333333</v>
      </c>
      <c r="O6" s="20">
        <f>IF(SUM(Selections!$T$6:$T$47)=0,"n.a.",(SUM(Selections!$S$6:$S$47)-(SUMIFS(Selections!$L$6:$L$47,Selections!$T$6:$T$47,1)))/SUM(Selections!$T$6:$T$47))</f>
        <v>0.01954407729912011</v>
      </c>
      <c r="P6" s="19">
        <f>SUM(Selections!$T$6:$T$47)</f>
        <v>30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(COUNTIFS(Selections!$F$6:$F$47,"STRICT",Selections!$K$6:$K$47,"WON")+COUNTIFS(Selections!$F$6:$F$47,"STRICT",Selections!$K$6:$K$47,"LOST"))</f>
        <v>11</v>
      </c>
      <c r="E7" s="19">
        <f>COUNTIFS(Selections!$F$6:$F$47,"STRICT",Selections!$K$6:$K$47,"WON")</f>
        <v>10</v>
      </c>
      <c r="F7" s="19">
        <f>COUNTIFS(Selections!$F$6:$F$47,"STRICT",Selections!$K$6:$K$47,"LOST")</f>
        <v>1</v>
      </c>
      <c r="G7" s="19">
        <f>COUNTIFS(Selections!$F$6:$F$47,"STRICT")-(COUNTIFS(Selections!$F$6:$F$47,"STRICT",Selections!$K$6:$K$47,"WON")+COUNTIFS(Selections!$F$6:$F$47,"STRICT",Selections!$K$6:$K$47,"LOST"))</f>
        <v>2</v>
      </c>
      <c r="H7" s="20">
        <f>IF((COUNTIFS(Selections!$F$6:$F$47,"STRICT",Selections!$K$6:$K$47,"WON")+COUNTIFS(Selections!$F$6:$F$47,"STRICT",Selections!$K$6:$K$47,"LOST"))=0,"n.a.",COUNTIFS(Selections!$F$6:$F$47,"STRICT",Selections!$K$6:$K$47,"WON")/(COUNTIFS(Selections!$F$6:$F$47,"STRICT",Selections!$K$6:$K$47,"WON")+COUNTIFS(Selections!$F$6:$F$47,"STRICT",Selections!$K$6:$K$47,"LOST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(COUNTIFS(Selections!$F$6:$F$47,"PROVISIONAL",Selections!$K$6:$K$47,"WON")+COUNTIFS(Selections!$F$6:$F$47,"PROVISIONAL",Selections!$K$6:$K$47,"LOST"))</f>
        <v>19</v>
      </c>
      <c r="E8" s="19">
        <f>COUNTIFS(Selections!$F$6:$F$47,"PROVISIONAL",Selections!$K$6:$K$47,"WON")</f>
        <v>12</v>
      </c>
      <c r="F8" s="19">
        <f>COUNTIFS(Selections!$F$6:$F$47,"PROVISIONAL",Selections!$K$6:$K$47,"LOST")</f>
        <v>7</v>
      </c>
      <c r="G8" s="19">
        <f>COUNTIFS(Selections!$F$6:$F$47,"PROVISIONAL")-(COUNTIFS(Selections!$F$6:$F$47,"PROVISIONAL",Selections!$K$6:$K$47,"WON")+COUNTIFS(Selections!$F$6:$F$47,"PROVISIONAL",Selections!$K$6:$K$47,"LOST"))</f>
        <v>10</v>
      </c>
      <c r="H8" s="20">
        <f>IF((COUNTIFS(Selections!$F$6:$F$47,"PROVISIONAL",Selections!$K$6:$K$47,"WON")+COUNTIFS(Selections!$F$6:$F$47,"PROVISIONAL",Selections!$K$6:$K$47,"LOST"))=0,"n.a.",COUNTIFS(Selections!$F$6:$F$47,"PROVISIONAL",Selections!$K$6:$K$47,"WON")/(COUNTIFS(Selections!$F$6:$F$47,"PROVISIONAL",Selections!$K$6:$K$47,"WON")+COUNTIFS(Selections!$F$6:$F$47,"PROVISIONAL",Selections!$K$6:$K$47,"LOST")))</f>
        <v>0.631578947368421</v>
      </c>
      <c r="I8" s="22">
        <f>SUMIFS(Selections!$M$6:$M$47,Selections!$F$6:$F$47,"PROVISIONAL")</f>
        <v>19</v>
      </c>
      <c r="J8" s="22">
        <f>SUMIFS(Selections!$N$6:$N$47,Selections!$F$6:$F$47,"PROVISIONAL")</f>
        <v>-2.9800000000000004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-0.15684210526315792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0.2217172617546396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0.7515474732121495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0.631578947368421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0.11996852584372852</v>
      </c>
      <c r="P8" s="19">
        <f>SUMIFS(Selections!$T$6:$T$47,Selections!$F$6:$F$47,"PROVISIONAL")</f>
        <v>19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(n=19).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(COUNTIFS(Selections!$C$6:$C$47,"Bundesliga",Selections!$K$6:$K$47,"WON")+COUNTIFS(Selections!$C$6:$C$47,"Bundesliga",Selections!$K$6:$K$47,"LOST"))</f>
        <v>3</v>
      </c>
      <c r="E9" s="19">
        <f>COUNTIFS(Selections!$C$6:$C$47,"Bundesliga",Selections!$K$6:$K$47,"WON")</f>
        <v>3</v>
      </c>
      <c r="F9" s="19">
        <f>COUNTIFS(Selections!$C$6:$C$47,"Bundesliga",Selections!$K$6:$K$47,"LOST")</f>
        <v>0</v>
      </c>
      <c r="G9" s="19">
        <f>COUNTIFS(Selections!$C$6:$C$47,"Bundesliga")-(COUNTIFS(Selections!$C$6:$C$47,"Bundesliga",Selections!$K$6:$K$47,"WON")+COUNTIFS(Selections!$C$6:$C$47,"Bundesliga",Selections!$K$6:$K$47,"LOST"))</f>
        <v>0</v>
      </c>
      <c r="H9" s="20">
        <f>IF((COUNTIFS(Selections!$C$6:$C$47,"Bundesliga",Selections!$K$6:$K$47,"WON")+COUNTIFS(Selections!$C$6:$C$47,"Bundesliga",Selections!$K$6:$K$47,"LOST"))=0,"n.a.",COUNTIFS(Selections!$C$6:$C$47,"Bundesliga",Selections!$K$6:$K$47,"WON")/(COUNTIFS(Selections!$C$6:$C$47,"Bundesliga",Selections!$K$6:$K$47,"WON")+COUNTIFS(Selections!$C$6:$C$47,"Bundesliga",Selections!$K$6:$K$47,"LOST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(COUNTIFS(Selections!$C$6:$C$47,"La Liga",Selections!$K$6:$K$47,"WON")+COUNTIFS(Selections!$C$6:$C$47,"La Liga",Selections!$K$6:$K$47,"LOST"))</f>
        <v>7</v>
      </c>
      <c r="E10" s="19">
        <f>COUNTIFS(Selections!$C$6:$C$47,"La Liga",Selections!$K$6:$K$47,"WON")</f>
        <v>7</v>
      </c>
      <c r="F10" s="19">
        <f>COUNTIFS(Selections!$C$6:$C$47,"La Liga",Selections!$K$6:$K$47,"LOST")</f>
        <v>0</v>
      </c>
      <c r="G10" s="19">
        <f>COUNTIFS(Selections!$C$6:$C$47,"La Liga")-(COUNTIFS(Selections!$C$6:$C$47,"La Liga",Selections!$K$6:$K$47,"WON")+COUNTIFS(Selections!$C$6:$C$47,"La Liga",Selections!$K$6:$K$47,"LOST"))</f>
        <v>1</v>
      </c>
      <c r="H10" s="20">
        <f>IF((COUNTIFS(Selections!$C$6:$C$47,"La Liga",Selections!$K$6:$K$47,"WON")+COUNTIFS(Selections!$C$6:$C$47,"La Liga",Selections!$K$6:$K$47,"LOST"))=0,"n.a.",COUNTIFS(Selections!$C$6:$C$47,"La Liga",Selections!$K$6:$K$47,"WON")/(COUNTIFS(Selections!$C$6:$C$47,"La Liga",Selections!$K$6:$K$47,"WON")+COUNTIFS(Selections!$C$6:$C$47,"La Liga",Selections!$K$6:$K$47,"LOST")))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(COUNTIFS(Selections!$C$6:$C$47,"Ligue 1",Selections!$K$6:$K$47,"WON")+COUNTIFS(Selections!$C$6:$C$47,"Ligue 1",Selections!$K$6:$K$47,"LOST"))</f>
        <v>2</v>
      </c>
      <c r="E11" s="19">
        <f>COUNTIFS(Selections!$C$6:$C$47,"Ligue 1",Selections!$K$6:$K$47,"WON")</f>
        <v>1</v>
      </c>
      <c r="F11" s="19">
        <f>COUNTIFS(Selections!$C$6:$C$47,"Ligue 1",Selections!$K$6:$K$47,"LOST")</f>
        <v>1</v>
      </c>
      <c r="G11" s="19">
        <f>COUNTIFS(Selections!$C$6:$C$47,"Ligue 1")-(COUNTIFS(Selections!$C$6:$C$47,"Ligue 1",Selections!$K$6:$K$47,"WON")+COUNTIFS(Selections!$C$6:$C$47,"Ligue 1",Selections!$K$6:$K$47,"LOST"))</f>
        <v>1</v>
      </c>
      <c r="H11" s="20">
        <f>IF((COUNTIFS(Selections!$C$6:$C$47,"Ligue 1",Selections!$K$6:$K$47,"WON")+COUNTIFS(Selections!$C$6:$C$47,"Ligue 1",Selections!$K$6:$K$47,"LOST"))=0,"n.a.",COUNTIFS(Selections!$C$6:$C$47,"Ligue 1",Selections!$K$6:$K$47,"WON")/(COUNTIFS(Selections!$C$6:$C$47,"Ligue 1",Selections!$K$6:$K$47,"WON")+COUNTIFS(Selections!$C$6:$C$47,"Ligue 1",Selections!$K$6:$K$47,"LOST")))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(COUNTIFS(Selections!$C$6:$C$47,"Premier League",Selections!$K$6:$K$47,"WON")+COUNTIFS(Selections!$C$6:$C$47,"Premier League",Selections!$K$6:$K$47,"LOST"))</f>
        <v>7</v>
      </c>
      <c r="E12" s="19">
        <f>COUNTIFS(Selections!$C$6:$C$47,"Premier League",Selections!$K$6:$K$47,"WON")</f>
        <v>3</v>
      </c>
      <c r="F12" s="19">
        <f>COUNTIFS(Selections!$C$6:$C$47,"Premier League",Selections!$K$6:$K$47,"LOST")</f>
        <v>4</v>
      </c>
      <c r="G12" s="19">
        <f>COUNTIFS(Selections!$C$6:$C$47,"Premier League")-(COUNTIFS(Selections!$C$6:$C$47,"Premier League",Selections!$K$6:$K$47,"WON")+COUNTIFS(Selections!$C$6:$C$47,"Premier League",Selections!$K$6:$K$47,"LOST"))</f>
        <v>0</v>
      </c>
      <c r="H12" s="20">
        <f>IF((COUNTIFS(Selections!$C$6:$C$47,"Premier League",Selections!$K$6:$K$47,"WON")+COUNTIFS(Selections!$C$6:$C$47,"Premier League",Selections!$K$6:$K$47,"LOST"))=0,"n.a.",COUNTIFS(Selections!$C$6:$C$47,"Premier League",Selections!$K$6:$K$47,"WON")/(COUNTIFS(Selections!$C$6:$C$47,"Premier League",Selections!$K$6:$K$47,"WON")+COUNTIFS(Selections!$C$6:$C$47,"Premier League",Selections!$K$6:$K$47,"LOST")))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(COUNTIFS(Selections!$C$6:$C$47,"Serie A",Selections!$K$6:$K$47,"WON")+COUNTIFS(Selections!$C$6:$C$47,"Serie A",Selections!$K$6:$K$47,"LOST"))</f>
        <v>7</v>
      </c>
      <c r="E13" s="19">
        <f>COUNTIFS(Selections!$C$6:$C$47,"Serie A",Selections!$K$6:$K$47,"WON")</f>
        <v>4</v>
      </c>
      <c r="F13" s="19">
        <f>COUNTIFS(Selections!$C$6:$C$47,"Serie A",Selections!$K$6:$K$47,"LOST")</f>
        <v>3</v>
      </c>
      <c r="G13" s="19">
        <f>COUNTIFS(Selections!$C$6:$C$47,"Serie A")-(COUNTIFS(Selections!$C$6:$C$47,"Serie A",Selections!$K$6:$K$47,"WON")+COUNTIFS(Selections!$C$6:$C$47,"Serie A",Selections!$K$6:$K$47,"LOST"))</f>
        <v>0</v>
      </c>
      <c r="H13" s="20">
        <f>IF((COUNTIFS(Selections!$C$6:$C$47,"Serie A",Selections!$K$6:$K$47,"WON")+COUNTIFS(Selections!$C$6:$C$47,"Serie A",Selections!$K$6:$K$47,"LOST"))=0,"n.a.",COUNTIFS(Selections!$C$6:$C$47,"Serie A",Selections!$K$6:$K$47,"WON")/(COUNTIFS(Selections!$C$6:$C$47,"Serie A",Selections!$K$6:$K$47,"WON")+COUNTIFS(Selections!$C$6:$C$47,"Serie A",Selections!$K$6:$K$47,"LOST")))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(COUNTIFS(Selections!$C$6:$C$47,"UEFA Champions League",Selections!$K$6:$K$47,"WON")+COUNTIFS(Selections!$C$6:$C$47,"UEFA Champions League",Selections!$K$6:$K$47,"LOST"))</f>
        <v>4</v>
      </c>
      <c r="E14" s="19">
        <f>COUNTIFS(Selections!$C$6:$C$47,"UEFA Champions League",Selections!$K$6:$K$47,"WON")</f>
        <v>4</v>
      </c>
      <c r="F14" s="19">
        <f>COUNTIFS(Selections!$C$6:$C$47,"UEFA Champions League",Selections!$K$6:$K$47,"LOST")</f>
        <v>0</v>
      </c>
      <c r="G14" s="19">
        <f>COUNTIFS(Selections!$C$6:$C$47,"UEFA Champions League")-(COUNTIFS(Selections!$C$6:$C$47,"UEFA Champions League",Selections!$K$6:$K$47,"WON")+COUNTIFS(Selections!$C$6:$C$47,"UEFA Champions League",Selections!$K$6:$K$47,"LOST"))</f>
        <v>10</v>
      </c>
      <c r="H14" s="20">
        <f>IF((COUNTIFS(Selections!$C$6:$C$47,"UEFA Champions League",Selections!$K$6:$K$47,"WON")+COUNTIFS(Selections!$C$6:$C$47,"UEFA Champions League",Selections!$K$6:$K$47,"LOST"))=0,"n.a.",COUNTIFS(Selections!$C$6:$C$47,"UEFA Champions League",Selections!$K$6:$K$47,"WON")/(COUNTIFS(Selections!$C$6:$C$47,"UEFA Champions League",Selections!$K$6:$K$47,"WON")+COUNTIFS(Selections!$C$6:$C$47,"UEFA Champions League",Selections!$K$6:$K$47,"LOST")))</f>
        <v>1.0</v>
      </c>
      <c r="I14" s="22">
        <f>SUMIFS(Selections!$M$6:$M$47,Selections!$C$6:$C$47,"UEFA Champions League")</f>
        <v>4</v>
      </c>
      <c r="J14" s="22">
        <f>SUMIFS(Selections!$N$6:$N$47,Selections!$C$6:$C$47,"UEFA Champions League")</f>
        <v>1.92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0.48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0.0698562520379194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0.7594464766601356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1.0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-0.24055352333986435</v>
      </c>
      <c r="P14" s="19">
        <f>SUMIFS(Selections!$T$6:$T$47,Selections!$C$6:$C$47,"UEFA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(COUNTIFS(Selections!$E$6:$E$47,"Away win",Selections!$K$6:$K$47,"WON")+COUNTIFS(Selections!$E$6:$E$47,"Away win",Selections!$K$6:$K$47,"LOST"))</f>
        <v>1</v>
      </c>
      <c r="E15" s="19">
        <f>COUNTIFS(Selections!$E$6:$E$47,"Away win",Selections!$K$6:$K$47,"WON")</f>
        <v>0</v>
      </c>
      <c r="F15" s="19">
        <f>COUNTIFS(Selections!$E$6:$E$47,"Away win",Selections!$K$6:$K$47,"LOST")</f>
        <v>1</v>
      </c>
      <c r="G15" s="19">
        <f>COUNTIFS(Selections!$E$6:$E$47,"Away win")-(COUNTIFS(Selections!$E$6:$E$47,"Away win",Selections!$K$6:$K$47,"WON")+COUNTIFS(Selections!$E$6:$E$47,"Away win",Selections!$K$6:$K$47,"LOST"))</f>
        <v>0</v>
      </c>
      <c r="H15" s="20">
        <f>IF((COUNTIFS(Selections!$E$6:$E$47,"Away win",Selections!$K$6:$K$47,"WON")+COUNTIFS(Selections!$E$6:$E$47,"Away win",Selections!$K$6:$K$47,"LOST"))=0,"n.a.",COUNTIFS(Selections!$E$6:$E$47,"Away win",Selections!$K$6:$K$47,"WON")/(COUNTIFS(Selections!$E$6:$E$47,"Away win",Selections!$K$6:$K$47,"WON")+COUNTIFS(Selections!$E$6:$E$47,"Away win",Selections!$K$6:$K$47,"LOST")))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(COUNTIFS(Selections!$E$6:$E$47,"Both Teams to Score - Yes",Selections!$K$6:$K$47,"WON")+COUNTIFS(Selections!$E$6:$E$47,"Both Teams to Score - Yes",Selections!$K$6:$K$47,"LOST"))</f>
        <v>2</v>
      </c>
      <c r="E16" s="19">
        <f>COUNTIFS(Selections!$E$6:$E$47,"Both Teams to Score - Yes",Selections!$K$6:$K$47,"WON")</f>
        <v>2</v>
      </c>
      <c r="F16" s="19">
        <f>COUNTIFS(Selections!$E$6:$E$47,"Both Teams to Score - Yes",Selections!$K$6:$K$47,"LOST")</f>
        <v>0</v>
      </c>
      <c r="G16" s="19">
        <f>COUNTIFS(Selections!$E$6:$E$47,"Both Teams to Score - Yes")-(COUNTIFS(Selections!$E$6:$E$47,"Both Teams to Score - Yes",Selections!$K$6:$K$47,"WON")+COUNTIFS(Selections!$E$6:$E$47,"Both Teams to Score - Yes",Selections!$K$6:$K$47,"LOST"))</f>
        <v>1</v>
      </c>
      <c r="H16" s="20">
        <f>IF((COUNTIFS(Selections!$E$6:$E$47,"Both Teams to Score - Yes",Selections!$K$6:$K$47,"WON")+COUNTIFS(Selections!$E$6:$E$47,"Both Teams to Score - Yes",Selections!$K$6:$K$47,"LOST"))=0,"n.a.",COUNTIFS(Selections!$E$6:$E$47,"Both Teams to Score - Yes",Selections!$K$6:$K$47,"WON")/(COUNTIFS(Selections!$E$6:$E$47,"Both Teams to Score - Yes",Selections!$K$6:$K$47,"WON")+COUNTIFS(Selections!$E$6:$E$47,"Both Teams to Score - Yes",Selections!$K$6:$K$47,"LOST")))</f>
        <v>1.0</v>
      </c>
      <c r="I16" s="22">
        <f>SUMIFS(Selections!$M$6:$M$47,Selections!$E$6:$E$47,"Both Teams to Score - Yes")</f>
        <v>2</v>
      </c>
      <c r="J16" s="22">
        <f>SUMIFS(Selections!$N$6:$N$47,Selections!$E$6:$E$47,"Both Teams to Score - Yes")</f>
        <v>1.02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0.51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0.0816693584120611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0.7143269086376708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1.0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-0.2856730913623292</v>
      </c>
      <c r="P16" s="19">
        <f>SUMIFS(Selections!$T$6:$T$47,Selections!$E$6:$E$47,"Both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(COUNTIFS(Selections!$E$6:$E$47,"Double Chance 12",Selections!$K$6:$K$47,"WON")+COUNTIFS(Selections!$E$6:$E$47,"Double Chance 12",Selections!$K$6:$K$47,"LOST"))</f>
        <v>2</v>
      </c>
      <c r="E17" s="19">
        <f>COUNTIFS(Selections!$E$6:$E$47,"Double Chance 12",Selections!$K$6:$K$47,"WON")</f>
        <v>2</v>
      </c>
      <c r="F17" s="19">
        <f>COUNTIFS(Selections!$E$6:$E$47,"Double Chance 12",Selections!$K$6:$K$47,"LOST")</f>
        <v>0</v>
      </c>
      <c r="G17" s="19">
        <f>COUNTIFS(Selections!$E$6:$E$47,"Double Chance 12")-(COUNTIFS(Selections!$E$6:$E$47,"Double Chance 12",Selections!$K$6:$K$47,"WON")+COUNTIFS(Selections!$E$6:$E$47,"Double Chance 12",Selections!$K$6:$K$47,"LOST"))</f>
        <v>4</v>
      </c>
      <c r="H17" s="20">
        <f>IF((COUNTIFS(Selections!$E$6:$E$47,"Double Chance 12",Selections!$K$6:$K$47,"WON")+COUNTIFS(Selections!$E$6:$E$47,"Double Chance 12",Selections!$K$6:$K$47,"LOST"))=0,"n.a.",COUNTIFS(Selections!$E$6:$E$47,"Double Chance 12",Selections!$K$6:$K$47,"WON")/(COUNTIFS(Selections!$E$6:$E$47,"Double Chance 12",Selections!$K$6:$K$47,"WON")+COUNTIFS(Selections!$E$6:$E$47,"Double Chance 12",Selections!$K$6:$K$47,"LOST")))</f>
        <v>1.0</v>
      </c>
      <c r="I17" s="22">
        <f>SUMIFS(Selections!$M$6:$M$47,Selections!$E$6:$E$47,"Double Chance 12")</f>
        <v>2</v>
      </c>
      <c r="J17" s="22">
        <f>SUMIFS(Selections!$N$6:$N$47,Selections!$E$6:$E$47,"Double Chance 12")</f>
        <v>0.55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0.275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0.06039485652956292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0.7543630828815686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1.0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-0.24563691711843139</v>
      </c>
      <c r="P17" s="19">
        <f>SUMIFS(Selections!$T$6:$T$47,Selections!$E$6:$E$47,"Double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(COUNTIFS(Selections!$E$6:$E$47,"Double Chance 1X",Selections!$K$6:$K$47,"WON")+COUNTIFS(Selections!$E$6:$E$47,"Double Chance 1X",Selections!$K$6:$K$47,"LOST"))</f>
        <v>4</v>
      </c>
      <c r="E18" s="19">
        <f>COUNTIFS(Selections!$E$6:$E$47,"Double Chance 1X",Selections!$K$6:$K$47,"WON")</f>
        <v>3</v>
      </c>
      <c r="F18" s="19">
        <f>COUNTIFS(Selections!$E$6:$E$47,"Double Chance 1X",Selections!$K$6:$K$47,"LOST")</f>
        <v>1</v>
      </c>
      <c r="G18" s="19">
        <f>COUNTIFS(Selections!$E$6:$E$47,"Double Chance 1X")-(COUNTIFS(Selections!$E$6:$E$47,"Double Chance 1X",Selections!$K$6:$K$47,"WON")+COUNTIFS(Selections!$E$6:$E$47,"Double Chance 1X",Selections!$K$6:$K$47,"LOST"))</f>
        <v>3</v>
      </c>
      <c r="H18" s="20">
        <f>IF((COUNTIFS(Selections!$E$6:$E$47,"Double Chance 1X",Selections!$K$6:$K$47,"WON")+COUNTIFS(Selections!$E$6:$E$47,"Double Chance 1X",Selections!$K$6:$K$47,"LOST"))=0,"n.a.",COUNTIFS(Selections!$E$6:$E$47,"Double Chance 1X",Selections!$K$6:$K$47,"WON")/(COUNTIFS(Selections!$E$6:$E$47,"Double Chance 1X",Selections!$K$6:$K$47,"WON")+COUNTIFS(Selections!$E$6:$E$47,"Double Chance 1X",Selections!$K$6:$K$47,"LOST")))</f>
        <v>0.75</v>
      </c>
      <c r="I18" s="22">
        <f>SUMIFS(Selections!$M$6:$M$47,Selections!$E$6:$E$47,"Double Chance 1X")</f>
        <v>4</v>
      </c>
      <c r="J18" s="22">
        <f>SUMIFS(Selections!$N$6:$N$47,Selections!$E$6:$E$47,"Double Chance 1X")</f>
        <v>0.0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0.13517908536329296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0.7354173027428206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0.75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-0.014582697257179422</v>
      </c>
      <c r="P18" s="19">
        <f>SUMIFS(Selections!$T$6:$T$47,Selections!$E$6:$E$47,"Double Chance 1X")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(COUNTIFS(Selections!$E$6:$E$47,"Double Chance X2",Selections!$K$6:$K$47,"WON")+COUNTIFS(Selections!$E$6:$E$47,"Double Chance X2",Selections!$K$6:$K$47,"LOST"))</f>
        <v>5</v>
      </c>
      <c r="E19" s="19">
        <f>COUNTIFS(Selections!$E$6:$E$47,"Double Chance X2",Selections!$K$6:$K$47,"WON")</f>
        <v>3</v>
      </c>
      <c r="F19" s="19">
        <f>COUNTIFS(Selections!$E$6:$E$47,"Double Chance X2",Selections!$K$6:$K$47,"LOST")</f>
        <v>2</v>
      </c>
      <c r="G19" s="19">
        <f>COUNTIFS(Selections!$E$6:$E$47,"Double Chance X2")-(COUNTIFS(Selections!$E$6:$E$47,"Double Chance X2",Selections!$K$6:$K$47,"WON")+COUNTIFS(Selections!$E$6:$E$47,"Double Chance X2",Selections!$K$6:$K$47,"LOST"))</f>
        <v>1</v>
      </c>
      <c r="H19" s="20">
        <f>IF((COUNTIFS(Selections!$E$6:$E$47,"Double Chance X2",Selections!$K$6:$K$47,"WON")+COUNTIFS(Selections!$E$6:$E$47,"Double Chance X2",Selections!$K$6:$K$47,"LOST"))=0,"n.a.",COUNTIFS(Selections!$E$6:$E$47,"Double Chance X2",Selections!$K$6:$K$47,"WON")/(COUNTIFS(Selections!$E$6:$E$47,"Double Chance X2",Selections!$K$6:$K$47,"WON")+COUNTIFS(Selections!$E$6:$E$47,"Double Chance X2",Selections!$K$6:$K$47,"LOST")))</f>
        <v>0.6</v>
      </c>
      <c r="I19" s="22">
        <f>SUMIFS(Selections!$M$6:$M$47,Selections!$E$6:$E$47,"Double Chance X2")</f>
        <v>5</v>
      </c>
      <c r="J19" s="22">
        <f>SUMIFS(Selections!$N$6:$N$47,Selections!$E$6:$E$47,"Double Chance X2")</f>
        <v>-0.7900000000000003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-0.15800000000000006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0.17121847217742003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0.6534848341608861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0.05348483416088612</v>
      </c>
      <c r="P19" s="19">
        <f>SUMIFS(Selections!$T$6:$T$47,Selections!$E$6:$E$47,"Double Chance X2")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(COUNTIFS(Selections!$E$6:$E$47,"Home win",Selections!$K$6:$K$47,"WON")+COUNTIFS(Selections!$E$6:$E$47,"Home win",Selections!$K$6:$K$47,"LOST"))</f>
        <v>5</v>
      </c>
      <c r="E20" s="19">
        <f>COUNTIFS(Selections!$E$6:$E$47,"Home win",Selections!$K$6:$K$47,"WON")</f>
        <v>5</v>
      </c>
      <c r="F20" s="19">
        <f>COUNTIFS(Selections!$E$6:$E$47,"Home win",Selections!$K$6:$K$47,"LOST")</f>
        <v>0</v>
      </c>
      <c r="G20" s="19">
        <f>COUNTIFS(Selections!$E$6:$E$47,"Home win")-(COUNTIFS(Selections!$E$6:$E$47,"Home win",Selections!$K$6:$K$47,"WON")+COUNTIFS(Selections!$E$6:$E$47,"Home win",Selections!$K$6:$K$47,"LOST"))</f>
        <v>0</v>
      </c>
      <c r="H20" s="20">
        <f>IF((COUNTIFS(Selections!$E$6:$E$47,"Home win",Selections!$K$6:$K$47,"WON")+COUNTIFS(Selections!$E$6:$E$47,"Home win",Selections!$K$6:$K$47,"LOST"))=0,"n.a.",COUNTIFS(Selections!$E$6:$E$47,"Home win",Selections!$K$6:$K$47,"WON")/(COUNTIFS(Selections!$E$6:$E$47,"Home win",Selections!$K$6:$K$47,"WON")+COUNTIFS(Selections!$E$6:$E$47,"Home win",Selections!$K$6:$K$47,"LOST")))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(COUNTIFS(Selections!$E$6:$E$47,"Over 1.5",Selections!$K$6:$K$47,"WON")+COUNTIFS(Selections!$E$6:$E$47,"Over 1.5",Selections!$K$6:$K$47,"LOST"))</f>
        <v>6</v>
      </c>
      <c r="E21" s="19">
        <f>COUNTIFS(Selections!$E$6:$E$47,"Over 1.5",Selections!$K$6:$K$47,"WON")</f>
        <v>5</v>
      </c>
      <c r="F21" s="19">
        <f>COUNTIFS(Selections!$E$6:$E$47,"Over 1.5",Selections!$K$6:$K$47,"LOST")</f>
        <v>1</v>
      </c>
      <c r="G21" s="19">
        <f>COUNTIFS(Selections!$E$6:$E$47,"Over 1.5")-(COUNTIFS(Selections!$E$6:$E$47,"Over 1.5",Selections!$K$6:$K$47,"WON")+COUNTIFS(Selections!$E$6:$E$47,"Over 1.5",Selections!$K$6:$K$47,"LOST"))</f>
        <v>3</v>
      </c>
      <c r="H21" s="20">
        <f>IF((COUNTIFS(Selections!$E$6:$E$47,"Over 1.5",Selections!$K$6:$K$47,"WON")+COUNTIFS(Selections!$E$6:$E$47,"Over 1.5",Selections!$K$6:$K$47,"LOST"))=0,"n.a.",COUNTIFS(Selections!$E$6:$E$47,"Over 1.5",Selections!$K$6:$K$47,"WON")/(COUNTIFS(Selections!$E$6:$E$47,"Over 1.5",Selections!$K$6:$K$47,"WON")+COUNTIFS(Selections!$E$6:$E$47,"Over 1.5",Selections!$K$6:$K$47,"LOST")))</f>
        <v>0.8333333333333334</v>
      </c>
      <c r="I21" s="22">
        <f>SUMIFS(Selections!$M$6:$M$47,Selections!$E$6:$E$47,"Over 1.5")</f>
        <v>6</v>
      </c>
      <c r="J21" s="22">
        <f>SUMIFS(Selections!$N$6:$N$47,Selections!$E$6:$E$47,"Over 1.5")</f>
        <v>0.32999999999999985</v>
      </c>
      <c r="K21" s="20">
        <f>IF(SUMIFS(Selections!$M$6:$M$47,Selections!$E$6:$E$47,"Over 1.5")=0,"n.a.",SUMIFS(Selections!$N$6:$N$47,Selections!$E$6:$E$47,"Over 1.5")/SUMIFS(Selections!$M$6:$M$47,Selections!$E$6:$E$47,"Over 1.5"))</f>
        <v>0.05499999999999997</v>
      </c>
      <c r="L21" s="21">
        <f>IF(SUMIFS(Selections!$T$6:$T$47,Selections!$E$6:$E$47,"Over 1.5")=0,"n.a.",SUMIFS(Selections!$O$6:$O$47,Selections!$E$6:$E$47,"Over 1.5")/SUMIFS(Selections!$T$6:$T$47,Selections!$E$6:$E$47,"Over 1.5"))</f>
        <v>0.11632878708164611</v>
      </c>
      <c r="M21" s="20">
        <f>IF(SUMIFS(Selections!$T$6:$T$47,Selections!$E$6:$E$47,"Over 1.5")=0,"n.a.",SUMIFS(Selections!$S$6:$S$47,Selections!$E$6:$E$47,"Over 1.5")/SUMIFS(Selections!$T$6:$T$47,Selections!$E$6:$E$47,"Over 1.5"))</f>
        <v>0.8626789824199815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0.8333333333333334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0.029345649086648162</v>
      </c>
      <c r="P21" s="19">
        <f>SUMIFS(Selections!$T$6:$T$47,Selections!$E$6:$E$47,"Over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(COUNTIFS(Selections!$E$6:$E$47,"Under 3.5",Selections!$K$6:$K$47,"WON")+COUNTIFS(Selections!$E$6:$E$47,"Under 3.5",Selections!$K$6:$K$47,"LOST"))</f>
        <v>5</v>
      </c>
      <c r="E22" s="19">
        <f>COUNTIFS(Selections!$E$6:$E$47,"Under 3.5",Selections!$K$6:$K$47,"WON")</f>
        <v>2</v>
      </c>
      <c r="F22" s="19">
        <f>COUNTIFS(Selections!$E$6:$E$47,"Under 3.5",Selections!$K$6:$K$47,"LOST")</f>
        <v>3</v>
      </c>
      <c r="G22" s="19">
        <f>COUNTIFS(Selections!$E$6:$E$47,"Under 3.5")-(COUNTIFS(Selections!$E$6:$E$47,"Under 3.5",Selections!$K$6:$K$47,"WON")+COUNTIFS(Selections!$E$6:$E$47,"Under 3.5",Selections!$K$6:$K$47,"LOST"))</f>
        <v>0</v>
      </c>
      <c r="H22" s="20">
        <f>IF((COUNTIFS(Selections!$E$6:$E$47,"Under 3.5",Selections!$K$6:$K$47,"WON")+COUNTIFS(Selections!$E$6:$E$47,"Under 3.5",Selections!$K$6:$K$47,"LOST"))=0,"n.a.",COUNTIFS(Selections!$E$6:$E$47,"Under 3.5",Selections!$K$6:$K$47,"WON")/(COUNTIFS(Selections!$E$6:$E$47,"Under 3.5",Selections!$K$6:$K$47,"WON")+COUNTIFS(Selections!$E$6:$E$47,"Under 3.5",Selections!$K$6:$K$47,"LOST")))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(COUNTIFS(Selections!$G$6:$G$47,"48h-top-ten-probability-ev-no-under35-v14",Selections!$K$6:$K$47,"WON")+COUNTIFS(Selections!$G$6:$G$47,"48h-top-ten-probability-ev-no-under35-v14",Selections!$K$6:$K$47,"LOST"))</f>
        <v>8</v>
      </c>
      <c r="E23" s="19">
        <f>COUNTIFS(Selections!$G$6:$G$47,"48h-top-ten-probability-ev-no-under35-v14",Selections!$K$6:$K$47,"WON")</f>
        <v>6</v>
      </c>
      <c r="F23" s="19">
        <f>COUNTIFS(Selections!$G$6:$G$47,"48h-top-ten-probability-ev-no-under35-v14",Selections!$K$6:$K$47,"LOST")</f>
        <v>2</v>
      </c>
      <c r="G23" s="19">
        <f>COUNTIFS(Selections!$G$6:$G$47,"48h-top-ten-probability-ev-no-under35-v14")-(COUNTIFS(Selections!$G$6:$G$47,"48h-top-ten-probability-ev-no-under35-v14",Selections!$K$6:$K$47,"WON")+COUNTIFS(Selections!$G$6:$G$47,"48h-top-ten-probability-ev-no-under35-v14",Selections!$K$6:$K$47,"LOST"))</f>
        <v>1</v>
      </c>
      <c r="H23" s="20">
        <f>IF((COUNTIFS(Selections!$G$6:$G$47,"48h-top-ten-probability-ev-no-under35-v14",Selections!$K$6:$K$47,"WON")+COUNTIFS(Selections!$G$6:$G$47,"48h-top-ten-probability-ev-no-under35-v14",Selections!$K$6:$K$47,"LOST"))=0,"n.a.",COUNTIFS(Selections!$G$6:$G$47,"48h-top-ten-probability-ev-no-under35-v14",Selections!$K$6:$K$47,"WON")/(COUNTIFS(Selections!$G$6:$G$47,"48h-top-ten-probability-ev-no-under35-v14",Selections!$K$6:$K$47,"WON")+COUNTIFS(Selections!$G$6:$G$47,"48h-top-ten-probability-ev-no-under35-v14",Selections!$K$6:$K$47,"LOST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(COUNTIFS(Selections!$G$6:$G$47,"48h-top-twelve-probability-ev-no-under35-v15",Selections!$K$6:$K$47,"WON")+COUNTIFS(Selections!$G$6:$G$47,"48h-top-twelve-probability-ev-no-under35-v15",Selections!$K$6:$K$47,"LOST"))</f>
        <v>3</v>
      </c>
      <c r="E24" s="19">
        <f>COUNTIFS(Selections!$G$6:$G$47,"48h-top-twelve-probability-ev-no-under35-v15",Selections!$K$6:$K$47,"WON")</f>
        <v>1</v>
      </c>
      <c r="F24" s="19">
        <f>COUNTIFS(Selections!$G$6:$G$47,"48h-top-twelve-probability-ev-no-under35-v15",Selections!$K$6:$K$47,"LOST")</f>
        <v>2</v>
      </c>
      <c r="G24" s="19">
        <f>COUNTIFS(Selections!$G$6:$G$47,"48h-top-twelve-probability-ev-no-under35-v15")-(COUNTIFS(Selections!$G$6:$G$47,"48h-top-twelve-probability-ev-no-under35-v15",Selections!$K$6:$K$47,"WON")+COUNTIFS(Selections!$G$6:$G$47,"48h-top-twelve-probability-ev-no-under35-v15",Selections!$K$6:$K$47,"LOST"))</f>
        <v>9</v>
      </c>
      <c r="H24" s="20">
        <f>IF((COUNTIFS(Selections!$G$6:$G$47,"48h-top-twelve-probability-ev-no-under35-v15",Selections!$K$6:$K$47,"WON")+COUNTIFS(Selections!$G$6:$G$47,"48h-top-twelve-probability-ev-no-under35-v15",Selections!$K$6:$K$47,"LOST"))=0,"n.a.",COUNTIFS(Selections!$G$6:$G$47,"48h-top-twelve-probability-ev-no-under35-v15",Selections!$K$6:$K$47,"WON")/(COUNTIFS(Selections!$G$6:$G$47,"48h-top-twelve-probability-ev-no-under35-v15",Selections!$K$6:$K$47,"WON")+COUNTIFS(Selections!$G$6:$G$47,"48h-top-twelve-probability-ev-no-under35-v15",Selections!$K$6:$K$47,"LOST")))</f>
        <v>0.3333333333333333</v>
      </c>
      <c r="I24" s="22">
        <f>SUMIFS(Selections!$M$6:$M$47,Selections!$G$6:$G$47,"48h-top-twelve-probability-ev-no-under35-v15")</f>
        <v>3</v>
      </c>
      <c r="J24" s="22">
        <f>SUMIFS(Selections!$N$6:$N$47,Selections!$G$6:$G$47,"48h-top-twelve-probability-ev-no-under35-v15")</f>
        <v>-1.47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0.22802133303745656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0.5820047877318658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0.3333333333333333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0.2486714543985325</v>
      </c>
      <c r="P24" s="19">
        <f>SUMIFS(Selections!$T$6:$T$47,Selections!$G$6:$G$47,"48h-top-twelve-probability-ev-no-under35-v15")</f>
        <v>3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(n=3).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(COUNTIFS(Selections!$G$6:$G$47,"72h-all-markets-ev15-one-book-v6",Selections!$K$6:$K$47,"WON")+COUNTIFS(Selections!$G$6:$G$47,"72h-all-markets-ev15-one-book-v6",Selections!$K$6:$K$47,"LOST"))</f>
        <v>1</v>
      </c>
      <c r="E25" s="19">
        <f>COUNTIFS(Selections!$G$6:$G$47,"72h-all-markets-ev15-one-book-v6",Selections!$K$6:$K$47,"WON")</f>
        <v>1</v>
      </c>
      <c r="F25" s="19">
        <f>COUNTIFS(Selections!$G$6:$G$47,"72h-all-markets-ev15-one-book-v6",Selections!$K$6:$K$47,"LOST")</f>
        <v>0</v>
      </c>
      <c r="G25" s="19">
        <f>COUNTIFS(Selections!$G$6:$G$47,"72h-all-markets-ev15-one-book-v6")-(COUNTIFS(Selections!$G$6:$G$47,"72h-all-markets-ev15-one-book-v6",Selections!$K$6:$K$47,"WON")+COUNTIFS(Selections!$G$6:$G$47,"72h-all-markets-ev15-one-book-v6",Selections!$K$6:$K$47,"LOST"))</f>
        <v>0</v>
      </c>
      <c r="H25" s="20">
        <f>IF((COUNTIFS(Selections!$G$6:$G$47,"72h-all-markets-ev15-one-book-v6",Selections!$K$6:$K$47,"WON")+COUNTIFS(Selections!$G$6:$G$47,"72h-all-markets-ev15-one-book-v6",Selections!$K$6:$K$47,"LOST"))=0,"n.a.",COUNTIFS(Selections!$G$6:$G$47,"72h-all-markets-ev15-one-book-v6",Selections!$K$6:$K$47,"WON")/(COUNTIFS(Selections!$G$6:$G$47,"72h-all-markets-ev15-one-book-v6",Selections!$K$6:$K$47,"WON")+COUNTIFS(Selections!$G$6:$G$47,"72h-all-markets-ev15-one-book-v6",Selections!$K$6:$K$47,"LOST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(COUNTIFS(Selections!$G$6:$G$47,"72h-all-markets-net-ev15-execution-v7",Selections!$K$6:$K$47,"WON")+COUNTIFS(Selections!$G$6:$G$47,"72h-all-markets-net-ev15-execution-v7",Selections!$K$6:$K$47,"LOST"))</f>
        <v>4</v>
      </c>
      <c r="E26" s="19">
        <f>COUNTIFS(Selections!$G$6:$G$47,"72h-all-markets-net-ev15-execution-v7",Selections!$K$6:$K$47,"WON")</f>
        <v>4</v>
      </c>
      <c r="F26" s="19">
        <f>COUNTIFS(Selections!$G$6:$G$47,"72h-all-markets-net-ev15-execution-v7",Selections!$K$6:$K$47,"LOST")</f>
        <v>0</v>
      </c>
      <c r="G26" s="19">
        <f>COUNTIFS(Selections!$G$6:$G$47,"72h-all-markets-net-ev15-execution-v7")-(COUNTIFS(Selections!$G$6:$G$47,"72h-all-markets-net-ev15-execution-v7",Selections!$K$6:$K$47,"WON")+COUNTIFS(Selections!$G$6:$G$47,"72h-all-markets-net-ev15-execution-v7",Selections!$K$6:$K$47,"LOST"))</f>
        <v>1</v>
      </c>
      <c r="H26" s="20">
        <f>IF((COUNTIFS(Selections!$G$6:$G$47,"72h-all-markets-net-ev15-execution-v7",Selections!$K$6:$K$47,"WON")+COUNTIFS(Selections!$G$6:$G$47,"72h-all-markets-net-ev15-execution-v7",Selections!$K$6:$K$47,"LOST"))=0,"n.a.",COUNTIFS(Selections!$G$6:$G$47,"72h-all-markets-net-ev15-execution-v7",Selections!$K$6:$K$47,"WON")/(COUNTIFS(Selections!$G$6:$G$47,"72h-all-markets-net-ev15-execution-v7",Selections!$K$6:$K$47,"WON")+COUNTIFS(Selections!$G$6:$G$47,"72h-all-markets-net-ev15-execution-v7",Selections!$K$6:$K$47,"LOST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(COUNTIFS(Selections!$G$6:$G$47,"72h-seven-markets-fresh-references-net-ev15-v11",Selections!$K$6:$K$47,"WON")+COUNTIFS(Selections!$G$6:$G$47,"72h-seven-markets-fresh-references-net-ev15-v11",Selections!$K$6:$K$47,"LOST"))</f>
        <v>5</v>
      </c>
      <c r="E27" s="19">
        <f>COUNTIFS(Selections!$G$6:$G$47,"72h-seven-markets-fresh-references-net-ev15-v11",Selections!$K$6:$K$47,"WON")</f>
        <v>4</v>
      </c>
      <c r="F27" s="19">
        <f>COUNTIFS(Selections!$G$6:$G$47,"72h-seven-markets-fresh-references-net-ev15-v11",Selections!$K$6:$K$47,"LOST")</f>
        <v>1</v>
      </c>
      <c r="G27" s="19">
        <f>COUNTIFS(Selections!$G$6:$G$47,"72h-seven-markets-fresh-references-net-ev15-v11")-(COUNTIFS(Selections!$G$6:$G$47,"72h-seven-markets-fresh-references-net-ev15-v11",Selections!$K$6:$K$47,"WON")+COUNTIFS(Selections!$G$6:$G$47,"72h-seven-markets-fresh-references-net-ev15-v11",Selections!$K$6:$K$47,"LOST"))</f>
        <v>0</v>
      </c>
      <c r="H27" s="20">
        <f>IF((COUNTIFS(Selections!$G$6:$G$47,"72h-seven-markets-fresh-references-net-ev15-v11",Selections!$K$6:$K$47,"WON")+COUNTIFS(Selections!$G$6:$G$47,"72h-seven-markets-fresh-references-net-ev15-v11",Selections!$K$6:$K$47,"LOST"))=0,"n.a.",COUNTIFS(Selections!$G$6:$G$47,"72h-seven-markets-fresh-references-net-ev15-v11",Selections!$K$6:$K$47,"WON")/(COUNTIFS(Selections!$G$6:$G$47,"72h-seven-markets-fresh-references-net-ev15-v11",Selections!$K$6:$K$47,"WON")+COUNTIFS(Selections!$G$6:$G$47,"72h-seven-markets-fresh-references-net-ev15-v11",Selections!$K$6:$K$47,"LOST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(COUNTIFS(Selections!$G$6:$G$47,"72h-ucl-v2",Selections!$K$6:$K$47,"WON")+COUNTIFS(Selections!$G$6:$G$47,"72h-ucl-v2",Selections!$K$6:$K$47,"LOST"))</f>
        <v>1</v>
      </c>
      <c r="E28" s="19">
        <f>COUNTIFS(Selections!$G$6:$G$47,"72h-ucl-v2",Selections!$K$6:$K$47,"WON")</f>
        <v>1</v>
      </c>
      <c r="F28" s="19">
        <f>COUNTIFS(Selections!$G$6:$G$47,"72h-ucl-v2",Selections!$K$6:$K$47,"LOST")</f>
        <v>0</v>
      </c>
      <c r="G28" s="19">
        <f>COUNTIFS(Selections!$G$6:$G$47,"72h-ucl-v2")-(COUNTIFS(Selections!$G$6:$G$47,"72h-ucl-v2",Selections!$K$6:$K$47,"WON")+COUNTIFS(Selections!$G$6:$G$47,"72h-ucl-v2",Selections!$K$6:$K$47,"LOST"))</f>
        <v>0</v>
      </c>
      <c r="H28" s="20">
        <f>IF((COUNTIFS(Selections!$G$6:$G$47,"72h-ucl-v2",Selections!$K$6:$K$47,"WON")+COUNTIFS(Selections!$G$6:$G$47,"72h-ucl-v2",Selections!$K$6:$K$47,"LOST"))=0,"n.a.",COUNTIFS(Selections!$G$6:$G$47,"72h-ucl-v2",Selections!$K$6:$K$47,"WON")/(COUNTIFS(Selections!$G$6:$G$47,"72h-ucl-v2",Selections!$K$6:$K$47,"WON")+COUNTIFS(Selections!$G$6:$G$47,"72h-ucl-v2",Selections!$K$6:$K$47,"LOST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(COUNTIFS(Selections!$G$6:$G$47,"72h-ucl-v3",Selections!$K$6:$K$47,"WON")+COUNTIFS(Selections!$G$6:$G$47,"72h-ucl-v3",Selections!$K$6:$K$47,"LOST"))</f>
        <v>6</v>
      </c>
      <c r="E29" s="19">
        <f>COUNTIFS(Selections!$G$6:$G$47,"72h-ucl-v3",Selections!$K$6:$K$47,"WON")</f>
        <v>3</v>
      </c>
      <c r="F29" s="19">
        <f>COUNTIFS(Selections!$G$6:$G$47,"72h-ucl-v3",Selections!$K$6:$K$47,"LOST")</f>
        <v>3</v>
      </c>
      <c r="G29" s="19">
        <f>COUNTIFS(Selections!$G$6:$G$47,"72h-ucl-v3")-(COUNTIFS(Selections!$G$6:$G$47,"72h-ucl-v3",Selections!$K$6:$K$47,"WON")+COUNTIFS(Selections!$G$6:$G$47,"72h-ucl-v3",Selections!$K$6:$K$47,"LOST"))</f>
        <v>1</v>
      </c>
      <c r="H29" s="20">
        <f>IF((COUNTIFS(Selections!$G$6:$G$47,"72h-ucl-v3",Selections!$K$6:$K$47,"WON")+COUNTIFS(Selections!$G$6:$G$47,"72h-ucl-v3",Selections!$K$6:$K$47,"LOST"))=0,"n.a.",COUNTIFS(Selections!$G$6:$G$47,"72h-ucl-v3",Selections!$K$6:$K$47,"WON")/(COUNTIFS(Selections!$G$6:$G$47,"72h-ucl-v3",Selections!$K$6:$K$47,"WON")+COUNTIFS(Selections!$G$6:$G$47,"72h-ucl-v3",Selections!$K$6:$K$47,"LOST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(COUNTIFS(Selections!$G$6:$G$47,"legacy/unspecified",Selections!$K$6:$K$47,"WON")+COUNTIFS(Selections!$G$6:$G$47,"legacy/unspecified",Selections!$K$6:$K$47,"LOST"))</f>
        <v>2</v>
      </c>
      <c r="E30" s="19">
        <f>COUNTIFS(Selections!$G$6:$G$47,"legacy/unspecified",Selections!$K$6:$K$47,"WON")</f>
        <v>2</v>
      </c>
      <c r="F30" s="19">
        <f>COUNTIFS(Selections!$G$6:$G$47,"legacy/unspecified",Selections!$K$6:$K$47,"LOST")</f>
        <v>0</v>
      </c>
      <c r="G30" s="19">
        <f>COUNTIFS(Selections!$G$6:$G$47,"legacy/unspecified")-(COUNTIFS(Selections!$G$6:$G$47,"legacy/unspecified",Selections!$K$6:$K$47,"WON")+COUNTIFS(Selections!$G$6:$G$47,"legacy/unspecified",Selections!$K$6:$K$47,"LOST"))</f>
        <v>0</v>
      </c>
      <c r="H30" s="20">
        <f>IF((COUNTIFS(Selections!$G$6:$G$47,"legacy/unspecified",Selections!$K$6:$K$47,"WON")+COUNTIFS(Selections!$G$6:$G$47,"legacy/unspecified",Selections!$K$6:$K$47,"LOST"))=0,"n.a.",COUNTIFS(Selections!$G$6:$G$47,"legacy/unspecified",Selections!$K$6:$K$47,"WON")/(COUNTIFS(Selections!$G$6:$G$47,"legacy/unspecified",Selections!$K$6:$K$47,"WON")+COUNTIFS(Selections!$G$6:$G$47,"legacy/unspecified",Selections!$K$6:$K$47,"LOST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(COUNTIFS(Selections!$P$6:$P$47,"2026-W41",Selections!$K$6:$K$47,"WON")+COUNTIFS(Selections!$P$6:$P$47,"2026-W41",Selections!$K$6:$K$47,"LOST"))</f>
        <v>4</v>
      </c>
      <c r="E31" s="19">
        <f>COUNTIFS(Selections!$P$6:$P$47,"2026-W41",Selections!$K$6:$K$47,"WON")</f>
        <v>2</v>
      </c>
      <c r="F31" s="19">
        <f>COUNTIFS(Selections!$P$6:$P$47,"2026-W41",Selections!$K$6:$K$47,"LOST")</f>
        <v>2</v>
      </c>
      <c r="G31" s="19">
        <f>COUNTIFS(Selections!$P$6:$P$47,"2026-W41")-(COUNTIFS(Selections!$P$6:$P$47,"2026-W41",Selections!$K$6:$K$47,"WON")+COUNTIFS(Selections!$P$6:$P$47,"2026-W41",Selections!$K$6:$K$47,"LOST"))</f>
        <v>1</v>
      </c>
      <c r="H31" s="20">
        <f>IF((COUNTIFS(Selections!$P$6:$P$47,"2026-W41",Selections!$K$6:$K$47,"WON")+COUNTIFS(Selections!$P$6:$P$47,"2026-W41",Selections!$K$6:$K$47,"LOST"))=0,"n.a.",COUNTIFS(Selections!$P$6:$P$47,"2026-W41",Selections!$K$6:$K$47,"WON")/(COUNTIFS(Selections!$P$6:$P$47,"2026-W41",Selections!$K$6:$K$47,"WON")+COUNTIFS(Selections!$P$6:$P$47,"2026-W41",Selections!$K$6:$K$47,"LOST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(COUNTIFS(Selections!$P$6:$P$47,"2026-W42",Selections!$K$6:$K$47,"WON")+COUNTIFS(Selections!$P$6:$P$47,"2026-W42",Selections!$K$6:$K$47,"LOST"))</f>
        <v>22</v>
      </c>
      <c r="E32" s="19">
        <f>COUNTIFS(Selections!$P$6:$P$47,"2026-W42",Selections!$K$6:$K$47,"WON")</f>
        <v>19</v>
      </c>
      <c r="F32" s="19">
        <f>COUNTIFS(Selections!$P$6:$P$47,"2026-W42",Selections!$K$6:$K$47,"LOST")</f>
        <v>3</v>
      </c>
      <c r="G32" s="19">
        <f>COUNTIFS(Selections!$P$6:$P$47,"2026-W42")-(COUNTIFS(Selections!$P$6:$P$47,"2026-W42",Selections!$K$6:$K$47,"WON")+COUNTIFS(Selections!$P$6:$P$47,"2026-W42",Selections!$K$6:$K$47,"LOST"))</f>
        <v>2</v>
      </c>
      <c r="H32" s="20">
        <f>IF((COUNTIFS(Selections!$P$6:$P$47,"2026-W42",Selections!$K$6:$K$47,"WON")+COUNTIFS(Selections!$P$6:$P$47,"2026-W42",Selections!$K$6:$K$47,"LOST"))=0,"n.a.",COUNTIFS(Selections!$P$6:$P$47,"2026-W42",Selections!$K$6:$K$47,"WON")/(COUNTIFS(Selections!$P$6:$P$47,"2026-W42",Selections!$K$6:$K$47,"WON")+COUNTIFS(Selections!$P$6:$P$47,"2026-W42",Selections!$K$6:$K$47,"LOST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(COUNTIFS(Selections!$P$6:$P$47,"2026-W43",Selections!$K$6:$K$47,"WON")+COUNTIFS(Selections!$P$6:$P$47,"2026-W43",Selections!$K$6:$K$47,"LOST"))</f>
        <v>4</v>
      </c>
      <c r="E33" s="19">
        <f>COUNTIFS(Selections!$P$6:$P$47,"2026-W43",Selections!$K$6:$K$47,"WON")</f>
        <v>1</v>
      </c>
      <c r="F33" s="19">
        <f>COUNTIFS(Selections!$P$6:$P$47,"2026-W43",Selections!$K$6:$K$47,"LOST")</f>
        <v>3</v>
      </c>
      <c r="G33" s="19">
        <f>COUNTIFS(Selections!$P$6:$P$47,"2026-W43")-(COUNTIFS(Selections!$P$6:$P$47,"2026-W43",Selections!$K$6:$K$47,"WON")+COUNTIFS(Selections!$P$6:$P$47,"2026-W43",Selections!$K$6:$K$47,"LOST"))</f>
        <v>9</v>
      </c>
      <c r="H33" s="20">
        <f>IF((COUNTIFS(Selections!$P$6:$P$47,"2026-W43",Selections!$K$6:$K$47,"WON")+COUNTIFS(Selections!$P$6:$P$47,"2026-W43",Selections!$K$6:$K$47,"LOST"))=0,"n.a.",COUNTIFS(Selections!$P$6:$P$47,"2026-W43",Selections!$K$6:$K$47,"WON")/(COUNTIFS(Selections!$P$6:$P$47,"2026-W43",Selections!$K$6:$K$47,"WON")+COUNTIFS(Selections!$P$6:$P$47,"2026-W43",Selections!$K$6:$K$47,"LOST")))</f>
        <v>0.25</v>
      </c>
      <c r="I33" s="22">
        <f>SUMIFS(Selections!$M$6:$M$47,Selections!$P$6:$P$47,"2026-W43")</f>
        <v>4</v>
      </c>
      <c r="J33" s="22">
        <f>SUMIFS(Selections!$N$6:$N$47,Selections!$P$6:$P$47,"2026-W43")</f>
        <v>-2.4699999999999998</v>
      </c>
      <c r="K33" s="20">
        <f>IF(SUMIFS(Selections!$M$6:$M$47,Selections!$P$6:$P$47,"2026-W43")=0,"n.a.",SUMIFS(Selections!$N$6:$N$47,Selections!$P$6:$P$47,"2026-W43")/SUMIFS(Selections!$M$6:$M$47,Selections!$P$6:$P$47,"2026-W43"))</f>
        <v>-0.6174999999999999</v>
      </c>
      <c r="L33" s="21">
        <f>IF(SUMIFS(Selections!$T$6:$T$47,Selections!$P$6:$P$47,"2026-W43")=0,"n.a.",SUMIFS(Selections!$O$6:$O$47,Selections!$P$6:$P$47,"2026-W43")/SUMIFS(Selections!$T$6:$T$47,Selections!$P$6:$P$47,"2026-W43"))</f>
        <v>0.27118988646739084</v>
      </c>
      <c r="M33" s="20">
        <f>IF(SUMIFS(Selections!$T$6:$T$47,Selections!$P$6:$P$47,"2026-W43")=0,"n.a.",SUMIFS(Selections!$S$6:$S$47,Selections!$P$6:$P$47,"2026-W43")/SUMIFS(Selections!$T$6:$T$47,Selections!$P$6:$P$47,"2026-W43"))</f>
        <v>0.5947548835971719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0.25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0.3447548835971719</v>
      </c>
      <c r="P33" s="19">
        <f>SUMIFS(Selections!$T$6:$T$47,Selections!$P$6:$P$47,"2026-W43")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0</v>
      </c>
      <c r="E7" s="20" t="str">
        <f>IF(D7=0,"n.a.",SUMIFS(Selections!$S$6:$S$47,Selections!$S$6:$S$47,"&gt;="&amp;B7,Selections!$S$6:$S$47,"&lt;"&amp;C7,Selections!$T$6:$T$47,1)/D7)</f>
        <v>n.a.</v>
      </c>
      <c r="F7" s="20" t="str">
        <f>IF(D7=0,"n.a.",SUMIFS(Selections!$L$6:$L$47,Selections!$S$6:$S$47,"&gt;="&amp;B7,Selections!$S$6:$S$47,"&lt;"&amp;C7,Selections!$T$6:$T$47,1)/D7)</f>
        <v>n.a.</v>
      </c>
      <c r="G7" s="20" t="str">
        <f>IF(D7=0,"n.a.",E7-F7)</f>
        <v>n.a.</v>
      </c>
      <c r="H7" s="21" t="str">
        <f>IF(D7=0,"n.a.",SUMIFS(Selections!$O$6:$O$47,Selections!$S$6:$S$47,"&gt;="&amp;B7,Selections!$S$6:$S$47,"&lt;"&amp;C7,Selections!$T$6:$T$47,1)/D7)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10</v>
      </c>
      <c r="E9" s="20">
        <f>IF(D9=0,"n.a.",SUMIFS(Selections!$S$6:$S$47,Selections!$S$6:$S$47,"&gt;="&amp;B9,Selections!$S$6:$S$47,"&lt;"&amp;C9,Selections!$T$6:$T$47,1)/D9)</f>
        <v>0.7555864760496519</v>
      </c>
      <c r="F9" s="20">
        <f>IF(D9=0,"n.a.",SUMIFS(Selections!$L$6:$L$47,Selections!$S$6:$S$47,"&gt;="&amp;B9,Selections!$S$6:$S$47,"&lt;"&amp;C9,Selections!$T$6:$T$47,1)/D9)</f>
        <v>0.8</v>
      </c>
      <c r="G9" s="20">
        <f>IF(D9=0,"n.a.",E9-F9)</f>
        <v>-0.044413523950348144</v>
      </c>
      <c r="H9" s="21">
        <f>IF(D9=0,"n.a.",SUMIFS(Selections!$O$6:$O$47,Selections!$S$6:$S$47,"&gt;="&amp;B9,Selections!$S$6:$S$47,"&lt;"&amp;C9,Selections!$T$6:$T$47,1)/D9)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9</v>
      </c>
      <c r="E10" s="20">
        <f>IF(D10=0,"n.a.",SUMIFS(Selections!$S$6:$S$47,Selections!$S$6:$S$47,"&gt;="&amp;B10,Selections!$S$6:$S$47,"&lt;"&amp;C10,Selections!$T$6:$T$47,1)/D10)</f>
        <v>0.835660279924899</v>
      </c>
      <c r="F10" s="20">
        <f>IF(D10=0,"n.a.",SUMIFS(Selections!$L$6:$L$47,Selections!$S$6:$S$47,"&gt;="&amp;B10,Selections!$S$6:$S$47,"&lt;"&amp;C10,Selections!$T$6:$T$47,1)/D10)</f>
        <v>0.7777777777777778</v>
      </c>
      <c r="G10" s="20">
        <f>IF(D10=0,"n.a.",E10-F10)</f>
        <v>0.057882502147121206</v>
      </c>
      <c r="H10" s="21">
        <f>IF(D10=0,"n.a.",SUMIFS(Selections!$O$6:$O$47,Selections!$S$6:$S$47,"&gt;="&amp;B10,Selections!$S$6:$S$47,"&lt;"&amp;C10,Selections!$T$6:$T$47,1)/D10)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2</v>
      </c>
      <c r="E11" s="20">
        <f>IF(D11=0,"n.a.",SUMIFS(Selections!$S$6:$S$47,Selections!$S$6:$S$47,"&gt;="&amp;B11,Selections!$S$6:$S$47,"&lt;"&amp;C11,Selections!$T$6:$T$47,1)/D11)</f>
        <v>0.9328573882219562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-0.06714261177804381</v>
      </c>
      <c r="H11" s="21">
        <f>IF(D11=0,"n.a.",SUMIFS(Selections!$O$6:$O$47,Selections!$S$6:$S$47,"&gt;="&amp;B11,Selections!$S$6:$S$47,"&lt;"&amp;C11,Selections!$T$6:$T$47,1)/D11)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archive IDs show which prediction is graded. Times are UTC.</t>
        </is>
      </c>
      <c r="B4" s="27" t="inlineStr">
        <is>
          <t>Latest eligible pre-match selection per fixture. Generated/captured times and archive IDs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IF(ISNUMBER(M35),M35*(I35*L35-1-U35),"")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IF(ISNUMBER(M36),M36*(I36*L36-1-U36),"")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IF(ISNUMBER(M37),M37*(I37*L37-1-U37),"")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IF(ISNUMBER(M38),M38*(I38*L38-1-U38),"")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/>
      <c r="K39" s="18" t="inlineStr">
        <is>
          <t>PENDING_KICKOFF_OR_FINAL_SCORE</t>
        </is>
      </c>
      <c r="L39" s="18"/>
      <c r="M39" s="22" t="str">
        <f>IF(AND(ISNUMBER(L39),ISNUMBER(I39),I39&gt;1),'ROI Plan'!$B$5,"")</f>
        <v/>
      </c>
      <c r="N39" s="22" t="str">
        <f>IF(ISNUMBER(M39),M39*(I39*L39-1-U39),"")</f>
        <v/>
      </c>
      <c r="O39" s="21">
        <f>IF(AND(ISNUMBER(L39),ISNUMBER(H39)),(H39-L39)^2,"")</f>
      </c>
      <c r="P39" s="18" t="inlineStr">
        <is>
          <t>2026-W43</t>
        </is>
      </c>
      <c r="Q39" s="18" t="inlineStr">
        <is>
          <t>a18515a42a8daaed253da4026cd3842636af06e7</t>
        </is>
      </c>
      <c r="R39" s="18"/>
      <c r="S39" s="20">
        <f>IF(AND(ISNUMBER(L39),ISNUMBER(H39)),H39,"")</f>
      </c>
      <c r="T39" s="19">
        <f>IF(AND(ISNUMBER(L39),ISNUMBER(H39)),1,0)</f>
        <v>0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/>
      <c r="K40" s="18" t="inlineStr">
        <is>
          <t>PENDING_KICKOFF_OR_FINAL_SCORE</t>
        </is>
      </c>
      <c r="L40" s="18"/>
      <c r="M40" s="22" t="str">
        <f>IF(AND(ISNUMBER(L40),ISNUMBER(I40),I40&gt;1),'ROI Plan'!$B$5,"")</f>
        <v/>
      </c>
      <c r="N40" s="22" t="str">
        <f>IF(ISNUMBER(M40),M40*(I40*L40-1-U40),"")</f>
        <v/>
      </c>
      <c r="O40" s="21">
        <f>IF(AND(ISNUMBER(L40),ISNUMBER(H40)),(H40-L40)^2,"")</f>
      </c>
      <c r="P40" s="18" t="inlineStr">
        <is>
          <t>2026-W43</t>
        </is>
      </c>
      <c r="Q40" s="18" t="inlineStr">
        <is>
          <t>a18515a42a8daaed253da4026cd3842636af06e7</t>
        </is>
      </c>
      <c r="R40" s="18"/>
      <c r="S40" s="20">
        <f>IF(AND(ISNUMBER(L40),ISNUMBER(H40)),H40,"")</f>
      </c>
      <c r="T40" s="19">
        <f>IF(AND(ISNUMBER(L40),ISNUMBER(H40)),1,0)</f>
        <v>0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/>
      <c r="K41" s="18" t="inlineStr">
        <is>
          <t>PENDING_KICKOFF_OR_FINAL_SCORE</t>
        </is>
      </c>
      <c r="L41" s="18"/>
      <c r="M41" s="22" t="str">
        <f>IF(AND(ISNUMBER(L41),ISNUMBER(I41),I41&gt;1),'ROI Plan'!$B$5,"")</f>
        <v/>
      </c>
      <c r="N41" s="22" t="str">
        <f>IF(ISNUMBER(M41),M41*(I41*L41-1-U41),"")</f>
        <v/>
      </c>
      <c r="O41" s="21">
        <f>IF(AND(ISNUMBER(L41),ISNUMBER(H41)),(H41-L41)^2,"")</f>
      </c>
      <c r="P41" s="18" t="inlineStr">
        <is>
          <t>2026-W43</t>
        </is>
      </c>
      <c r="Q41" s="18" t="inlineStr">
        <is>
          <t>a18515a42a8daaed253da4026cd3842636af06e7</t>
        </is>
      </c>
      <c r="R41" s="18"/>
      <c r="S41" s="20">
        <f>IF(AND(ISNUMBER(L41),ISNUMBER(H41)),H41,"")</f>
      </c>
      <c r="T41" s="19">
        <f>IF(AND(ISNUMBER(L41),ISNUMBER(H41)),1,0)</f>
        <v>0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/>
      <c r="K42" s="18" t="inlineStr">
        <is>
          <t>PENDING_KICKOFF_OR_FINAL_SCORE</t>
        </is>
      </c>
      <c r="L42" s="18"/>
      <c r="M42" s="22" t="str">
        <f>IF(AND(ISNUMBER(L42),ISNUMBER(I42),I42&gt;1),'ROI Plan'!$B$5,"")</f>
        <v/>
      </c>
      <c r="N42" s="22" t="str">
        <f>IF(ISNUMBER(M42),M42*(I42*L42-1-U42),"")</f>
        <v/>
      </c>
      <c r="O42" s="21">
        <f>IF(AND(ISNUMBER(L42),ISNUMBER(H42)),(H42-L42)^2,"")</f>
      </c>
      <c r="P42" s="18" t="inlineStr">
        <is>
          <t>2026-W43</t>
        </is>
      </c>
      <c r="Q42" s="18" t="inlineStr">
        <is>
          <t>a18515a42a8daaed253da4026cd3842636af06e7</t>
        </is>
      </c>
      <c r="R42" s="18"/>
      <c r="S42" s="20">
        <f>IF(AND(ISNUMBER(L42),ISNUMBER(H42)),H42,"")</f>
      </c>
      <c r="T42" s="19">
        <f>IF(AND(ISNUMBER(L42),ISNUMBER(H42)),1,0)</f>
        <v>0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PENDING_KICKOFF_OR_FINAL_SCORE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/>
      <c r="K44" s="18" t="inlineStr">
        <is>
          <t>PENDING_KICKOFF_OR_FINAL_SCORE</t>
        </is>
      </c>
      <c r="L44" s="18"/>
      <c r="M44" s="22" t="str">
        <f>IF(AND(ISNUMBER(L44),ISNUMBER(I44),I44&gt;1),'ROI Plan'!$B$5,"")</f>
        <v/>
      </c>
      <c r="N44" s="22" t="str">
        <f>IF(ISNUMBER(M44),M44*(I44*L44-1-U44),"")</f>
        <v/>
      </c>
      <c r="O44" s="21">
        <f>IF(AND(ISNUMBER(L44),ISNUMBER(H44)),(H44-L44)^2,"")</f>
      </c>
      <c r="P44" s="18" t="inlineStr">
        <is>
          <t>2026-W43</t>
        </is>
      </c>
      <c r="Q44" s="18" t="inlineStr">
        <is>
          <t>a18515a42a8daaed253da4026cd3842636af06e7</t>
        </is>
      </c>
      <c r="R44" s="18"/>
      <c r="S44" s="20">
        <f>IF(AND(ISNUMBER(L44),ISNUMBER(H44)),H44,"")</f>
      </c>
      <c r="T44" s="19">
        <f>IF(AND(ISNUMBER(L44),ISNUMBER(H44)),1,0)</f>
        <v>0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/>
      <c r="K45" s="18" t="inlineStr">
        <is>
          <t>PENDING_KICKOFF_OR_FINAL_SCORE</t>
        </is>
      </c>
      <c r="L45" s="18"/>
      <c r="M45" s="22" t="str">
        <f>IF(AND(ISNUMBER(L45),ISNUMBER(I45),I45&gt;1),'ROI Plan'!$B$5,"")</f>
        <v/>
      </c>
      <c r="N45" s="22" t="str">
        <f>IF(ISNUMBER(M45),M45*(I45*L45-1-U45),"")</f>
        <v/>
      </c>
      <c r="O45" s="21">
        <f>IF(AND(ISNUMBER(L45),ISNUMBER(H45)),(H45-L45)^2,"")</f>
      </c>
      <c r="P45" s="18" t="inlineStr">
        <is>
          <t>2026-W43</t>
        </is>
      </c>
      <c r="Q45" s="18" t="inlineStr">
        <is>
          <t>a18515a42a8daaed253da4026cd3842636af06e7</t>
        </is>
      </c>
      <c r="R45" s="18"/>
      <c r="S45" s="20">
        <f>IF(AND(ISNUMBER(L45),ISNUMBER(H45)),H45,"")</f>
      </c>
      <c r="T45" s="19">
        <f>IF(AND(ISNUMBER(L45),ISNUMBER(H45)),1,0)</f>
        <v>0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/>
      <c r="K46" s="18" t="inlineStr">
        <is>
          <t>PENDING_KICKOFF_OR_FINAL_SCORE</t>
        </is>
      </c>
      <c r="L46" s="18"/>
      <c r="M46" s="22" t="str">
        <f>IF(AND(ISNUMBER(L46),ISNUMBER(I46),I46&gt;1),'ROI Plan'!$B$5,"")</f>
        <v/>
      </c>
      <c r="N46" s="22" t="str">
        <f>IF(ISNUMBER(M46),M46*(I46*L46-1-U46),"")</f>
        <v/>
      </c>
      <c r="O46" s="21">
        <f>IF(AND(ISNUMBER(L46),ISNUMBER(H46)),(H46-L46)^2,"")</f>
      </c>
      <c r="P46" s="18" t="inlineStr">
        <is>
          <t>2026-W43</t>
        </is>
      </c>
      <c r="Q46" s="18" t="inlineStr">
        <is>
          <t>a18515a42a8daaed253da4026cd3842636af06e7</t>
        </is>
      </c>
      <c r="R46" s="18"/>
      <c r="S46" s="20">
        <f>IF(AND(ISNUMBER(L46),ISNUMBER(H46)),H46,"")</f>
      </c>
      <c r="T46" s="19">
        <f>IF(AND(ISNUMBER(L46),ISNUMBER(H46)),1,0)</f>
        <v>0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/>
      <c r="K47" s="18" t="inlineStr">
        <is>
          <t>PENDING_KICKOFF_OR_FINAL_SCORE</t>
        </is>
      </c>
      <c r="L47" s="18"/>
      <c r="M47" s="22" t="str">
        <f>IF(AND(ISNUMBER(L47),ISNUMBER(I47),I47&gt;1),'ROI Plan'!$B$5,"")</f>
        <v/>
      </c>
      <c r="N47" s="22" t="str">
        <f>IF(ISNUMBER(M47),M47*(I47*L47-1-U47),"")</f>
        <v/>
      </c>
      <c r="O47" s="21">
        <f>IF(AND(ISNUMBER(L47),ISNUMBER(H47)),(H47-L47)^2,"")</f>
      </c>
      <c r="P47" s="18" t="inlineStr">
        <is>
          <t>2026-W43</t>
        </is>
      </c>
      <c r="Q47" s="18" t="inlineStr">
        <is>
          <t>a18515a42a8daaed253da4026cd3842636af06e7</t>
        </is>
      </c>
      <c r="R47" s="18"/>
      <c r="S47" s="20">
        <f>IF(AND(ISNUMBER(L47),ISNUMBER(H47)),H47,"")</f>
      </c>
      <c r="T47" s="19">
        <f>IF(AND(ISNUMBER(L47),ISNUMBER(H47)),1,0)</f>
        <v>0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7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21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7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21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110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6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22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42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0.7368421052631579</v>
      </c>
      <c r="H14" s="18" t="inlineStr">
        <is>
          <t>Approval review</t>
        </is>
      </c>
      <c r="I14" s="18" t="inlineStr">
        <is>
          <t>258 more paired fixtures; 4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9</v>
      </c>
      <c r="E82" s="20">
        <v>0.8888888888888888</v>
      </c>
      <c r="F82" s="18" t="inlineStr">
        <is>
          <t>56.5% to 98.0%</t>
        </is>
      </c>
      <c r="G82" s="20">
        <v>0.21666666666666665</v>
      </c>
      <c r="H82" s="19">
        <v>1.9499999999999997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9</v>
      </c>
      <c r="E84" s="20">
        <v>0.8888888888888888</v>
      </c>
      <c r="F84" s="18" t="inlineStr">
        <is>
          <t>56.5% to 98.0%</t>
        </is>
      </c>
      <c r="G84" s="20">
        <v>0.21666666666666665</v>
      </c>
      <c r="H84" s="19">
        <v>1.9499999999999997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9</v>
      </c>
      <c r="E85" s="20">
        <v>0.7777777777777778</v>
      </c>
      <c r="F85" s="18" t="inlineStr">
        <is>
          <t>45.3% to 93.7%</t>
        </is>
      </c>
      <c r="G85" s="20">
        <v>-0.04222222222222224</v>
      </c>
      <c r="H85" s="19">
        <v>-0.3800000000000001</v>
      </c>
      <c r="I85" s="19">
        <v>1.0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9</v>
      </c>
      <c r="E87" s="20">
        <v>0.7777777777777778</v>
      </c>
      <c r="F87" s="18" t="inlineStr">
        <is>
          <t>45.3% to 93.7%</t>
        </is>
      </c>
      <c r="G87" s="20">
        <v>-0.04222222222222224</v>
      </c>
      <c r="H87" s="19">
        <v>-0.3800000000000001</v>
      </c>
      <c r="I87" s="19">
        <v>1.0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9</v>
      </c>
      <c r="E88" s="20">
        <v>0.7777777777777778</v>
      </c>
      <c r="F88" s="18" t="inlineStr">
        <is>
          <t>45.3% to 93.7%</t>
        </is>
      </c>
      <c r="G88" s="20">
        <v>-0.04222222222222224</v>
      </c>
      <c r="H88" s="19">
        <v>-0.3800000000000001</v>
      </c>
      <c r="I88" s="19">
        <v>1.0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9</v>
      </c>
      <c r="E90" s="20">
        <v>0.7777777777777778</v>
      </c>
      <c r="F90" s="18" t="inlineStr">
        <is>
          <t>45.3% to 93.7%</t>
        </is>
      </c>
      <c r="G90" s="20">
        <v>-0.04222222222222224</v>
      </c>
      <c r="H90" s="19">
        <v>-0.3800000000000001</v>
      </c>
      <c r="I90" s="19">
        <v>1.0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10</v>
      </c>
      <c r="E91" s="20">
        <v>0.5</v>
      </c>
      <c r="F91" s="18" t="inlineStr">
        <is>
          <t>23.7% to 76.3%</t>
        </is>
      </c>
      <c r="G91" s="20">
        <v>-0.167</v>
      </c>
      <c r="H91" s="19">
        <v>-1.6700000000000002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10</v>
      </c>
      <c r="E93" s="20">
        <v>0.5</v>
      </c>
      <c r="F93" s="18" t="inlineStr">
        <is>
          <t>23.7% to 76.3%</t>
        </is>
      </c>
      <c r="G93" s="20">
        <v>-0.167</v>
      </c>
      <c r="H93" s="19">
        <v>-1.6700000000000002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0.7392679373711076</v>
      </c>
      <c r="D96" s="20">
        <v>0.8888888888888888</v>
      </c>
      <c r="E96" s="20">
        <v>-0.1496209515177812</v>
      </c>
      <c r="F96" s="19">
        <v>0.13387032588494915</v>
      </c>
      <c r="G96" s="19">
        <v>0.4461626488280618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0.7914719991990796</v>
      </c>
      <c r="D97" s="20">
        <v>0.7777777777777778</v>
      </c>
      <c r="E97" s="20">
        <v>0.013694221421301833</v>
      </c>
      <c r="F97" s="19">
        <v>0.1755111774403296</v>
      </c>
      <c r="G97" s="19">
        <v>0.531027606284624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0.7914719991990796</v>
      </c>
      <c r="D98" s="20">
        <v>0.7777777777777778</v>
      </c>
      <c r="E98" s="20">
        <v>0.013694221421301833</v>
      </c>
      <c r="F98" s="19">
        <v>0.1755111774403296</v>
      </c>
      <c r="G98" s="19">
        <v>0.531027606284624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0.6037001914253727</v>
      </c>
      <c r="D99" s="20">
        <v>0.5</v>
      </c>
      <c r="E99" s="20">
        <v>0.10370019142537268</v>
      </c>
      <c r="F99" s="19">
        <v>0.2294640694405304</v>
      </c>
      <c r="G99" s="19">
        <v>0.6464121271370601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4.0</v>
      </c>
      <c r="C8" s="19">
        <f>COUNTIFS(Selections!$P$6:$P$47,A8,Selections!$M$6:$M$47,"&gt;0")</f>
        <v>4.0</v>
      </c>
      <c r="D8" s="22">
        <f>IF(C8=0,"n.a.",Breakdowns!J33)</f>
        <v>-2.4699999999999998</v>
      </c>
      <c r="E8" s="22">
        <f>IF(SUM($C$6:C8)=0,"n.a.",SUM($D$6:D8))</f>
        <v>0.3399999999999994</v>
      </c>
      <c r="F8" s="20">
        <f>Breakdowns!H33</f>
        <v>0.25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30</v>
      </c>
      <c r="C8" s="19">
        <v>22</v>
      </c>
      <c r="D8" s="19">
        <v>8</v>
      </c>
      <c r="E8" s="19">
        <v>12</v>
      </c>
      <c r="F8" s="20">
        <v>0.733333</v>
      </c>
      <c r="G8" s="20">
        <v>0.011333</v>
      </c>
      <c r="H8" s="19">
        <v>0.34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2</v>
      </c>
      <c r="E44" s="19">
        <v>1</v>
      </c>
      <c r="F44" s="20">
        <v>0.5</v>
      </c>
      <c r="G44" s="20">
        <v>-0.245</v>
      </c>
      <c r="H44" s="19">
        <v>-0.49</v>
      </c>
      <c r="I44" s="19">
        <v>8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1</v>
      </c>
      <c r="E45" s="19">
        <v>1</v>
      </c>
      <c r="F45" s="20">
        <v>1.0</v>
      </c>
      <c r="G45" s="20">
        <v>0.53</v>
      </c>
      <c r="H45" s="19">
        <v>0.53</v>
      </c>
      <c r="I45" s="19">
        <v>9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3</v>
      </c>
      <c r="E46" s="19">
        <v>1</v>
      </c>
      <c r="F46" s="20">
        <v>0.333333</v>
      </c>
      <c r="G46" s="20">
        <v>-0.49</v>
      </c>
      <c r="H46" s="19">
        <v>-1.47</v>
      </c>
      <c r="I46" s="19">
        <v>9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2026-10-20T13:43:49.512053+00:00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1584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2026-10-18</t>
        </is>
      </c>
      <c r="C10" s="19">
        <v>1969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2026-10-18</t>
        </is>
      </c>
      <c r="C11" s="19">
        <v>1987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1741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1969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6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NOT_COLLECTED</t>
        </is>
      </c>
      <c r="C19" s="18"/>
      <c r="D19" s="18"/>
      <c r="E19" s="18"/>
      <c r="F19" s="18"/>
    </row>
    <row r="20" ht="44" customHeight="1">
      <c r="A20" s="18" t="inlineStr">
        <is>
          <t>EPL</t>
        </is>
      </c>
      <c r="B20" s="18" t="inlineStr">
        <is>
          <t>NOT_COLLECTED</t>
        </is>
      </c>
      <c r="C20" s="18"/>
      <c r="D20" s="18"/>
      <c r="E20" s="18"/>
      <c r="F20" s="18"/>
    </row>
    <row r="21" ht="44" customHeight="1">
      <c r="A21" s="18" t="inlineStr">
        <is>
          <t>LaLiga</t>
        </is>
      </c>
      <c r="B21" s="18" t="inlineStr">
        <is>
          <t>NOT_COLLECTED</t>
        </is>
      </c>
      <c r="C21" s="18"/>
      <c r="D21" s="18"/>
      <c r="E21" s="18"/>
      <c r="F21" s="18"/>
    </row>
    <row r="22" ht="44" customHeight="1">
      <c r="A22" s="18" t="inlineStr">
        <is>
          <t>Ligue1</t>
        </is>
      </c>
      <c r="B22" s="18" t="inlineStr">
        <is>
          <t>NOT_COLLECTED</t>
        </is>
      </c>
      <c r="C22" s="18"/>
      <c r="D22" s="18"/>
      <c r="E22" s="18"/>
      <c r="F22" s="18"/>
    </row>
    <row r="23" ht="44" customHeight="1">
      <c r="A23" s="18" t="inlineStr">
        <is>
          <t>SerieA</t>
        </is>
      </c>
      <c r="B23" s="18" t="inlineStr">
        <is>
          <t>NOT_COLLECTED</t>
        </is>
      </c>
      <c r="C23" s="18"/>
      <c r="D23" s="18"/>
      <c r="E23" s="18"/>
      <c r="F23" s="18"/>
    </row>
    <row r="24" ht="44" customHeight="1">
      <c r="A24" s="18" t="inlineStr">
        <is>
          <t>UCL</t>
        </is>
      </c>
      <c r="B24" s="18" t="inlineStr">
        <is>
          <t>NOT_COLLECTED</t>
        </is>
      </c>
      <c r="C24" s="18"/>
      <c r="D24" s="18"/>
      <c r="E24" s="18"/>
      <c r="F24" s="18"/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15</v>
      </c>
      <c r="C29" s="19">
        <v>18</v>
      </c>
      <c r="D29" s="19">
        <v>9</v>
      </c>
      <c r="E29" s="20">
        <v>-0.015263869459869432</v>
      </c>
      <c r="F29" s="20">
        <v>0.03261078246378731</v>
      </c>
    </row>
    <row r="30" ht="44" customHeight="1">
      <c r="A30" s="18" t="inlineStr">
        <is>
          <t>pinnacle</t>
        </is>
      </c>
      <c r="B30" s="19">
        <v>18</v>
      </c>
      <c r="C30" s="19">
        <v>15</v>
      </c>
      <c r="D30" s="19">
        <v>9</v>
      </c>
      <c r="E30" s="20">
        <v>-0.01801841732721175</v>
      </c>
      <c r="F30" s="20" t="inlineStr">
        <is>
          <t>Unavailable</t>
        </is>
      </c>
    </row>
    <row r="33">
      <c r="A33" s="27" t="inlineStr">
        <is>
          <t>Near-close quotes: latest selections. Observed quotes are not guaranteed official closes; accepted execution is unverified.</t>
        </is>
      </c>
    </row>
    <row r="35">
      <c r="A35" s="26" t="inlineStr">
        <is>
          <t>Latest shortlist quote audit</t>
        </is>
      </c>
    </row>
    <row r="36" ht="34" customHeight="1">
      <c r="A36" s="24" t="inlineStr">
        <is>
          <t>Check</t>
        </is>
      </c>
      <c r="B36" s="24" t="inlineStr">
        <is>
          <t>Recorded value</t>
        </is>
      </c>
    </row>
    <row r="37" ht="44" customHeight="1">
      <c r="A37" s="18" t="inlineStr">
        <is>
          <t>Selected quotes</t>
        </is>
      </c>
      <c r="B37" s="19">
        <v>12</v>
      </c>
    </row>
    <row r="38" ht="44" customHeight="1">
      <c r="A38" s="18" t="inlineStr">
        <is>
          <t>Exchange quotes</t>
        </is>
      </c>
      <c r="B38" s="19">
        <v>0</v>
      </c>
    </row>
    <row r="39" ht="44" customHeight="1">
      <c r="A39" s="18" t="inlineStr">
        <is>
          <t>Missing quote age</t>
        </is>
      </c>
      <c r="B39" s="19">
        <v>0</v>
      </c>
    </row>
    <row r="40" ht="44" customHeight="1">
      <c r="A40" s="18" t="inlineStr">
        <is>
          <t>Quote age over 24h</t>
        </is>
      </c>
      <c r="B40" s="19">
        <v>0</v>
      </c>
    </row>
    <row r="41" ht="44" customHeight="1">
      <c r="A41" s="18" t="inlineStr">
        <is>
          <t>Costs recorded</t>
        </is>
      </c>
      <c r="B41" s="19">
        <v>12</v>
      </c>
    </row>
    <row r="42" ht="44" customHeight="1">
      <c r="A42" s="18" t="inlineStr">
        <is>
          <t>Bookmakers: 1xBet</t>
        </is>
      </c>
      <c r="B42" s="19">
        <v>8</v>
      </c>
    </row>
    <row r="43" ht="44" customHeight="1">
      <c r="A43" s="18" t="inlineStr">
        <is>
          <t>Bookmakers: Pinnacle</t>
        </is>
      </c>
      <c r="B43" s="19">
        <v>4</v>
      </c>
    </row>
    <row r="44" ht="44" customHeight="1">
      <c r="A44" s="18" t="inlineStr">
        <is>
          <t>Account availability</t>
        </is>
      </c>
      <c r="B44" s="18" t="inlineStr">
        <is>
          <t>Not verified with bookmaker accounts</t>
        </is>
      </c>
    </row>
    <row r="45" ht="44" customHeight="1">
      <c r="A45" s="18" t="inlineStr">
        <is>
          <t>Past kickoff count</t>
        </is>
      </c>
      <c r="B45" s="19">
        <v>0</v>
      </c>
    </row>
    <row r="46" ht="44" customHeight="1">
      <c r="A46" s="18" t="inlineStr">
        <is>
          <t>Upcoming kickoff count</t>
        </is>
      </c>
      <c r="B46" s="19">
        <v>12</v>
      </c>
    </row>
    <row r="47" ht="44" customHeight="1">
      <c r="A47" s="18" t="inlineStr">
        <is>
          <t>Unknown kickoff count</t>
        </is>
      </c>
      <c r="B47" s="19">
        <v>0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25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25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21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20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85% market weight</t>
        </is>
      </c>
      <c r="B60" s="18" t="inlineStr">
        <is>
          <t>Captured</t>
        </is>
      </c>
      <c r="C60" s="19">
        <v>18</v>
      </c>
    </row>
    <row r="61" ht="44" customHeight="1">
      <c r="A61" s="18" t="inlineStr">
        <is>
          <t>85% market weight</t>
        </is>
      </c>
      <c r="B61" s="18" t="inlineStr">
        <is>
          <t>Legacy not recorded</t>
        </is>
      </c>
      <c r="C61" s="19">
        <v>20</v>
      </c>
    </row>
    <row r="62" ht="44" customHeight="1">
      <c r="A62" s="18" t="inlineStr">
        <is>
          <t>85% market weight</t>
        </is>
      </c>
      <c r="B62" s="18" t="inlineStr">
        <is>
          <t>Present but rejected</t>
        </is>
      </c>
      <c r="C62" s="19">
        <v>1</v>
      </c>
    </row>
    <row r="63" ht="44" customHeight="1">
      <c r="A63" s="18" t="inlineStr">
        <is>
          <t>Pinnacle totals anchor</t>
        </is>
      </c>
      <c r="B63" s="18" t="inlineStr">
        <is>
          <t>Captured</t>
        </is>
      </c>
      <c r="C63" s="19">
        <v>18</v>
      </c>
    </row>
    <row r="64" ht="44" customHeight="1">
      <c r="A64" s="18" t="inlineStr">
        <is>
          <t>Pinnacle totals anchor</t>
        </is>
      </c>
      <c r="B64" s="18" t="inlineStr">
        <is>
          <t>Legacy not recorded</t>
        </is>
      </c>
      <c r="C64" s="19">
        <v>21</v>
      </c>
    </row>
    <row r="65" ht="44" customHeight="1">
      <c r="A65" s="18" t="inlineStr">
        <is>
          <t>Stronger regularisation (L2=3)</t>
        </is>
      </c>
      <c r="B65" s="18" t="inlineStr">
        <is>
          <t>Legacy not recorded</t>
        </is>
      </c>
      <c r="C65" s="19">
        <v>39</v>
      </c>
    </row>
    <row r="66" ht="44" customHeight="1">
      <c r="A66" s="18" t="inlineStr">
        <is>
          <t>Fixed half-life (480 days)</t>
        </is>
      </c>
      <c r="B66" s="18" t="inlineStr">
        <is>
          <t>Legacy not recorded</t>
        </is>
      </c>
      <c r="C66" s="19">
        <v>39</v>
      </c>
    </row>
    <row r="67" ht="44" customHeight="1">
      <c r="A67" s="18" t="inlineStr">
        <is>
          <t>Probability / calibration policy</t>
        </is>
      </c>
      <c r="B67" s="18" t="inlineStr">
        <is>
          <t>Captured</t>
        </is>
      </c>
      <c r="C67" s="19">
        <v>12</v>
      </c>
    </row>
    <row r="68" ht="44" customHeight="1">
      <c r="A68" s="18" t="inlineStr">
        <is>
          <t>Probability / calibration policy</t>
        </is>
      </c>
      <c r="B68" s="18" t="inlineStr">
        <is>
          <t>Legacy not recorded</t>
        </is>
      </c>
      <c r="C68" s="19">
        <v>26</v>
      </c>
    </row>
    <row r="69" ht="44" customHeight="1">
      <c r="A69" s="18" t="inlineStr">
        <is>
          <t>Probability / calibration policy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Shortlist probability / EV weights</t>
        </is>
      </c>
      <c r="B70" s="18" t="inlineStr">
        <is>
          <t>Captured</t>
        </is>
      </c>
      <c r="C70" s="19">
        <v>4</v>
      </c>
    </row>
    <row r="71" ht="44" customHeight="1">
      <c r="A71" s="18" t="inlineStr">
        <is>
          <t>Shortlist probability / EV weights</t>
        </is>
      </c>
      <c r="B71" s="18" t="inlineStr">
        <is>
          <t>Legacy not recorded</t>
        </is>
      </c>
      <c r="C71" s="19">
        <v>35</v>
      </c>
    </row>
    <row r="74">
      <c r="A74" s="26" t="inlineStr">
        <is>
          <t>EV sensitivity results</t>
        </is>
      </c>
    </row>
    <row r="75" ht="34" customHeight="1">
      <c r="A75" s="24" t="inlineStr">
        <is>
          <t>EV floor</t>
        </is>
      </c>
      <c r="B75" s="24" t="inlineStr">
        <is>
          <t>Tier</t>
        </is>
      </c>
      <c r="C75" s="24" t="inlineStr">
        <is>
          <t>Selected</t>
        </is>
      </c>
      <c r="D75" s="24" t="inlineStr">
        <is>
          <t>Settled</t>
        </is>
      </c>
      <c r="E75" s="24" t="inlineStr">
        <is>
          <t>Simulated ROI</t>
        </is>
      </c>
      <c r="F75" s="24" t="inlineStr">
        <is>
          <t>Drawdown (units)</t>
        </is>
      </c>
    </row>
    <row r="76" ht="44" customHeight="1">
      <c r="A76" s="20">
        <v>0.015</v>
      </c>
      <c r="B76" s="18" t="inlineStr">
        <is>
          <t>ALL</t>
        </is>
      </c>
      <c r="C76" s="19">
        <v>9</v>
      </c>
      <c r="D76" s="19">
        <v>7</v>
      </c>
      <c r="E76" s="20">
        <v>0.12142857142857141</v>
      </c>
      <c r="F76" s="22">
        <v>1.0</v>
      </c>
    </row>
    <row r="77" ht="44" customHeight="1">
      <c r="A77" s="20">
        <v>0.015</v>
      </c>
      <c r="B77" s="18" t="inlineStr">
        <is>
          <t>STRICT</t>
        </is>
      </c>
      <c r="C77" s="19">
        <v>7</v>
      </c>
      <c r="D77" s="19">
        <v>6</v>
      </c>
      <c r="E77" s="20">
        <v>0.09833333333333331</v>
      </c>
      <c r="F77" s="22">
        <v>1.0</v>
      </c>
    </row>
    <row r="78" ht="44" customHeight="1">
      <c r="A78" s="20">
        <v>0.015</v>
      </c>
      <c r="B78" s="18" t="inlineStr">
        <is>
          <t>PROVISIONAL</t>
        </is>
      </c>
      <c r="C78" s="19">
        <v>2</v>
      </c>
      <c r="D78" s="19">
        <v>1</v>
      </c>
      <c r="E78" s="20">
        <v>0.26</v>
      </c>
      <c r="F78" s="22">
        <v>0.0</v>
      </c>
    </row>
    <row r="79" ht="44" customHeight="1">
      <c r="A79" s="20">
        <v>0.03</v>
      </c>
      <c r="B79" s="18" t="inlineStr">
        <is>
          <t>ALL</t>
        </is>
      </c>
      <c r="C79" s="19">
        <v>8</v>
      </c>
      <c r="D79" s="19">
        <v>6</v>
      </c>
      <c r="E79" s="20">
        <v>0.10166666666666664</v>
      </c>
      <c r="F79" s="22">
        <v>1.0</v>
      </c>
    </row>
    <row r="80" ht="44" customHeight="1">
      <c r="A80" s="20">
        <v>0.03</v>
      </c>
      <c r="B80" s="18" t="inlineStr">
        <is>
          <t>STRICT</t>
        </is>
      </c>
      <c r="C80" s="19">
        <v>6</v>
      </c>
      <c r="D80" s="19">
        <v>5</v>
      </c>
      <c r="E80" s="20">
        <v>0.06999999999999998</v>
      </c>
      <c r="F80" s="22">
        <v>1.0</v>
      </c>
    </row>
    <row r="81" ht="44" customHeight="1">
      <c r="A81" s="20">
        <v>0.03</v>
      </c>
      <c r="B81" s="18" t="inlineStr">
        <is>
          <t>PROVISIONAL</t>
        </is>
      </c>
      <c r="C81" s="19">
        <v>2</v>
      </c>
      <c r="D81" s="19">
        <v>1</v>
      </c>
      <c r="E81" s="20">
        <v>0.26</v>
      </c>
      <c r="F81" s="22">
        <v>0.0</v>
      </c>
    </row>
    <row r="82" ht="44" customHeight="1">
      <c r="A82" s="20">
        <v>0.05</v>
      </c>
      <c r="B82" s="18" t="inlineStr">
        <is>
          <t>ALL</t>
        </is>
      </c>
      <c r="C82" s="19">
        <v>7</v>
      </c>
      <c r="D82" s="19">
        <v>5</v>
      </c>
      <c r="E82" s="20">
        <v>0.06999999999999998</v>
      </c>
      <c r="F82" s="22">
        <v>1.0</v>
      </c>
    </row>
    <row r="83" ht="44" customHeight="1">
      <c r="A83" s="20">
        <v>0.05</v>
      </c>
      <c r="B83" s="18" t="inlineStr">
        <is>
          <t>STRICT</t>
        </is>
      </c>
      <c r="C83" s="19">
        <v>5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0.05</v>
      </c>
      <c r="B84" s="18" t="inlineStr">
        <is>
          <t>PROVISIONAL</t>
        </is>
      </c>
      <c r="C84" s="19">
        <v>2</v>
      </c>
      <c r="D84" s="19">
        <v>0</v>
      </c>
      <c r="E84" s="20"/>
      <c r="F84" s="22"/>
    </row>
    <row r="87">
      <c r="A87" s="26" t="inlineStr">
        <is>
          <t>Daily review observations</t>
        </is>
      </c>
    </row>
    <row r="88" ht="34" customHeight="1">
      <c r="A88" s="24" t="inlineStr">
        <is>
          <t>Review date</t>
        </is>
      </c>
      <c r="B88" s="24" t="inlineStr">
        <is>
          <t>Graded</t>
        </is>
      </c>
      <c r="C88" s="24" t="inlineStr">
        <is>
          <t>Win rate</t>
        </is>
      </c>
      <c r="D88" s="24" t="inlineStr">
        <is>
          <t>Simulated ROI</t>
        </is>
      </c>
      <c r="E88" s="24" t="inlineStr">
        <is>
          <t>Brier</t>
        </is>
      </c>
    </row>
    <row r="89" ht="44" customHeight="1">
      <c r="A89" s="18" t="inlineStr">
        <is>
          <t>2026-10-13</t>
        </is>
      </c>
      <c r="B89" s="19">
        <v>9</v>
      </c>
      <c r="C89" s="20">
        <v>0.666667</v>
      </c>
      <c r="D89" s="20">
        <v>-0.096667</v>
      </c>
      <c r="E89" s="21">
        <v>0.250532</v>
      </c>
    </row>
    <row r="90" ht="44" customHeight="1">
      <c r="A90" s="18" t="inlineStr">
        <is>
          <t>2026-10-14</t>
        </is>
      </c>
      <c r="B90" s="19">
        <v>11</v>
      </c>
      <c r="C90" s="20">
        <v>0.727273</v>
      </c>
      <c r="D90" s="20">
        <v>0.01</v>
      </c>
      <c r="E90" s="21">
        <v>0.215932</v>
      </c>
    </row>
    <row r="91" ht="44" customHeight="1">
      <c r="A91" s="18" t="inlineStr">
        <is>
          <t>2026-10-15</t>
        </is>
      </c>
      <c r="B91" s="19">
        <v>11</v>
      </c>
      <c r="C91" s="20">
        <v>0.727273</v>
      </c>
      <c r="D91" s="20">
        <v>0.01</v>
      </c>
      <c r="E91" s="21">
        <v>0.215932</v>
      </c>
    </row>
    <row r="92" ht="44" customHeight="1">
      <c r="A92" s="18" t="inlineStr">
        <is>
          <t>2026-10-16</t>
        </is>
      </c>
      <c r="B92" s="19">
        <v>12</v>
      </c>
      <c r="C92" s="20">
        <v>0.75</v>
      </c>
      <c r="D92" s="20">
        <v>0.031667</v>
      </c>
      <c r="E92" s="21">
        <v>0.199836</v>
      </c>
    </row>
    <row r="93" ht="44" customHeight="1">
      <c r="A93" s="18" t="inlineStr">
        <is>
          <t>2026-10-17</t>
        </is>
      </c>
      <c r="B93" s="19">
        <v>17</v>
      </c>
      <c r="C93" s="20">
        <v>0.764706</v>
      </c>
      <c r="D93" s="20">
        <v>0.044706</v>
      </c>
      <c r="E93" s="21">
        <v>0.178798</v>
      </c>
    </row>
    <row r="94" ht="44" customHeight="1">
      <c r="A94" s="18" t="inlineStr">
        <is>
          <t>2026-10-18</t>
        </is>
      </c>
      <c r="B94" s="19">
        <v>26</v>
      </c>
      <c r="C94" s="20">
        <v>0.807692</v>
      </c>
      <c r="D94" s="20">
        <v>0.108077</v>
      </c>
      <c r="E94" s="21">
        <v>0.161003</v>
      </c>
    </row>
    <row r="95" ht="44" customHeight="1">
      <c r="A95" s="18" t="inlineStr">
        <is>
          <t>2026-10-19</t>
        </is>
      </c>
      <c r="B95" s="19">
        <v>30</v>
      </c>
      <c r="C95" s="20">
        <v>0.733333</v>
      </c>
      <c r="D95" s="20">
        <v>0.011333</v>
      </c>
      <c r="E95" s="21">
        <v>0.175695</v>
      </c>
    </row>
    <row r="96" ht="44" customHeight="1">
      <c r="A96" s="18" t="inlineStr">
        <is>
          <t>2026-10-20</t>
        </is>
      </c>
      <c r="B96" s="19">
        <v>30</v>
      </c>
      <c r="C96" s="20">
        <v>0.733333</v>
      </c>
      <c r="D96" s="20">
        <v>0.011333</v>
      </c>
      <c r="E96" s="21">
        <v>0.175695</v>
      </c>
    </row>
    <row r="99">
      <c r="A99" s="26" t="inlineStr">
        <is>
          <t>Dependency versions</t>
        </is>
      </c>
    </row>
    <row r="100" ht="34" customHeight="1">
      <c r="A100" s="24" t="inlineStr">
        <is>
          <t>Dependency</t>
        </is>
      </c>
      <c r="B100" s="24" t="inlineStr">
        <is>
          <t>Version</t>
        </is>
      </c>
    </row>
    <row r="101" ht="44" customHeight="1">
      <c r="A101" s="18" t="inlineStr">
        <is>
          <t>python</t>
        </is>
      </c>
      <c r="B101" s="18" t="inlineStr">
        <is>
          <t>3.12.15</t>
        </is>
      </c>
    </row>
    <row r="102" ht="44" customHeight="1">
      <c r="A102" s="18" t="inlineStr">
        <is>
          <t>numpy</t>
        </is>
      </c>
      <c r="B102" s="18" t="inlineStr">
        <is>
          <t>2.5.4</t>
        </is>
      </c>
    </row>
    <row r="103" ht="44" customHeight="1">
      <c r="A103" s="18" t="inlineStr">
        <is>
          <t>pandas</t>
        </is>
      </c>
      <c r="B103" s="18" t="inlineStr">
        <is>
          <t>3.0.6</t>
        </is>
      </c>
    </row>
    <row r="104" ht="44" customHeight="1">
      <c r="A104" s="18" t="inlineStr">
        <is>
          <t>scipy</t>
        </is>
      </c>
      <c r="B104" s="18" t="inlineStr">
        <is>
          <t>1.18.1</t>
        </is>
      </c>
    </row>
    <row r="105" ht="44" customHeight="1">
      <c r="A105" s="18" t="inlineStr">
        <is>
          <t>requests</t>
        </is>
      </c>
      <c r="B105" s="18" t="inlineStr">
        <is>
          <t>2.34.2</t>
        </is>
      </c>
    </row>
    <row r="106" ht="44" customHeight="1">
      <c r="A106" s="18" t="inlineStr">
        <is>
          <t>rapidfuzz</t>
        </is>
      </c>
      <c r="B106" s="18" t="inlineStr">
        <is>
          <t>3.14.6</t>
        </is>
      </c>
    </row>
    <row r="107" ht="44" customHeight="1">
      <c r="A107" s="18" t="inlineStr">
        <is>
          <t>python-dotenv</t>
        </is>
      </c>
      <c r="B107" s="18" t="inlineStr">
        <is>
          <t>1.2.4</t>
        </is>
      </c>
    </row>
    <row r="108" ht="44" customHeight="1">
      <c r="A108" s="18" t="inlineStr">
        <is>
          <t>coverage</t>
        </is>
      </c>
      <c r="B108" s="18" t="inlineStr">
        <is>
          <t>NOT_INSTALLED</t>
        </is>
      </c>
    </row>
    <row r="109" ht="44" customHeight="1">
      <c r="A109" s="18" t="inlineStr">
        <is>
          <t>PyYAML</t>
        </is>
      </c>
      <c r="B109" s="18" t="inlineStr">
        <is>
          <t>NOT_INSTALLED</t>
        </is>
      </c>
    </row>
    <row r="112">
      <c r="A112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3:F33"/>
    <mergeCell ref="A35:F35"/>
    <mergeCell ref="A50:F50"/>
    <mergeCell ref="A74:F74"/>
    <mergeCell ref="A87:F87"/>
    <mergeCell ref="A99:F99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hyperlinks>
    <hyperlink ref="A112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