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19.0</v>
                </pt>
                <pt idx="3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2.799999999999999</v>
                </pt>
                <pt idx="3">
                  <v>2.799999999999999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0.9444444444444444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Plan'!$A$10:$A$80</c:f>
              <c:strCache>
                <c:ptCount val="7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2026-10-26T19:30:00+00:00</c:v>
                </c:pt>
              </c:strCache>
            </c:strRef>
          </c:cat>
          <c:val>
            <c:numRef>
              <c:f>'ROI Plan'!$F$10:$F$80</c:f>
              <c:numCache>
                <c:formatCode>General</c:formatCode>
                <c:ptCount val="7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2.8</c:v>
                </c:pt>
                <c:pt idx="51">
                  <c:v>2.8</c:v>
                </c:pt>
                <c:pt idx="52">
                  <c:v>2.8</c:v>
                </c:pt>
                <c:pt idx="53">
                  <c:v>2.8</c:v>
                </c:pt>
                <c:pt idx="54">
                  <c:v>2.8</c:v>
                </c:pt>
                <c:pt idx="55">
                  <c:v>2.8</c:v>
                </c:pt>
                <c:pt idx="56">
                  <c:v>2.8</c:v>
                </c:pt>
                <c:pt idx="57">
                  <c:v>2.8</c:v>
                </c:pt>
                <c:pt idx="58">
                  <c:v>2.8</c:v>
                </c:pt>
                <c:pt idx="59">
                  <c:v>2.8</c:v>
                </c:pt>
                <c:pt idx="60">
                  <c:v>2.8</c:v>
                </c:pt>
                <c:pt idx="61">
                  <c:v>2.8</c:v>
                </c:pt>
                <c:pt idx="62">
                  <c:v>2.8</c:v>
                </c:pt>
                <c:pt idx="63">
                  <c:v>2.8</c:v>
                </c:pt>
                <c:pt idx="64">
                  <c:v>2.8</c:v>
                </c:pt>
                <c:pt idx="65">
                  <c:v>2.8</c:v>
                </c:pt>
                <c:pt idx="66">
                  <c:v>2.8</c:v>
                </c:pt>
                <c:pt idx="67">
                  <c:v>2.8</c:v>
                </c:pt>
                <c:pt idx="68">
                  <c:v>2.8</c:v>
                </c:pt>
                <c:pt idx="69">
                  <c:v>2.8</c:v>
                </c:pt>
                <c:pt idx="70">
                  <c:v>2.8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0.7609135641638696</c:v>
                </c:pt>
                <c:pt idx="4">
                  <c:v>0.8398433686208001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0.75</c:v>
                </c:pt>
                <c:pt idx="4">
                  <c:v>0.8666666666666667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8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6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4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71</v>
      </c>
      <c r="C7" s="18"/>
      <c r="D7" s="18" t="str">
        <v>STRICT</v>
      </c>
      <c r="E7" s="18">
        <f>Breakdowns!D7</f>
        <v>18</v>
      </c>
      <c r="F7" s="20">
        <f>Breakdowns!H7</f>
        <v>0.9444444444444444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45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35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26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0.7777777777777778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0.06222222222222221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2.7999999999999994</v>
      </c>
      <c r="C14" s="18"/>
      <c r="D14" s="18" t="inlineStr">
        <is>
          <t>45 settled; 26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0.15394877879766997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IF(COUNT(Predictions!H6:H244)=0,"n.a.",AVERAGE(Predictions!H6:H244))</f>
        <v>0.5909090909090909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IF(COUNT(Predictions!I6:I244)=0,"n.a.",AVERAGE(Predictions!I6:I244))</f>
        <v>0.5661166812878787</v>
      </c>
      <c r="C17" s="18"/>
      <c r="D17" s="18" t="inlineStr">
        <is>
          <t>Over 1.5</t>
        </is>
      </c>
      <c r="E17" s="18">
        <f>COUNT(Predictions!J6:J244)</f>
        <v>132</v>
      </c>
      <c r="F17" s="20">
        <f>IF(E17=0,"n.a.",AVERAGE(Predictions!J6:J244))</f>
        <v>0.7954545454545454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0.637304262026367</v>
      </c>
      <c r="C18" s="18"/>
      <c r="D18" s="18" t="inlineStr">
        <is>
          <t>Under 3.5</t>
        </is>
      </c>
      <c r="E18" s="18">
        <f>COUNT(Predictions!K6:K244)</f>
        <v>132</v>
      </c>
      <c r="F18" s="20">
        <f>IF(E18=0,"n.a.",AVERAGE(Predictions!K6:K244))</f>
        <v>0.6136363636363636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0.8745544813399436</v>
      </c>
      <c r="C19" s="18"/>
      <c r="D19" s="18" t="inlineStr">
        <is>
          <t>BTTS Yes</t>
        </is>
      </c>
      <c r="E19" s="18">
        <f>COUNT(Predictions!L6:L244)</f>
        <v>132</v>
      </c>
      <c r="F19" s="20">
        <f>IF(E19=0,"n.a.",AVERAGE(Predictions!L6:L244))</f>
        <v>0.553030303030303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COUNT(Predictions!M6:M244)</f>
        <v>132</v>
      </c>
      <c r="F20" s="20">
        <f>IF(E20=0,"n.a.",AVERAGE(Predictions!M6:M244))</f>
        <v>0.553030303030303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35 wins from 45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2026-10-25T13:16:46.121388+00:00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96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2026-10-25 10:25:17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PENDING_KICKOFF_OR_FINAL_SCORE</t>
        </is>
      </c>
      <c r="D60" s="22" t="str">
        <f>IF(ISNUMBER(Selections!M56),Selections!M56,"")</f>
        <v/>
      </c>
      <c r="E60" s="22" t="str">
        <f>IF(ISNUMBER(Selections!N56),Selections!N56,"")</f>
        <v/>
      </c>
      <c r="F60" s="22">
        <f>SUM($E$10:E60)</f>
        <v>2.8</v>
      </c>
      <c r="G60" s="22">
        <f>$B$4+F60</f>
        <v>102.8</v>
      </c>
      <c r="H60" s="22">
        <f>MAX($B$4,$G$10:G60)</f>
        <v>102.81</v>
      </c>
      <c r="I60" s="22">
        <f>H60-G60</f>
        <v>0.010000000000005116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PENDING_KICKOFF_OR_FINAL_SCORE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2.8</v>
      </c>
      <c r="G61" s="22">
        <f>$B$4+F61</f>
        <v>102.8</v>
      </c>
      <c r="H61" s="22">
        <f>MAX($B$4,$G$10:G61)</f>
        <v>102.81</v>
      </c>
      <c r="I61" s="22">
        <f>H61-G61</f>
        <v>0.010000000000005116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PENDING_KICKOFF_OR_FINAL_SCORE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2.8</v>
      </c>
      <c r="G62" s="22">
        <f>$B$4+F62</f>
        <v>102.8</v>
      </c>
      <c r="H62" s="22">
        <f>MAX($B$4,$G$10:G62)</f>
        <v>102.81</v>
      </c>
      <c r="I62" s="22">
        <f>H62-G62</f>
        <v>0.010000000000005116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PENDING_KICKOFF_OR_FINAL_SCORE</t>
        </is>
      </c>
      <c r="D63" s="22" t="str">
        <f>IF(ISNUMBER(Selections!M59),Selections!M59,"")</f>
        <v/>
      </c>
      <c r="E63" s="22" t="str">
        <f>IF(ISNUMBER(Selections!N59),Selections!N59,"")</f>
        <v/>
      </c>
      <c r="F63" s="22">
        <f>SUM($E$10:E63)</f>
        <v>2.8</v>
      </c>
      <c r="G63" s="22">
        <f>$B$4+F63</f>
        <v>102.8</v>
      </c>
      <c r="H63" s="22">
        <f>MAX($B$4,$G$10:G63)</f>
        <v>102.81</v>
      </c>
      <c r="I63" s="22">
        <f>H63-G63</f>
        <v>0.010000000000005116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PENDING_KICKOFF_OR_FINAL_SCORE</t>
        </is>
      </c>
      <c r="D64" s="22" t="str">
        <f>IF(ISNUMBER(Selections!M60),Selections!M60,"")</f>
        <v/>
      </c>
      <c r="E64" s="22" t="str">
        <f>IF(ISNUMBER(Selections!N60),Selections!N60,"")</f>
        <v/>
      </c>
      <c r="F64" s="22">
        <f>SUM($E$10:E64)</f>
        <v>2.8</v>
      </c>
      <c r="G64" s="22">
        <f>$B$4+F64</f>
        <v>102.8</v>
      </c>
      <c r="H64" s="22">
        <f>MAX($B$4,$G$10:G64)</f>
        <v>102.81</v>
      </c>
      <c r="I64" s="22">
        <f>H64-G64</f>
        <v>0.010000000000005116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PENDING_KICKOFF_OR_FINAL_SCORE</t>
        </is>
      </c>
      <c r="D65" s="22" t="str">
        <f>IF(ISNUMBER(Selections!M61),Selections!M61,"")</f>
        <v/>
      </c>
      <c r="E65" s="22" t="str">
        <f>IF(ISNUMBER(Selections!N61),Selections!N61,"")</f>
        <v/>
      </c>
      <c r="F65" s="22">
        <f>SUM($E$10:E65)</f>
        <v>2.8</v>
      </c>
      <c r="G65" s="22">
        <f>$B$4+F65</f>
        <v>102.8</v>
      </c>
      <c r="H65" s="22">
        <f>MAX($B$4,$G$10:G65)</f>
        <v>102.81</v>
      </c>
      <c r="I65" s="22">
        <f>H65-G65</f>
        <v>0.010000000000005116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PENDING_KICKOFF_OR_FINAL_SCORE</t>
        </is>
      </c>
      <c r="D66" s="22" t="str">
        <f>IF(ISNUMBER(Selections!M62),Selections!M62,"")</f>
        <v/>
      </c>
      <c r="E66" s="22" t="str">
        <f>IF(ISNUMBER(Selections!N62),Selections!N62,"")</f>
        <v/>
      </c>
      <c r="F66" s="22">
        <f>SUM($E$10:E66)</f>
        <v>2.8</v>
      </c>
      <c r="G66" s="22">
        <f>$B$4+F66</f>
        <v>102.8</v>
      </c>
      <c r="H66" s="22">
        <f>MAX($B$4,$G$10:G66)</f>
        <v>102.81</v>
      </c>
      <c r="I66" s="22">
        <f>H66-G66</f>
        <v>0.010000000000005116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PENDING_KICKOFF_OR_FINAL_SCORE</t>
        </is>
      </c>
      <c r="D67" s="22" t="str">
        <f>IF(ISNUMBER(Selections!M63),Selections!M63,"")</f>
        <v/>
      </c>
      <c r="E67" s="22" t="str">
        <f>IF(ISNUMBER(Selections!N63),Selections!N63,"")</f>
        <v/>
      </c>
      <c r="F67" s="22">
        <f>SUM($E$10:E67)</f>
        <v>2.8</v>
      </c>
      <c r="G67" s="22">
        <f>$B$4+F67</f>
        <v>102.8</v>
      </c>
      <c r="H67" s="22">
        <f>MAX($B$4,$G$10:G67)</f>
        <v>102.81</v>
      </c>
      <c r="I67" s="22">
        <f>H67-G67</f>
        <v>0.010000000000005116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PENDING_KICKOFF_OR_FINAL_SCORE</t>
        </is>
      </c>
      <c r="D68" s="22" t="str">
        <f>IF(ISNUMBER(Selections!M64),Selections!M64,"")</f>
        <v/>
      </c>
      <c r="E68" s="22" t="str">
        <f>IF(ISNUMBER(Selections!N64),Selections!N64,"")</f>
        <v/>
      </c>
      <c r="F68" s="22">
        <f>SUM($E$10:E68)</f>
        <v>2.8</v>
      </c>
      <c r="G68" s="22">
        <f>$B$4+F68</f>
        <v>102.8</v>
      </c>
      <c r="H68" s="22">
        <f>MAX($B$4,$G$10:G68)</f>
        <v>102.81</v>
      </c>
      <c r="I68" s="22">
        <f>H68-G68</f>
        <v>0.010000000000005116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PENDING_KICKOFF_OR_FINAL_SCORE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2.8</v>
      </c>
      <c r="G69" s="22">
        <f>$B$4+F69</f>
        <v>102.8</v>
      </c>
      <c r="H69" s="22">
        <f>MAX($B$4,$G$10:G69)</f>
        <v>102.81</v>
      </c>
      <c r="I69" s="22">
        <f>H69-G69</f>
        <v>0.010000000000005116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PENDING_KICKOFF_OR_FINAL_SCORE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2.8</v>
      </c>
      <c r="G70" s="22">
        <f>$B$4+F70</f>
        <v>102.8</v>
      </c>
      <c r="H70" s="22">
        <f>MAX($B$4,$G$10:G70)</f>
        <v>102.81</v>
      </c>
      <c r="I70" s="22">
        <f>H70-G70</f>
        <v>0.010000000000005116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PENDING_KICKOFF_OR_FINAL_SCORE</t>
        </is>
      </c>
      <c r="D71" s="22" t="str">
        <f>IF(ISNUMBER(Selections!M67),Selections!M67,"")</f>
        <v/>
      </c>
      <c r="E71" s="22" t="str">
        <f>IF(ISNUMBER(Selections!N67),Selections!N67,"")</f>
        <v/>
      </c>
      <c r="F71" s="22">
        <f>SUM($E$10:E71)</f>
        <v>2.8</v>
      </c>
      <c r="G71" s="22">
        <f>$B$4+F71</f>
        <v>102.8</v>
      </c>
      <c r="H71" s="22">
        <f>MAX($B$4,$G$10:G71)</f>
        <v>102.81</v>
      </c>
      <c r="I71" s="22">
        <f>H71-G71</f>
        <v>0.010000000000005116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PENDING_KICKOFF_OR_FINAL_SCORE</t>
        </is>
      </c>
      <c r="D72" s="22" t="str">
        <f>IF(ISNUMBER(Selections!M68),Selections!M68,"")</f>
        <v/>
      </c>
      <c r="E72" s="22" t="str">
        <f>IF(ISNUMBER(Selections!N68),Selections!N68,"")</f>
        <v/>
      </c>
      <c r="F72" s="22">
        <f>SUM($E$10:E72)</f>
        <v>2.8</v>
      </c>
      <c r="G72" s="22">
        <f>$B$4+F72</f>
        <v>102.8</v>
      </c>
      <c r="H72" s="22">
        <f>MAX($B$4,$G$10:G72)</f>
        <v>102.81</v>
      </c>
      <c r="I72" s="22">
        <f>H72-G72</f>
        <v>0.010000000000005116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PENDING_KICKOFF_OR_FINAL_SCORE</t>
        </is>
      </c>
      <c r="D73" s="22" t="str">
        <f>IF(ISNUMBER(Selections!M69),Selections!M69,"")</f>
        <v/>
      </c>
      <c r="E73" s="22" t="str">
        <f>IF(ISNUMBER(Selections!N69),Selections!N69,"")</f>
        <v/>
      </c>
      <c r="F73" s="22">
        <f>SUM($E$10:E73)</f>
        <v>2.8</v>
      </c>
      <c r="G73" s="22">
        <f>$B$4+F73</f>
        <v>102.8</v>
      </c>
      <c r="H73" s="22">
        <f>MAX($B$4,$G$10:G73)</f>
        <v>102.81</v>
      </c>
      <c r="I73" s="22">
        <f>H73-G73</f>
        <v>0.010000000000005116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PENDING_KICKOFF_OR_FINAL_SCORE</t>
        </is>
      </c>
      <c r="D74" s="22" t="str">
        <f>IF(ISNUMBER(Selections!M70),Selections!M70,"")</f>
        <v/>
      </c>
      <c r="E74" s="22" t="str">
        <f>IF(ISNUMBER(Selections!N70),Selections!N70,"")</f>
        <v/>
      </c>
      <c r="F74" s="22">
        <f>SUM($E$10:E74)</f>
        <v>2.8</v>
      </c>
      <c r="G74" s="22">
        <f>$B$4+F74</f>
        <v>102.8</v>
      </c>
      <c r="H74" s="22">
        <f>MAX($B$4,$G$10:G74)</f>
        <v>102.81</v>
      </c>
      <c r="I74" s="22">
        <f>H74-G74</f>
        <v>0.010000000000005116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PENDING_KICKOFF_OR_FINAL_SCORE</t>
        </is>
      </c>
      <c r="D75" s="22" t="str">
        <f>IF(ISNUMBER(Selections!M71),Selections!M71,"")</f>
        <v/>
      </c>
      <c r="E75" s="22" t="str">
        <f>IF(ISNUMBER(Selections!N71),Selections!N71,"")</f>
        <v/>
      </c>
      <c r="F75" s="22">
        <f>SUM($E$10:E75)</f>
        <v>2.8</v>
      </c>
      <c r="G75" s="22">
        <f>$B$4+F75</f>
        <v>102.8</v>
      </c>
      <c r="H75" s="22">
        <f>MAX($B$4,$G$10:G75)</f>
        <v>102.81</v>
      </c>
      <c r="I75" s="22">
        <f>H75-G75</f>
        <v>0.010000000000005116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PENDING_KICKOFF_OR_FINAL_SCORE</t>
        </is>
      </c>
      <c r="D76" s="22" t="str">
        <f>IF(ISNUMBER(Selections!M72),Selections!M72,"")</f>
        <v/>
      </c>
      <c r="E76" s="22" t="str">
        <f>IF(ISNUMBER(Selections!N72),Selections!N72,"")</f>
        <v/>
      </c>
      <c r="F76" s="22">
        <f>SUM($E$10:E76)</f>
        <v>2.8</v>
      </c>
      <c r="G76" s="22">
        <f>$B$4+F76</f>
        <v>102.8</v>
      </c>
      <c r="H76" s="22">
        <f>MAX($B$4,$G$10:G76)</f>
        <v>102.81</v>
      </c>
      <c r="I76" s="22">
        <f>H76-G76</f>
        <v>0.010000000000005116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PENDING_KICKOFF_OR_FINAL_SCORE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2.8</v>
      </c>
      <c r="G77" s="22">
        <f>$B$4+F77</f>
        <v>102.8</v>
      </c>
      <c r="H77" s="22">
        <f>MAX($B$4,$G$10:G77)</f>
        <v>102.81</v>
      </c>
      <c r="I77" s="22">
        <f>H77-G77</f>
        <v>0.010000000000005116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PENDING_KICKOFF_OR_FINAL_SCORE</t>
        </is>
      </c>
      <c r="D78" s="22" t="str">
        <f>IF(ISNUMBER(Selections!M74),Selections!M74,"")</f>
        <v/>
      </c>
      <c r="E78" s="22" t="str">
        <f>IF(ISNUMBER(Selections!N74),Selections!N74,"")</f>
        <v/>
      </c>
      <c r="F78" s="22">
        <f>SUM($E$10:E78)</f>
        <v>2.8</v>
      </c>
      <c r="G78" s="22">
        <f>$B$4+F78</f>
        <v>102.8</v>
      </c>
      <c r="H78" s="22">
        <f>MAX($B$4,$G$10:G78)</f>
        <v>102.81</v>
      </c>
      <c r="I78" s="22">
        <f>H78-G78</f>
        <v>0.010000000000005116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PENDING_KICKOFF_OR_FINAL_SCORE</t>
        </is>
      </c>
      <c r="D79" s="22" t="str">
        <f>IF(ISNUMBER(Selections!M75),Selections!M75,"")</f>
        <v/>
      </c>
      <c r="E79" s="22" t="str">
        <f>IF(ISNUMBER(Selections!N75),Selections!N75,"")</f>
        <v/>
      </c>
      <c r="F79" s="22">
        <f>SUM($E$10:E79)</f>
        <v>2.8</v>
      </c>
      <c r="G79" s="22">
        <f>$B$4+F79</f>
        <v>102.8</v>
      </c>
      <c r="H79" s="22">
        <f>MAX($B$4,$G$10:G79)</f>
        <v>102.81</v>
      </c>
      <c r="I79" s="22">
        <f>H79-G79</f>
        <v>0.010000000000005116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2026-10-26T19:30:00+00:00</t>
        </is>
      </c>
      <c r="B80" s="18" t="inlineStr">
        <is>
          <t>Paris Saint Germain vs Lyon</t>
        </is>
      </c>
      <c r="C80" s="18" t="inlineStr">
        <is>
          <t>PENDING_KICKOFF_OR_FINAL_SCORE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2.8</v>
      </c>
      <c r="G80" s="22">
        <f>$B$4+F80</f>
        <v>102.8</v>
      </c>
      <c r="H80" s="22">
        <f>MAX($B$4,$G$10:G80)</f>
        <v>102.81</v>
      </c>
      <c r="I80" s="22">
        <f>H80-G80</f>
        <v>0.010000000000005116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</sheetData>
  <mergeCells count="1">
    <mergeCell ref="A2:J2"/>
  </mergeCells>
  <conditionalFormatting sqref="E10:E8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COUNTA(Selections!$A$6:$A$76)</f>
        <v>71</v>
      </c>
      <c r="D6" s="19">
        <f>((COUNTIFS(Selections!$K$6:$K$76,"WON")+COUNTIFS(Selections!$K$6:$K$76,"HALF_WON"))+(COUNTIFS(Selections!$K$6:$K$76,"LOST")+COUNTIFS(Selections!$K$6:$K$76,"HALF_LOST"))+COUNTIFS(Selections!$K$6:$K$76,"REFUNDED"))</f>
        <v>45</v>
      </c>
      <c r="E6" s="19">
        <f>(COUNTIFS(Selections!$K$6:$K$76,"WON")+COUNTIFS(Selections!$K$6:$K$76,"HALF_WON"))</f>
        <v>35</v>
      </c>
      <c r="F6" s="19">
        <f>(COUNTIFS(Selections!$K$6:$K$76,"LOST")+COUNTIFS(Selections!$K$6:$K$76,"HALF_LOST"))</f>
        <v>10</v>
      </c>
      <c r="G6" s="19">
        <f>COUNTA(Selections!$A$6:$A$76)-((COUNTIFS(Selections!$K$6:$K$76,"WON")+COUNTIFS(Selections!$K$6:$K$76,"HALF_WON"))+(COUNTIFS(Selections!$K$6:$K$76,"LOST")+COUNTIFS(Selections!$K$6:$K$76,"HALF_LOST"))+COUNTIFS(Selections!$K$6:$K$76,"REFUNDED"))</f>
        <v>26</v>
      </c>
      <c r="H6" s="20">
        <f>IF(((COUNTIFS(Selections!$K$6:$K$76,"WON")+COUNTIFS(Selections!$K$6:$K$76,"HALF_WON"))+(COUNTIFS(Selections!$K$6:$K$76,"LOST")+COUNTIFS(Selections!$K$6:$K$76,"HALF_LOST"))+COUNTIFS(Selections!$K$6:$K$76,"REFUNDED"))=0,"n.a.",(COUNTIFS(Selections!$K$6:$K$76,"WON")+COUNTIFS(Selections!$K$6:$K$76,"HALF_WON"))/((COUNTIFS(Selections!$K$6:$K$76,"WON")+COUNTIFS(Selections!$K$6:$K$76,"HALF_WON"))+(COUNTIFS(Selections!$K$6:$K$76,"LOST")+COUNTIFS(Selections!$K$6:$K$76,"HALF_LOST"))+COUNTIFS(Selections!$K$6:$K$76,"REFUNDED")))</f>
        <v>0.7777777777777778</v>
      </c>
      <c r="I6" s="22">
        <f>SUM(Selections!$M$6:$M$76)</f>
        <v>45</v>
      </c>
      <c r="J6" s="22">
        <f>SUM(Selections!$N$6:$N$76)</f>
        <v>2.7999999999999994</v>
      </c>
      <c r="K6" s="20">
        <f>IF(SUM(Selections!$M$6:$M$76)=0,"n.a.",SUM(Selections!$N$6:$N$76)/SUM(Selections!$M$6:$M$76))</f>
        <v>0.06222222222222221</v>
      </c>
      <c r="L6" s="21">
        <f>IF(SUM(Selections!$T$6:$T$76)=0,"n.a.",SUM(Selections!$O$6:$O$76)/SUM(Selections!$T$6:$T$76))</f>
        <v>0.15394877879766997</v>
      </c>
      <c r="M6" s="20">
        <f>IF(SUM(Selections!$T$6:$T$76)=0,"n.a.",SUM(Selections!$S$6:$S$76)/SUM(Selections!$T$6:$T$76))</f>
        <v>0.770578829621691</v>
      </c>
      <c r="N6" s="20">
        <f>IF(SUM(Selections!$T$6:$T$76)=0,"n.a.",(SUMIFS(Selections!$L$6:$L$76,Selections!$T$6:$T$76,1))/SUM(Selections!$T$6:$T$76))</f>
        <v>0.7777777777777778</v>
      </c>
      <c r="O6" s="20">
        <f>IF(SUM(Selections!$T$6:$T$76)=0,"n.a.",(SUM(Selections!$S$6:$S$76)-(SUMIFS(Selections!$L$6:$L$76,Selections!$T$6:$T$76,1)))/SUM(Selections!$T$6:$T$76))</f>
        <v>-0.007198948156086793</v>
      </c>
      <c r="P6" s="19">
        <f>SUM(Selections!$T$6:$T$76)</f>
        <v>45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COUNTIFS(Selections!$F$6:$F$76,"STRICT")</f>
        <v>42</v>
      </c>
      <c r="D7" s="19">
        <f>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</f>
        <v>18</v>
      </c>
      <c r="E7" s="19">
        <f>(COUNTIFS(Selections!$F$6:$F$76,"STRICT",Selections!$K$6:$K$76,"WON")+COUNTIFS(Selections!$F$6:$F$76,"STRICT",Selections!$K$6:$K$76,"HALF_WON"))</f>
        <v>17</v>
      </c>
      <c r="F7" s="19">
        <f>(COUNTIFS(Selections!$F$6:$F$76,"STRICT",Selections!$K$6:$K$76,"LOST")+COUNTIFS(Selections!$F$6:$F$76,"STRICT",Selections!$K$6:$K$76,"HALF_LOST"))</f>
        <v>1</v>
      </c>
      <c r="G7" s="19">
        <f>COUNTIFS(Selections!$F$6:$F$76,"STRICT")-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</f>
        <v>24</v>
      </c>
      <c r="H7" s="20">
        <f>IF(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=0,"n.a.",(COUNTIFS(Selections!$F$6:$F$76,"STRICT",Selections!$K$6:$K$76,"WON")+COUNTIFS(Selections!$F$6:$F$76,"STRICT",Selections!$K$6:$K$76,"HALF_WON"))/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)</f>
        <v>0.9444444444444444</v>
      </c>
      <c r="I7" s="22">
        <f>SUMIFS(Selections!$M$6:$M$76,Selections!$F$6:$F$76,"STRICT")</f>
        <v>18</v>
      </c>
      <c r="J7" s="22">
        <f>SUMIFS(Selections!$N$6:$N$76,Selections!$F$6:$F$76,"STRICT")</f>
        <v>5.6899999999999995</v>
      </c>
      <c r="K7" s="20">
        <f>IF(SUMIFS(Selections!$M$6:$M$76,Selections!$F$6:$F$76,"STRICT")=0,"n.a.",SUMIFS(Selections!$N$6:$N$76,Selections!$F$6:$F$76,"STRICT")/SUMIFS(Selections!$M$6:$M$76,Selections!$F$6:$F$76,"STRICT"))</f>
        <v>0.31611111111111106</v>
      </c>
      <c r="L7" s="21">
        <f>IF(SUMIFS(Selections!$T$6:$T$76,Selections!$F$6:$F$76,"STRICT")=0,"n.a.",SUMIFS(Selections!$O$6:$O$76,Selections!$F$6:$F$76,"STRICT")/SUMIFS(Selections!$T$6:$T$76,Selections!$F$6:$F$76,"STRICT"))</f>
        <v>0.07015217476381905</v>
      </c>
      <c r="M7" s="20">
        <f>IF(SUMIFS(Selections!$T$6:$T$76,Selections!$F$6:$F$76,"STRICT")=0,"n.a.",SUMIFS(Selections!$S$6:$S$76,Selections!$F$6:$F$76,"STRICT")/SUMIFS(Selections!$T$6:$T$76,Selections!$F$6:$F$76,"STRICT"))</f>
        <v>0.7866759221970586</v>
      </c>
      <c r="N7" s="20">
        <f>IF(SUMIFS(Selections!$T$6:$T$76,Selections!$F$6:$F$76,"STRICT")=0,"n.a.",(SUMIFS(Selections!$L$6:$L$76,Selections!$F$6:$F$76,"STRICT",Selections!$T$6:$T$76,1))/SUMIFS(Selections!$T$6:$T$76,Selections!$F$6:$F$76,"STRICT"))</f>
        <v>0.9444444444444444</v>
      </c>
      <c r="O7" s="20">
        <f>IF(SUMIFS(Selections!$T$6:$T$76,Selections!$F$6:$F$76,"STRICT")=0,"n.a.",(SUMIFS(Selections!$S$6:$S$76,Selections!$F$6:$F$76,"STRICT")-(SUMIFS(Selections!$L$6:$L$76,Selections!$F$6:$F$76,"STRICT",Selections!$T$6:$T$76,1)))/SUMIFS(Selections!$T$6:$T$76,Selections!$F$6:$F$76,"STRICT"))</f>
        <v>-0.1577685222473858</v>
      </c>
      <c r="P7" s="19">
        <f>SUMIFS(Selections!$T$6:$T$76,Selections!$F$6:$F$76,"STRICT")</f>
        <v>18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(n=18).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COUNTIFS(Selections!$F$6:$F$76,"PROVISIONAL")</f>
        <v>29</v>
      </c>
      <c r="D8" s="19">
        <f>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</f>
        <v>27</v>
      </c>
      <c r="E8" s="19">
        <f>(COUNTIFS(Selections!$F$6:$F$76,"PROVISIONAL",Selections!$K$6:$K$76,"WON")+COUNTIFS(Selections!$F$6:$F$76,"PROVISIONAL",Selections!$K$6:$K$76,"HALF_WON"))</f>
        <v>18</v>
      </c>
      <c r="F8" s="19">
        <f>(COUNTIFS(Selections!$F$6:$F$76,"PROVISIONAL",Selections!$K$6:$K$76,"LOST")+COUNTIFS(Selections!$F$6:$F$76,"PROVISIONAL",Selections!$K$6:$K$76,"HALF_LOST"))</f>
        <v>9</v>
      </c>
      <c r="G8" s="19">
        <f>COUNTIFS(Selections!$F$6:$F$76,"PROVISIONAL")-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</f>
        <v>2</v>
      </c>
      <c r="H8" s="20">
        <f>IF(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=0,"n.a.",(COUNTIFS(Selections!$F$6:$F$76,"PROVISIONAL",Selections!$K$6:$K$76,"WON")+COUNTIFS(Selections!$F$6:$F$76,"PROVISIONAL",Selections!$K$6:$K$76,"HALF_WON"))/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)</f>
        <v>0.6666666666666666</v>
      </c>
      <c r="I8" s="22">
        <f>SUMIFS(Selections!$M$6:$M$76,Selections!$F$6:$F$76,"PROVISIONAL")</f>
        <v>27</v>
      </c>
      <c r="J8" s="22">
        <f>SUMIFS(Selections!$N$6:$N$76,Selections!$F$6:$F$76,"PROVISIONAL")</f>
        <v>-2.8900000000000006</v>
      </c>
      <c r="K8" s="20">
        <f>IF(SUMIFS(Selections!$M$6:$M$76,Selections!$F$6:$F$76,"PROVISIONAL")=0,"n.a.",SUMIFS(Selections!$N$6:$N$76,Selections!$F$6:$F$76,"PROVISIONAL")/SUMIFS(Selections!$M$6:$M$76,Selections!$F$6:$F$76,"PROVISIONAL"))</f>
        <v>-0.10703703703703706</v>
      </c>
      <c r="L8" s="21">
        <f>IF(SUMIFS(Selections!$T$6:$T$76,Selections!$F$6:$F$76,"PROVISIONAL")=0,"n.a.",SUMIFS(Selections!$O$6:$O$76,Selections!$F$6:$F$76,"PROVISIONAL")/SUMIFS(Selections!$T$6:$T$76,Selections!$F$6:$F$76,"PROVISIONAL"))</f>
        <v>0.20981318148690395</v>
      </c>
      <c r="M8" s="20">
        <f>IF(SUMIFS(Selections!$T$6:$T$76,Selections!$F$6:$F$76,"PROVISIONAL")=0,"n.a.",SUMIFS(Selections!$S$6:$S$76,Selections!$F$6:$F$76,"PROVISIONAL")/SUMIFS(Selections!$T$6:$T$76,Selections!$F$6:$F$76,"PROVISIONAL"))</f>
        <v>0.7598474345714459</v>
      </c>
      <c r="N8" s="20">
        <f>IF(SUMIFS(Selections!$T$6:$T$76,Selections!$F$6:$F$76,"PROVISIONAL")=0,"n.a.",(SUMIFS(Selections!$L$6:$L$76,Selections!$F$6:$F$76,"PROVISIONAL",Selections!$T$6:$T$76,1))/SUMIFS(Selections!$T$6:$T$76,Selections!$F$6:$F$76,"PROVISIONAL"))</f>
        <v>0.6666666666666666</v>
      </c>
      <c r="O8" s="20">
        <f>IF(SUMIFS(Selections!$T$6:$T$76,Selections!$F$6:$F$76,"PROVISIONAL")=0,"n.a.",(SUMIFS(Selections!$S$6:$S$76,Selections!$F$6:$F$76,"PROVISIONAL")-(SUMIFS(Selections!$L$6:$L$76,Selections!$F$6:$F$76,"PROVISIONAL",Selections!$T$6:$T$76,1)))/SUMIFS(Selections!$T$6:$T$76,Selections!$F$6:$F$76,"PROVISIONAL"))</f>
        <v>0.09318076790477925</v>
      </c>
      <c r="P8" s="19">
        <f>SUMIFS(Selections!$T$6:$T$76,Selections!$F$6:$F$76,"PROVISIONAL")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COUNTIFS(Selections!$C$6:$C$76,"Bundesliga")</f>
        <v>8</v>
      </c>
      <c r="D9" s="19">
        <f>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</f>
        <v>6</v>
      </c>
      <c r="E9" s="19">
        <f>(COUNTIFS(Selections!$C$6:$C$76,"Bundesliga",Selections!$K$6:$K$76,"WON")+COUNTIFS(Selections!$C$6:$C$76,"Bundesliga",Selections!$K$6:$K$76,"HALF_WON"))</f>
        <v>6</v>
      </c>
      <c r="F9" s="19">
        <f>(COUNTIFS(Selections!$C$6:$C$76,"Bundesliga",Selections!$K$6:$K$76,"LOST")+COUNTIFS(Selections!$C$6:$C$76,"Bundesliga",Selections!$K$6:$K$76,"HALF_LOST"))</f>
        <v>0</v>
      </c>
      <c r="G9" s="19">
        <f>COUNTIFS(Selections!$C$6:$C$76,"Bundesliga")-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</f>
        <v>2</v>
      </c>
      <c r="H9" s="20">
        <f>IF(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=0,"n.a.",(COUNTIFS(Selections!$C$6:$C$76,"Bundesliga",Selections!$K$6:$K$76,"WON")+COUNTIFS(Selections!$C$6:$C$76,"Bundesliga",Selections!$K$6:$K$76,"HALF_WON"))/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)</f>
        <v>1.0</v>
      </c>
      <c r="I9" s="22">
        <f>SUMIFS(Selections!$M$6:$M$76,Selections!$C$6:$C$76,"Bundesliga")</f>
        <v>6</v>
      </c>
      <c r="J9" s="22">
        <f>SUMIFS(Selections!$N$6:$N$76,Selections!$C$6:$C$76,"Bundesliga")</f>
        <v>1.68</v>
      </c>
      <c r="K9" s="20">
        <f>IF(SUMIFS(Selections!$M$6:$M$76,Selections!$C$6:$C$76,"Bundesliga")=0,"n.a.",SUMIFS(Selections!$N$6:$N$76,Selections!$C$6:$C$76,"Bundesliga")/SUMIFS(Selections!$M$6:$M$76,Selections!$C$6:$C$76,"Bundesliga"))</f>
        <v>0.27999999999999997</v>
      </c>
      <c r="L9" s="21">
        <f>IF(SUMIFS(Selections!$T$6:$T$76,Selections!$C$6:$C$76,"Bundesliga")=0,"n.a.",SUMIFS(Selections!$O$6:$O$76,Selections!$C$6:$C$76,"Bundesliga")/SUMIFS(Selections!$T$6:$T$76,Selections!$C$6:$C$76,"Bundesliga"))</f>
        <v>0.03197949555957827</v>
      </c>
      <c r="M9" s="20">
        <f>IF(SUMIFS(Selections!$T$6:$T$76,Selections!$C$6:$C$76,"Bundesliga")=0,"n.a.",SUMIFS(Selections!$S$6:$S$76,Selections!$C$6:$C$76,"Bundesliga")/SUMIFS(Selections!$T$6:$T$76,Selections!$C$6:$C$76,"Bundesliga"))</f>
        <v>0.8285876183576812</v>
      </c>
      <c r="N9" s="20">
        <f>IF(SUMIFS(Selections!$T$6:$T$76,Selections!$C$6:$C$76,"Bundesliga")=0,"n.a.",(SUMIFS(Selections!$L$6:$L$76,Selections!$C$6:$C$76,"Bundesliga",Selections!$T$6:$T$76,1))/SUMIFS(Selections!$T$6:$T$76,Selections!$C$6:$C$76,"Bundesliga"))</f>
        <v>1.0</v>
      </c>
      <c r="O9" s="20">
        <f>IF(SUMIFS(Selections!$T$6:$T$76,Selections!$C$6:$C$76,"Bundesliga")=0,"n.a.",(SUMIFS(Selections!$S$6:$S$76,Selections!$C$6:$C$76,"Bundesliga")-(SUMIFS(Selections!$L$6:$L$76,Selections!$C$6:$C$76,"Bundesliga",Selections!$T$6:$T$76,1)))/SUMIFS(Selections!$T$6:$T$76,Selections!$C$6:$C$76,"Bundesliga"))</f>
        <v>-0.17141238164231876</v>
      </c>
      <c r="P9" s="19">
        <f>SUMIFS(Selections!$T$6:$T$76,Selections!$C$6:$C$76,"Bundesliga")</f>
        <v>6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(n=6).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COUNTIFS(Selections!$C$6:$C$76,"Eredivisie")</f>
        <v>3</v>
      </c>
      <c r="D10" s="19">
        <f>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</f>
        <v>0</v>
      </c>
      <c r="E10" s="19">
        <f>(COUNTIFS(Selections!$C$6:$C$76,"Eredivisie",Selections!$K$6:$K$76,"WON")+COUNTIFS(Selections!$C$6:$C$76,"Eredivisie",Selections!$K$6:$K$76,"HALF_WON"))</f>
        <v>0</v>
      </c>
      <c r="F10" s="19">
        <f>(COUNTIFS(Selections!$C$6:$C$76,"Eredivisie",Selections!$K$6:$K$76,"LOST")+COUNTIFS(Selections!$C$6:$C$76,"Eredivisie",Selections!$K$6:$K$76,"HALF_LOST"))</f>
        <v>0</v>
      </c>
      <c r="G10" s="19">
        <f>COUNTIFS(Selections!$C$6:$C$76,"Eredivisie")-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</f>
        <v>3</v>
      </c>
      <c r="H10" s="20" t="str">
        <f>IF(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=0,"n.a.",(COUNTIFS(Selections!$C$6:$C$76,"Eredivisie",Selections!$K$6:$K$76,"WON")+COUNTIFS(Selections!$C$6:$C$76,"Eredivisie",Selections!$K$6:$K$76,"HALF_WON"))/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)</f>
        <v>n.a.</v>
      </c>
      <c r="I10" s="22">
        <f>SUMIFS(Selections!$M$6:$M$76,Selections!$C$6:$C$76,"Eredivisie")</f>
        <v>0</v>
      </c>
      <c r="J10" s="22">
        <f>SUMIFS(Selections!$N$6:$N$76,Selections!$C$6:$C$76,"Eredivisie")</f>
        <v>0</v>
      </c>
      <c r="K10" s="20" t="str">
        <f>IF(SUMIFS(Selections!$M$6:$M$76,Selections!$C$6:$C$76,"Eredivisie")=0,"n.a.",SUMIFS(Selections!$N$6:$N$76,Selections!$C$6:$C$76,"Eredivisie")/SUMIFS(Selections!$M$6:$M$76,Selections!$C$6:$C$76,"Eredivisie"))</f>
        <v>n.a.</v>
      </c>
      <c r="L10" s="21" t="str">
        <f>IF(SUMIFS(Selections!$T$6:$T$76,Selections!$C$6:$C$76,"Eredivisie")=0,"n.a.",SUMIFS(Selections!$O$6:$O$76,Selections!$C$6:$C$76,"Eredivisie")/SUMIFS(Selections!$T$6:$T$76,Selections!$C$6:$C$76,"Eredivisie"))</f>
        <v>n.a.</v>
      </c>
      <c r="M10" s="20" t="str">
        <f>IF(SUMIFS(Selections!$T$6:$T$76,Selections!$C$6:$C$76,"Eredivisie")=0,"n.a.",SUMIFS(Selections!$S$6:$S$76,Selections!$C$6:$C$76,"Eredivisie")/SUMIFS(Selections!$T$6:$T$76,Selections!$C$6:$C$76,"Eredivisie"))</f>
        <v>n.a.</v>
      </c>
      <c r="N10" s="20" t="str">
        <f>IF(SUMIFS(Selections!$T$6:$T$76,Selections!$C$6:$C$76,"Eredivisie")=0,"n.a.",(SUMIFS(Selections!$L$6:$L$76,Selections!$C$6:$C$76,"Eredivisie",Selections!$T$6:$T$76,1))/SUMIFS(Selections!$T$6:$T$76,Selections!$C$6:$C$76,"Eredivisie"))</f>
        <v>n.a.</v>
      </c>
      <c r="O10" s="20" t="str">
        <f>IF(SUMIFS(Selections!$T$6:$T$76,Selections!$C$6:$C$76,"Eredivisie")=0,"n.a.",(SUMIFS(Selections!$S$6:$S$76,Selections!$C$6:$C$76,"Eredivisie")-(SUMIFS(Selections!$L$6:$L$76,Selections!$C$6:$C$76,"Eredivisie",Selections!$T$6:$T$76,1)))/SUMIFS(Selections!$T$6:$T$76,Selections!$C$6:$C$76,"Eredivisie"))</f>
        <v>n.a.</v>
      </c>
      <c r="P10" s="19">
        <f>SUMIFS(Selections!$T$6:$T$76,Selections!$C$6:$C$76,"Eredivisie")</f>
        <v>0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(n=0).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COUNTIFS(Selections!$C$6:$C$76,"La Liga")</f>
        <v>13</v>
      </c>
      <c r="D11" s="19">
        <f>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</f>
        <v>9</v>
      </c>
      <c r="E11" s="19">
        <f>(COUNTIFS(Selections!$C$6:$C$76,"La Liga",Selections!$K$6:$K$76,"WON")+COUNTIFS(Selections!$C$6:$C$76,"La Liga",Selections!$K$6:$K$76,"HALF_WON"))</f>
        <v>9</v>
      </c>
      <c r="F11" s="19">
        <f>(COUNTIFS(Selections!$C$6:$C$76,"La Liga",Selections!$K$6:$K$76,"LOST")+COUNTIFS(Selections!$C$6:$C$76,"La Liga",Selections!$K$6:$K$76,"HALF_LOST"))</f>
        <v>0</v>
      </c>
      <c r="G11" s="19">
        <f>COUNTIFS(Selections!$C$6:$C$76,"La Liga")-((COUNTIFS(Selections!$C$6:$C$76,"La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</f>
        <v>4</v>
      </c>
      <c r="H11" s="20">
        <f>IF(((COUNTIFS(Selections!$C$6:$C$76,"La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Liga",Selections!$K$6:$K$76,"REFUNDED"))=0,"n.a.",(COUNTIFS(Selections!$C$6:$C$76,"La Liga",Selections!$K$6:$K$76,"WON")+COUNTIFS(Selections!$C$6:$C$76,"La Liga",Selections!$K$6:$K$76,"HALF_WON"))/((COUNTIFS(Selections!$C$6:$C$76,"La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Liga",Selections!$K$6:$K$76,"REFUNDED")))</f>
        <v>1.0</v>
      </c>
      <c r="I11" s="22">
        <f>SUMIFS(Selections!$M$6:$M$76,Selections!$C$6:$C$76,"La Liga")</f>
        <v>9</v>
      </c>
      <c r="J11" s="22">
        <f>SUMIFS(Selections!$N$6:$N$76,Selections!$C$6:$C$76,"La Liga")</f>
        <v>3.13</v>
      </c>
      <c r="K11" s="20">
        <f>IF(SUMIFS(Selections!$M$6:$M$76,Selections!$C$6:$C$76,"La Liga")=0,"n.a.",SUMIFS(Selections!$N$6:$N$76,Selections!$C$6:$C$76,"La Liga")/SUMIFS(Selections!$M$6:$M$76,Selections!$C$6:$C$76,"La Liga"))</f>
        <v>0.34777777777777774</v>
      </c>
      <c r="L11" s="21">
        <f>IF(SUMIFS(Selections!$T$6:$T$76,Selections!$C$6:$C$76,"La Liga")=0,"n.a.",SUMIFS(Selections!$O$6:$O$76,Selections!$C$6:$C$76,"La Liga")/SUMIFS(Selections!$T$6:$T$76,Selections!$C$6:$C$76,"La Liga"))</f>
        <v>0.044367028038894724</v>
      </c>
      <c r="M11" s="20">
        <f>IF(SUMIFS(Selections!$T$6:$T$76,Selections!$C$6:$C$76,"La Liga")=0,"n.a.",SUMIFS(Selections!$S$6:$S$76,Selections!$C$6:$C$76,"La Liga")/SUMIFS(Selections!$T$6:$T$76,Selections!$C$6:$C$76,"La Liga"))</f>
        <v>0.8033798432499445</v>
      </c>
      <c r="N11" s="20">
        <f>IF(SUMIFS(Selections!$T$6:$T$76,Selections!$C$6:$C$76,"La Liga")=0,"n.a.",(SUMIFS(Selections!$L$6:$L$76,Selections!$C$6:$C$76,"La Liga",Selections!$T$6:$T$76,1))/SUMIFS(Selections!$T$6:$T$76,Selections!$C$6:$C$76,"La Liga"))</f>
        <v>1.0</v>
      </c>
      <c r="O11" s="20">
        <f>IF(SUMIFS(Selections!$T$6:$T$76,Selections!$C$6:$C$76,"La Liga")=0,"n.a.",(SUMIFS(Selections!$S$6:$S$76,Selections!$C$6:$C$76,"La Liga")-(SUMIFS(Selections!$L$6:$L$76,Selections!$C$6:$C$76,"La Liga",Selections!$T$6:$T$76,1)))/SUMIFS(Selections!$T$6:$T$76,Selections!$C$6:$C$76,"La Liga"))</f>
        <v>-0.1966201567500555</v>
      </c>
      <c r="P11" s="19">
        <f>SUMIFS(Selections!$T$6:$T$76,Selections!$C$6:$C$76,"La Liga")</f>
        <v>9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(n=9).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COUNTIFS(Selections!$C$6:$C$76,"Ligue 1")</f>
        <v>7</v>
      </c>
      <c r="D12" s="19">
        <f>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</f>
        <v>2</v>
      </c>
      <c r="E12" s="19">
        <f>(COUNTIFS(Selections!$C$6:$C$76,"Ligue 1",Selections!$K$6:$K$76,"WON")+COUNTIFS(Selections!$C$6:$C$76,"Ligue 1",Selections!$K$6:$K$76,"HALF_WON"))</f>
        <v>1</v>
      </c>
      <c r="F12" s="19">
        <f>(COUNTIFS(Selections!$C$6:$C$76,"Ligue 1",Selections!$K$6:$K$76,"LOST")+COUNTIFS(Selections!$C$6:$C$76,"Ligue 1",Selections!$K$6:$K$76,"HALF_LOST"))</f>
        <v>1</v>
      </c>
      <c r="G12" s="19">
        <f>COUNTIFS(Selections!$C$6:$C$76,"Ligue 1")-((COUNTIFS(Selections!$C$6:$C$76,"Ligue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</f>
        <v>5</v>
      </c>
      <c r="H12" s="20">
        <f>IF(((COUNTIFS(Selections!$C$6:$C$76,"Ligue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1",Selections!$K$6:$K$76,"REFUNDED"))=0,"n.a.",(COUNTIFS(Selections!$C$6:$C$76,"Ligue 1",Selections!$K$6:$K$76,"WON")+COUNTIFS(Selections!$C$6:$C$76,"Ligue 1",Selections!$K$6:$K$76,"HALF_WON"))/((COUNTIFS(Selections!$C$6:$C$76,"Ligue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1",Selections!$K$6:$K$76,"REFUNDED")))</f>
        <v>0.5</v>
      </c>
      <c r="I12" s="22">
        <f>SUMIFS(Selections!$M$6:$M$76,Selections!$C$6:$C$76,"Ligue 1")</f>
        <v>2</v>
      </c>
      <c r="J12" s="22">
        <f>SUMIFS(Selections!$N$6:$N$76,Selections!$C$6:$C$76,"Ligue 1")</f>
        <v>-0.33000000000000007</v>
      </c>
      <c r="K12" s="20">
        <f>IF(SUMIFS(Selections!$M$6:$M$76,Selections!$C$6:$C$76,"Ligue 1")=0,"n.a.",SUMIFS(Selections!$N$6:$N$76,Selections!$C$6:$C$76,"Ligue 1")/SUMIFS(Selections!$M$6:$M$76,Selections!$C$6:$C$76,"Ligue 1"))</f>
        <v>-0.16500000000000004</v>
      </c>
      <c r="L12" s="21">
        <f>IF(SUMIFS(Selections!$T$6:$T$76,Selections!$C$6:$C$76,"Ligue 1")=0,"n.a.",SUMIFS(Selections!$O$6:$O$76,Selections!$C$6:$C$76,"Ligue 1")/SUMIFS(Selections!$T$6:$T$76,Selections!$C$6:$C$76,"Ligue 1"))</f>
        <v>0.37925018842161284</v>
      </c>
      <c r="M12" s="20">
        <f>IF(SUMIFS(Selections!$T$6:$T$76,Selections!$C$6:$C$76,"Ligue 1")=0,"n.a.",SUMIFS(Selections!$S$6:$S$76,Selections!$C$6:$C$76,"Ligue 1")/SUMIFS(Selections!$T$6:$T$76,Selections!$C$6:$C$76,"Ligue 1"))</f>
        <v>0.6960953243674277</v>
      </c>
      <c r="N12" s="20">
        <f>IF(SUMIFS(Selections!$T$6:$T$76,Selections!$C$6:$C$76,"Ligue 1")=0,"n.a.",(SUMIFS(Selections!$L$6:$L$76,Selections!$C$6:$C$76,"Ligue 1",Selections!$T$6:$T$76,1))/SUMIFS(Selections!$T$6:$T$76,Selections!$C$6:$C$76,"Ligue 1"))</f>
        <v>0.5</v>
      </c>
      <c r="O12" s="20">
        <f>IF(SUMIFS(Selections!$T$6:$T$76,Selections!$C$6:$C$76,"Ligue 1")=0,"n.a.",(SUMIFS(Selections!$S$6:$S$76,Selections!$C$6:$C$76,"Ligue 1")-(SUMIFS(Selections!$L$6:$L$76,Selections!$C$6:$C$76,"Ligue 1",Selections!$T$6:$T$76,1)))/SUMIFS(Selections!$T$6:$T$76,Selections!$C$6:$C$76,"Ligue 1"))</f>
        <v>0.19609532436742771</v>
      </c>
      <c r="P12" s="19">
        <f>SUMIFS(Selections!$T$6:$T$76,Selections!$C$6:$C$76,"Ligue 1")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COUNTIFS(Selections!$C$6:$C$76,"Premier League")</f>
        <v>10</v>
      </c>
      <c r="D13" s="19">
        <f>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</f>
        <v>8</v>
      </c>
      <c r="E13" s="19">
        <f>(COUNTIFS(Selections!$C$6:$C$76,"Premier League",Selections!$K$6:$K$76,"WON")+COUNTIFS(Selections!$C$6:$C$76,"Premier League",Selections!$K$6:$K$76,"HALF_WON"))</f>
        <v>4</v>
      </c>
      <c r="F13" s="19">
        <f>(COUNTIFS(Selections!$C$6:$C$76,"Premier League",Selections!$K$6:$K$76,"LOST")+COUNTIFS(Selections!$C$6:$C$76,"Premier League",Selections!$K$6:$K$76,"HALF_LOST"))</f>
        <v>4</v>
      </c>
      <c r="G13" s="19">
        <f>COUNTIFS(Selections!$C$6:$C$76,"Premier League")-((COUNTIFS(Selections!$C$6:$C$76,"Premier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</f>
        <v>2</v>
      </c>
      <c r="H13" s="20">
        <f>IF(((COUNTIFS(Selections!$C$6:$C$76,"Premier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League",Selections!$K$6:$K$76,"REFUNDED"))=0,"n.a.",(COUNTIFS(Selections!$C$6:$C$76,"Premier League",Selections!$K$6:$K$76,"WON")+COUNTIFS(Selections!$C$6:$C$76,"Premier League",Selections!$K$6:$K$76,"HALF_WON"))/((COUNTIFS(Selections!$C$6:$C$76,"Premier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League",Selections!$K$6:$K$76,"REFUNDED")))</f>
        <v>0.5</v>
      </c>
      <c r="I13" s="22">
        <f>SUMIFS(Selections!$M$6:$M$76,Selections!$C$6:$C$76,"Premier League")</f>
        <v>8</v>
      </c>
      <c r="J13" s="22">
        <f>SUMIFS(Selections!$N$6:$N$76,Selections!$C$6:$C$76,"Premier League")</f>
        <v>-2.88</v>
      </c>
      <c r="K13" s="20">
        <f>IF(SUMIFS(Selections!$M$6:$M$76,Selections!$C$6:$C$76,"Premier League")=0,"n.a.",SUMIFS(Selections!$N$6:$N$76,Selections!$C$6:$C$76,"Premier League")/SUMIFS(Selections!$M$6:$M$76,Selections!$C$6:$C$76,"Premier League"))</f>
        <v>-0.36</v>
      </c>
      <c r="L13" s="21">
        <f>IF(SUMIFS(Selections!$T$6:$T$76,Selections!$C$6:$C$76,"Premier League")=0,"n.a.",SUMIFS(Selections!$O$6:$O$76,Selections!$C$6:$C$76,"Premier League")/SUMIFS(Selections!$T$6:$T$76,Selections!$C$6:$C$76,"Premier League"))</f>
        <v>0.2868849432918297</v>
      </c>
      <c r="M13" s="20">
        <f>IF(SUMIFS(Selections!$T$6:$T$76,Selections!$C$6:$C$76,"Premier League")=0,"n.a.",SUMIFS(Selections!$S$6:$S$76,Selections!$C$6:$C$76,"Premier League")/SUMIFS(Selections!$T$6:$T$76,Selections!$C$6:$C$76,"Premier League"))</f>
        <v>0.772907446218384</v>
      </c>
      <c r="N13" s="20">
        <f>IF(SUMIFS(Selections!$T$6:$T$76,Selections!$C$6:$C$76,"Premier League")=0,"n.a.",(SUMIFS(Selections!$L$6:$L$76,Selections!$C$6:$C$76,"Premier League",Selections!$T$6:$T$76,1))/SUMIFS(Selections!$T$6:$T$76,Selections!$C$6:$C$76,"Premier League"))</f>
        <v>0.5</v>
      </c>
      <c r="O13" s="20">
        <f>IF(SUMIFS(Selections!$T$6:$T$76,Selections!$C$6:$C$76,"Premier League")=0,"n.a.",(SUMIFS(Selections!$S$6:$S$76,Selections!$C$6:$C$76,"Premier League")-(SUMIFS(Selections!$L$6:$L$76,Selections!$C$6:$C$76,"Premier League",Selections!$T$6:$T$76,1)))/SUMIFS(Selections!$T$6:$T$76,Selections!$C$6:$C$76,"Premier League"))</f>
        <v>0.27290744621838403</v>
      </c>
      <c r="P13" s="19">
        <f>SUMIFS(Selections!$T$6:$T$76,Selections!$C$6:$C$76,"Premier League")</f>
        <v>8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(n=8).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COUNTIFS(Selections!$C$6:$C$76,"Primeira Liga")</f>
        <v>3</v>
      </c>
      <c r="D14" s="19">
        <f>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</f>
        <v>0</v>
      </c>
      <c r="E14" s="19">
        <f>(COUNTIFS(Selections!$C$6:$C$76,"Primeira Liga",Selections!$K$6:$K$76,"WON")+COUNTIFS(Selections!$C$6:$C$76,"Primeira Liga",Selections!$K$6:$K$76,"HALF_WON"))</f>
        <v>0</v>
      </c>
      <c r="F14" s="19">
        <f>(COUNTIFS(Selections!$C$6:$C$76,"Primeira Liga",Selections!$K$6:$K$76,"LOST")+COUNTIFS(Selections!$C$6:$C$76,"Primeira Liga",Selections!$K$6:$K$76,"HALF_LOST"))</f>
        <v>0</v>
      </c>
      <c r="G14" s="19">
        <f>COUNTIFS(Selections!$C$6:$C$76,"Primeira Liga")-((COUNTIFS(Selections!$C$6:$C$76,"Primeira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</f>
        <v>3</v>
      </c>
      <c r="H14" s="20" t="str">
        <f>IF(((COUNTIFS(Selections!$C$6:$C$76,"Primeira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Liga",Selections!$K$6:$K$76,"REFUNDED"))=0,"n.a.",(COUNTIFS(Selections!$C$6:$C$76,"Primeira Liga",Selections!$K$6:$K$76,"WON")+COUNTIFS(Selections!$C$6:$C$76,"Primeira Liga",Selections!$K$6:$K$76,"HALF_WON"))/((COUNTIFS(Selections!$C$6:$C$76,"Primeira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Liga",Selections!$K$6:$K$76,"REFUNDED")))</f>
        <v>n.a.</v>
      </c>
      <c r="I14" s="22">
        <f>SUMIFS(Selections!$M$6:$M$76,Selections!$C$6:$C$76,"Primeira Liga")</f>
        <v>0</v>
      </c>
      <c r="J14" s="22">
        <f>SUMIFS(Selections!$N$6:$N$76,Selections!$C$6:$C$76,"Primeira Liga")</f>
        <v>0</v>
      </c>
      <c r="K14" s="20" t="str">
        <f>IF(SUMIFS(Selections!$M$6:$M$76,Selections!$C$6:$C$76,"Primeira Liga")=0,"n.a.",SUMIFS(Selections!$N$6:$N$76,Selections!$C$6:$C$76,"Primeira Liga")/SUMIFS(Selections!$M$6:$M$76,Selections!$C$6:$C$76,"Primeira Liga"))</f>
        <v>n.a.</v>
      </c>
      <c r="L14" s="21" t="str">
        <f>IF(SUMIFS(Selections!$T$6:$T$76,Selections!$C$6:$C$76,"Primeira Liga")=0,"n.a.",SUMIFS(Selections!$O$6:$O$76,Selections!$C$6:$C$76,"Primeira Liga")/SUMIFS(Selections!$T$6:$T$76,Selections!$C$6:$C$76,"Primeira Liga"))</f>
        <v>n.a.</v>
      </c>
      <c r="M14" s="20" t="str">
        <f>IF(SUMIFS(Selections!$T$6:$T$76,Selections!$C$6:$C$76,"Primeira Liga")=0,"n.a.",SUMIFS(Selections!$S$6:$S$76,Selections!$C$6:$C$76,"Primeira Liga")/SUMIFS(Selections!$T$6:$T$76,Selections!$C$6:$C$76,"Primeira Liga"))</f>
        <v>n.a.</v>
      </c>
      <c r="N14" s="20" t="str">
        <f>IF(SUMIFS(Selections!$T$6:$T$76,Selections!$C$6:$C$76,"Primeira Liga")=0,"n.a.",(SUMIFS(Selections!$L$6:$L$76,Selections!$C$6:$C$76,"Primeira Liga",Selections!$T$6:$T$76,1))/SUMIFS(Selections!$T$6:$T$76,Selections!$C$6:$C$76,"Primeira Liga"))</f>
        <v>n.a.</v>
      </c>
      <c r="O14" s="20" t="str">
        <f>IF(SUMIFS(Selections!$T$6:$T$76,Selections!$C$6:$C$76,"Primeira Liga")=0,"n.a.",(SUMIFS(Selections!$S$6:$S$76,Selections!$C$6:$C$76,"Primeira Liga")-(SUMIFS(Selections!$L$6:$L$76,Selections!$C$6:$C$76,"Primeira Liga",Selections!$T$6:$T$76,1)))/SUMIFS(Selections!$T$6:$T$76,Selections!$C$6:$C$76,"Primeira Liga"))</f>
        <v>n.a.</v>
      </c>
      <c r="P14" s="19">
        <f>SUMIFS(Selections!$T$6:$T$76,Selections!$C$6:$C$76,"Primeira Liga")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COUNTIFS(Selections!$C$6:$C$76,"Serie A")</f>
        <v>13</v>
      </c>
      <c r="D15" s="19">
        <f>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</f>
        <v>8</v>
      </c>
      <c r="E15" s="19">
        <f>(COUNTIFS(Selections!$C$6:$C$76,"Serie A",Selections!$K$6:$K$76,"WON")+COUNTIFS(Selections!$C$6:$C$76,"Serie A",Selections!$K$6:$K$76,"HALF_WON"))</f>
        <v>5</v>
      </c>
      <c r="F15" s="19">
        <f>(COUNTIFS(Selections!$C$6:$C$76,"Serie A",Selections!$K$6:$K$76,"LOST")+COUNTIFS(Selections!$C$6:$C$76,"Serie A",Selections!$K$6:$K$76,"HALF_LOST"))</f>
        <v>3</v>
      </c>
      <c r="G15" s="19">
        <f>COUNTIFS(Selections!$C$6:$C$76,"Serie A")-((COUNTIFS(Selections!$C$6:$C$76,"Serie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</f>
        <v>5</v>
      </c>
      <c r="H15" s="20">
        <f>IF(((COUNTIFS(Selections!$C$6:$C$76,"Serie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A",Selections!$K$6:$K$76,"REFUNDED"))=0,"n.a.",(COUNTIFS(Selections!$C$6:$C$76,"Serie A",Selections!$K$6:$K$76,"WON")+COUNTIFS(Selections!$C$6:$C$76,"Serie A",Selections!$K$6:$K$76,"HALF_WON"))/((COUNTIFS(Selections!$C$6:$C$76,"Serie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A",Selections!$K$6:$K$76,"REFUNDED")))</f>
        <v>0.625</v>
      </c>
      <c r="I15" s="22">
        <f>SUMIFS(Selections!$M$6:$M$76,Selections!$C$6:$C$76,"Serie A")</f>
        <v>8</v>
      </c>
      <c r="J15" s="22">
        <f>SUMIFS(Selections!$N$6:$N$76,Selections!$C$6:$C$76,"Serie A")</f>
        <v>-0.8099999999999999</v>
      </c>
      <c r="K15" s="20">
        <f>IF(SUMIFS(Selections!$M$6:$M$76,Selections!$C$6:$C$76,"Serie A")=0,"n.a.",SUMIFS(Selections!$N$6:$N$76,Selections!$C$6:$C$76,"Serie A")/SUMIFS(Selections!$M$6:$M$76,Selections!$C$6:$C$76,"Serie A"))</f>
        <v>-0.10124999999999999</v>
      </c>
      <c r="L15" s="21">
        <f>IF(SUMIFS(Selections!$T$6:$T$76,Selections!$C$6:$C$76,"Serie A")=0,"n.a.",SUMIFS(Selections!$O$6:$O$76,Selections!$C$6:$C$76,"Serie A")/SUMIFS(Selections!$T$6:$T$76,Selections!$C$6:$C$76,"Serie A"))</f>
        <v>0.19389774525622908</v>
      </c>
      <c r="M15" s="20">
        <f>IF(SUMIFS(Selections!$T$6:$T$76,Selections!$C$6:$C$76,"Serie A")=0,"n.a.",SUMIFS(Selections!$S$6:$S$76,Selections!$C$6:$C$76,"Serie A")/SUMIFS(Selections!$T$6:$T$76,Selections!$C$6:$C$76,"Serie A"))</f>
        <v>0.7030485207574799</v>
      </c>
      <c r="N15" s="20">
        <f>IF(SUMIFS(Selections!$T$6:$T$76,Selections!$C$6:$C$76,"Serie A")=0,"n.a.",(SUMIFS(Selections!$L$6:$L$76,Selections!$C$6:$C$76,"Serie A",Selections!$T$6:$T$76,1))/SUMIFS(Selections!$T$6:$T$76,Selections!$C$6:$C$76,"Serie A"))</f>
        <v>0.625</v>
      </c>
      <c r="O15" s="20">
        <f>IF(SUMIFS(Selections!$T$6:$T$76,Selections!$C$6:$C$76,"Serie A")=0,"n.a.",(SUMIFS(Selections!$S$6:$S$76,Selections!$C$6:$C$76,"Serie A")-(SUMIFS(Selections!$L$6:$L$76,Selections!$C$6:$C$76,"Serie A",Selections!$T$6:$T$76,1)))/SUMIFS(Selections!$T$6:$T$76,Selections!$C$6:$C$76,"Serie A"))</f>
        <v>0.07804852075747992</v>
      </c>
      <c r="P15" s="19">
        <f>SUMIFS(Selections!$T$6:$T$76,Selections!$C$6:$C$76,"Serie A")</f>
        <v>8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(n=8).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COUNTIFS(Selections!$C$6:$C$76,"UEFA Champions League")</f>
        <v>14</v>
      </c>
      <c r="D16" s="19">
        <f>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</f>
        <v>12</v>
      </c>
      <c r="E16" s="19">
        <f>(COUNTIFS(Selections!$C$6:$C$76,"UEFA Champions League",Selections!$K$6:$K$76,"WON")+COUNTIFS(Selections!$C$6:$C$76,"UEFA Champions League",Selections!$K$6:$K$76,"HALF_WON"))</f>
        <v>10</v>
      </c>
      <c r="F16" s="19">
        <f>(COUNTIFS(Selections!$C$6:$C$76,"UEFA Champions League",Selections!$K$6:$K$76,"LOST")+COUNTIFS(Selections!$C$6:$C$76,"UEFA Champions League",Selections!$K$6:$K$76,"HALF_LOST"))</f>
        <v>2</v>
      </c>
      <c r="G16" s="19">
        <f>COUNTIFS(Selections!$C$6:$C$76,"UEFA Champions League")-((COUNTIFS(Selections!$C$6:$C$76,"UEFA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</f>
        <v>2</v>
      </c>
      <c r="H16" s="20">
        <f>IF(((COUNTIFS(Selections!$C$6:$C$76,"UEFA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League",Selections!$K$6:$K$76,"REFUNDED"))=0,"n.a.",(COUNTIFS(Selections!$C$6:$C$76,"UEFA Champions League",Selections!$K$6:$K$76,"WON")+COUNTIFS(Selections!$C$6:$C$76,"UEFA Champions League",Selections!$K$6:$K$76,"HALF_WON"))/((COUNTIFS(Selections!$C$6:$C$76,"UEFA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League",Selections!$K$6:$K$76,"REFUNDED")))</f>
        <v>0.8333333333333334</v>
      </c>
      <c r="I16" s="22">
        <f>SUMIFS(Selections!$M$6:$M$76,Selections!$C$6:$C$76,"UEFA Champions League")</f>
        <v>12</v>
      </c>
      <c r="J16" s="22">
        <f>SUMIFS(Selections!$N$6:$N$76,Selections!$C$6:$C$76,"UEFA Champions League")</f>
        <v>2.01</v>
      </c>
      <c r="K16" s="20">
        <f>IF(SUMIFS(Selections!$M$6:$M$76,Selections!$C$6:$C$76,"UEFA Champions League")=0,"n.a.",SUMIFS(Selections!$N$6:$N$76,Selections!$C$6:$C$76,"UEFA Champions League")/SUMIFS(Selections!$M$6:$M$76,Selections!$C$6:$C$76,"UEFA Champions League"))</f>
        <v>0.16749999999999998</v>
      </c>
      <c r="L16" s="21">
        <f>IF(SUMIFS(Selections!$T$6:$T$76,Selections!$C$6:$C$76,"UEFA Champions League")=0,"n.a.",SUMIFS(Selections!$O$6:$O$76,Selections!$C$6:$C$76,"UEFA Champions League")/SUMIFS(Selections!$T$6:$T$76,Selections!$C$6:$C$76,"UEFA Champions League"))</f>
        <v>0.14431274457999424</v>
      </c>
      <c r="M16" s="20">
        <f>IF(SUMIFS(Selections!$T$6:$T$76,Selections!$C$6:$C$76,"UEFA Champions League")=0,"n.a.",SUMIFS(Selections!$S$6:$S$76,Selections!$C$6:$C$76,"UEFA Champions League")/SUMIFS(Selections!$T$6:$T$76,Selections!$C$6:$C$76,"UEFA Champions League"))</f>
        <v>0.7728553874198951</v>
      </c>
      <c r="N16" s="20">
        <f>IF(SUMIFS(Selections!$T$6:$T$76,Selections!$C$6:$C$76,"UEFA Champions League")=0,"n.a.",(SUMIFS(Selections!$L$6:$L$76,Selections!$C$6:$C$76,"UEFA Champions League",Selections!$T$6:$T$76,1))/SUMIFS(Selections!$T$6:$T$76,Selections!$C$6:$C$76,"UEFA Champions League"))</f>
        <v>0.8333333333333334</v>
      </c>
      <c r="O16" s="20">
        <f>IF(SUMIFS(Selections!$T$6:$T$76,Selections!$C$6:$C$76,"UEFA Champions League")=0,"n.a.",(SUMIFS(Selections!$S$6:$S$76,Selections!$C$6:$C$76,"UEFA Champions League")-(SUMIFS(Selections!$L$6:$L$76,Selections!$C$6:$C$76,"UEFA Champions League",Selections!$T$6:$T$76,1)))/SUMIFS(Selections!$T$6:$T$76,Selections!$C$6:$C$76,"UEFA Champions League"))</f>
        <v>-0.06047794591343825</v>
      </c>
      <c r="P16" s="19">
        <f>SUMIFS(Selections!$T$6:$T$76,Selections!$C$6:$C$76,"UEFA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COUNTIFS(Selections!$E$6:$E$76,"Asian Handicap Away +1.00")</f>
        <v>1</v>
      </c>
      <c r="D17" s="19">
        <f>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</f>
        <v>1</v>
      </c>
      <c r="E17" s="19">
        <f>(COUNTIFS(Selections!$E$6:$E$76,"Asian Handicap Away +1.00",Selections!$K$6:$K$76,"WON")+COUNTIFS(Selections!$E$6:$E$76,"Asian Handicap Away +1.00",Selections!$K$6:$K$76,"HALF_WON"))</f>
        <v>1</v>
      </c>
      <c r="F17" s="19">
        <f>(COUNTIFS(Selections!$E$6:$E$76,"Asian Handicap Away +1.00",Selections!$K$6:$K$76,"LOST")+COUNTIFS(Selections!$E$6:$E$76,"Asian Handicap Away +1.00",Selections!$K$6:$K$76,"HALF_LOST"))</f>
        <v>0</v>
      </c>
      <c r="G17" s="19">
        <f>COUNTIFS(Selections!$E$6:$E$76,"Asian Handicap Away +1.00")-((COUNTIFS(Selections!$E$6:$E$76,"Asian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</f>
        <v>0</v>
      </c>
      <c r="H17" s="20">
        <f>IF(((COUNTIFS(Selections!$E$6:$E$76,"Asian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+1.00",Selections!$K$6:$K$76,"REFUNDED"))=0,"n.a.",(COUNTIFS(Selections!$E$6:$E$76,"Asian Handicap Away +1.00",Selections!$K$6:$K$76,"WON")+COUNTIFS(Selections!$E$6:$E$76,"Asian Handicap Away +1.00",Selections!$K$6:$K$76,"HALF_WON"))/((COUNTIFS(Selections!$E$6:$E$76,"Asian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+1.00",Selections!$K$6:$K$76,"REFUNDED")))</f>
        <v>1.0</v>
      </c>
      <c r="I17" s="22">
        <f>SUMIFS(Selections!$M$6:$M$76,Selections!$E$6:$E$76,"Asian Handicap Away +1.00")</f>
        <v>1</v>
      </c>
      <c r="J17" s="22">
        <f>SUMIFS(Selections!$N$6:$N$76,Selections!$E$6:$E$76,"Asian Handicap Away +1.00")</f>
        <v>0.58</v>
      </c>
      <c r="K17" s="20">
        <f>IF(SUMIFS(Selections!$M$6:$M$76,Selections!$E$6:$E$76,"Asian Handicap Away +1.00")=0,"n.a.",SUMIFS(Selections!$N$6:$N$76,Selections!$E$6:$E$76,"Asian Handicap Away +1.00")/SUMIFS(Selections!$M$6:$M$76,Selections!$E$6:$E$76,"Asian Handicap Away +1.00"))</f>
        <v>0.58</v>
      </c>
      <c r="L17" s="21">
        <f>IF(SUMIFS(Selections!$T$6:$T$76,Selections!$E$6:$E$76,"Asian Handicap Away +1.00")=0,"n.a.",SUMIFS(Selections!$O$6:$O$76,Selections!$E$6:$E$76,"Asian Handicap Away +1.00")/SUMIFS(Selections!$T$6:$T$76,Selections!$E$6:$E$76,"Asian Handicap Away +1.00"))</f>
        <v>0.061763712158882544</v>
      </c>
      <c r="M17" s="20">
        <f>IF(SUMIFS(Selections!$T$6:$T$76,Selections!$E$6:$E$76,"Asian Handicap Away +1.00")=0,"n.a.",SUMIFS(Selections!$S$6:$S$76,Selections!$E$6:$E$76,"Asian Handicap Away +1.00")/SUMIFS(Selections!$T$6:$T$76,Selections!$E$6:$E$76,"Asian Handicap Away +1.00"))</f>
        <v>0.7514769383761689</v>
      </c>
      <c r="N17" s="20">
        <f>IF(SUMIFS(Selections!$T$6:$T$76,Selections!$E$6:$E$76,"Asian Handicap Away +1.00")=0,"n.a.",(SUMIFS(Selections!$L$6:$L$76,Selections!$E$6:$E$76,"Asian Handicap Away +1.00",Selections!$T$6:$T$76,1))/SUMIFS(Selections!$T$6:$T$76,Selections!$E$6:$E$76,"Asian Handicap Away +1.00"))</f>
        <v>1.0</v>
      </c>
      <c r="O17" s="20">
        <f>IF(SUMIFS(Selections!$T$6:$T$76,Selections!$E$6:$E$76,"Asian Handicap Away +1.00")=0,"n.a.",(SUMIFS(Selections!$S$6:$S$76,Selections!$E$6:$E$76,"Asian Handicap Away +1.00")-(SUMIFS(Selections!$L$6:$L$76,Selections!$E$6:$E$76,"Asian Handicap Away +1.00",Selections!$T$6:$T$76,1)))/SUMIFS(Selections!$T$6:$T$76,Selections!$E$6:$E$76,"Asian Handicap Away +1.00"))</f>
        <v>-0.2485230616238311</v>
      </c>
      <c r="P17" s="19">
        <f>SUMIFS(Selections!$T$6:$T$76,Selections!$E$6:$E$76,"Asian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COUNTIFS(Selections!$E$6:$E$76,"Asian Handicap Away +1.25")</f>
        <v>1</v>
      </c>
      <c r="D18" s="19">
        <f>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</f>
        <v>1</v>
      </c>
      <c r="E18" s="19">
        <f>(COUNTIFS(Selections!$E$6:$E$76,"Asian Handicap Away +1.25",Selections!$K$6:$K$76,"WON")+COUNTIFS(Selections!$E$6:$E$76,"Asian Handicap Away +1.25",Selections!$K$6:$K$76,"HALF_WON"))</f>
        <v>1</v>
      </c>
      <c r="F18" s="19">
        <f>(COUNTIFS(Selections!$E$6:$E$76,"Asian Handicap Away +1.25",Selections!$K$6:$K$76,"LOST")+COUNTIFS(Selections!$E$6:$E$76,"Asian Handicap Away +1.25",Selections!$K$6:$K$76,"HALF_LOST"))</f>
        <v>0</v>
      </c>
      <c r="G18" s="19">
        <f>COUNTIFS(Selections!$E$6:$E$76,"Asian Handicap Away +1.25")-((COUNTIFS(Selections!$E$6:$E$76,"Asian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</f>
        <v>0</v>
      </c>
      <c r="H18" s="20">
        <f>IF(((COUNTIFS(Selections!$E$6:$E$76,"Asian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+1.25",Selections!$K$6:$K$76,"REFUNDED"))=0,"n.a.",(COUNTIFS(Selections!$E$6:$E$76,"Asian Handicap Away +1.25",Selections!$K$6:$K$76,"WON")+COUNTIFS(Selections!$E$6:$E$76,"Asian Handicap Away +1.25",Selections!$K$6:$K$76,"HALF_WON"))/((COUNTIFS(Selections!$E$6:$E$76,"Asian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+1.25",Selections!$K$6:$K$76,"REFUNDED")))</f>
        <v>1.0</v>
      </c>
      <c r="I18" s="22">
        <f>SUMIFS(Selections!$M$6:$M$76,Selections!$E$6:$E$76,"Asian Handicap Away +1.25")</f>
        <v>1</v>
      </c>
      <c r="J18" s="22">
        <f>SUMIFS(Selections!$N$6:$N$76,Selections!$E$6:$E$76,"Asian Handicap Away +1.25")</f>
        <v>0.16</v>
      </c>
      <c r="K18" s="20">
        <f>IF(SUMIFS(Selections!$M$6:$M$76,Selections!$E$6:$E$76,"Asian Handicap Away +1.25")=0,"n.a.",SUMIFS(Selections!$N$6:$N$76,Selections!$E$6:$E$76,"Asian Handicap Away +1.25")/SUMIFS(Selections!$M$6:$M$76,Selections!$E$6:$E$76,"Asian Handicap Away +1.25"))</f>
        <v>0.16</v>
      </c>
      <c r="L18" s="21">
        <f>IF(SUMIFS(Selections!$T$6:$T$76,Selections!$E$6:$E$76,"Asian Handicap Away +1.25")=0,"n.a.",SUMIFS(Selections!$O$6:$O$76,Selections!$E$6:$E$76,"Asian Handicap Away +1.25")/SUMIFS(Selections!$T$6:$T$76,Selections!$E$6:$E$76,"Asian Handicap Away +1.25"))</f>
        <v>0.024359397046770922</v>
      </c>
      <c r="M18" s="20">
        <f>IF(SUMIFS(Selections!$T$6:$T$76,Selections!$E$6:$E$76,"Asian Handicap Away +1.25")=0,"n.a.",SUMIFS(Selections!$S$6:$S$76,Selections!$E$6:$E$76,"Asian Handicap Away +1.25")/SUMIFS(Selections!$T$6:$T$76,Selections!$E$6:$E$76,"Asian Handicap Away +1.25"))</f>
        <v>0.8439250274811143</v>
      </c>
      <c r="N18" s="20">
        <f>IF(SUMIFS(Selections!$T$6:$T$76,Selections!$E$6:$E$76,"Asian Handicap Away +1.25")=0,"n.a.",(SUMIFS(Selections!$L$6:$L$76,Selections!$E$6:$E$76,"Asian Handicap Away +1.25",Selections!$T$6:$T$76,1))/SUMIFS(Selections!$T$6:$T$76,Selections!$E$6:$E$76,"Asian Handicap Away +1.25"))</f>
        <v>1.0</v>
      </c>
      <c r="O18" s="20">
        <f>IF(SUMIFS(Selections!$T$6:$T$76,Selections!$E$6:$E$76,"Asian Handicap Away +1.25")=0,"n.a.",(SUMIFS(Selections!$S$6:$S$76,Selections!$E$6:$E$76,"Asian Handicap Away +1.25")-(SUMIFS(Selections!$L$6:$L$76,Selections!$E$6:$E$76,"Asian Handicap Away +1.25",Selections!$T$6:$T$76,1)))/SUMIFS(Selections!$T$6:$T$76,Selections!$E$6:$E$76,"Asian Handicap Away +1.25"))</f>
        <v>-0.1560749725188857</v>
      </c>
      <c r="P18" s="19">
        <f>SUMIFS(Selections!$T$6:$T$76,Selections!$E$6:$E$76,"Asian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COUNTIFS(Selections!$E$6:$E$76,"Asian Handicap Away +2.00")</f>
        <v>3</v>
      </c>
      <c r="D19" s="19">
        <f>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</f>
        <v>3</v>
      </c>
      <c r="E19" s="19">
        <f>(COUNTIFS(Selections!$E$6:$E$76,"Asian Handicap Away +2.00",Selections!$K$6:$K$76,"WON")+COUNTIFS(Selections!$E$6:$E$76,"Asian Handicap Away +2.00",Selections!$K$6:$K$76,"HALF_WON"))</f>
        <v>3</v>
      </c>
      <c r="F19" s="19">
        <f>(COUNTIFS(Selections!$E$6:$E$76,"Asian Handicap Away +2.00",Selections!$K$6:$K$76,"LOST")+COUNTIFS(Selections!$E$6:$E$76,"Asian Handicap Away +2.00",Selections!$K$6:$K$76,"HALF_LOST"))</f>
        <v>0</v>
      </c>
      <c r="G19" s="19">
        <f>COUNTIFS(Selections!$E$6:$E$76,"Asian Handicap Away +2.00")-((COUNTIFS(Selections!$E$6:$E$76,"Asian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</f>
        <v>0</v>
      </c>
      <c r="H19" s="20">
        <f>IF(((COUNTIFS(Selections!$E$6:$E$76,"Asian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+2.00",Selections!$K$6:$K$76,"REFUNDED"))=0,"n.a.",(COUNTIFS(Selections!$E$6:$E$76,"Asian Handicap Away +2.00",Selections!$K$6:$K$76,"WON")+COUNTIFS(Selections!$E$6:$E$76,"Asian Handicap Away +2.00",Selections!$K$6:$K$76,"HALF_WON"))/((COUNTIFS(Selections!$E$6:$E$76,"Asian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+2.00",Selections!$K$6:$K$76,"REFUNDED")))</f>
        <v>1.0</v>
      </c>
      <c r="I19" s="22">
        <f>SUMIFS(Selections!$M$6:$M$76,Selections!$E$6:$E$76,"Asian Handicap Away +2.00")</f>
        <v>3</v>
      </c>
      <c r="J19" s="22">
        <f>SUMIFS(Selections!$N$6:$N$76,Selections!$E$6:$E$76,"Asian Handicap Away +2.00")</f>
        <v>1.17</v>
      </c>
      <c r="K19" s="20">
        <f>IF(SUMIFS(Selections!$M$6:$M$76,Selections!$E$6:$E$76,"Asian Handicap Away +2.00")=0,"n.a.",SUMIFS(Selections!$N$6:$N$76,Selections!$E$6:$E$76,"Asian Handicap Away +2.00")/SUMIFS(Selections!$M$6:$M$76,Selections!$E$6:$E$76,"Asian Handicap Away +2.00"))</f>
        <v>0.38999999999999996</v>
      </c>
      <c r="L19" s="21">
        <f>IF(SUMIFS(Selections!$T$6:$T$76,Selections!$E$6:$E$76,"Asian Handicap Away +2.00")=0,"n.a.",SUMIFS(Selections!$O$6:$O$76,Selections!$E$6:$E$76,"Asian Handicap Away +2.00")/SUMIFS(Selections!$T$6:$T$76,Selections!$E$6:$E$76,"Asian Handicap Away +2.00"))</f>
        <v>0.023947298801919998</v>
      </c>
      <c r="M19" s="20">
        <f>IF(SUMIFS(Selections!$T$6:$T$76,Selections!$E$6:$E$76,"Asian Handicap Away +2.00")=0,"n.a.",SUMIFS(Selections!$S$6:$S$76,Selections!$E$6:$E$76,"Asian Handicap Away +2.00")/SUMIFS(Selections!$T$6:$T$76,Selections!$E$6:$E$76,"Asian Handicap Away +2.00"))</f>
        <v>0.8542990352659695</v>
      </c>
      <c r="N19" s="20">
        <f>IF(SUMIFS(Selections!$T$6:$T$76,Selections!$E$6:$E$76,"Asian Handicap Away +2.00")=0,"n.a.",(SUMIFS(Selections!$L$6:$L$76,Selections!$E$6:$E$76,"Asian Handicap Away +2.00",Selections!$T$6:$T$76,1))/SUMIFS(Selections!$T$6:$T$76,Selections!$E$6:$E$76,"Asian Handicap Away +2.00"))</f>
        <v>1.0</v>
      </c>
      <c r="O19" s="20">
        <f>IF(SUMIFS(Selections!$T$6:$T$76,Selections!$E$6:$E$76,"Asian Handicap Away +2.00")=0,"n.a.",(SUMIFS(Selections!$S$6:$S$76,Selections!$E$6:$E$76,"Asian Handicap Away +2.00")-(SUMIFS(Selections!$L$6:$L$76,Selections!$E$6:$E$76,"Asian Handicap Away +2.00",Selections!$T$6:$T$76,1)))/SUMIFS(Selections!$T$6:$T$76,Selections!$E$6:$E$76,"Asian Handicap Away +2.00"))</f>
        <v>-0.1457009647340305</v>
      </c>
      <c r="P19" s="19">
        <f>SUMIFS(Selections!$T$6:$T$76,Selections!$E$6:$E$76,"Asian Handicap Away +2.00")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COUNTIFS(Selections!$E$6:$E$76,"Asian Handicap Away +2.25")</f>
        <v>1</v>
      </c>
      <c r="D20" s="19">
        <f>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</f>
        <v>0</v>
      </c>
      <c r="E20" s="19">
        <f>(COUNTIFS(Selections!$E$6:$E$76,"Asian Handicap Away +2.25",Selections!$K$6:$K$76,"WON")+COUNTIFS(Selections!$E$6:$E$76,"Asian Handicap Away +2.25",Selections!$K$6:$K$76,"HALF_WON"))</f>
        <v>0</v>
      </c>
      <c r="F20" s="19">
        <f>(COUNTIFS(Selections!$E$6:$E$76,"Asian Handicap Away +2.25",Selections!$K$6:$K$76,"LOST")+COUNTIFS(Selections!$E$6:$E$76,"Asian Handicap Away +2.25",Selections!$K$6:$K$76,"HALF_LOST"))</f>
        <v>0</v>
      </c>
      <c r="G20" s="19">
        <f>COUNTIFS(Selections!$E$6:$E$76,"Asian Handicap Away +2.25")-((COUNTIFS(Selections!$E$6:$E$76,"Asian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</f>
        <v>1</v>
      </c>
      <c r="H20" s="20" t="str">
        <f>IF(((COUNTIFS(Selections!$E$6:$E$76,"Asian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+2.25",Selections!$K$6:$K$76,"REFUNDED"))=0,"n.a.",(COUNTIFS(Selections!$E$6:$E$76,"Asian Handicap Away +2.25",Selections!$K$6:$K$76,"WON")+COUNTIFS(Selections!$E$6:$E$76,"Asian Handicap Away +2.25",Selections!$K$6:$K$76,"HALF_WON"))/((COUNTIFS(Selections!$E$6:$E$76,"Asian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+2.25",Selections!$K$6:$K$76,"REFUNDED")))</f>
        <v>n.a.</v>
      </c>
      <c r="I20" s="22">
        <f>SUMIFS(Selections!$M$6:$M$76,Selections!$E$6:$E$76,"Asian Handicap Away +2.25")</f>
        <v>0</v>
      </c>
      <c r="J20" s="22">
        <f>SUMIFS(Selections!$N$6:$N$76,Selections!$E$6:$E$76,"Asian Handicap Away +2.25")</f>
        <v>0</v>
      </c>
      <c r="K20" s="20" t="str">
        <f>IF(SUMIFS(Selections!$M$6:$M$76,Selections!$E$6:$E$76,"Asian Handicap Away +2.25")=0,"n.a.",SUMIFS(Selections!$N$6:$N$76,Selections!$E$6:$E$76,"Asian Handicap Away +2.25")/SUMIFS(Selections!$M$6:$M$76,Selections!$E$6:$E$76,"Asian Handicap Away +2.25"))</f>
        <v>n.a.</v>
      </c>
      <c r="L20" s="21" t="str">
        <f>IF(SUMIFS(Selections!$T$6:$T$76,Selections!$E$6:$E$76,"Asian Handicap Away +2.25")=0,"n.a.",SUMIFS(Selections!$O$6:$O$76,Selections!$E$6:$E$76,"Asian Handicap Away +2.25")/SUMIFS(Selections!$T$6:$T$76,Selections!$E$6:$E$76,"Asian Handicap Away +2.25"))</f>
        <v>n.a.</v>
      </c>
      <c r="M20" s="20" t="str">
        <f>IF(SUMIFS(Selections!$T$6:$T$76,Selections!$E$6:$E$76,"Asian Handicap Away +2.25")=0,"n.a.",SUMIFS(Selections!$S$6:$S$76,Selections!$E$6:$E$76,"Asian Handicap Away +2.25")/SUMIFS(Selections!$T$6:$T$76,Selections!$E$6:$E$76,"Asian Handicap Away +2.25"))</f>
        <v>n.a.</v>
      </c>
      <c r="N20" s="20" t="str">
        <f>IF(SUMIFS(Selections!$T$6:$T$76,Selections!$E$6:$E$76,"Asian Handicap Away +2.25")=0,"n.a.",(SUMIFS(Selections!$L$6:$L$76,Selections!$E$6:$E$76,"Asian Handicap Away +2.25",Selections!$T$6:$T$76,1))/SUMIFS(Selections!$T$6:$T$76,Selections!$E$6:$E$76,"Asian Handicap Away +2.25"))</f>
        <v>n.a.</v>
      </c>
      <c r="O20" s="20" t="str">
        <f>IF(SUMIFS(Selections!$T$6:$T$76,Selections!$E$6:$E$76,"Asian Handicap Away +2.25")=0,"n.a.",(SUMIFS(Selections!$S$6:$S$76,Selections!$E$6:$E$76,"Asian Handicap Away +2.25")-(SUMIFS(Selections!$L$6:$L$76,Selections!$E$6:$E$76,"Asian Handicap Away +2.25",Selections!$T$6:$T$76,1)))/SUMIFS(Selections!$T$6:$T$76,Selections!$E$6:$E$76,"Asian Handicap Away +2.25"))</f>
        <v>n.a.</v>
      </c>
      <c r="P20" s="19">
        <f>SUMIFS(Selections!$T$6:$T$76,Selections!$E$6:$E$76,"Asian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COUNTIFS(Selections!$E$6:$E$76,"Asian Handicap Home +1.25")</f>
        <v>1</v>
      </c>
      <c r="D21" s="19">
        <f>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</f>
        <v>0</v>
      </c>
      <c r="E21" s="19">
        <f>(COUNTIFS(Selections!$E$6:$E$76,"Asian Handicap Home +1.25",Selections!$K$6:$K$76,"WON")+COUNTIFS(Selections!$E$6:$E$76,"Asian Handicap Home +1.25",Selections!$K$6:$K$76,"HALF_WON"))</f>
        <v>0</v>
      </c>
      <c r="F21" s="19">
        <f>(COUNTIFS(Selections!$E$6:$E$76,"Asian Handicap Home +1.25",Selections!$K$6:$K$76,"LOST")+COUNTIFS(Selections!$E$6:$E$76,"Asian Handicap Home +1.25",Selections!$K$6:$K$76,"HALF_LOST"))</f>
        <v>0</v>
      </c>
      <c r="G21" s="19">
        <f>COUNTIFS(Selections!$E$6:$E$76,"Asian Handicap Home +1.25")-((COUNTIFS(Selections!$E$6:$E$76,"Asian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</f>
        <v>1</v>
      </c>
      <c r="H21" s="20" t="str">
        <f>IF(((COUNTIFS(Selections!$E$6:$E$76,"Asian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+1.25",Selections!$K$6:$K$76,"REFUNDED"))=0,"n.a.",(COUNTIFS(Selections!$E$6:$E$76,"Asian Handicap Home +1.25",Selections!$K$6:$K$76,"WON")+COUNTIFS(Selections!$E$6:$E$76,"Asian Handicap Home +1.25",Selections!$K$6:$K$76,"HALF_WON"))/((COUNTIFS(Selections!$E$6:$E$76,"Asian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+1.25",Selections!$K$6:$K$76,"REFUNDED")))</f>
        <v>n.a.</v>
      </c>
      <c r="I21" s="22">
        <f>SUMIFS(Selections!$M$6:$M$76,Selections!$E$6:$E$76,"Asian Handicap Home +1.25")</f>
        <v>0</v>
      </c>
      <c r="J21" s="22">
        <f>SUMIFS(Selections!$N$6:$N$76,Selections!$E$6:$E$76,"Asian Handicap Home +1.25")</f>
        <v>0</v>
      </c>
      <c r="K21" s="20" t="str">
        <f>IF(SUMIFS(Selections!$M$6:$M$76,Selections!$E$6:$E$76,"Asian Handicap Home +1.25")=0,"n.a.",SUMIFS(Selections!$N$6:$N$76,Selections!$E$6:$E$76,"Asian Handicap Home +1.25")/SUMIFS(Selections!$M$6:$M$76,Selections!$E$6:$E$76,"Asian Handicap Home +1.25"))</f>
        <v>n.a.</v>
      </c>
      <c r="L21" s="21" t="str">
        <f>IF(SUMIFS(Selections!$T$6:$T$76,Selections!$E$6:$E$76,"Asian Handicap Home +1.25")=0,"n.a.",SUMIFS(Selections!$O$6:$O$76,Selections!$E$6:$E$76,"Asian Handicap Home +1.25")/SUMIFS(Selections!$T$6:$T$76,Selections!$E$6:$E$76,"Asian Handicap Home +1.25"))</f>
        <v>n.a.</v>
      </c>
      <c r="M21" s="20" t="str">
        <f>IF(SUMIFS(Selections!$T$6:$T$76,Selections!$E$6:$E$76,"Asian Handicap Home +1.25")=0,"n.a.",SUMIFS(Selections!$S$6:$S$76,Selections!$E$6:$E$76,"Asian Handicap Home +1.25")/SUMIFS(Selections!$T$6:$T$76,Selections!$E$6:$E$76,"Asian Handicap Home +1.25"))</f>
        <v>n.a.</v>
      </c>
      <c r="N21" s="20" t="str">
        <f>IF(SUMIFS(Selections!$T$6:$T$76,Selections!$E$6:$E$76,"Asian Handicap Home +1.25")=0,"n.a.",(SUMIFS(Selections!$L$6:$L$76,Selections!$E$6:$E$76,"Asian Handicap Home +1.25",Selections!$T$6:$T$76,1))/SUMIFS(Selections!$T$6:$T$76,Selections!$E$6:$E$76,"Asian Handicap Home +1.25"))</f>
        <v>n.a.</v>
      </c>
      <c r="O21" s="20" t="str">
        <f>IF(SUMIFS(Selections!$T$6:$T$76,Selections!$E$6:$E$76,"Asian Handicap Home +1.25")=0,"n.a.",(SUMIFS(Selections!$S$6:$S$76,Selections!$E$6:$E$76,"Asian Handicap Home +1.25")-(SUMIFS(Selections!$L$6:$L$76,Selections!$E$6:$E$76,"Asian Handicap Home +1.25",Selections!$T$6:$T$76,1)))/SUMIFS(Selections!$T$6:$T$76,Selections!$E$6:$E$76,"Asian Handicap Home +1.25"))</f>
        <v>n.a.</v>
      </c>
      <c r="P21" s="19">
        <f>SUMIFS(Selections!$T$6:$T$76,Selections!$E$6:$E$76,"Asian Handicap Home +1.25")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COUNTIFS(Selections!$E$6:$E$76,"Asian Handicap Home +2.00")</f>
        <v>1</v>
      </c>
      <c r="D22" s="19">
        <f>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</f>
        <v>1</v>
      </c>
      <c r="E22" s="19">
        <f>(COUNTIFS(Selections!$E$6:$E$76,"Asian Handicap Home +2.00",Selections!$K$6:$K$76,"WON")+COUNTIFS(Selections!$E$6:$E$76,"Asian Handicap Home +2.00",Selections!$K$6:$K$76,"HALF_WON"))</f>
        <v>1</v>
      </c>
      <c r="F22" s="19">
        <f>(COUNTIFS(Selections!$E$6:$E$76,"Asian Handicap Home +2.00",Selections!$K$6:$K$76,"LOST")+COUNTIFS(Selections!$E$6:$E$76,"Asian Handicap Home +2.00",Selections!$K$6:$K$76,"HALF_LOST"))</f>
        <v>0</v>
      </c>
      <c r="G22" s="19">
        <f>COUNTIFS(Selections!$E$6:$E$76,"Asian Handicap Home +2.00")-((COUNTIFS(Selections!$E$6:$E$76,"Asian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</f>
        <v>0</v>
      </c>
      <c r="H22" s="20">
        <f>IF(((COUNTIFS(Selections!$E$6:$E$76,"Asian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+2.00",Selections!$K$6:$K$76,"REFUNDED"))=0,"n.a.",(COUNTIFS(Selections!$E$6:$E$76,"Asian Handicap Home +2.00",Selections!$K$6:$K$76,"WON")+COUNTIFS(Selections!$E$6:$E$76,"Asian Handicap Home +2.00",Selections!$K$6:$K$76,"HALF_WON"))/((COUNTIFS(Selections!$E$6:$E$76,"Asian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+2.00",Selections!$K$6:$K$76,"REFUNDED")))</f>
        <v>1.0</v>
      </c>
      <c r="I22" s="22">
        <f>SUMIFS(Selections!$M$6:$M$76,Selections!$E$6:$E$76,"Asian Handicap Home +2.00")</f>
        <v>1</v>
      </c>
      <c r="J22" s="22">
        <f>SUMIFS(Selections!$N$6:$N$76,Selections!$E$6:$E$76,"Asian Handicap Home +2.00")</f>
        <v>0.26</v>
      </c>
      <c r="K22" s="20">
        <f>IF(SUMIFS(Selections!$M$6:$M$76,Selections!$E$6:$E$76,"Asian Handicap Home +2.00")=0,"n.a.",SUMIFS(Selections!$N$6:$N$76,Selections!$E$6:$E$76,"Asian Handicap Home +2.00")/SUMIFS(Selections!$M$6:$M$76,Selections!$E$6:$E$76,"Asian Handicap Home +2.00"))</f>
        <v>0.26</v>
      </c>
      <c r="L22" s="21">
        <f>IF(SUMIFS(Selections!$T$6:$T$76,Selections!$E$6:$E$76,"Asian Handicap Home +2.00")=0,"n.a.",SUMIFS(Selections!$O$6:$O$76,Selections!$E$6:$E$76,"Asian Handicap Home +2.00")/SUMIFS(Selections!$T$6:$T$76,Selections!$E$6:$E$76,"Asian Handicap Home +2.00"))</f>
        <v>0.022096178165030404</v>
      </c>
      <c r="M22" s="20">
        <f>IF(SUMIFS(Selections!$T$6:$T$76,Selections!$E$6:$E$76,"Asian Handicap Home +2.00")=0,"n.a.",SUMIFS(Selections!$S$6:$S$76,Selections!$E$6:$E$76,"Asian Handicap Home +2.00")/SUMIFS(Selections!$T$6:$T$76,Selections!$E$6:$E$76,"Asian Handicap Home +2.00"))</f>
        <v>0.851352167304631</v>
      </c>
      <c r="N22" s="20">
        <f>IF(SUMIFS(Selections!$T$6:$T$76,Selections!$E$6:$E$76,"Asian Handicap Home +2.00")=0,"n.a.",(SUMIFS(Selections!$L$6:$L$76,Selections!$E$6:$E$76,"Asian Handicap Home +2.00",Selections!$T$6:$T$76,1))/SUMIFS(Selections!$T$6:$T$76,Selections!$E$6:$E$76,"Asian Handicap Home +2.00"))</f>
        <v>1.0</v>
      </c>
      <c r="O22" s="20">
        <f>IF(SUMIFS(Selections!$T$6:$T$76,Selections!$E$6:$E$76,"Asian Handicap Home +2.00")=0,"n.a.",(SUMIFS(Selections!$S$6:$S$76,Selections!$E$6:$E$76,"Asian Handicap Home +2.00")-(SUMIFS(Selections!$L$6:$L$76,Selections!$E$6:$E$76,"Asian Handicap Home +2.00",Selections!$T$6:$T$76,1)))/SUMIFS(Selections!$T$6:$T$76,Selections!$E$6:$E$76,"Asian Handicap Home +2.00"))</f>
        <v>-0.14864783269536896</v>
      </c>
      <c r="P22" s="19">
        <f>SUMIFS(Selections!$T$6:$T$76,Selections!$E$6:$E$76,"Asian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COUNTIFS(Selections!$E$6:$E$76,"Asian Handicap Home +2.25")</f>
        <v>1</v>
      </c>
      <c r="D23" s="19">
        <f>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</f>
        <v>0</v>
      </c>
      <c r="E23" s="19">
        <f>(COUNTIFS(Selections!$E$6:$E$76,"Asian Handicap Home +2.25",Selections!$K$6:$K$76,"WON")+COUNTIFS(Selections!$E$6:$E$76,"Asian Handicap Home +2.25",Selections!$K$6:$K$76,"HALF_WON"))</f>
        <v>0</v>
      </c>
      <c r="F23" s="19">
        <f>(COUNTIFS(Selections!$E$6:$E$76,"Asian Handicap Home +2.25",Selections!$K$6:$K$76,"LOST")+COUNTIFS(Selections!$E$6:$E$76,"Asian Handicap Home +2.25",Selections!$K$6:$K$76,"HALF_LOST"))</f>
        <v>0</v>
      </c>
      <c r="G23" s="19">
        <f>COUNTIFS(Selections!$E$6:$E$76,"Asian Handicap Home +2.25")-((COUNTIFS(Selections!$E$6:$E$76,"Asian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</f>
        <v>1</v>
      </c>
      <c r="H23" s="20" t="str">
        <f>IF(((COUNTIFS(Selections!$E$6:$E$76,"Asian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+2.25",Selections!$K$6:$K$76,"REFUNDED"))=0,"n.a.",(COUNTIFS(Selections!$E$6:$E$76,"Asian Handicap Home +2.25",Selections!$K$6:$K$76,"WON")+COUNTIFS(Selections!$E$6:$E$76,"Asian Handicap Home +2.25",Selections!$K$6:$K$76,"HALF_WON"))/((COUNTIFS(Selections!$E$6:$E$76,"Asian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+2.25",Selections!$K$6:$K$76,"REFUNDED")))</f>
        <v>n.a.</v>
      </c>
      <c r="I23" s="22">
        <f>SUMIFS(Selections!$M$6:$M$76,Selections!$E$6:$E$76,"Asian Handicap Home +2.25")</f>
        <v>0</v>
      </c>
      <c r="J23" s="22">
        <f>SUMIFS(Selections!$N$6:$N$76,Selections!$E$6:$E$76,"Asian Handicap Home +2.25")</f>
        <v>0</v>
      </c>
      <c r="K23" s="20" t="str">
        <f>IF(SUMIFS(Selections!$M$6:$M$76,Selections!$E$6:$E$76,"Asian Handicap Home +2.25")=0,"n.a.",SUMIFS(Selections!$N$6:$N$76,Selections!$E$6:$E$76,"Asian Handicap Home +2.25")/SUMIFS(Selections!$M$6:$M$76,Selections!$E$6:$E$76,"Asian Handicap Home +2.25"))</f>
        <v>n.a.</v>
      </c>
      <c r="L23" s="21" t="str">
        <f>IF(SUMIFS(Selections!$T$6:$T$76,Selections!$E$6:$E$76,"Asian Handicap Home +2.25")=0,"n.a.",SUMIFS(Selections!$O$6:$O$76,Selections!$E$6:$E$76,"Asian Handicap Home +2.25")/SUMIFS(Selections!$T$6:$T$76,Selections!$E$6:$E$76,"Asian Handicap Home +2.25"))</f>
        <v>n.a.</v>
      </c>
      <c r="M23" s="20" t="str">
        <f>IF(SUMIFS(Selections!$T$6:$T$76,Selections!$E$6:$E$76,"Asian Handicap Home +2.25")=0,"n.a.",SUMIFS(Selections!$S$6:$S$76,Selections!$E$6:$E$76,"Asian Handicap Home +2.25")/SUMIFS(Selections!$T$6:$T$76,Selections!$E$6:$E$76,"Asian Handicap Home +2.25"))</f>
        <v>n.a.</v>
      </c>
      <c r="N23" s="20" t="str">
        <f>IF(SUMIFS(Selections!$T$6:$T$76,Selections!$E$6:$E$76,"Asian Handicap Home +2.25")=0,"n.a.",(SUMIFS(Selections!$L$6:$L$76,Selections!$E$6:$E$76,"Asian Handicap Home +2.25",Selections!$T$6:$T$76,1))/SUMIFS(Selections!$T$6:$T$76,Selections!$E$6:$E$76,"Asian Handicap Home +2.25"))</f>
        <v>n.a.</v>
      </c>
      <c r="O23" s="20" t="str">
        <f>IF(SUMIFS(Selections!$T$6:$T$76,Selections!$E$6:$E$76,"Asian Handicap Home +2.25")=0,"n.a.",(SUMIFS(Selections!$S$6:$S$76,Selections!$E$6:$E$76,"Asian Handicap Home +2.25")-(SUMIFS(Selections!$L$6:$L$76,Selections!$E$6:$E$76,"Asian Handicap Home +2.25",Selections!$T$6:$T$76,1)))/SUMIFS(Selections!$T$6:$T$76,Selections!$E$6:$E$76,"Asian Handicap Home +2.25"))</f>
        <v>n.a.</v>
      </c>
      <c r="P23" s="19">
        <f>SUMIFS(Selections!$T$6:$T$76,Selections!$E$6:$E$76,"Asian Handicap Home +2.25")</f>
        <v>0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(n=0).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COUNTIFS(Selections!$E$6:$E$76,"Away win")</f>
        <v>4</v>
      </c>
      <c r="D24" s="19">
        <f>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</f>
        <v>1</v>
      </c>
      <c r="E24" s="19">
        <f>(COUNTIFS(Selections!$E$6:$E$76,"Away win",Selections!$K$6:$K$76,"WON")+COUNTIFS(Selections!$E$6:$E$76,"Away win",Selections!$K$6:$K$76,"HALF_WON"))</f>
        <v>0</v>
      </c>
      <c r="F24" s="19">
        <f>(COUNTIFS(Selections!$E$6:$E$76,"Away win",Selections!$K$6:$K$76,"LOST")+COUNTIFS(Selections!$E$6:$E$76,"Away win",Selections!$K$6:$K$76,"HALF_LOST"))</f>
        <v>1</v>
      </c>
      <c r="G24" s="19">
        <f>COUNTIFS(Selections!$E$6:$E$76,"Away win")-((COUNTIFS(Selections!$E$6:$E$76,"Away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</f>
        <v>3</v>
      </c>
      <c r="H24" s="20">
        <f>IF(((COUNTIFS(Selections!$E$6:$E$76,"Away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win",Selections!$K$6:$K$76,"REFUNDED"))=0,"n.a.",(COUNTIFS(Selections!$E$6:$E$76,"Away win",Selections!$K$6:$K$76,"WON")+COUNTIFS(Selections!$E$6:$E$76,"Away win",Selections!$K$6:$K$76,"HALF_WON"))/((COUNTIFS(Selections!$E$6:$E$76,"Away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win",Selections!$K$6:$K$76,"REFUNDED")))</f>
        <v>0.0</v>
      </c>
      <c r="I24" s="22">
        <f>SUMIFS(Selections!$M$6:$M$76,Selections!$E$6:$E$76,"Away win")</f>
        <v>1</v>
      </c>
      <c r="J24" s="22">
        <f>SUMIFS(Selections!$N$6:$N$76,Selections!$E$6:$E$76,"Away win")</f>
        <v>-1.0</v>
      </c>
      <c r="K24" s="20">
        <f>IF(SUMIFS(Selections!$M$6:$M$76,Selections!$E$6:$E$76,"Away win")=0,"n.a.",SUMIFS(Selections!$N$6:$N$76,Selections!$E$6:$E$76,"Away win")/SUMIFS(Selections!$M$6:$M$76,Selections!$E$6:$E$76,"Away win"))</f>
        <v>-1.0</v>
      </c>
      <c r="L24" s="21">
        <f>IF(SUMIFS(Selections!$T$6:$T$76,Selections!$E$6:$E$76,"Away win")=0,"n.a.",SUMIFS(Selections!$O$6:$O$76,Selections!$E$6:$E$76,"Away win")/SUMIFS(Selections!$T$6:$T$76,Selections!$E$6:$E$76,"Away win"))</f>
        <v>0.4253283778022773</v>
      </c>
      <c r="M24" s="20">
        <f>IF(SUMIFS(Selections!$T$6:$T$76,Selections!$E$6:$E$76,"Away win")=0,"n.a.",SUMIFS(Selections!$S$6:$S$76,Selections!$E$6:$E$76,"Away win")/SUMIFS(Selections!$T$6:$T$76,Selections!$E$6:$E$76,"Away win"))</f>
        <v>0.6521720461674797</v>
      </c>
      <c r="N24" s="20">
        <f>IF(SUMIFS(Selections!$T$6:$T$76,Selections!$E$6:$E$76,"Away win")=0,"n.a.",(SUMIFS(Selections!$L$6:$L$76,Selections!$E$6:$E$76,"Away win",Selections!$T$6:$T$76,1))/SUMIFS(Selections!$T$6:$T$76,Selections!$E$6:$E$76,"Away win"))</f>
        <v>0.0</v>
      </c>
      <c r="O24" s="20">
        <f>IF(SUMIFS(Selections!$T$6:$T$76,Selections!$E$6:$E$76,"Away win")=0,"n.a.",(SUMIFS(Selections!$S$6:$S$76,Selections!$E$6:$E$76,"Away win")-(SUMIFS(Selections!$L$6:$L$76,Selections!$E$6:$E$76,"Away win",Selections!$T$6:$T$76,1)))/SUMIFS(Selections!$T$6:$T$76,Selections!$E$6:$E$76,"Away win"))</f>
        <v>0.6521720461674797</v>
      </c>
      <c r="P24" s="19">
        <f>SUMIFS(Selections!$T$6:$T$76,Selections!$E$6:$E$76,"Away win")</f>
        <v>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COUNTIFS(Selections!$E$6:$E$76,"Both Teams to Score - Yes")</f>
        <v>3</v>
      </c>
      <c r="D25" s="19">
        <f>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</f>
        <v>3</v>
      </c>
      <c r="E25" s="19">
        <f>(COUNTIFS(Selections!$E$6:$E$76,"Both Teams to Score - Yes",Selections!$K$6:$K$76,"WON")+COUNTIFS(Selections!$E$6:$E$76,"Both Teams to Score - Yes",Selections!$K$6:$K$76,"HALF_WON"))</f>
        <v>2</v>
      </c>
      <c r="F25" s="19">
        <f>(COUNTIFS(Selections!$E$6:$E$76,"Both Teams to Score - Yes",Selections!$K$6:$K$76,"LOST")+COUNTIFS(Selections!$E$6:$E$76,"Both Teams to Score - Yes",Selections!$K$6:$K$76,"HALF_LOST"))</f>
        <v>1</v>
      </c>
      <c r="G25" s="19">
        <f>COUNTIFS(Selections!$E$6:$E$76,"Both Teams to Score - Yes")-((COUNTIFS(Selections!$E$6:$E$76,"Both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</f>
        <v>0</v>
      </c>
      <c r="H25" s="20">
        <f>IF(((COUNTIFS(Selections!$E$6:$E$76,"Both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Yes",Selections!$K$6:$K$76,"REFUNDED"))=0,"n.a.",(COUNTIFS(Selections!$E$6:$E$76,"Both Teams to Score - Yes",Selections!$K$6:$K$76,"WON")+COUNTIFS(Selections!$E$6:$E$76,"Both Teams to Score - Yes",Selections!$K$6:$K$76,"HALF_WON"))/((COUNTIFS(Selections!$E$6:$E$76,"Both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Yes",Selections!$K$6:$K$76,"REFUNDED")))</f>
        <v>0.6666666666666666</v>
      </c>
      <c r="I25" s="22">
        <f>SUMIFS(Selections!$M$6:$M$76,Selections!$E$6:$E$76,"Both Teams to Score - Yes")</f>
        <v>3</v>
      </c>
      <c r="J25" s="22">
        <f>SUMIFS(Selections!$N$6:$N$76,Selections!$E$6:$E$76,"Both Teams to Score - Yes")</f>
        <v>0.020000000000000018</v>
      </c>
      <c r="K25" s="20">
        <f>IF(SUMIFS(Selections!$M$6:$M$76,Selections!$E$6:$E$76,"Both Teams to Score - Yes")=0,"n.a.",SUMIFS(Selections!$N$6:$N$76,Selections!$E$6:$E$76,"Both Teams to Score - Yes")/SUMIFS(Selections!$M$6:$M$76,Selections!$E$6:$E$76,"Both Teams to Score - Yes"))</f>
        <v>0.006666666666666672</v>
      </c>
      <c r="L25" s="21">
        <f>IF(SUMIFS(Selections!$T$6:$T$76,Selections!$E$6:$E$76,"Both Teams to Score - Yes")=0,"n.a.",SUMIFS(Selections!$O$6:$O$76,Selections!$E$6:$E$76,"Both Teams to Score - Yes")/SUMIFS(Selections!$T$6:$T$76,Selections!$E$6:$E$76,"Both Teams to Score - Yes"))</f>
        <v>0.2227178753914428</v>
      </c>
      <c r="M25" s="20">
        <f>IF(SUMIFS(Selections!$T$6:$T$76,Selections!$E$6:$E$76,"Both Teams to Score - Yes")=0,"n.a.",SUMIFS(Selections!$S$6:$S$76,Selections!$E$6:$E$76,"Both Teams to Score - Yes")/SUMIFS(Selections!$T$6:$T$76,Selections!$E$6:$E$76,"Both Teams to Score - Yes"))</f>
        <v>0.7130523653970714</v>
      </c>
      <c r="N25" s="20">
        <f>IF(SUMIFS(Selections!$T$6:$T$76,Selections!$E$6:$E$76,"Both Teams to Score - Yes")=0,"n.a.",(SUMIFS(Selections!$L$6:$L$76,Selections!$E$6:$E$76,"Both Teams to Score - Yes",Selections!$T$6:$T$76,1))/SUMIFS(Selections!$T$6:$T$76,Selections!$E$6:$E$76,"Both Teams to Score - Yes"))</f>
        <v>0.6666666666666666</v>
      </c>
      <c r="O25" s="20">
        <f>IF(SUMIFS(Selections!$T$6:$T$76,Selections!$E$6:$E$76,"Both Teams to Score - Yes")=0,"n.a.",(SUMIFS(Selections!$S$6:$S$76,Selections!$E$6:$E$76,"Both Teams to Score - Yes")-(SUMIFS(Selections!$L$6:$L$76,Selections!$E$6:$E$76,"Both Teams to Score - Yes",Selections!$T$6:$T$76,1)))/SUMIFS(Selections!$T$6:$T$76,Selections!$E$6:$E$76,"Both Teams to Score - Yes"))</f>
        <v>0.04638569873040477</v>
      </c>
      <c r="P25" s="19">
        <f>SUMIFS(Selections!$T$6:$T$76,Selections!$E$6:$E$76,"Both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COUNTIFS(Selections!$E$6:$E$76,"Corners Under 10.5")</f>
        <v>2</v>
      </c>
      <c r="D26" s="19">
        <f>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</f>
        <v>0</v>
      </c>
      <c r="E26" s="19">
        <f>(COUNTIFS(Selections!$E$6:$E$76,"Corners Under 10.5",Selections!$K$6:$K$76,"WON")+COUNTIFS(Selections!$E$6:$E$76,"Corners Under 10.5",Selections!$K$6:$K$76,"HALF_WON"))</f>
        <v>0</v>
      </c>
      <c r="F26" s="19">
        <f>(COUNTIFS(Selections!$E$6:$E$76,"Corners Under 10.5",Selections!$K$6:$K$76,"LOST")+COUNTIFS(Selections!$E$6:$E$76,"Corners Under 10.5",Selections!$K$6:$K$76,"HALF_LOST"))</f>
        <v>0</v>
      </c>
      <c r="G26" s="19">
        <f>COUNTIFS(Selections!$E$6:$E$76,"Corners Under 10.5")-((COUNTIFS(Selections!$E$6:$E$76,"Corners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</f>
        <v>2</v>
      </c>
      <c r="H26" s="20" t="str">
        <f>IF(((COUNTIFS(Selections!$E$6:$E$76,"Corners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10.5",Selections!$K$6:$K$76,"REFUNDED"))=0,"n.a.",(COUNTIFS(Selections!$E$6:$E$76,"Corners Under 10.5",Selections!$K$6:$K$76,"WON")+COUNTIFS(Selections!$E$6:$E$76,"Corners Under 10.5",Selections!$K$6:$K$76,"HALF_WON"))/((COUNTIFS(Selections!$E$6:$E$76,"Corners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10.5",Selections!$K$6:$K$76,"REFUNDED")))</f>
        <v>n.a.</v>
      </c>
      <c r="I26" s="22">
        <f>SUMIFS(Selections!$M$6:$M$76,Selections!$E$6:$E$76,"Corners Under 10.5")</f>
        <v>0</v>
      </c>
      <c r="J26" s="22">
        <f>SUMIFS(Selections!$N$6:$N$76,Selections!$E$6:$E$76,"Corners Under 10.5")</f>
        <v>0</v>
      </c>
      <c r="K26" s="20" t="str">
        <f>IF(SUMIFS(Selections!$M$6:$M$76,Selections!$E$6:$E$76,"Corners Under 10.5")=0,"n.a.",SUMIFS(Selections!$N$6:$N$76,Selections!$E$6:$E$76,"Corners Under 10.5")/SUMIFS(Selections!$M$6:$M$76,Selections!$E$6:$E$76,"Corners Under 10.5"))</f>
        <v>n.a.</v>
      </c>
      <c r="L26" s="21" t="str">
        <f>IF(SUMIFS(Selections!$T$6:$T$76,Selections!$E$6:$E$76,"Corners Under 10.5")=0,"n.a.",SUMIFS(Selections!$O$6:$O$76,Selections!$E$6:$E$76,"Corners Under 10.5")/SUMIFS(Selections!$T$6:$T$76,Selections!$E$6:$E$76,"Corners Under 10.5"))</f>
        <v>n.a.</v>
      </c>
      <c r="M26" s="20" t="str">
        <f>IF(SUMIFS(Selections!$T$6:$T$76,Selections!$E$6:$E$76,"Corners Under 10.5")=0,"n.a.",SUMIFS(Selections!$S$6:$S$76,Selections!$E$6:$E$76,"Corners Under 10.5")/SUMIFS(Selections!$T$6:$T$76,Selections!$E$6:$E$76,"Corners Under 10.5"))</f>
        <v>n.a.</v>
      </c>
      <c r="N26" s="20" t="str">
        <f>IF(SUMIFS(Selections!$T$6:$T$76,Selections!$E$6:$E$76,"Corners Under 10.5")=0,"n.a.",(SUMIFS(Selections!$L$6:$L$76,Selections!$E$6:$E$76,"Corners Under 10.5",Selections!$T$6:$T$76,1))/SUMIFS(Selections!$T$6:$T$76,Selections!$E$6:$E$76,"Corners Under 10.5"))</f>
        <v>n.a.</v>
      </c>
      <c r="O26" s="20" t="str">
        <f>IF(SUMIFS(Selections!$T$6:$T$76,Selections!$E$6:$E$76,"Corners Under 10.5")=0,"n.a.",(SUMIFS(Selections!$S$6:$S$76,Selections!$E$6:$E$76,"Corners Under 10.5")-(SUMIFS(Selections!$L$6:$L$76,Selections!$E$6:$E$76,"Corners Under 10.5",Selections!$T$6:$T$76,1)))/SUMIFS(Selections!$T$6:$T$76,Selections!$E$6:$E$76,"Corners Under 10.5"))</f>
        <v>n.a.</v>
      </c>
      <c r="P26" s="19">
        <f>SUMIFS(Selections!$T$6:$T$76,Selections!$E$6:$E$76,"Corners Under 10.5")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COUNTIFS(Selections!$E$6:$E$76,"Double Chance 12")</f>
        <v>8</v>
      </c>
      <c r="D27" s="19">
        <f>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</f>
        <v>6</v>
      </c>
      <c r="E27" s="19">
        <f>(COUNTIFS(Selections!$E$6:$E$76,"Double Chance 12",Selections!$K$6:$K$76,"WON")+COUNTIFS(Selections!$E$6:$E$76,"Double Chance 12",Selections!$K$6:$K$76,"HALF_WON"))</f>
        <v>5</v>
      </c>
      <c r="F27" s="19">
        <f>(COUNTIFS(Selections!$E$6:$E$76,"Double Chance 12",Selections!$K$6:$K$76,"LOST")+COUNTIFS(Selections!$E$6:$E$76,"Double Chance 12",Selections!$K$6:$K$76,"HALF_LOST"))</f>
        <v>1</v>
      </c>
      <c r="G27" s="19">
        <f>COUNTIFS(Selections!$E$6:$E$76,"Double Chance 12")-((COUNTIFS(Selections!$E$6:$E$76,"Double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</f>
        <v>2</v>
      </c>
      <c r="H27" s="20">
        <f>IF(((COUNTIFS(Selections!$E$6:$E$76,"Double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12",Selections!$K$6:$K$76,"REFUNDED"))=0,"n.a.",(COUNTIFS(Selections!$E$6:$E$76,"Double Chance 12",Selections!$K$6:$K$76,"WON")+COUNTIFS(Selections!$E$6:$E$76,"Double Chance 12",Selections!$K$6:$K$76,"HALF_WON"))/((COUNTIFS(Selections!$E$6:$E$76,"Double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12",Selections!$K$6:$K$76,"REFUNDED")))</f>
        <v>0.8333333333333334</v>
      </c>
      <c r="I27" s="22">
        <f>SUMIFS(Selections!$M$6:$M$76,Selections!$E$6:$E$76,"Double Chance 12")</f>
        <v>6</v>
      </c>
      <c r="J27" s="22">
        <f>SUMIFS(Selections!$N$6:$N$76,Selections!$E$6:$E$76,"Double Chance 12")</f>
        <v>0.15999999999999992</v>
      </c>
      <c r="K27" s="20">
        <f>IF(SUMIFS(Selections!$M$6:$M$76,Selections!$E$6:$E$76,"Double Chance 12")=0,"n.a.",SUMIFS(Selections!$N$6:$N$76,Selections!$E$6:$E$76,"Double Chance 12")/SUMIFS(Selections!$M$6:$M$76,Selections!$E$6:$E$76,"Double Chance 12"))</f>
        <v>0.026666666666666655</v>
      </c>
      <c r="L27" s="21">
        <f>IF(SUMIFS(Selections!$T$6:$T$76,Selections!$E$6:$E$76,"Double Chance 12")=0,"n.a.",SUMIFS(Selections!$O$6:$O$76,Selections!$E$6:$E$76,"Double Chance 12")/SUMIFS(Selections!$T$6:$T$76,Selections!$E$6:$E$76,"Double Chance 12"))</f>
        <v>0.14009739195753312</v>
      </c>
      <c r="M27" s="20">
        <f>IF(SUMIFS(Selections!$T$6:$T$76,Selections!$E$6:$E$76,"Double Chance 12")=0,"n.a.",SUMIFS(Selections!$S$6:$S$76,Selections!$E$6:$E$76,"Double Chance 12")/SUMIFS(Selections!$T$6:$T$76,Selections!$E$6:$E$76,"Double Chance 12"))</f>
        <v>0.7831522470696245</v>
      </c>
      <c r="N27" s="20">
        <f>IF(SUMIFS(Selections!$T$6:$T$76,Selections!$E$6:$E$76,"Double Chance 12")=0,"n.a.",(SUMIFS(Selections!$L$6:$L$76,Selections!$E$6:$E$76,"Double Chance 12",Selections!$T$6:$T$76,1))/SUMIFS(Selections!$T$6:$T$76,Selections!$E$6:$E$76,"Double Chance 12"))</f>
        <v>0.8333333333333334</v>
      </c>
      <c r="O27" s="20">
        <f>IF(SUMIFS(Selections!$T$6:$T$76,Selections!$E$6:$E$76,"Double Chance 12")=0,"n.a.",(SUMIFS(Selections!$S$6:$S$76,Selections!$E$6:$E$76,"Double Chance 12")-(SUMIFS(Selections!$L$6:$L$76,Selections!$E$6:$E$76,"Double Chance 12",Selections!$T$6:$T$76,1)))/SUMIFS(Selections!$T$6:$T$76,Selections!$E$6:$E$76,"Double Chance 12"))</f>
        <v>-0.050181086263708874</v>
      </c>
      <c r="P27" s="19">
        <f>SUMIFS(Selections!$T$6:$T$76,Selections!$E$6:$E$76,"Double Chance 12")</f>
        <v>6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(n=6).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COUNTIFS(Selections!$E$6:$E$76,"Double Chance 1X")</f>
        <v>11</v>
      </c>
      <c r="D28" s="19">
        <f>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</f>
        <v>6</v>
      </c>
      <c r="E28" s="19">
        <f>(COUNTIFS(Selections!$E$6:$E$76,"Double Chance 1X",Selections!$K$6:$K$76,"WON")+COUNTIFS(Selections!$E$6:$E$76,"Double Chance 1X",Selections!$K$6:$K$76,"HALF_WON"))</f>
        <v>5</v>
      </c>
      <c r="F28" s="19">
        <f>(COUNTIFS(Selections!$E$6:$E$76,"Double Chance 1X",Selections!$K$6:$K$76,"LOST")+COUNTIFS(Selections!$E$6:$E$76,"Double Chance 1X",Selections!$K$6:$K$76,"HALF_LOST"))</f>
        <v>1</v>
      </c>
      <c r="G28" s="19">
        <f>COUNTIFS(Selections!$E$6:$E$76,"Double Chance 1X")-((COUNTIFS(Selections!$E$6:$E$76,"Double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</f>
        <v>5</v>
      </c>
      <c r="H28" s="20">
        <f>IF(((COUNTIFS(Selections!$E$6:$E$76,"Double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1X",Selections!$K$6:$K$76,"REFUNDED"))=0,"n.a.",(COUNTIFS(Selections!$E$6:$E$76,"Double Chance 1X",Selections!$K$6:$K$76,"WON")+COUNTIFS(Selections!$E$6:$E$76,"Double Chance 1X",Selections!$K$6:$K$76,"HALF_WON"))/((COUNTIFS(Selections!$E$6:$E$76,"Double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1X",Selections!$K$6:$K$76,"REFUNDED")))</f>
        <v>0.8333333333333334</v>
      </c>
      <c r="I28" s="22">
        <f>SUMIFS(Selections!$M$6:$M$76,Selections!$E$6:$E$76,"Double Chance 1X")</f>
        <v>6</v>
      </c>
      <c r="J28" s="22">
        <f>SUMIFS(Selections!$N$6:$N$76,Selections!$E$6:$E$76,"Double Chance 1X")</f>
        <v>0.3599999999999999</v>
      </c>
      <c r="K28" s="20">
        <f>IF(SUMIFS(Selections!$M$6:$M$76,Selections!$E$6:$E$76,"Double Chance 1X")=0,"n.a.",SUMIFS(Selections!$N$6:$N$76,Selections!$E$6:$E$76,"Double Chance 1X")/SUMIFS(Selections!$M$6:$M$76,Selections!$E$6:$E$76,"Double Chance 1X"))</f>
        <v>0.05999999999999998</v>
      </c>
      <c r="L28" s="21">
        <f>IF(SUMIFS(Selections!$T$6:$T$76,Selections!$E$6:$E$76,"Double Chance 1X")=0,"n.a.",SUMIFS(Selections!$O$6:$O$76,Selections!$E$6:$E$76,"Double Chance 1X")/SUMIFS(Selections!$T$6:$T$76,Selections!$E$6:$E$76,"Double Chance 1X"))</f>
        <v>0.09731680945661371</v>
      </c>
      <c r="M28" s="20">
        <f>IF(SUMIFS(Selections!$T$6:$T$76,Selections!$E$6:$E$76,"Double Chance 1X")=0,"n.a.",SUMIFS(Selections!$S$6:$S$76,Selections!$E$6:$E$76,"Double Chance 1X")/SUMIFS(Selections!$T$6:$T$76,Selections!$E$6:$E$76,"Double Chance 1X"))</f>
        <v>0.7747393130999134</v>
      </c>
      <c r="N28" s="20">
        <f>IF(SUMIFS(Selections!$T$6:$T$76,Selections!$E$6:$E$76,"Double Chance 1X")=0,"n.a.",(SUMIFS(Selections!$L$6:$L$76,Selections!$E$6:$E$76,"Double Chance 1X",Selections!$T$6:$T$76,1))/SUMIFS(Selections!$T$6:$T$76,Selections!$E$6:$E$76,"Double Chance 1X"))</f>
        <v>0.8333333333333334</v>
      </c>
      <c r="O28" s="20">
        <f>IF(SUMIFS(Selections!$T$6:$T$76,Selections!$E$6:$E$76,"Double Chance 1X")=0,"n.a.",(SUMIFS(Selections!$S$6:$S$76,Selections!$E$6:$E$76,"Double Chance 1X")-(SUMIFS(Selections!$L$6:$L$76,Selections!$E$6:$E$76,"Double Chance 1X",Selections!$T$6:$T$76,1)))/SUMIFS(Selections!$T$6:$T$76,Selections!$E$6:$E$76,"Double Chance 1X"))</f>
        <v>-0.058594020233419974</v>
      </c>
      <c r="P28" s="19">
        <f>SUMIFS(Selections!$T$6:$T$76,Selections!$E$6:$E$76,"Double Chance 1X")</f>
        <v>6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(n=6).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COUNTIFS(Selections!$E$6:$E$76,"Double Chance X2")</f>
        <v>8</v>
      </c>
      <c r="D29" s="19">
        <f>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</f>
        <v>6</v>
      </c>
      <c r="E29" s="19">
        <f>(COUNTIFS(Selections!$E$6:$E$76,"Double Chance X2",Selections!$K$6:$K$76,"WON")+COUNTIFS(Selections!$E$6:$E$76,"Double Chance X2",Selections!$K$6:$K$76,"HALF_WON"))</f>
        <v>4</v>
      </c>
      <c r="F29" s="19">
        <f>(COUNTIFS(Selections!$E$6:$E$76,"Double Chance X2",Selections!$K$6:$K$76,"LOST")+COUNTIFS(Selections!$E$6:$E$76,"Double Chance X2",Selections!$K$6:$K$76,"HALF_LOST"))</f>
        <v>2</v>
      </c>
      <c r="G29" s="19">
        <f>COUNTIFS(Selections!$E$6:$E$76,"Double Chance X2")-((COUNTIFS(Selections!$E$6:$E$76,"Double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</f>
        <v>2</v>
      </c>
      <c r="H29" s="20">
        <f>IF(((COUNTIFS(Selections!$E$6:$E$76,"Double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X2",Selections!$K$6:$K$76,"REFUNDED"))=0,"n.a.",(COUNTIFS(Selections!$E$6:$E$76,"Double Chance X2",Selections!$K$6:$K$76,"WON")+COUNTIFS(Selections!$E$6:$E$76,"Double Chance X2",Selections!$K$6:$K$76,"HALF_WON"))/((COUNTIFS(Selections!$E$6:$E$76,"Double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X2",Selections!$K$6:$K$76,"REFUNDED")))</f>
        <v>0.6666666666666666</v>
      </c>
      <c r="I29" s="22">
        <f>SUMIFS(Selections!$M$6:$M$76,Selections!$E$6:$E$76,"Double Chance X2")</f>
        <v>6</v>
      </c>
      <c r="J29" s="22">
        <f>SUMIFS(Selections!$N$6:$N$76,Selections!$E$6:$E$76,"Double Chance X2")</f>
        <v>0.48999999999999955</v>
      </c>
      <c r="K29" s="20">
        <f>IF(SUMIFS(Selections!$M$6:$M$76,Selections!$E$6:$E$76,"Double Chance X2")=0,"n.a.",SUMIFS(Selections!$N$6:$N$76,Selections!$E$6:$E$76,"Double Chance X2")/SUMIFS(Selections!$M$6:$M$76,Selections!$E$6:$E$76,"Double Chance X2"))</f>
        <v>0.0816666666666666</v>
      </c>
      <c r="L29" s="21">
        <f>IF(SUMIFS(Selections!$T$6:$T$76,Selections!$E$6:$E$76,"Double Chance X2")=0,"n.a.",SUMIFS(Selections!$O$6:$O$76,Selections!$E$6:$E$76,"Double Chance X2")/SUMIFS(Selections!$T$6:$T$76,Selections!$E$6:$E$76,"Double Chance X2"))</f>
        <v>0.17653423559167636</v>
      </c>
      <c r="M29" s="20">
        <f>IF(SUMIFS(Selections!$T$6:$T$76,Selections!$E$6:$E$76,"Double Chance X2")=0,"n.a.",SUMIFS(Selections!$S$6:$S$76,Selections!$E$6:$E$76,"Double Chance X2")/SUMIFS(Selections!$T$6:$T$76,Selections!$E$6:$E$76,"Double Chance X2"))</f>
        <v>0.6361239193244564</v>
      </c>
      <c r="N29" s="20">
        <f>IF(SUMIFS(Selections!$T$6:$T$76,Selections!$E$6:$E$76,"Double Chance X2")=0,"n.a.",(SUMIFS(Selections!$L$6:$L$76,Selections!$E$6:$E$76,"Double Chance X2",Selections!$T$6:$T$76,1))/SUMIFS(Selections!$T$6:$T$76,Selections!$E$6:$E$76,"Double Chance X2"))</f>
        <v>0.6666666666666666</v>
      </c>
      <c r="O29" s="20">
        <f>IF(SUMIFS(Selections!$T$6:$T$76,Selections!$E$6:$E$76,"Double Chance X2")=0,"n.a.",(SUMIFS(Selections!$S$6:$S$76,Selections!$E$6:$E$76,"Double Chance X2")-(SUMIFS(Selections!$L$6:$L$76,Selections!$E$6:$E$76,"Double Chance X2",Selections!$T$6:$T$76,1)))/SUMIFS(Selections!$T$6:$T$76,Selections!$E$6:$E$76,"Double Chance X2"))</f>
        <v>-0.030542747342210186</v>
      </c>
      <c r="P29" s="19">
        <f>SUMIFS(Selections!$T$6:$T$76,Selections!$E$6:$E$76,"Double Chance X2")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COUNTIFS(Selections!$E$6:$E$76,"Home win")</f>
        <v>9</v>
      </c>
      <c r="D30" s="19">
        <f>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</f>
        <v>5</v>
      </c>
      <c r="E30" s="19">
        <f>(COUNTIFS(Selections!$E$6:$E$76,"Home win",Selections!$K$6:$K$76,"WON")+COUNTIFS(Selections!$E$6:$E$76,"Home win",Selections!$K$6:$K$76,"HALF_WON"))</f>
        <v>5</v>
      </c>
      <c r="F30" s="19">
        <f>(COUNTIFS(Selections!$E$6:$E$76,"Home win",Selections!$K$6:$K$76,"LOST")+COUNTIFS(Selections!$E$6:$E$76,"Home win",Selections!$K$6:$K$76,"HALF_LOST"))</f>
        <v>0</v>
      </c>
      <c r="G30" s="19">
        <f>COUNTIFS(Selections!$E$6:$E$76,"Home win")-((COUNTIFS(Selections!$E$6:$E$76,"Home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</f>
        <v>4</v>
      </c>
      <c r="H30" s="20">
        <f>IF(((COUNTIFS(Selections!$E$6:$E$76,"Home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win",Selections!$K$6:$K$76,"REFUNDED"))=0,"n.a.",(COUNTIFS(Selections!$E$6:$E$76,"Home win",Selections!$K$6:$K$76,"WON")+COUNTIFS(Selections!$E$6:$E$76,"Home win",Selections!$K$6:$K$76,"HALF_WON"))/((COUNTIFS(Selections!$E$6:$E$76,"Home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win",Selections!$K$6:$K$76,"REFUNDED")))</f>
        <v>1.0</v>
      </c>
      <c r="I30" s="22">
        <f>SUMIFS(Selections!$M$6:$M$76,Selections!$E$6:$E$76,"Home win")</f>
        <v>5</v>
      </c>
      <c r="J30" s="22">
        <f>SUMIFS(Selections!$N$6:$N$76,Selections!$E$6:$E$76,"Home win")</f>
        <v>2.5300000000000002</v>
      </c>
      <c r="K30" s="20">
        <f>IF(SUMIFS(Selections!$M$6:$M$76,Selections!$E$6:$E$76,"Home win")=0,"n.a.",SUMIFS(Selections!$N$6:$N$76,Selections!$E$6:$E$76,"Home win")/SUMIFS(Selections!$M$6:$M$76,Selections!$E$6:$E$76,"Home win"))</f>
        <v>0.506</v>
      </c>
      <c r="L30" s="21">
        <f>IF(SUMIFS(Selections!$T$6:$T$76,Selections!$E$6:$E$76,"Home win")=0,"n.a.",SUMIFS(Selections!$O$6:$O$76,Selections!$E$6:$E$76,"Home win")/SUMIFS(Selections!$T$6:$T$76,Selections!$E$6:$E$76,"Home win"))</f>
        <v>0.08395111444229483</v>
      </c>
      <c r="M30" s="20">
        <f>IF(SUMIFS(Selections!$T$6:$T$76,Selections!$E$6:$E$76,"Home win")=0,"n.a.",SUMIFS(Selections!$S$6:$S$76,Selections!$E$6:$E$76,"Home win")/SUMIFS(Selections!$T$6:$T$76,Selections!$E$6:$E$76,"Home win"))</f>
        <v>0.717377401189973</v>
      </c>
      <c r="N30" s="20">
        <f>IF(SUMIFS(Selections!$T$6:$T$76,Selections!$E$6:$E$76,"Home win")=0,"n.a.",(SUMIFS(Selections!$L$6:$L$76,Selections!$E$6:$E$76,"Home win",Selections!$T$6:$T$76,1))/SUMIFS(Selections!$T$6:$T$76,Selections!$E$6:$E$76,"Home win"))</f>
        <v>1.0</v>
      </c>
      <c r="O30" s="20">
        <f>IF(SUMIFS(Selections!$T$6:$T$76,Selections!$E$6:$E$76,"Home win")=0,"n.a.",(SUMIFS(Selections!$S$6:$S$76,Selections!$E$6:$E$76,"Home win")-(SUMIFS(Selections!$L$6:$L$76,Selections!$E$6:$E$76,"Home win",Selections!$T$6:$T$76,1)))/SUMIFS(Selections!$T$6:$T$76,Selections!$E$6:$E$76,"Home win"))</f>
        <v>-0.28262259881002705</v>
      </c>
      <c r="P30" s="19">
        <f>SUMIFS(Selections!$T$6:$T$76,Selections!$E$6:$E$76,"Home win")</f>
        <v>5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(n=5).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COUNTIFS(Selections!$E$6:$E$76,"Over 1.5")</f>
        <v>12</v>
      </c>
      <c r="D31" s="19">
        <f>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</f>
        <v>7</v>
      </c>
      <c r="E31" s="19">
        <f>(COUNTIFS(Selections!$E$6:$E$76,"Over 1.5",Selections!$K$6:$K$76,"WON")+COUNTIFS(Selections!$E$6:$E$76,"Over 1.5",Selections!$K$6:$K$76,"HALF_WON"))</f>
        <v>6</v>
      </c>
      <c r="F31" s="19">
        <f>(COUNTIFS(Selections!$E$6:$E$76,"Over 1.5",Selections!$K$6:$K$76,"LOST")+COUNTIFS(Selections!$E$6:$E$76,"Over 1.5",Selections!$K$6:$K$76,"HALF_LOST"))</f>
        <v>1</v>
      </c>
      <c r="G31" s="19">
        <f>COUNTIFS(Selections!$E$6:$E$76,"Over 1.5")-((COUNTIFS(Selections!$E$6:$E$76,"Over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</f>
        <v>5</v>
      </c>
      <c r="H31" s="20">
        <f>IF(((COUNTIFS(Selections!$E$6:$E$76,"Over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1.5",Selections!$K$6:$K$76,"REFUNDED"))=0,"n.a.",(COUNTIFS(Selections!$E$6:$E$76,"Over 1.5",Selections!$K$6:$K$76,"WON")+COUNTIFS(Selections!$E$6:$E$76,"Over 1.5",Selections!$K$6:$K$76,"HALF_WON"))/((COUNTIFS(Selections!$E$6:$E$76,"Over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1.5",Selections!$K$6:$K$76,"REFUNDED")))</f>
        <v>0.8571428571428571</v>
      </c>
      <c r="I31" s="22">
        <f>SUMIFS(Selections!$M$6:$M$76,Selections!$E$6:$E$76,"Over 1.5")</f>
        <v>7</v>
      </c>
      <c r="J31" s="22">
        <f>SUMIFS(Selections!$N$6:$N$76,Selections!$E$6:$E$76,"Over 1.5")</f>
        <v>0.3699999999999999</v>
      </c>
      <c r="K31" s="20">
        <f>IF(SUMIFS(Selections!$M$6:$M$76,Selections!$E$6:$E$76,"Over 1.5")=0,"n.a.",SUMIFS(Selections!$N$6:$N$76,Selections!$E$6:$E$76,"Over 1.5")/SUMIFS(Selections!$M$6:$M$76,Selections!$E$6:$E$76,"Over 1.5"))</f>
        <v>0.05285714285714284</v>
      </c>
      <c r="L31" s="21">
        <f>IF(SUMIFS(Selections!$T$6:$T$76,Selections!$E$6:$E$76,"Over 1.5")=0,"n.a.",SUMIFS(Selections!$O$6:$O$76,Selections!$E$6:$E$76,"Over 1.5")/SUMIFS(Selections!$T$6:$T$76,Selections!$E$6:$E$76,"Over 1.5"))</f>
        <v>0.10055086387512366</v>
      </c>
      <c r="M31" s="20">
        <f>IF(SUMIFS(Selections!$T$6:$T$76,Selections!$E$6:$E$76,"Over 1.5")=0,"n.a.",SUMIFS(Selections!$S$6:$S$76,Selections!$E$6:$E$76,"Over 1.5")/SUMIFS(Selections!$T$6:$T$76,Selections!$E$6:$E$76,"Over 1.5"))</f>
        <v>0.8713387230316535</v>
      </c>
      <c r="N31" s="20">
        <f>IF(SUMIFS(Selections!$T$6:$T$76,Selections!$E$6:$E$76,"Over 1.5")=0,"n.a.",(SUMIFS(Selections!$L$6:$L$76,Selections!$E$6:$E$76,"Over 1.5",Selections!$T$6:$T$76,1))/SUMIFS(Selections!$T$6:$T$76,Selections!$E$6:$E$76,"Over 1.5"))</f>
        <v>0.8571428571428571</v>
      </c>
      <c r="O31" s="20">
        <f>IF(SUMIFS(Selections!$T$6:$T$76,Selections!$E$6:$E$76,"Over 1.5")=0,"n.a.",(SUMIFS(Selections!$S$6:$S$76,Selections!$E$6:$E$76,"Over 1.5")-(SUMIFS(Selections!$L$6:$L$76,Selections!$E$6:$E$76,"Over 1.5",Selections!$T$6:$T$76,1)))/SUMIFS(Selections!$T$6:$T$76,Selections!$E$6:$E$76,"Over 1.5"))</f>
        <v>0.0141958658887964</v>
      </c>
      <c r="P31" s="19">
        <f>SUMIFS(Selections!$T$6:$T$76,Selections!$E$6:$E$76,"Over 1.5")</f>
        <v>7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(n=7).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COUNTIFS(Selections!$E$6:$E$76,"Under 3.5")</f>
        <v>5</v>
      </c>
      <c r="D32" s="19">
        <f>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</f>
        <v>5</v>
      </c>
      <c r="E32" s="19">
        <f>(COUNTIFS(Selections!$E$6:$E$76,"Under 3.5",Selections!$K$6:$K$76,"WON")+COUNTIFS(Selections!$E$6:$E$76,"Under 3.5",Selections!$K$6:$K$76,"HALF_WON"))</f>
        <v>2</v>
      </c>
      <c r="F32" s="19">
        <f>(COUNTIFS(Selections!$E$6:$E$76,"Under 3.5",Selections!$K$6:$K$76,"LOST")+COUNTIFS(Selections!$E$6:$E$76,"Under 3.5",Selections!$K$6:$K$76,"HALF_LOST"))</f>
        <v>3</v>
      </c>
      <c r="G32" s="19">
        <f>COUNTIFS(Selections!$E$6:$E$76,"Under 3.5")-((COUNTIFS(Selections!$E$6:$E$76,"Under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</f>
        <v>0</v>
      </c>
      <c r="H32" s="20">
        <f>IF(((COUNTIFS(Selections!$E$6:$E$76,"Under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3.5",Selections!$K$6:$K$76,"REFUNDED"))=0,"n.a.",(COUNTIFS(Selections!$E$6:$E$76,"Under 3.5",Selections!$K$6:$K$76,"WON")+COUNTIFS(Selections!$E$6:$E$76,"Under 3.5",Selections!$K$6:$K$76,"HALF_WON"))/((COUNTIFS(Selections!$E$6:$E$76,"Under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3.5",Selections!$K$6:$K$76,"REFUNDED")))</f>
        <v>0.4</v>
      </c>
      <c r="I32" s="22">
        <f>SUMIFS(Selections!$M$6:$M$76,Selections!$E$6:$E$76,"Under 3.5")</f>
        <v>5</v>
      </c>
      <c r="J32" s="22">
        <f>SUMIFS(Selections!$N$6:$N$76,Selections!$E$6:$E$76,"Under 3.5")</f>
        <v>-2.3</v>
      </c>
      <c r="K32" s="20">
        <f>IF(SUMIFS(Selections!$M$6:$M$76,Selections!$E$6:$E$76,"Under 3.5")=0,"n.a.",SUMIFS(Selections!$N$6:$N$76,Selections!$E$6:$E$76,"Under 3.5")/SUMIFS(Selections!$M$6:$M$76,Selections!$E$6:$E$76,"Under 3.5"))</f>
        <v>-0.45999999999999996</v>
      </c>
      <c r="L32" s="21">
        <f>IF(SUMIFS(Selections!$T$6:$T$76,Selections!$E$6:$E$76,"Under 3.5")=0,"n.a.",SUMIFS(Selections!$O$6:$O$76,Selections!$E$6:$E$76,"Under 3.5")/SUMIFS(Selections!$T$6:$T$76,Selections!$E$6:$E$76,"Under 3.5"))</f>
        <v>0.4093699233539641</v>
      </c>
      <c r="M32" s="20">
        <f>IF(SUMIFS(Selections!$T$6:$T$76,Selections!$E$6:$E$76,"Under 3.5")=0,"n.a.",SUMIFS(Selections!$S$6:$S$76,Selections!$E$6:$E$76,"Under 3.5")/SUMIFS(Selections!$T$6:$T$76,Selections!$E$6:$E$76,"Under 3.5"))</f>
        <v>0.8049432015044351</v>
      </c>
      <c r="N32" s="20">
        <f>IF(SUMIFS(Selections!$T$6:$T$76,Selections!$E$6:$E$76,"Under 3.5")=0,"n.a.",(SUMIFS(Selections!$L$6:$L$76,Selections!$E$6:$E$76,"Under 3.5",Selections!$T$6:$T$76,1))/SUMIFS(Selections!$T$6:$T$76,Selections!$E$6:$E$76,"Under 3.5"))</f>
        <v>0.4</v>
      </c>
      <c r="O32" s="20">
        <f>IF(SUMIFS(Selections!$T$6:$T$76,Selections!$E$6:$E$76,"Under 3.5")=0,"n.a.",(SUMIFS(Selections!$S$6:$S$76,Selections!$E$6:$E$76,"Under 3.5")-(SUMIFS(Selections!$L$6:$L$76,Selections!$E$6:$E$76,"Under 3.5",Selections!$T$6:$T$76,1)))/SUMIFS(Selections!$T$6:$T$76,Selections!$E$6:$E$76,"Under 3.5"))</f>
        <v>0.4049432015044351</v>
      </c>
      <c r="P32" s="19">
        <f>SUMIFS(Selections!$T$6:$T$76,Selections!$E$6:$E$76,"Under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COUNTIFS(Selections!$G$6:$G$76,"48h-top-ten-probability-ev-no-under35-v14")</f>
        <v>9</v>
      </c>
      <c r="D33" s="19">
        <f>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</f>
        <v>8</v>
      </c>
      <c r="E33" s="19">
        <f>(COUNTIFS(Selections!$G$6:$G$76,"48h-top-ten-probability-ev-no-under35-v14",Selections!$K$6:$K$76,"WON")+COUNTIFS(Selections!$G$6:$G$76,"48h-top-ten-probability-ev-no-under35-v14",Selections!$K$6:$K$76,"HALF_WON"))</f>
        <v>6</v>
      </c>
      <c r="F33" s="19">
        <f>(COUNTIFS(Selections!$G$6:$G$76,"48h-top-ten-probability-ev-no-under35-v14",Selections!$K$6:$K$76,"LOST")+COUNTIFS(Selections!$G$6:$G$76,"48h-top-ten-probability-ev-no-under35-v14",Selections!$K$6:$K$76,"HALF_LOST"))</f>
        <v>2</v>
      </c>
      <c r="G33" s="19">
        <f>COUNTIFS(Selections!$G$6:$G$76,"48h-top-ten-probability-ev-no-under35-v14")-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</f>
        <v>1</v>
      </c>
      <c r="H33" s="20">
        <f>IF(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=0,"n.a.",(COUNTIFS(Selections!$G$6:$G$76,"48h-top-ten-probability-ev-no-under35-v14",Selections!$K$6:$K$76,"WON")+COUNTIFS(Selections!$G$6:$G$76,"48h-top-ten-probability-ev-no-under35-v14",Selections!$K$6:$K$76,"HALF_WON"))/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)</f>
        <v>0.75</v>
      </c>
      <c r="I33" s="22">
        <f>SUMIFS(Selections!$M$6:$M$76,Selections!$G$6:$G$76,"48h-top-ten-probability-ev-no-under35-v14")</f>
        <v>8</v>
      </c>
      <c r="J33" s="22">
        <f>SUMIFS(Selections!$N$6:$N$76,Selections!$G$6:$G$76,"48h-top-ten-probability-ev-no-under35-v14")</f>
        <v>0.04999999999999982</v>
      </c>
      <c r="K33" s="20">
        <f>IF(SUMIFS(Selections!$M$6:$M$76,Selections!$G$6:$G$76,"48h-top-ten-probability-ev-no-under35-v14")=0,"n.a.",SUMIFS(Selections!$N$6:$N$76,Selections!$G$6:$G$76,"48h-top-ten-probability-ev-no-under35-v14")/SUMIFS(Selections!$M$6:$M$76,Selections!$G$6:$G$76,"48h-top-ten-probability-ev-no-under35-v14"))</f>
        <v>0.006249999999999978</v>
      </c>
      <c r="L33" s="21">
        <f>IF(SUMIFS(Selections!$T$6:$T$76,Selections!$G$6:$G$76,"48h-top-ten-probability-ev-no-under35-v14")=0,"n.a.",SUMIFS(Selections!$O$6:$O$76,Selections!$G$6:$G$76,"48h-top-ten-probability-ev-no-under35-v14")/SUMIFS(Selections!$T$6:$T$76,Selections!$G$6:$G$76,"48h-top-ten-probability-ev-no-under35-v14"))</f>
        <v>0.17867353798981395</v>
      </c>
      <c r="M33" s="20">
        <f>IF(SUMIFS(Selections!$T$6:$T$76,Selections!$G$6:$G$76,"48h-top-ten-probability-ev-no-under35-v14")=0,"n.a.",SUMIFS(Selections!$S$6:$S$76,Selections!$G$6:$G$76,"48h-top-ten-probability-ev-no-under35-v14")/SUMIFS(Selections!$T$6:$T$76,Selections!$G$6:$G$76,"48h-top-ten-probability-ev-no-under35-v14"))</f>
        <v>0.7347857301737204</v>
      </c>
      <c r="N33" s="20">
        <f>IF(SUMIFS(Selections!$T$6:$T$76,Selections!$G$6:$G$76,"48h-top-ten-probability-ev-no-under35-v14")=0,"n.a.",(SUMIFS(Selections!$L$6:$L$76,Selections!$G$6:$G$76,"48h-top-ten-probability-ev-no-under35-v14",Selections!$T$6:$T$76,1))/SUMIFS(Selections!$T$6:$T$76,Selections!$G$6:$G$76,"48h-top-ten-probability-ev-no-under35-v14"))</f>
        <v>0.75</v>
      </c>
      <c r="O33" s="20">
        <f>IF(SUMIFS(Selections!$T$6:$T$76,Selections!$G$6:$G$76,"48h-top-ten-probability-ev-no-under35-v14")=0,"n.a.",(SUMIFS(Selections!$S$6:$S$76,Selections!$G$6:$G$76,"48h-top-ten-probability-ev-no-under35-v14")-(SUMIFS(Selections!$L$6:$L$76,Selections!$G$6:$G$76,"48h-top-ten-probability-ev-no-under35-v14",Selections!$T$6:$T$76,1)))/SUMIFS(Selections!$T$6:$T$76,Selections!$G$6:$G$76,"48h-top-ten-probability-ev-no-under35-v14"))</f>
        <v>-0.015214269826279603</v>
      </c>
      <c r="P33" s="19">
        <f>SUMIFS(Selections!$T$6:$T$76,Selections!$G$6:$G$76,"48h-top-ten-probability-ev-no-under35-v14")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COUNTIFS(Selections!$G$6:$G$76,"48h-top-twelve-probability-ev-no-under35-v15")</f>
        <v>12</v>
      </c>
      <c r="D34" s="19">
        <f>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</f>
        <v>11</v>
      </c>
      <c r="E34" s="19">
        <f>(COUNTIFS(Selections!$G$6:$G$76,"48h-top-twelve-probability-ev-no-under35-v15",Selections!$K$6:$K$76,"WON")+COUNTIFS(Selections!$G$6:$G$76,"48h-top-twelve-probability-ev-no-under35-v15",Selections!$K$6:$K$76,"HALF_WON"))</f>
        <v>7</v>
      </c>
      <c r="F34" s="19">
        <f>(COUNTIFS(Selections!$G$6:$G$76,"48h-top-twelve-probability-ev-no-under35-v15",Selections!$K$6:$K$76,"LOST")+COUNTIFS(Selections!$G$6:$G$76,"48h-top-twelve-probability-ev-no-under35-v15",Selections!$K$6:$K$76,"HALF_LOST"))</f>
        <v>4</v>
      </c>
      <c r="G34" s="19">
        <f>COUNTIFS(Selections!$G$6:$G$76,"48h-top-twelve-probability-ev-no-under35-v15")-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</f>
        <v>1</v>
      </c>
      <c r="H34" s="20">
        <f>IF(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=0,"n.a.",(COUNTIFS(Selections!$G$6:$G$76,"48h-top-twelve-probability-ev-no-under35-v15",Selections!$K$6:$K$76,"WON")+COUNTIFS(Selections!$G$6:$G$76,"48h-top-twelve-probability-ev-no-under35-v15",Selections!$K$6:$K$76,"HALF_WON"))/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)</f>
        <v>0.6363636363636364</v>
      </c>
      <c r="I34" s="22">
        <f>SUMIFS(Selections!$M$6:$M$76,Selections!$G$6:$G$76,"48h-top-twelve-probability-ev-no-under35-v15")</f>
        <v>11</v>
      </c>
      <c r="J34" s="22">
        <f>SUMIFS(Selections!$N$6:$N$76,Selections!$G$6:$G$76,"48h-top-twelve-probability-ev-no-under35-v15")</f>
        <v>-1.3800000000000003</v>
      </c>
      <c r="K34" s="20">
        <f>IF(SUMIFS(Selections!$M$6:$M$76,Selections!$G$6:$G$76,"48h-top-twelve-probability-ev-no-under35-v15")=0,"n.a.",SUMIFS(Selections!$N$6:$N$76,Selections!$G$6:$G$76,"48h-top-twelve-probability-ev-no-under35-v15")/SUMIFS(Selections!$M$6:$M$76,Selections!$G$6:$G$76,"48h-top-twelve-probability-ev-no-under35-v15"))</f>
        <v>-0.12545454545454549</v>
      </c>
      <c r="L34" s="21">
        <f>IF(SUMIFS(Selections!$T$6:$T$76,Selections!$G$6:$G$76,"48h-top-twelve-probability-ev-no-under35-v15")=0,"n.a.",SUMIFS(Selections!$O$6:$O$76,Selections!$G$6:$G$76,"48h-top-twelve-probability-ev-no-under35-v15")/SUMIFS(Selections!$T$6:$T$76,Selections!$G$6:$G$76,"48h-top-twelve-probability-ev-no-under35-v15"))</f>
        <v>0.19421744781096573</v>
      </c>
      <c r="M34" s="20">
        <f>IF(SUMIFS(Selections!$T$6:$T$76,Selections!$G$6:$G$76,"48h-top-twelve-probability-ev-no-under35-v15")=0,"n.a.",SUMIFS(Selections!$S$6:$S$76,Selections!$G$6:$G$76,"48h-top-twelve-probability-ev-no-under35-v15")/SUMIFS(Selections!$T$6:$T$76,Selections!$G$6:$G$76,"48h-top-twelve-probability-ev-no-under35-v15"))</f>
        <v>0.7256811914176179</v>
      </c>
      <c r="N34" s="20">
        <f>IF(SUMIFS(Selections!$T$6:$T$76,Selections!$G$6:$G$76,"48h-top-twelve-probability-ev-no-under35-v15")=0,"n.a.",(SUMIFS(Selections!$L$6:$L$76,Selections!$G$6:$G$76,"48h-top-twelve-probability-ev-no-under35-v15",Selections!$T$6:$T$76,1))/SUMIFS(Selections!$T$6:$T$76,Selections!$G$6:$G$76,"48h-top-twelve-probability-ev-no-under35-v15"))</f>
        <v>0.6363636363636364</v>
      </c>
      <c r="O34" s="20">
        <f>IF(SUMIFS(Selections!$T$6:$T$76,Selections!$G$6:$G$76,"48h-top-twelve-probability-ev-no-under35-v15")=0,"n.a.",(SUMIFS(Selections!$S$6:$S$76,Selections!$G$6:$G$76,"48h-top-twelve-probability-ev-no-under35-v15")-(SUMIFS(Selections!$L$6:$L$76,Selections!$G$6:$G$76,"48h-top-twelve-probability-ev-no-under35-v15",Selections!$T$6:$T$76,1)))/SUMIFS(Selections!$T$6:$T$76,Selections!$G$6:$G$76,"48h-top-twelve-probability-ev-no-under35-v15"))</f>
        <v>0.08931755505398153</v>
      </c>
      <c r="P34" s="19">
        <f>SUMIFS(Selections!$T$6:$T$76,Selections!$G$6:$G$76,"48h-top-twelve-probability-ev-no-under35-v15")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COUNTIFS(Selections!$G$6:$G$76,"48h-top-twelve-profitable-win-probability-v23")</f>
        <v>1</v>
      </c>
      <c r="D35" s="19">
        <f>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</f>
        <v>0</v>
      </c>
      <c r="E35" s="19">
        <f>(COUNTIFS(Selections!$G$6:$G$76,"48h-top-twelve-profitable-win-probability-v23",Selections!$K$6:$K$76,"WON")+COUNTIFS(Selections!$G$6:$G$76,"48h-top-twelve-profitable-win-probability-v23",Selections!$K$6:$K$76,"HALF_WON"))</f>
        <v>0</v>
      </c>
      <c r="F35" s="19">
        <f>(COUNTIFS(Selections!$G$6:$G$76,"48h-top-twelve-profitable-win-probability-v23",Selections!$K$6:$K$76,"LOST")+COUNTIFS(Selections!$G$6:$G$76,"48h-top-twelve-profitable-win-probability-v23",Selections!$K$6:$K$76,"HALF_LOST"))</f>
        <v>0</v>
      </c>
      <c r="G35" s="19">
        <f>COUNTIFS(Selections!$G$6:$G$76,"48h-top-twelve-profitable-win-probability-v23")-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</f>
        <v>1</v>
      </c>
      <c r="H35" s="20" t="str">
        <f>IF(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=0,"n.a.",(COUNTIFS(Selections!$G$6:$G$76,"48h-top-twelve-profitable-win-probability-v23",Selections!$K$6:$K$76,"WON")+COUNTIFS(Selections!$G$6:$G$76,"48h-top-twelve-profitable-win-probability-v23",Selections!$K$6:$K$76,"HALF_WON"))/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)</f>
        <v>n.a.</v>
      </c>
      <c r="I35" s="22">
        <f>SUMIFS(Selections!$M$6:$M$76,Selections!$G$6:$G$76,"48h-top-twelve-profitable-win-probability-v23")</f>
        <v>0</v>
      </c>
      <c r="J35" s="22">
        <f>SUMIFS(Selections!$N$6:$N$76,Selections!$G$6:$G$76,"48h-top-twelve-profitable-win-probability-v23")</f>
        <v>0</v>
      </c>
      <c r="K35" s="20" t="str">
        <f>IF(SUMIFS(Selections!$M$6:$M$76,Selections!$G$6:$G$76,"48h-top-twelve-profitable-win-probability-v23")=0,"n.a.",SUMIFS(Selections!$N$6:$N$76,Selections!$G$6:$G$76,"48h-top-twelve-profitable-win-probability-v23")/SUMIFS(Selections!$M$6:$M$76,Selections!$G$6:$G$76,"48h-top-twelve-profitable-win-probability-v23"))</f>
        <v>n.a.</v>
      </c>
      <c r="L35" s="21" t="str">
        <f>IF(SUMIFS(Selections!$T$6:$T$76,Selections!$G$6:$G$76,"48h-top-twelve-profitable-win-probability-v23")=0,"n.a.",SUMIFS(Selections!$O$6:$O$76,Selections!$G$6:$G$76,"48h-top-twelve-profitable-win-probability-v23")/SUMIFS(Selections!$T$6:$T$76,Selections!$G$6:$G$76,"48h-top-twelve-profitable-win-probability-v23"))</f>
        <v>n.a.</v>
      </c>
      <c r="M35" s="20" t="str">
        <f>IF(SUMIFS(Selections!$T$6:$T$76,Selections!$G$6:$G$76,"48h-top-twelve-profitable-win-probability-v23")=0,"n.a.",SUMIFS(Selections!$S$6:$S$76,Selections!$G$6:$G$76,"48h-top-twelve-profitable-win-probability-v23")/SUMIFS(Selections!$T$6:$T$76,Selections!$G$6:$G$76,"48h-top-twelve-profitable-win-probability-v23"))</f>
        <v>n.a.</v>
      </c>
      <c r="N35" s="20" t="str">
        <f>IF(SUMIFS(Selections!$T$6:$T$76,Selections!$G$6:$G$76,"48h-top-twelve-profitable-win-probability-v23")=0,"n.a.",(SUMIFS(Selections!$L$6:$L$76,Selections!$G$6:$G$76,"48h-top-twelve-profitable-win-probability-v23",Selections!$T$6:$T$76,1))/SUMIFS(Selections!$T$6:$T$76,Selections!$G$6:$G$76,"48h-top-twelve-profitable-win-probability-v23"))</f>
        <v>n.a.</v>
      </c>
      <c r="O35" s="20" t="str">
        <f>IF(SUMIFS(Selections!$T$6:$T$76,Selections!$G$6:$G$76,"48h-top-twelve-profitable-win-probability-v23")=0,"n.a.",(SUMIFS(Selections!$S$6:$S$76,Selections!$G$6:$G$76,"48h-top-twelve-profitable-win-probability-v23")-(SUMIFS(Selections!$L$6:$L$76,Selections!$G$6:$G$76,"48h-top-twelve-profitable-win-probability-v23",Selections!$T$6:$T$76,1)))/SUMIFS(Selections!$T$6:$T$76,Selections!$G$6:$G$76,"48h-top-twelve-profitable-win-probability-v23"))</f>
        <v>n.a.</v>
      </c>
      <c r="P35" s="19">
        <f>SUMIFS(Selections!$T$6:$T$76,Selections!$G$6:$G$76,"48h-top-twelve-profitable-win-probability-v23")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COUNTIFS(Selections!$G$6:$G$76,"48h-two-per-market-group-probability-ev-corners-cards-v25")</f>
        <v>16</v>
      </c>
      <c r="D36" s="19">
        <f>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</f>
        <v>0</v>
      </c>
      <c r="E36" s="19">
        <f>(COUNTIFS(Selections!$G$6:$G$76,"48h-two-per-market-group-probability-ev-corners-cards-v25",Selections!$K$6:$K$76,"WON")+COUNTIFS(Selections!$G$6:$G$76,"48h-two-per-market-group-probability-ev-corners-cards-v25",Selections!$K$6:$K$76,"HALF_WON"))</f>
        <v>0</v>
      </c>
      <c r="F36" s="19">
        <f>(COUNTIFS(Selections!$G$6:$G$76,"48h-two-per-market-group-probability-ev-corners-cards-v25",Selections!$K$6:$K$76,"LOST")+COUNTIFS(Selections!$G$6:$G$76,"48h-two-per-market-group-probability-ev-corners-cards-v25",Selections!$K$6:$K$76,"HALF_LOST"))</f>
        <v>0</v>
      </c>
      <c r="G36" s="19">
        <f>COUNTIFS(Selections!$G$6:$G$76,"48h-two-per-market-group-probability-ev-corners-cards-v25")-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</f>
        <v>16</v>
      </c>
      <c r="H36" s="20" t="str">
        <f>IF(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=0,"n.a.",(COUNTIFS(Selections!$G$6:$G$76,"48h-two-per-market-group-probability-ev-corners-cards-v25",Selections!$K$6:$K$76,"WON")+COUNTIFS(Selections!$G$6:$G$76,"48h-two-per-market-group-probability-ev-corners-cards-v25",Selections!$K$6:$K$76,"HALF_WON"))/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)</f>
        <v>n.a.</v>
      </c>
      <c r="I36" s="22">
        <f>SUMIFS(Selections!$M$6:$M$76,Selections!$G$6:$G$76,"48h-two-per-market-group-probability-ev-corners-cards-v25")</f>
        <v>0</v>
      </c>
      <c r="J36" s="22">
        <f>SUMIFS(Selections!$N$6:$N$76,Selections!$G$6:$G$76,"48h-two-per-market-group-probability-ev-corners-cards-v25")</f>
        <v>0</v>
      </c>
      <c r="K36" s="20" t="str">
        <f>IF(SUMIFS(Selections!$M$6:$M$76,Selections!$G$6:$G$76,"48h-two-per-market-group-probability-ev-corners-cards-v25")=0,"n.a.",SUMIFS(Selections!$N$6:$N$76,Selections!$G$6:$G$76,"48h-two-per-market-group-probability-ev-corners-cards-v25")/SUMIFS(Selections!$M$6:$M$76,Selections!$G$6:$G$76,"48h-two-per-market-group-probability-ev-corners-cards-v25"))</f>
        <v>n.a.</v>
      </c>
      <c r="L36" s="21" t="str">
        <f>IF(SUMIFS(Selections!$T$6:$T$76,Selections!$G$6:$G$76,"48h-two-per-market-group-probability-ev-corners-cards-v25")=0,"n.a.",SUMIFS(Selections!$O$6:$O$76,Selections!$G$6:$G$76,"48h-two-per-market-group-probability-ev-corners-cards-v25")/SUMIFS(Selections!$T$6:$T$76,Selections!$G$6:$G$76,"48h-two-per-market-group-probability-ev-corners-cards-v25"))</f>
        <v>n.a.</v>
      </c>
      <c r="M36" s="20" t="str">
        <f>IF(SUMIFS(Selections!$T$6:$T$76,Selections!$G$6:$G$76,"48h-two-per-market-group-probability-ev-corners-cards-v25")=0,"n.a.",SUMIFS(Selections!$S$6:$S$76,Selections!$G$6:$G$76,"48h-two-per-market-group-probability-ev-corners-cards-v25")/SUMIFS(Selections!$T$6:$T$76,Selections!$G$6:$G$76,"48h-two-per-market-group-probability-ev-corners-cards-v25"))</f>
        <v>n.a.</v>
      </c>
      <c r="N36" s="20" t="str">
        <f>IF(SUMIFS(Selections!$T$6:$T$76,Selections!$G$6:$G$76,"48h-two-per-market-group-probability-ev-corners-cards-v25")=0,"n.a.",(SUMIFS(Selections!$L$6:$L$76,Selections!$G$6:$G$76,"48h-two-per-market-group-probability-ev-corners-cards-v25",Selections!$T$6:$T$76,1))/SUMIFS(Selections!$T$6:$T$76,Selections!$G$6:$G$76,"48h-two-per-market-group-probability-ev-corners-cards-v25"))</f>
        <v>n.a.</v>
      </c>
      <c r="O36" s="20" t="str">
        <f>IF(SUMIFS(Selections!$T$6:$T$76,Selections!$G$6:$G$76,"48h-two-per-market-group-probability-ev-corners-cards-v25")=0,"n.a.",(SUMIFS(Selections!$S$6:$S$76,Selections!$G$6:$G$76,"48h-two-per-market-group-probability-ev-corners-cards-v25")-(SUMIFS(Selections!$L$6:$L$76,Selections!$G$6:$G$76,"48h-two-per-market-group-probability-ev-corners-cards-v25",Selections!$T$6:$T$76,1)))/SUMIFS(Selections!$T$6:$T$76,Selections!$G$6:$G$76,"48h-two-per-market-group-probability-ev-corners-cards-v25"))</f>
        <v>n.a.</v>
      </c>
      <c r="P36" s="19">
        <f>SUMIFS(Selections!$T$6:$T$76,Selections!$G$6:$G$76,"48h-two-per-market-group-probability-ev-corners-cards-v25")</f>
        <v>0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(n=0).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COUNTIFS(Selections!$G$6:$G$76,"48h-two-per-market-group-probability-ev-v24")</f>
        <v>4</v>
      </c>
      <c r="D37" s="19">
        <f>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</f>
        <v>0</v>
      </c>
      <c r="E37" s="19">
        <f>(COUNTIFS(Selections!$G$6:$G$76,"48h-two-per-market-group-probability-ev-v24",Selections!$K$6:$K$76,"WON")+COUNTIFS(Selections!$G$6:$G$76,"48h-two-per-market-group-probability-ev-v24",Selections!$K$6:$K$76,"HALF_WON"))</f>
        <v>0</v>
      </c>
      <c r="F37" s="19">
        <f>(COUNTIFS(Selections!$G$6:$G$76,"48h-two-per-market-group-probability-ev-v24",Selections!$K$6:$K$76,"LOST")+COUNTIFS(Selections!$G$6:$G$76,"48h-two-per-market-group-probability-ev-v24",Selections!$K$6:$K$76,"HALF_LOST"))</f>
        <v>0</v>
      </c>
      <c r="G37" s="19">
        <f>COUNTIFS(Selections!$G$6:$G$76,"48h-two-per-market-group-probability-ev-v24")-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</f>
        <v>4</v>
      </c>
      <c r="H37" s="20" t="str">
        <f>IF(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=0,"n.a.",(COUNTIFS(Selections!$G$6:$G$76,"48h-two-per-market-group-probability-ev-v24",Selections!$K$6:$K$76,"WON")+COUNTIFS(Selections!$G$6:$G$76,"48h-two-per-market-group-probability-ev-v24",Selections!$K$6:$K$76,"HALF_WON"))/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)</f>
        <v>n.a.</v>
      </c>
      <c r="I37" s="22">
        <f>SUMIFS(Selections!$M$6:$M$76,Selections!$G$6:$G$76,"48h-two-per-market-group-probability-ev-v24")</f>
        <v>0</v>
      </c>
      <c r="J37" s="22">
        <f>SUMIFS(Selections!$N$6:$N$76,Selections!$G$6:$G$76,"48h-two-per-market-group-probability-ev-v24")</f>
        <v>0</v>
      </c>
      <c r="K37" s="20" t="str">
        <f>IF(SUMIFS(Selections!$M$6:$M$76,Selections!$G$6:$G$76,"48h-two-per-market-group-probability-ev-v24")=0,"n.a.",SUMIFS(Selections!$N$6:$N$76,Selections!$G$6:$G$76,"48h-two-per-market-group-probability-ev-v24")/SUMIFS(Selections!$M$6:$M$76,Selections!$G$6:$G$76,"48h-two-per-market-group-probability-ev-v24"))</f>
        <v>n.a.</v>
      </c>
      <c r="L37" s="21" t="str">
        <f>IF(SUMIFS(Selections!$T$6:$T$76,Selections!$G$6:$G$76,"48h-two-per-market-group-probability-ev-v24")=0,"n.a.",SUMIFS(Selections!$O$6:$O$76,Selections!$G$6:$G$76,"48h-two-per-market-group-probability-ev-v24")/SUMIFS(Selections!$T$6:$T$76,Selections!$G$6:$G$76,"48h-two-per-market-group-probability-ev-v24"))</f>
        <v>n.a.</v>
      </c>
      <c r="M37" s="20" t="str">
        <f>IF(SUMIFS(Selections!$T$6:$T$76,Selections!$G$6:$G$76,"48h-two-per-market-group-probability-ev-v24")=0,"n.a.",SUMIFS(Selections!$S$6:$S$76,Selections!$G$6:$G$76,"48h-two-per-market-group-probability-ev-v24")/SUMIFS(Selections!$T$6:$T$76,Selections!$G$6:$G$76,"48h-two-per-market-group-probability-ev-v24"))</f>
        <v>n.a.</v>
      </c>
      <c r="N37" s="20" t="str">
        <f>IF(SUMIFS(Selections!$T$6:$T$76,Selections!$G$6:$G$76,"48h-two-per-market-group-probability-ev-v24")=0,"n.a.",(SUMIFS(Selections!$L$6:$L$76,Selections!$G$6:$G$76,"48h-two-per-market-group-probability-ev-v24",Selections!$T$6:$T$76,1))/SUMIFS(Selections!$T$6:$T$76,Selections!$G$6:$G$76,"48h-two-per-market-group-probability-ev-v24"))</f>
        <v>n.a.</v>
      </c>
      <c r="O37" s="20" t="str">
        <f>IF(SUMIFS(Selections!$T$6:$T$76,Selections!$G$6:$G$76,"48h-two-per-market-group-probability-ev-v24")=0,"n.a.",(SUMIFS(Selections!$S$6:$S$76,Selections!$G$6:$G$76,"48h-two-per-market-group-probability-ev-v24")-(SUMIFS(Selections!$L$6:$L$76,Selections!$G$6:$G$76,"48h-two-per-market-group-probability-ev-v24",Selections!$T$6:$T$76,1)))/SUMIFS(Selections!$T$6:$T$76,Selections!$G$6:$G$76,"48h-two-per-market-group-probability-ev-v24"))</f>
        <v>n.a.</v>
      </c>
      <c r="P37" s="19">
        <f>SUMIFS(Selections!$T$6:$T$76,Selections!$G$6:$G$76,"48h-two-per-market-group-probability-ev-v24")</f>
        <v>0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(n=0).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48h-zero-tolerance-ev1-common-no-loss75-v22</t>
        </is>
      </c>
      <c r="C38" s="19">
        <f>COUNTIFS(Selections!$G$6:$G$76,"48h-zero-tolerance-ev1-common-no-loss75-v22")</f>
        <v>8</v>
      </c>
      <c r="D38" s="19">
        <f>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</f>
        <v>7</v>
      </c>
      <c r="E38" s="19">
        <f>(COUNTIFS(Selections!$G$6:$G$76,"48h-zero-tolerance-ev1-common-no-loss75-v22",Selections!$K$6:$K$76,"WON")+COUNTIFS(Selections!$G$6:$G$76,"48h-zero-tolerance-ev1-common-no-loss75-v22",Selections!$K$6:$K$76,"HALF_WON"))</f>
        <v>7</v>
      </c>
      <c r="F38" s="19">
        <f>(COUNTIFS(Selections!$G$6:$G$76,"48h-zero-tolerance-ev1-common-no-loss75-v22",Selections!$K$6:$K$76,"LOST")+COUNTIFS(Selections!$G$6:$G$76,"48h-zero-tolerance-ev1-common-no-loss75-v22",Selections!$K$6:$K$76,"HALF_LOST"))</f>
        <v>0</v>
      </c>
      <c r="G38" s="19">
        <f>COUNTIFS(Selections!$G$6:$G$76,"48h-zero-tolerance-ev1-common-no-loss75-v22")-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</f>
        <v>1</v>
      </c>
      <c r="H38" s="20">
        <f>IF(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=0,"n.a.",(COUNTIFS(Selections!$G$6:$G$76,"48h-zero-tolerance-ev1-common-no-loss75-v22",Selections!$K$6:$K$76,"WON")+COUNTIFS(Selections!$G$6:$G$76,"48h-zero-tolerance-ev1-common-no-loss75-v22",Selections!$K$6:$K$76,"HALF_WON"))/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)</f>
        <v>1.0</v>
      </c>
      <c r="I38" s="22">
        <f>SUMIFS(Selections!$M$6:$M$76,Selections!$G$6:$G$76,"48h-zero-tolerance-ev1-common-no-loss75-v22")</f>
        <v>7</v>
      </c>
      <c r="J38" s="22">
        <f>SUMIFS(Selections!$N$6:$N$76,Selections!$G$6:$G$76,"48h-zero-tolerance-ev1-common-no-loss75-v22")</f>
        <v>2.37</v>
      </c>
      <c r="K38" s="20">
        <f>IF(SUMIFS(Selections!$M$6:$M$76,Selections!$G$6:$G$76,"48h-zero-tolerance-ev1-common-no-loss75-v22")=0,"n.a.",SUMIFS(Selections!$N$6:$N$76,Selections!$G$6:$G$76,"48h-zero-tolerance-ev1-common-no-loss75-v22")/SUMIFS(Selections!$M$6:$M$76,Selections!$G$6:$G$76,"48h-zero-tolerance-ev1-common-no-loss75-v22"))</f>
        <v>0.3385714285714286</v>
      </c>
      <c r="L38" s="21">
        <f>IF(SUMIFS(Selections!$T$6:$T$76,Selections!$G$6:$G$76,"48h-zero-tolerance-ev1-common-no-loss75-v22")=0,"n.a.",SUMIFS(Selections!$O$6:$O$76,Selections!$G$6:$G$76,"48h-zero-tolerance-ev1-common-no-loss75-v22")/SUMIFS(Selections!$T$6:$T$76,Selections!$G$6:$G$76,"48h-zero-tolerance-ev1-common-no-loss75-v22"))</f>
        <v>0.029217671084275306</v>
      </c>
      <c r="M38" s="20">
        <f>IF(SUMIFS(Selections!$T$6:$T$76,Selections!$G$6:$G$76,"48h-zero-tolerance-ev1-common-no-loss75-v22")=0,"n.a.",SUMIFS(Selections!$S$6:$S$76,Selections!$G$6:$G$76,"48h-zero-tolerance-ev1-common-no-loss75-v22")/SUMIFS(Selections!$T$6:$T$76,Selections!$G$6:$G$76,"48h-zero-tolerance-ev1-common-no-loss75-v22"))</f>
        <v>0.8361780388006138</v>
      </c>
      <c r="N38" s="20">
        <f>IF(SUMIFS(Selections!$T$6:$T$76,Selections!$G$6:$G$76,"48h-zero-tolerance-ev1-common-no-loss75-v22")=0,"n.a.",(SUMIFS(Selections!$L$6:$L$76,Selections!$G$6:$G$76,"48h-zero-tolerance-ev1-common-no-loss75-v22",Selections!$T$6:$T$76,1))/SUMIFS(Selections!$T$6:$T$76,Selections!$G$6:$G$76,"48h-zero-tolerance-ev1-common-no-loss75-v22"))</f>
        <v>1.0</v>
      </c>
      <c r="O38" s="20">
        <f>IF(SUMIFS(Selections!$T$6:$T$76,Selections!$G$6:$G$76,"48h-zero-tolerance-ev1-common-no-loss75-v22")=0,"n.a.",(SUMIFS(Selections!$S$6:$S$76,Selections!$G$6:$G$76,"48h-zero-tolerance-ev1-common-no-loss75-v22")-(SUMIFS(Selections!$L$6:$L$76,Selections!$G$6:$G$76,"48h-zero-tolerance-ev1-common-no-loss75-v22",Selections!$T$6:$T$76,1)))/SUMIFS(Selections!$T$6:$T$76,Selections!$G$6:$G$76,"48h-zero-tolerance-ev1-common-no-loss75-v22"))</f>
        <v>-0.1638219611993862</v>
      </c>
      <c r="P38" s="19">
        <f>SUMIFS(Selections!$T$6:$T$76,Selections!$G$6:$G$76,"48h-zero-tolerance-ev1-common-no-loss75-v22")</f>
        <v>7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(n=7).</v>
      </c>
      <c r="R38" s="18"/>
    </row>
    <row r="39" ht="36" customHeight="1">
      <c r="A39" s="18" t="inlineStr">
        <is>
          <t>Policy</t>
        </is>
      </c>
      <c r="B39" s="18" t="inlineStr">
        <is>
          <t>72h-all-markets-ev15-one-book-v6</t>
        </is>
      </c>
      <c r="C39" s="19">
        <f>COUNTIFS(Selections!$G$6:$G$76,"72h-all-markets-ev15-one-book-v6")</f>
        <v>1</v>
      </c>
      <c r="D39" s="19">
        <f>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</f>
        <v>1</v>
      </c>
      <c r="E39" s="19">
        <f>(COUNTIFS(Selections!$G$6:$G$76,"72h-all-markets-ev15-one-book-v6",Selections!$K$6:$K$76,"WON")+COUNTIFS(Selections!$G$6:$G$76,"72h-all-markets-ev15-one-book-v6",Selections!$K$6:$K$76,"HALF_WON"))</f>
        <v>1</v>
      </c>
      <c r="F39" s="19">
        <f>(COUNTIFS(Selections!$G$6:$G$76,"72h-all-markets-ev15-one-book-v6",Selections!$K$6:$K$76,"LOST")+COUNTIFS(Selections!$G$6:$G$76,"72h-all-markets-ev15-one-book-v6",Selections!$K$6:$K$76,"HALF_LOST"))</f>
        <v>0</v>
      </c>
      <c r="G39" s="19">
        <f>COUNTIFS(Selections!$G$6:$G$76,"72h-all-markets-ev15-one-book-v6")-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</f>
        <v>0</v>
      </c>
      <c r="H39" s="20">
        <f>IF(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=0,"n.a.",(COUNTIFS(Selections!$G$6:$G$76,"72h-all-markets-ev15-one-book-v6",Selections!$K$6:$K$76,"WON")+COUNTIFS(Selections!$G$6:$G$76,"72h-all-markets-ev15-one-book-v6",Selections!$K$6:$K$76,"HALF_WON"))/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)</f>
        <v>1.0</v>
      </c>
      <c r="I39" s="22">
        <f>SUMIFS(Selections!$M$6:$M$76,Selections!$G$6:$G$76,"72h-all-markets-ev15-one-book-v6")</f>
        <v>1</v>
      </c>
      <c r="J39" s="22">
        <f>SUMIFS(Selections!$N$6:$N$76,Selections!$G$6:$G$76,"72h-all-markets-ev15-one-book-v6")</f>
        <v>0.44999999999999996</v>
      </c>
      <c r="K39" s="20">
        <f>IF(SUMIFS(Selections!$M$6:$M$76,Selections!$G$6:$G$76,"72h-all-markets-ev15-one-book-v6")=0,"n.a.",SUMIFS(Selections!$N$6:$N$76,Selections!$G$6:$G$76,"72h-all-markets-ev15-one-book-v6")/SUMIFS(Selections!$M$6:$M$76,Selections!$G$6:$G$76,"72h-all-markets-ev15-one-book-v6"))</f>
        <v>0.44999999999999996</v>
      </c>
      <c r="L39" s="21">
        <f>IF(SUMIFS(Selections!$T$6:$T$76,Selections!$G$6:$G$76,"72h-all-markets-ev15-one-book-v6")=0,"n.a.",SUMIFS(Selections!$O$6:$O$76,Selections!$G$6:$G$76,"72h-all-markets-ev15-one-book-v6")/SUMIFS(Selections!$T$6:$T$76,Selections!$G$6:$G$76,"72h-all-markets-ev15-one-book-v6"))</f>
        <v>0.08610395019172555</v>
      </c>
      <c r="M39" s="20">
        <f>IF(SUMIFS(Selections!$T$6:$T$76,Selections!$G$6:$G$76,"72h-all-markets-ev15-one-book-v6")=0,"n.a.",SUMIFS(Selections!$S$6:$S$76,Selections!$G$6:$G$76,"72h-all-markets-ev15-one-book-v6")/SUMIFS(Selections!$T$6:$T$76,Selections!$G$6:$G$76,"72h-all-markets-ev15-one-book-v6"))</f>
        <v>0.706565253946085</v>
      </c>
      <c r="N39" s="20">
        <f>IF(SUMIFS(Selections!$T$6:$T$76,Selections!$G$6:$G$76,"72h-all-markets-ev15-one-book-v6")=0,"n.a.",(SUMIFS(Selections!$L$6:$L$76,Selections!$G$6:$G$76,"72h-all-markets-ev15-one-book-v6",Selections!$T$6:$T$76,1))/SUMIFS(Selections!$T$6:$T$76,Selections!$G$6:$G$76,"72h-all-markets-ev15-one-book-v6"))</f>
        <v>1.0</v>
      </c>
      <c r="O39" s="20">
        <f>IF(SUMIFS(Selections!$T$6:$T$76,Selections!$G$6:$G$76,"72h-all-markets-ev15-one-book-v6")=0,"n.a.",(SUMIFS(Selections!$S$6:$S$76,Selections!$G$6:$G$76,"72h-all-markets-ev15-one-book-v6")-(SUMIFS(Selections!$L$6:$L$76,Selections!$G$6:$G$76,"72h-all-markets-ev15-one-book-v6",Selections!$T$6:$T$76,1)))/SUMIFS(Selections!$T$6:$T$76,Selections!$G$6:$G$76,"72h-all-markets-ev15-one-book-v6"))</f>
        <v>-0.29343474605391495</v>
      </c>
      <c r="P39" s="19">
        <f>SUMIFS(Selections!$T$6:$T$76,Selections!$G$6:$G$76,"72h-all-markets-ev15-one-book-v6")</f>
        <v>1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(n=1).</v>
      </c>
      <c r="R39" s="18"/>
    </row>
    <row r="40" ht="36" customHeight="1">
      <c r="A40" s="18" t="inlineStr">
        <is>
          <t>Policy</t>
        </is>
      </c>
      <c r="B40" s="18" t="inlineStr">
        <is>
          <t>72h-all-markets-net-ev15-execution-v7</t>
        </is>
      </c>
      <c r="C40" s="19">
        <f>COUNTIFS(Selections!$G$6:$G$76,"72h-all-markets-net-ev15-execution-v7")</f>
        <v>5</v>
      </c>
      <c r="D40" s="19">
        <f>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</f>
        <v>4</v>
      </c>
      <c r="E40" s="19">
        <f>(COUNTIFS(Selections!$G$6:$G$76,"72h-all-markets-net-ev15-execution-v7",Selections!$K$6:$K$76,"WON")+COUNTIFS(Selections!$G$6:$G$76,"72h-all-markets-net-ev15-execution-v7",Selections!$K$6:$K$76,"HALF_WON"))</f>
        <v>4</v>
      </c>
      <c r="F40" s="19">
        <f>(COUNTIFS(Selections!$G$6:$G$76,"72h-all-markets-net-ev15-execution-v7",Selections!$K$6:$K$76,"LOST")+COUNTIFS(Selections!$G$6:$G$76,"72h-all-markets-net-ev15-execution-v7",Selections!$K$6:$K$76,"HALF_LOST"))</f>
        <v>0</v>
      </c>
      <c r="G40" s="19">
        <f>COUNTIFS(Selections!$G$6:$G$76,"72h-all-markets-net-ev15-execution-v7")-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</f>
        <v>1</v>
      </c>
      <c r="H40" s="20">
        <f>IF(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=0,"n.a.",(COUNTIFS(Selections!$G$6:$G$76,"72h-all-markets-net-ev15-execution-v7",Selections!$K$6:$K$76,"WON")+COUNTIFS(Selections!$G$6:$G$76,"72h-all-markets-net-ev15-execution-v7",Selections!$K$6:$K$76,"HALF_WON"))/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)</f>
        <v>1.0</v>
      </c>
      <c r="I40" s="22">
        <f>SUMIFS(Selections!$M$6:$M$76,Selections!$G$6:$G$76,"72h-all-markets-net-ev15-execution-v7")</f>
        <v>4</v>
      </c>
      <c r="J40" s="22">
        <f>SUMIFS(Selections!$N$6:$N$76,Selections!$G$6:$G$76,"72h-all-markets-net-ev15-execution-v7")</f>
        <v>1.74</v>
      </c>
      <c r="K40" s="20">
        <f>IF(SUMIFS(Selections!$M$6:$M$76,Selections!$G$6:$G$76,"72h-all-markets-net-ev15-execution-v7")=0,"n.a.",SUMIFS(Selections!$N$6:$N$76,Selections!$G$6:$G$76,"72h-all-markets-net-ev15-execution-v7")/SUMIFS(Selections!$M$6:$M$76,Selections!$G$6:$G$76,"72h-all-markets-net-ev15-execution-v7"))</f>
        <v>0.435</v>
      </c>
      <c r="L40" s="21">
        <f>IF(SUMIFS(Selections!$T$6:$T$76,Selections!$G$6:$G$76,"72h-all-markets-net-ev15-execution-v7")=0,"n.a.",SUMIFS(Selections!$O$6:$O$76,Selections!$G$6:$G$76,"72h-all-markets-net-ev15-execution-v7")/SUMIFS(Selections!$T$6:$T$76,Selections!$G$6:$G$76,"72h-all-markets-net-ev15-execution-v7"))</f>
        <v>0.05403053120768371</v>
      </c>
      <c r="M40" s="20">
        <f>IF(SUMIFS(Selections!$T$6:$T$76,Selections!$G$6:$G$76,"72h-all-markets-net-ev15-execution-v7")=0,"n.a.",SUMIFS(Selections!$S$6:$S$76,Selections!$G$6:$G$76,"72h-all-markets-net-ev15-execution-v7")/SUMIFS(Selections!$T$6:$T$76,Selections!$G$6:$G$76,"72h-all-markets-net-ev15-execution-v7"))</f>
        <v>0.7950551078170468</v>
      </c>
      <c r="N40" s="20">
        <f>IF(SUMIFS(Selections!$T$6:$T$76,Selections!$G$6:$G$76,"72h-all-markets-net-ev15-execution-v7")=0,"n.a.",(SUMIFS(Selections!$L$6:$L$76,Selections!$G$6:$G$76,"72h-all-markets-net-ev15-execution-v7",Selections!$T$6:$T$76,1))/SUMIFS(Selections!$T$6:$T$76,Selections!$G$6:$G$76,"72h-all-markets-net-ev15-execution-v7"))</f>
        <v>1.0</v>
      </c>
      <c r="O40" s="20">
        <f>IF(SUMIFS(Selections!$T$6:$T$76,Selections!$G$6:$G$76,"72h-all-markets-net-ev15-execution-v7")=0,"n.a.",(SUMIFS(Selections!$S$6:$S$76,Selections!$G$6:$G$76,"72h-all-markets-net-ev15-execution-v7")-(SUMIFS(Selections!$L$6:$L$76,Selections!$G$6:$G$76,"72h-all-markets-net-ev15-execution-v7",Selections!$T$6:$T$76,1)))/SUMIFS(Selections!$T$6:$T$76,Selections!$G$6:$G$76,"72h-all-markets-net-ev15-execution-v7"))</f>
        <v>-0.2049448921829532</v>
      </c>
      <c r="P40" s="19">
        <f>SUMIFS(Selections!$T$6:$T$76,Selections!$G$6:$G$76,"72h-all-markets-net-ev15-execution-v7")</f>
        <v>4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(n=4).</v>
      </c>
      <c r="R40" s="18"/>
    </row>
    <row r="41" ht="36" customHeight="1">
      <c r="A41" s="18" t="inlineStr">
        <is>
          <t>Policy</t>
        </is>
      </c>
      <c r="B41" s="18" t="inlineStr">
        <is>
          <t>72h-seven-markets-fresh-references-net-ev15-v11</t>
        </is>
      </c>
      <c r="C41" s="19">
        <f>COUNTIFS(Selections!$G$6:$G$76,"72h-seven-markets-fresh-references-net-ev15-v11")</f>
        <v>5</v>
      </c>
      <c r="D41" s="19">
        <f>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</f>
        <v>5</v>
      </c>
      <c r="E41" s="19">
        <f>(COUNTIFS(Selections!$G$6:$G$76,"72h-seven-markets-fresh-references-net-ev15-v11",Selections!$K$6:$K$76,"WON")+COUNTIFS(Selections!$G$6:$G$76,"72h-seven-markets-fresh-references-net-ev15-v11",Selections!$K$6:$K$76,"HALF_WON"))</f>
        <v>4</v>
      </c>
      <c r="F41" s="19">
        <f>(COUNTIFS(Selections!$G$6:$G$76,"72h-seven-markets-fresh-references-net-ev15-v11",Selections!$K$6:$K$76,"LOST")+COUNTIFS(Selections!$G$6:$G$76,"72h-seven-markets-fresh-references-net-ev15-v11",Selections!$K$6:$K$76,"HALF_LOST"))</f>
        <v>1</v>
      </c>
      <c r="G41" s="19">
        <f>COUNTIFS(Selections!$G$6:$G$76,"72h-seven-markets-fresh-references-net-ev15-v11")-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</f>
        <v>0</v>
      </c>
      <c r="H41" s="20">
        <f>IF(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=0,"n.a.",(COUNTIFS(Selections!$G$6:$G$76,"72h-seven-markets-fresh-references-net-ev15-v11",Selections!$K$6:$K$76,"WON")+COUNTIFS(Selections!$G$6:$G$76,"72h-seven-markets-fresh-references-net-ev15-v11",Selections!$K$6:$K$76,"HALF_WON"))/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)</f>
        <v>0.8</v>
      </c>
      <c r="I41" s="22">
        <f>SUMIFS(Selections!$M$6:$M$76,Selections!$G$6:$G$76,"72h-seven-markets-fresh-references-net-ev15-v11")</f>
        <v>5</v>
      </c>
      <c r="J41" s="22">
        <f>SUMIFS(Selections!$N$6:$N$76,Selections!$G$6:$G$76,"72h-seven-markets-fresh-references-net-ev15-v11")</f>
        <v>0.3600000000000001</v>
      </c>
      <c r="K41" s="20">
        <f>IF(SUMIFS(Selections!$M$6:$M$76,Selections!$G$6:$G$76,"72h-seven-markets-fresh-references-net-ev15-v11")=0,"n.a.",SUMIFS(Selections!$N$6:$N$76,Selections!$G$6:$G$76,"72h-seven-markets-fresh-references-net-ev15-v11")/SUMIFS(Selections!$M$6:$M$76,Selections!$G$6:$G$76,"72h-seven-markets-fresh-references-net-ev15-v11"))</f>
        <v>0.07200000000000002</v>
      </c>
      <c r="L41" s="21">
        <f>IF(SUMIFS(Selections!$T$6:$T$76,Selections!$G$6:$G$76,"72h-seven-markets-fresh-references-net-ev15-v11")=0,"n.a.",SUMIFS(Selections!$O$6:$O$76,Selections!$G$6:$G$76,"72h-seven-markets-fresh-references-net-ev15-v11")/SUMIFS(Selections!$T$6:$T$76,Selections!$G$6:$G$76,"72h-seven-markets-fresh-references-net-ev15-v11"))</f>
        <v>0.12900891729637554</v>
      </c>
      <c r="M41" s="20">
        <f>IF(SUMIFS(Selections!$T$6:$T$76,Selections!$G$6:$G$76,"72h-seven-markets-fresh-references-net-ev15-v11")=0,"n.a.",SUMIFS(Selections!$S$6:$S$76,Selections!$G$6:$G$76,"72h-seven-markets-fresh-references-net-ev15-v11")/SUMIFS(Selections!$T$6:$T$76,Selections!$G$6:$G$76,"72h-seven-markets-fresh-references-net-ev15-v11"))</f>
        <v>0.7527708085856005</v>
      </c>
      <c r="N41" s="20">
        <f>IF(SUMIFS(Selections!$T$6:$T$76,Selections!$G$6:$G$76,"72h-seven-markets-fresh-references-net-ev15-v11")=0,"n.a.",(SUMIFS(Selections!$L$6:$L$76,Selections!$G$6:$G$76,"72h-seven-markets-fresh-references-net-ev15-v11",Selections!$T$6:$T$76,1))/SUMIFS(Selections!$T$6:$T$76,Selections!$G$6:$G$76,"72h-seven-markets-fresh-references-net-ev15-v11"))</f>
        <v>0.8</v>
      </c>
      <c r="O41" s="20">
        <f>IF(SUMIFS(Selections!$T$6:$T$76,Selections!$G$6:$G$76,"72h-seven-markets-fresh-references-net-ev15-v11")=0,"n.a.",(SUMIFS(Selections!$S$6:$S$76,Selections!$G$6:$G$76,"72h-seven-markets-fresh-references-net-ev15-v11")-(SUMIFS(Selections!$L$6:$L$76,Selections!$G$6:$G$76,"72h-seven-markets-fresh-references-net-ev15-v11",Selections!$T$6:$T$76,1)))/SUMIFS(Selections!$T$6:$T$76,Selections!$G$6:$G$76,"72h-seven-markets-fresh-references-net-ev15-v11"))</f>
        <v>-0.04722919141439952</v>
      </c>
      <c r="P41" s="19">
        <f>SUMIFS(Selections!$T$6:$T$76,Selections!$G$6:$G$76,"72h-seven-markets-fresh-references-net-ev15-v11")</f>
        <v>5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(n=5).</v>
      </c>
      <c r="R41" s="18"/>
    </row>
    <row r="42" ht="36" customHeight="1">
      <c r="A42" s="18" t="inlineStr">
        <is>
          <t>Policy</t>
        </is>
      </c>
      <c r="B42" s="18" t="inlineStr">
        <is>
          <t>72h-ucl-v2</t>
        </is>
      </c>
      <c r="C42" s="19">
        <f>COUNTIFS(Selections!$G$6:$G$76,"72h-ucl-v2")</f>
        <v>1</v>
      </c>
      <c r="D42" s="19">
        <f>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</f>
        <v>1</v>
      </c>
      <c r="E42" s="19">
        <f>(COUNTIFS(Selections!$G$6:$G$76,"72h-ucl-v2",Selections!$K$6:$K$76,"WON")+COUNTIFS(Selections!$G$6:$G$76,"72h-ucl-v2",Selections!$K$6:$K$76,"HALF_WON"))</f>
        <v>1</v>
      </c>
      <c r="F42" s="19">
        <f>(COUNTIFS(Selections!$G$6:$G$76,"72h-ucl-v2",Selections!$K$6:$K$76,"LOST")+COUNTIFS(Selections!$G$6:$G$76,"72h-ucl-v2",Selections!$K$6:$K$76,"HALF_LOST"))</f>
        <v>0</v>
      </c>
      <c r="G42" s="19">
        <f>COUNTIFS(Selections!$G$6:$G$76,"72h-ucl-v2")-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</f>
        <v>0</v>
      </c>
      <c r="H42" s="20">
        <f>IF(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=0,"n.a.",(COUNTIFS(Selections!$G$6:$G$76,"72h-ucl-v2",Selections!$K$6:$K$76,"WON")+COUNTIFS(Selections!$G$6:$G$76,"72h-ucl-v2",Selections!$K$6:$K$76,"HALF_WON"))/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)</f>
        <v>1.0</v>
      </c>
      <c r="I42" s="22">
        <f>SUMIFS(Selections!$M$6:$M$76,Selections!$G$6:$G$76,"72h-ucl-v2")</f>
        <v>1</v>
      </c>
      <c r="J42" s="22">
        <f>SUMIFS(Selections!$N$6:$N$76,Selections!$G$6:$G$76,"72h-ucl-v2")</f>
        <v>0.28</v>
      </c>
      <c r="K42" s="20">
        <f>IF(SUMIFS(Selections!$M$6:$M$76,Selections!$G$6:$G$76,"72h-ucl-v2")=0,"n.a.",SUMIFS(Selections!$N$6:$N$76,Selections!$G$6:$G$76,"72h-ucl-v2")/SUMIFS(Selections!$M$6:$M$76,Selections!$G$6:$G$76,"72h-ucl-v2"))</f>
        <v>0.28</v>
      </c>
      <c r="L42" s="21">
        <f>IF(SUMIFS(Selections!$T$6:$T$76,Selections!$G$6:$G$76,"72h-ucl-v2")=0,"n.a.",SUMIFS(Selections!$O$6:$O$76,Selections!$G$6:$G$76,"72h-ucl-v2")/SUMIFS(Selections!$T$6:$T$76,Selections!$G$6:$G$76,"72h-ucl-v2"))</f>
        <v>0.041442876272802645</v>
      </c>
      <c r="M42" s="20">
        <f>IF(SUMIFS(Selections!$T$6:$T$76,Selections!$G$6:$G$76,"72h-ucl-v2")=0,"n.a.",SUMIFS(Selections!$S$6:$S$76,Selections!$G$6:$G$76,"72h-ucl-v2")/SUMIFS(Selections!$T$6:$T$76,Selections!$G$6:$G$76,"72h-ucl-v2"))</f>
        <v>0.7964247650798294</v>
      </c>
      <c r="N42" s="20">
        <f>IF(SUMIFS(Selections!$T$6:$T$76,Selections!$G$6:$G$76,"72h-ucl-v2")=0,"n.a.",(SUMIFS(Selections!$L$6:$L$76,Selections!$G$6:$G$76,"72h-ucl-v2",Selections!$T$6:$T$76,1))/SUMIFS(Selections!$T$6:$T$76,Selections!$G$6:$G$76,"72h-ucl-v2"))</f>
        <v>1.0</v>
      </c>
      <c r="O42" s="20">
        <f>IF(SUMIFS(Selections!$T$6:$T$76,Selections!$G$6:$G$76,"72h-ucl-v2")=0,"n.a.",(SUMIFS(Selections!$S$6:$S$76,Selections!$G$6:$G$76,"72h-ucl-v2")-(SUMIFS(Selections!$L$6:$L$76,Selections!$G$6:$G$76,"72h-ucl-v2",Selections!$T$6:$T$76,1)))/SUMIFS(Selections!$T$6:$T$76,Selections!$G$6:$G$76,"72h-ucl-v2"))</f>
        <v>-0.2035752349201706</v>
      </c>
      <c r="P42" s="19">
        <f>SUMIFS(Selections!$T$6:$T$76,Selections!$G$6:$G$76,"72h-ucl-v2")</f>
        <v>1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(n=1).</v>
      </c>
      <c r="R42" s="18"/>
    </row>
    <row r="43" ht="36" customHeight="1">
      <c r="A43" s="18" t="inlineStr">
        <is>
          <t>Policy</t>
        </is>
      </c>
      <c r="B43" s="18" t="inlineStr">
        <is>
          <t>72h-ucl-v3</t>
        </is>
      </c>
      <c r="C43" s="19">
        <f>COUNTIFS(Selections!$G$6:$G$76,"72h-ucl-v3")</f>
        <v>7</v>
      </c>
      <c r="D43" s="19">
        <f>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</f>
        <v>6</v>
      </c>
      <c r="E43" s="19">
        <f>(COUNTIFS(Selections!$G$6:$G$76,"72h-ucl-v3",Selections!$K$6:$K$76,"WON")+COUNTIFS(Selections!$G$6:$G$76,"72h-ucl-v3",Selections!$K$6:$K$76,"HALF_WON"))</f>
        <v>3</v>
      </c>
      <c r="F43" s="19">
        <f>(COUNTIFS(Selections!$G$6:$G$76,"72h-ucl-v3",Selections!$K$6:$K$76,"LOST")+COUNTIFS(Selections!$G$6:$G$76,"72h-ucl-v3",Selections!$K$6:$K$76,"HALF_LOST"))</f>
        <v>3</v>
      </c>
      <c r="G43" s="19">
        <f>COUNTIFS(Selections!$G$6:$G$76,"72h-ucl-v3")-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</f>
        <v>1</v>
      </c>
      <c r="H43" s="20">
        <f>IF(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=0,"n.a.",(COUNTIFS(Selections!$G$6:$G$76,"72h-ucl-v3",Selections!$K$6:$K$76,"WON")+COUNTIFS(Selections!$G$6:$G$76,"72h-ucl-v3",Selections!$K$6:$K$76,"HALF_WON"))/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)</f>
        <v>0.5</v>
      </c>
      <c r="I43" s="22">
        <f>SUMIFS(Selections!$M$6:$M$76,Selections!$G$6:$G$76,"72h-ucl-v3")</f>
        <v>6</v>
      </c>
      <c r="J43" s="22">
        <f>SUMIFS(Selections!$N$6:$N$76,Selections!$G$6:$G$76,"72h-ucl-v3")</f>
        <v>-1.7100000000000002</v>
      </c>
      <c r="K43" s="20">
        <f>IF(SUMIFS(Selections!$M$6:$M$76,Selections!$G$6:$G$76,"72h-ucl-v3")=0,"n.a.",SUMIFS(Selections!$N$6:$N$76,Selections!$G$6:$G$76,"72h-ucl-v3")/SUMIFS(Selections!$M$6:$M$76,Selections!$G$6:$G$76,"72h-ucl-v3"))</f>
        <v>-0.28500000000000003</v>
      </c>
      <c r="L43" s="21">
        <f>IF(SUMIFS(Selections!$T$6:$T$76,Selections!$G$6:$G$76,"72h-ucl-v3")=0,"n.a.",SUMIFS(Selections!$O$6:$O$76,Selections!$G$6:$G$76,"72h-ucl-v3")/SUMIFS(Selections!$T$6:$T$76,Selections!$G$6:$G$76,"72h-ucl-v3"))</f>
        <v>0.3538657630451178</v>
      </c>
      <c r="M43" s="20">
        <f>IF(SUMIFS(Selections!$T$6:$T$76,Selections!$G$6:$G$76,"72h-ucl-v3")=0,"n.a.",SUMIFS(Selections!$S$6:$S$76,Selections!$G$6:$G$76,"72h-ucl-v3")/SUMIFS(Selections!$T$6:$T$76,Selections!$G$6:$G$76,"72h-ucl-v3"))</f>
        <v>0.7987491501653422</v>
      </c>
      <c r="N43" s="20">
        <f>IF(SUMIFS(Selections!$T$6:$T$76,Selections!$G$6:$G$76,"72h-ucl-v3")=0,"n.a.",(SUMIFS(Selections!$L$6:$L$76,Selections!$G$6:$G$76,"72h-ucl-v3",Selections!$T$6:$T$76,1))/SUMIFS(Selections!$T$6:$T$76,Selections!$G$6:$G$76,"72h-ucl-v3"))</f>
        <v>0.5</v>
      </c>
      <c r="O43" s="20">
        <f>IF(SUMIFS(Selections!$T$6:$T$76,Selections!$G$6:$G$76,"72h-ucl-v3")=0,"n.a.",(SUMIFS(Selections!$S$6:$S$76,Selections!$G$6:$G$76,"72h-ucl-v3")-(SUMIFS(Selections!$L$6:$L$76,Selections!$G$6:$G$76,"72h-ucl-v3",Selections!$T$6:$T$76,1)))/SUMIFS(Selections!$T$6:$T$76,Selections!$G$6:$G$76,"72h-ucl-v3"))</f>
        <v>0.2987491501653422</v>
      </c>
      <c r="P43" s="19">
        <f>SUMIFS(Selections!$T$6:$T$76,Selections!$G$6:$G$76,"72h-ucl-v3")</f>
        <v>6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(n=6).</v>
      </c>
      <c r="R43" s="18"/>
    </row>
    <row r="44" ht="36" customHeight="1">
      <c r="A44" s="18" t="inlineStr">
        <is>
          <t>Policy</t>
        </is>
      </c>
      <c r="B44" s="18" t="inlineStr">
        <is>
          <t>legacy/unspecified</t>
        </is>
      </c>
      <c r="C44" s="19">
        <f>COUNTIFS(Selections!$G$6:$G$76,"legacy/unspecified")</f>
        <v>2</v>
      </c>
      <c r="D44" s="19">
        <f>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</f>
        <v>2</v>
      </c>
      <c r="E44" s="19">
        <f>(COUNTIFS(Selections!$G$6:$G$76,"legacy/unspecified",Selections!$K$6:$K$76,"WON")+COUNTIFS(Selections!$G$6:$G$76,"legacy/unspecified",Selections!$K$6:$K$76,"HALF_WON"))</f>
        <v>2</v>
      </c>
      <c r="F44" s="19">
        <f>(COUNTIFS(Selections!$G$6:$G$76,"legacy/unspecified",Selections!$K$6:$K$76,"LOST")+COUNTIFS(Selections!$G$6:$G$76,"legacy/unspecified",Selections!$K$6:$K$76,"HALF_LOST"))</f>
        <v>0</v>
      </c>
      <c r="G44" s="19">
        <f>COUNTIFS(Selections!$G$6:$G$76,"legacy/unspecified")-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</f>
        <v>0</v>
      </c>
      <c r="H44" s="20">
        <f>IF(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=0,"n.a.",(COUNTIFS(Selections!$G$6:$G$76,"legacy/unspecified",Selections!$K$6:$K$76,"WON")+COUNTIFS(Selections!$G$6:$G$76,"legacy/unspecified",Selections!$K$6:$K$76,"HALF_WON"))/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)</f>
        <v>1.0</v>
      </c>
      <c r="I44" s="22">
        <f>SUMIFS(Selections!$M$6:$M$76,Selections!$G$6:$G$76,"legacy/unspecified")</f>
        <v>2</v>
      </c>
      <c r="J44" s="22">
        <f>SUMIFS(Selections!$N$6:$N$76,Selections!$G$6:$G$76,"legacy/unspecified")</f>
        <v>0.6399999999999999</v>
      </c>
      <c r="K44" s="20">
        <f>IF(SUMIFS(Selections!$M$6:$M$76,Selections!$G$6:$G$76,"legacy/unspecified")=0,"n.a.",SUMIFS(Selections!$N$6:$N$76,Selections!$G$6:$G$76,"legacy/unspecified")/SUMIFS(Selections!$M$6:$M$76,Selections!$G$6:$G$76,"legacy/unspecified"))</f>
        <v>0.31999999999999995</v>
      </c>
      <c r="L44" s="21">
        <f>IF(SUMIFS(Selections!$T$6:$T$76,Selections!$G$6:$G$76,"legacy/unspecified")=0,"n.a.",SUMIFS(Selections!$O$6:$O$76,Selections!$G$6:$G$76,"legacy/unspecified")/SUMIFS(Selections!$T$6:$T$76,Selections!$G$6:$G$76,"legacy/unspecified"))</f>
        <v>0.022741501209119913</v>
      </c>
      <c r="M44" s="20">
        <f>IF(SUMIFS(Selections!$T$6:$T$76,Selections!$G$6:$G$76,"legacy/unspecified")=0,"n.a.",SUMIFS(Selections!$S$6:$S$76,Selections!$G$6:$G$76,"legacy/unspecified")/SUMIFS(Selections!$T$6:$T$76,Selections!$G$6:$G$76,"legacy/unspecified"))</f>
        <v>0.8612313600870412</v>
      </c>
      <c r="N44" s="20">
        <f>IF(SUMIFS(Selections!$T$6:$T$76,Selections!$G$6:$G$76,"legacy/unspecified")=0,"n.a.",(SUMIFS(Selections!$L$6:$L$76,Selections!$G$6:$G$76,"legacy/unspecified",Selections!$T$6:$T$76,1))/SUMIFS(Selections!$T$6:$T$76,Selections!$G$6:$G$76,"legacy/unspecified"))</f>
        <v>1.0</v>
      </c>
      <c r="O44" s="20">
        <f>IF(SUMIFS(Selections!$T$6:$T$76,Selections!$G$6:$G$76,"legacy/unspecified")=0,"n.a.",(SUMIFS(Selections!$S$6:$S$76,Selections!$G$6:$G$76,"legacy/unspecified")-(SUMIFS(Selections!$L$6:$L$76,Selections!$G$6:$G$76,"legacy/unspecified",Selections!$T$6:$T$76,1)))/SUMIFS(Selections!$T$6:$T$76,Selections!$G$6:$G$76,"legacy/unspecified"))</f>
        <v>-0.13876863991295885</v>
      </c>
      <c r="P44" s="19">
        <f>SUMIFS(Selections!$T$6:$T$76,Selections!$G$6:$G$76,"legacy/unspecified")</f>
        <v>2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(n=2).</v>
      </c>
      <c r="R44" s="18"/>
    </row>
    <row r="45" ht="36" customHeight="1">
      <c r="A45" s="18" t="inlineStr">
        <is>
          <t>Week</t>
        </is>
      </c>
      <c r="B45" s="18" t="inlineStr">
        <is>
          <t>2026-W41</t>
        </is>
      </c>
      <c r="C45" s="19">
        <f>COUNTIFS(Selections!$P$6:$P$76,"2026-W41")</f>
        <v>5</v>
      </c>
      <c r="D45" s="19">
        <f>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</f>
        <v>4</v>
      </c>
      <c r="E45" s="19">
        <f>(COUNTIFS(Selections!$P$6:$P$76,"2026-W41",Selections!$K$6:$K$76,"WON")+COUNTIFS(Selections!$P$6:$P$76,"2026-W41",Selections!$K$6:$K$76,"HALF_WON"))</f>
        <v>2</v>
      </c>
      <c r="F45" s="19">
        <f>(COUNTIFS(Selections!$P$6:$P$76,"2026-W41",Selections!$K$6:$K$76,"LOST")+COUNTIFS(Selections!$P$6:$P$76,"2026-W41",Selections!$K$6:$K$76,"HALF_LOST"))</f>
        <v>2</v>
      </c>
      <c r="G45" s="19">
        <f>COUNTIFS(Selections!$P$6:$P$76,"2026-W41")-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</f>
        <v>1</v>
      </c>
      <c r="H45" s="20">
        <f>IF(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=0,"n.a.",(COUNTIFS(Selections!$P$6:$P$76,"2026-W41",Selections!$K$6:$K$76,"WON")+COUNTIFS(Selections!$P$6:$P$76,"2026-W41",Selections!$K$6:$K$76,"HALF_WON"))/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)</f>
        <v>0.5</v>
      </c>
      <c r="I45" s="22">
        <f>SUMIFS(Selections!$M$6:$M$76,Selections!$P$6:$P$76,"2026-W41")</f>
        <v>4</v>
      </c>
      <c r="J45" s="22">
        <f>SUMIFS(Selections!$N$6:$N$76,Selections!$P$6:$P$76,"2026-W41")</f>
        <v>-1.48</v>
      </c>
      <c r="K45" s="20">
        <f>IF(SUMIFS(Selections!$M$6:$M$76,Selections!$P$6:$P$76,"2026-W41")=0,"n.a.",SUMIFS(Selections!$N$6:$N$76,Selections!$P$6:$P$76,"2026-W41")/SUMIFS(Selections!$M$6:$M$76,Selections!$P$6:$P$76,"2026-W41"))</f>
        <v>-0.37</v>
      </c>
      <c r="L45" s="21">
        <f>IF(SUMIFS(Selections!$T$6:$T$76,Selections!$P$6:$P$76,"2026-W41")=0,"n.a.",SUMIFS(Selections!$O$6:$O$76,Selections!$P$6:$P$76,"2026-W41")/SUMIFS(Selections!$T$6:$T$76,Selections!$P$6:$P$76,"2026-W41"))</f>
        <v>0.32924630276534106</v>
      </c>
      <c r="M45" s="20">
        <f>IF(SUMIFS(Selections!$T$6:$T$76,Selections!$P$6:$P$76,"2026-W41")=0,"n.a.",SUMIFS(Selections!$S$6:$S$76,Selections!$P$6:$P$76,"2026-W41")/SUMIFS(Selections!$T$6:$T$76,Selections!$P$6:$P$76,"2026-W41"))</f>
        <v>0.8212200676021444</v>
      </c>
      <c r="N45" s="20">
        <f>IF(SUMIFS(Selections!$T$6:$T$76,Selections!$P$6:$P$76,"2026-W41")=0,"n.a.",(SUMIFS(Selections!$L$6:$L$76,Selections!$P$6:$P$76,"2026-W41",Selections!$T$6:$T$76,1))/SUMIFS(Selections!$T$6:$T$76,Selections!$P$6:$P$76,"2026-W41"))</f>
        <v>0.5</v>
      </c>
      <c r="O45" s="20">
        <f>IF(SUMIFS(Selections!$T$6:$T$76,Selections!$P$6:$P$76,"2026-W41")=0,"n.a.",(SUMIFS(Selections!$S$6:$S$76,Selections!$P$6:$P$76,"2026-W41")-(SUMIFS(Selections!$L$6:$L$76,Selections!$P$6:$P$76,"2026-W41",Selections!$T$6:$T$76,1)))/SUMIFS(Selections!$T$6:$T$76,Selections!$P$6:$P$76,"2026-W41"))</f>
        <v>0.3212200676021444</v>
      </c>
      <c r="P45" s="19">
        <f>SUMIFS(Selections!$T$6:$T$76,Selections!$P$6:$P$76,"2026-W41")</f>
        <v>4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(n=4).</v>
      </c>
      <c r="R45" s="18"/>
    </row>
    <row r="46" ht="36" customHeight="1">
      <c r="A46" s="18" t="inlineStr">
        <is>
          <t>Week</t>
        </is>
      </c>
      <c r="B46" s="18" t="inlineStr">
        <is>
          <t>2026-W42</t>
        </is>
      </c>
      <c r="C46" s="19">
        <f>COUNTIFS(Selections!$P$6:$P$76,"2026-W42")</f>
        <v>24</v>
      </c>
      <c r="D46" s="19">
        <f>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</f>
        <v>22</v>
      </c>
      <c r="E46" s="19">
        <f>(COUNTIFS(Selections!$P$6:$P$76,"2026-W42",Selections!$K$6:$K$76,"WON")+COUNTIFS(Selections!$P$6:$P$76,"2026-W42",Selections!$K$6:$K$76,"HALF_WON"))</f>
        <v>19</v>
      </c>
      <c r="F46" s="19">
        <f>(COUNTIFS(Selections!$P$6:$P$76,"2026-W42",Selections!$K$6:$K$76,"LOST")+COUNTIFS(Selections!$P$6:$P$76,"2026-W42",Selections!$K$6:$K$76,"HALF_LOST"))</f>
        <v>3</v>
      </c>
      <c r="G46" s="19">
        <f>COUNTIFS(Selections!$P$6:$P$76,"2026-W42")-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</f>
        <v>2</v>
      </c>
      <c r="H46" s="20">
        <f>IF(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=0,"n.a.",(COUNTIFS(Selections!$P$6:$P$76,"2026-W42",Selections!$K$6:$K$76,"WON")+COUNTIFS(Selections!$P$6:$P$76,"2026-W42",Selections!$K$6:$K$76,"HALF_WON"))/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)</f>
        <v>0.8636363636363636</v>
      </c>
      <c r="I46" s="22">
        <f>SUMIFS(Selections!$M$6:$M$76,Selections!$P$6:$P$76,"2026-W42")</f>
        <v>22</v>
      </c>
      <c r="J46" s="22">
        <f>SUMIFS(Selections!$N$6:$N$76,Selections!$P$6:$P$76,"2026-W42")</f>
        <v>4.289999999999999</v>
      </c>
      <c r="K46" s="20">
        <f>IF(SUMIFS(Selections!$M$6:$M$76,Selections!$P$6:$P$76,"2026-W42")=0,"n.a.",SUMIFS(Selections!$N$6:$N$76,Selections!$P$6:$P$76,"2026-W42")/SUMIFS(Selections!$M$6:$M$76,Selections!$P$6:$P$76,"2026-W42"))</f>
        <v>0.19499999999999995</v>
      </c>
      <c r="L46" s="21">
        <f>IF(SUMIFS(Selections!$T$6:$T$76,Selections!$P$6:$P$76,"2026-W42")=0,"n.a.",SUMIFS(Selections!$O$6:$O$76,Selections!$P$6:$P$76,"2026-W42")/SUMIFS(Selections!$T$6:$T$76,Selections!$P$6:$P$76,"2026-W42"))</f>
        <v>0.13041357566209277</v>
      </c>
      <c r="M46" s="20">
        <f>IF(SUMIFS(Selections!$T$6:$T$76,Selections!$P$6:$P$76,"2026-W42")=0,"n.a.",SUMIFS(Selections!$S$6:$S$76,Selections!$P$6:$P$76,"2026-W42")/SUMIFS(Selections!$T$6:$T$76,Selections!$P$6:$P$76,"2026-W42"))</f>
        <v>0.7692010233716516</v>
      </c>
      <c r="N46" s="20">
        <f>IF(SUMIFS(Selections!$T$6:$T$76,Selections!$P$6:$P$76,"2026-W42")=0,"n.a.",(SUMIFS(Selections!$L$6:$L$76,Selections!$P$6:$P$76,"2026-W42",Selections!$T$6:$T$76,1))/SUMIFS(Selections!$T$6:$T$76,Selections!$P$6:$P$76,"2026-W42"))</f>
        <v>0.8636363636363636</v>
      </c>
      <c r="O46" s="20">
        <f>IF(SUMIFS(Selections!$T$6:$T$76,Selections!$P$6:$P$76,"2026-W42")=0,"n.a.",(SUMIFS(Selections!$S$6:$S$76,Selections!$P$6:$P$76,"2026-W42")-(SUMIFS(Selections!$L$6:$L$76,Selections!$P$6:$P$76,"2026-W42",Selections!$T$6:$T$76,1)))/SUMIFS(Selections!$T$6:$T$76,Selections!$P$6:$P$76,"2026-W42"))</f>
        <v>-0.09443534026471201</v>
      </c>
      <c r="P46" s="19">
        <f>SUMIFS(Selections!$T$6:$T$76,Selections!$P$6:$P$76,"2026-W42")</f>
        <v>22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(n=22).</v>
      </c>
      <c r="R46" s="18"/>
    </row>
    <row r="47" ht="36" customHeight="1">
      <c r="A47" s="18" t="inlineStr">
        <is>
          <t>Week</t>
        </is>
      </c>
      <c r="B47" s="18" t="inlineStr">
        <is>
          <t>2026-W43</t>
        </is>
      </c>
      <c r="C47" s="19">
        <f>COUNTIFS(Selections!$P$6:$P$76,"2026-W43")</f>
        <v>41</v>
      </c>
      <c r="D47" s="19">
        <f>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</f>
        <v>19</v>
      </c>
      <c r="E47" s="19">
        <f>(COUNTIFS(Selections!$P$6:$P$76,"2026-W43",Selections!$K$6:$K$76,"WON")+COUNTIFS(Selections!$P$6:$P$76,"2026-W43",Selections!$K$6:$K$76,"HALF_WON"))</f>
        <v>14</v>
      </c>
      <c r="F47" s="19">
        <f>(COUNTIFS(Selections!$P$6:$P$76,"2026-W43",Selections!$K$6:$K$76,"LOST")+COUNTIFS(Selections!$P$6:$P$76,"2026-W43",Selections!$K$6:$K$76,"HALF_LOST"))</f>
        <v>5</v>
      </c>
      <c r="G47" s="19">
        <f>COUNTIFS(Selections!$P$6:$P$76,"2026-W43")-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</f>
        <v>22</v>
      </c>
      <c r="H47" s="20">
        <f>IF(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=0,"n.a.",(COUNTIFS(Selections!$P$6:$P$76,"2026-W43",Selections!$K$6:$K$76,"WON")+COUNTIFS(Selections!$P$6:$P$76,"2026-W43",Selections!$K$6:$K$76,"HALF_WON"))/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)</f>
        <v>0.7368421052631579</v>
      </c>
      <c r="I47" s="22">
        <f>SUMIFS(Selections!$M$6:$M$76,Selections!$P$6:$P$76,"2026-W43")</f>
        <v>19</v>
      </c>
      <c r="J47" s="22">
        <f>SUMIFS(Selections!$N$6:$N$76,Selections!$P$6:$P$76,"2026-W43")</f>
        <v>-0.010000000000000397</v>
      </c>
      <c r="K47" s="20">
        <f>IF(SUMIFS(Selections!$M$6:$M$76,Selections!$P$6:$P$76,"2026-W43")=0,"n.a.",SUMIFS(Selections!$N$6:$N$76,Selections!$P$6:$P$76,"2026-W43")/SUMIFS(Selections!$M$6:$M$76,Selections!$P$6:$P$76,"2026-W43"))</f>
        <v>-0.0005263157894737051</v>
      </c>
      <c r="L47" s="21">
        <f>IF(SUMIFS(Selections!$T$6:$T$76,Selections!$P$6:$P$76,"2026-W43")=0,"n.a.",SUMIFS(Selections!$O$6:$O$76,Selections!$P$6:$P$76,"2026-W43")/SUMIFS(Selections!$T$6:$T$76,Selections!$P$6:$P$76,"2026-W43"))</f>
        <v>0.14429532475093387</v>
      </c>
      <c r="M47" s="20">
        <f>IF(SUMIFS(Selections!$T$6:$T$76,Selections!$P$6:$P$76,"2026-W43")=0,"n.a.",SUMIFS(Selections!$S$6:$S$76,Selections!$P$6:$P$76,"2026-W43")/SUMIFS(Selections!$T$6:$T$76,Selections!$P$6:$P$76,"2026-W43"))</f>
        <v>0.7615128709679571</v>
      </c>
      <c r="N47" s="20">
        <f>IF(SUMIFS(Selections!$T$6:$T$76,Selections!$P$6:$P$76,"2026-W43")=0,"n.a.",(SUMIFS(Selections!$L$6:$L$76,Selections!$P$6:$P$76,"2026-W43",Selections!$T$6:$T$76,1))/SUMIFS(Selections!$T$6:$T$76,Selections!$P$6:$P$76,"2026-W43"))</f>
        <v>0.7368421052631579</v>
      </c>
      <c r="O47" s="20">
        <f>IF(SUMIFS(Selections!$T$6:$T$76,Selections!$P$6:$P$76,"2026-W43")=0,"n.a.",(SUMIFS(Selections!$S$6:$S$76,Selections!$P$6:$P$76,"2026-W43")-(SUMIFS(Selections!$L$6:$L$76,Selections!$P$6:$P$76,"2026-W43",Selections!$T$6:$T$76,1)))/SUMIFS(Selections!$T$6:$T$76,Selections!$P$6:$P$76,"2026-W43"))</f>
        <v>0.024670765704799202</v>
      </c>
      <c r="P47" s="19">
        <f>SUMIFS(Selections!$T$6:$T$76,Selections!$P$6:$P$76,"2026-W43")</f>
        <v>19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(n=19).</v>
      </c>
      <c r="R47" s="18"/>
    </row>
    <row r="48" ht="36" customHeight="1">
      <c r="A48" s="18" t="inlineStr">
        <is>
          <t>Week</t>
        </is>
      </c>
      <c r="B48" s="18" t="inlineStr">
        <is>
          <t>2026-W44</t>
        </is>
      </c>
      <c r="C48" s="19">
        <f>COUNTIFS(Selections!$P$6:$P$76,"2026-W44")</f>
        <v>1</v>
      </c>
      <c r="D48" s="19">
        <f>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</f>
        <v>0</v>
      </c>
      <c r="E48" s="19">
        <f>(COUNTIFS(Selections!$P$6:$P$76,"2026-W44",Selections!$K$6:$K$76,"WON")+COUNTIFS(Selections!$P$6:$P$76,"2026-W44",Selections!$K$6:$K$76,"HALF_WON"))</f>
        <v>0</v>
      </c>
      <c r="F48" s="19">
        <f>(COUNTIFS(Selections!$P$6:$P$76,"2026-W44",Selections!$K$6:$K$76,"LOST")+COUNTIFS(Selections!$P$6:$P$76,"2026-W44",Selections!$K$6:$K$76,"HALF_LOST"))</f>
        <v>0</v>
      </c>
      <c r="G48" s="19">
        <f>COUNTIFS(Selections!$P$6:$P$76,"2026-W44")-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</f>
        <v>1</v>
      </c>
      <c r="H48" s="20" t="str">
        <f>IF(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=0,"n.a.",(COUNTIFS(Selections!$P$6:$P$76,"2026-W44",Selections!$K$6:$K$76,"WON")+COUNTIFS(Selections!$P$6:$P$76,"2026-W44",Selections!$K$6:$K$76,"HALF_WON"))/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)</f>
        <v>n.a.</v>
      </c>
      <c r="I48" s="22">
        <f>SUMIFS(Selections!$M$6:$M$76,Selections!$P$6:$P$76,"2026-W44")</f>
        <v>0</v>
      </c>
      <c r="J48" s="22">
        <f>SUMIFS(Selections!$N$6:$N$76,Selections!$P$6:$P$76,"2026-W44")</f>
        <v>0</v>
      </c>
      <c r="K48" s="20" t="str">
        <f>IF(SUMIFS(Selections!$M$6:$M$76,Selections!$P$6:$P$76,"2026-W44")=0,"n.a.",SUMIFS(Selections!$N$6:$N$76,Selections!$P$6:$P$76,"2026-W44")/SUMIFS(Selections!$M$6:$M$76,Selections!$P$6:$P$76,"2026-W44"))</f>
        <v>n.a.</v>
      </c>
      <c r="L48" s="21" t="str">
        <f>IF(SUMIFS(Selections!$T$6:$T$76,Selections!$P$6:$P$76,"2026-W44")=0,"n.a.",SUMIFS(Selections!$O$6:$O$76,Selections!$P$6:$P$76,"2026-W44")/SUMIFS(Selections!$T$6:$T$76,Selections!$P$6:$P$76,"2026-W44"))</f>
        <v>n.a.</v>
      </c>
      <c r="M48" s="20" t="str">
        <f>IF(SUMIFS(Selections!$T$6:$T$76,Selections!$P$6:$P$76,"2026-W44")=0,"n.a.",SUMIFS(Selections!$S$6:$S$76,Selections!$P$6:$P$76,"2026-W44")/SUMIFS(Selections!$T$6:$T$76,Selections!$P$6:$P$76,"2026-W44"))</f>
        <v>n.a.</v>
      </c>
      <c r="N48" s="20" t="str">
        <f>IF(SUMIFS(Selections!$T$6:$T$76,Selections!$P$6:$P$76,"2026-W44")=0,"n.a.",(SUMIFS(Selections!$L$6:$L$76,Selections!$P$6:$P$76,"2026-W44",Selections!$T$6:$T$76,1))/SUMIFS(Selections!$T$6:$T$76,Selections!$P$6:$P$76,"2026-W44"))</f>
        <v>n.a.</v>
      </c>
      <c r="O48" s="20" t="str">
        <f>IF(SUMIFS(Selections!$T$6:$T$76,Selections!$P$6:$P$76,"2026-W44")=0,"n.a.",(SUMIFS(Selections!$S$6:$S$76,Selections!$P$6:$P$76,"2026-W44")-(SUMIFS(Selections!$L$6:$L$76,Selections!$P$6:$P$76,"2026-W44",Selections!$T$6:$T$76,1)))/SUMIFS(Selections!$T$6:$T$76,Selections!$P$6:$P$76,"2026-W44"))</f>
        <v>n.a.</v>
      </c>
      <c r="P48" s="19">
        <f>SUMIFS(Selections!$T$6:$T$76,Selections!$P$6:$P$76,"2026-W44")</f>
        <v>0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Collect more scored forecasts (n=0).</v>
      </c>
      <c r="R48" s="18"/>
    </row>
  </sheetData>
  <mergeCells count="2">
    <mergeCell ref="A2:Q2"/>
    <mergeCell ref="A4:Q4"/>
  </mergeCells>
  <conditionalFormatting sqref="K6:K48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COUNTIFS(Selections!$S$6:$S$76,"&gt;="&amp;B6,Selections!$S$6:$S$76,"&lt;"&amp;C6,Selections!$T$6:$T$76,1)</f>
        <v>1</v>
      </c>
      <c r="E6" s="20">
        <f>IF(D6=0,"n.a.",SUMIFS(Selections!$S$6:$S$76,Selections!$S$6:$S$76,"&gt;="&amp;B6,Selections!$S$6:$S$76,"&lt;"&amp;C6,Selections!$T$6:$T$76,1)/D6)</f>
        <v>0.45373358817867715</v>
      </c>
      <c r="F6" s="20">
        <f>IF(D6=0,"n.a.",SUMIFS(Selections!$L$6:$L$76,Selections!$S$6:$S$76,"&gt;="&amp;B6,Selections!$S$6:$S$76,"&lt;"&amp;C6,Selections!$T$6:$T$76,1)/D6)</f>
        <v>0.0</v>
      </c>
      <c r="G6" s="20">
        <f>IF(D6=0,"n.a.",E6-F6)</f>
        <v>0.45373358817867715</v>
      </c>
      <c r="H6" s="21">
        <f>IF(D6=0,"n.a.",SUMIFS(Selections!$O$6:$O$76,Selections!$S$6:$S$76,"&gt;="&amp;B6,Selections!$S$6:$S$76,"&lt;"&amp;C6,Selections!$T$6:$T$76,1)/D6)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COUNTIFS(Selections!$S$6:$S$76,"&gt;="&amp;B7,Selections!$S$6:$S$76,"&lt;"&amp;C7,Selections!$T$6:$T$76,1)</f>
        <v>1</v>
      </c>
      <c r="E7" s="20">
        <f>IF(D7=0,"n.a.",SUMIFS(Selections!$S$6:$S$76,Selections!$S$6:$S$76,"&gt;="&amp;B7,Selections!$S$6:$S$76,"&lt;"&amp;C7,Selections!$T$6:$T$76,1)/D7)</f>
        <v>0.5493193451423081</v>
      </c>
      <c r="F7" s="20">
        <f>IF(D7=0,"n.a.",SUMIFS(Selections!$L$6:$L$76,Selections!$S$6:$S$76,"&gt;="&amp;B7,Selections!$S$6:$S$76,"&lt;"&amp;C7,Selections!$T$6:$T$76,1)/D7)</f>
        <v>1.0</v>
      </c>
      <c r="G7" s="20">
        <f>IF(D7=0,"n.a.",E7-F7)</f>
        <v>-0.45068065485769193</v>
      </c>
      <c r="H7" s="21">
        <f>IF(D7=0,"n.a.",SUMIFS(Selections!$O$6:$O$76,Selections!$S$6:$S$76,"&gt;="&amp;B7,Selections!$S$6:$S$76,"&lt;"&amp;C7,Selections!$T$6:$T$76,1)/D7)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COUNTIFS(Selections!$S$6:$S$76,"&gt;="&amp;B8,Selections!$S$6:$S$76,"&lt;"&amp;C8,Selections!$T$6:$T$76,1)</f>
        <v>8</v>
      </c>
      <c r="E8" s="20">
        <f>IF(D8=0,"n.a.",SUMIFS(Selections!$S$6:$S$76,Selections!$S$6:$S$76,"&gt;="&amp;B8,Selections!$S$6:$S$76,"&lt;"&amp;C8,Selections!$T$6:$T$76,1)/D8)</f>
        <v>0.6487583343163</v>
      </c>
      <c r="F8" s="20">
        <f>IF(D8=0,"n.a.",SUMIFS(Selections!$L$6:$L$76,Selections!$S$6:$S$76,"&gt;="&amp;B8,Selections!$S$6:$S$76,"&lt;"&amp;C8,Selections!$T$6:$T$76,1)/D8)</f>
        <v>0.625</v>
      </c>
      <c r="G8" s="20">
        <f>IF(D8=0,"n.a.",E8-F8)</f>
        <v>0.023758334316300034</v>
      </c>
      <c r="H8" s="21">
        <f>IF(D8=0,"n.a.",SUMIFS(Selections!$O$6:$O$76,Selections!$S$6:$S$76,"&gt;="&amp;B8,Selections!$S$6:$S$76,"&lt;"&amp;C8,Selections!$T$6:$T$76,1)/D8)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COUNTIFS(Selections!$S$6:$S$76,"&gt;="&amp;B9,Selections!$S$6:$S$76,"&lt;"&amp;C9,Selections!$T$6:$T$76,1)</f>
        <v>16</v>
      </c>
      <c r="E9" s="20">
        <f>IF(D9=0,"n.a.",SUMIFS(Selections!$S$6:$S$76,Selections!$S$6:$S$76,"&gt;="&amp;B9,Selections!$S$6:$S$76,"&lt;"&amp;C9,Selections!$T$6:$T$76,1)/D9)</f>
        <v>0.7609135641638696</v>
      </c>
      <c r="F9" s="20">
        <f>IF(D9=0,"n.a.",SUMIFS(Selections!$L$6:$L$76,Selections!$S$6:$S$76,"&gt;="&amp;B9,Selections!$S$6:$S$76,"&lt;"&amp;C9,Selections!$T$6:$T$76,1)/D9)</f>
        <v>0.75</v>
      </c>
      <c r="G9" s="20">
        <f>IF(D9=0,"n.a.",E9-F9)</f>
        <v>0.010913564163869571</v>
      </c>
      <c r="H9" s="21">
        <f>IF(D9=0,"n.a.",SUMIFS(Selections!$O$6:$O$76,Selections!$S$6:$S$76,"&gt;="&amp;B9,Selections!$S$6:$S$76,"&lt;"&amp;C9,Selections!$T$6:$T$76,1)/D9)</f>
        <v>0.18588174389454942</v>
      </c>
      <c r="I9" s="18" t="inlineStr">
        <is>
          <t>Collect more scored forecasts (n=16).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COUNTIFS(Selections!$S$6:$S$76,"&gt;="&amp;B10,Selections!$S$6:$S$76,"&lt;"&amp;C10,Selections!$T$6:$T$76,1)</f>
        <v>15</v>
      </c>
      <c r="E10" s="20">
        <f>IF(D10=0,"n.a.",SUMIFS(Selections!$S$6:$S$76,Selections!$S$6:$S$76,"&gt;="&amp;B10,Selections!$S$6:$S$76,"&lt;"&amp;C10,Selections!$T$6:$T$76,1)/D10)</f>
        <v>0.8398433686208001</v>
      </c>
      <c r="F10" s="20">
        <f>IF(D10=0,"n.a.",SUMIFS(Selections!$L$6:$L$76,Selections!$S$6:$S$76,"&gt;="&amp;B10,Selections!$S$6:$S$76,"&lt;"&amp;C10,Selections!$T$6:$T$76,1)/D10)</f>
        <v>0.8666666666666667</v>
      </c>
      <c r="G10" s="20">
        <f>IF(D10=0,"n.a.",E10-F10)</f>
        <v>-0.026823298045866584</v>
      </c>
      <c r="H10" s="21">
        <f>IF(D10=0,"n.a.",SUMIFS(Selections!$O$6:$O$76,Selections!$S$6:$S$76,"&gt;="&amp;B10,Selections!$S$6:$S$76,"&lt;"&amp;C10,Selections!$T$6:$T$76,1)/D10)</f>
        <v>0.11566848088034834</v>
      </c>
      <c r="I10" s="18" t="inlineStr">
        <is>
          <t>Collect more scored forecasts (n=15).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COUNTIFS(Selections!$S$6:$S$76,"&gt;="&amp;B11,Selections!$S$6:$S$76,"&lt;"&amp;C11,Selections!$T$6:$T$76,1)</f>
        <v>4</v>
      </c>
      <c r="E11" s="20">
        <f>IF(D11=0,"n.a.",SUMIFS(Selections!$S$6:$S$76,Selections!$S$6:$S$76,"&gt;="&amp;B11,Selections!$S$6:$S$76,"&lt;"&amp;C11,Selections!$T$6:$T$76,1)/D11)</f>
        <v>0.9276650422976989</v>
      </c>
      <c r="F11" s="20">
        <f>IF(D11=0,"n.a.",SUMIFS(Selections!$L$6:$L$76,Selections!$S$6:$S$76,"&gt;="&amp;B11,Selections!$S$6:$S$76,"&lt;"&amp;C11,Selections!$T$6:$T$76,1)/D11)</f>
        <v>1.0</v>
      </c>
      <c r="G11" s="20">
        <f>IF(D11=0,"n.a.",E11-F11)</f>
        <v>-0.07233495770230114</v>
      </c>
      <c r="H11" s="21">
        <f>IF(D11=0,"n.a.",SUMIFS(Selections!$O$6:$O$76,Selections!$S$6:$S$76,"&gt;="&amp;B11,Selections!$S$6:$S$76,"&lt;"&amp;C11,Selections!$T$6:$T$76,1)/D11)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/>
      <c r="K56" s="18" t="inlineStr">
        <is>
          <t>PENDING_KICKOFF_OR_FINAL_SCORE</t>
        </is>
      </c>
      <c r="L56" s="18"/>
      <c r="M56" s="22" t="str">
        <f>IF(AND(ISNUMBER(L56),ISNUMBER(I56),I56&gt;1),'ROI Plan'!$B$5,"")</f>
        <v/>
      </c>
      <c r="N56" s="22" t="str">
        <f>IF(ISNUMBER(M56),M56*IF(K56="HALF_WON",(I56-1)/2-U56,IF(K56="HALF_LOST",-0.5-U56,IF(K56="REFUNDED",-U56,I56*L56-1-U56))),"")</f>
        <v/>
      </c>
      <c r="O56" s="21">
        <f>IF(AND(ISNUMBER(L56),ISNUMBER(H56)),(H56-L56)^2,"")</f>
      </c>
      <c r="P56" s="18" t="inlineStr">
        <is>
          <t>2026-W43</t>
        </is>
      </c>
      <c r="Q56" s="18" t="inlineStr">
        <is>
          <t>b5f46a88705f2cf938a6bd462a2cc457b35f2a2d</t>
        </is>
      </c>
      <c r="R56" s="18"/>
      <c r="S56" s="20">
        <f>IF(AND(ISNUMBER(L56),ISNUMBER(H56)),H56,"")</f>
      </c>
      <c r="T56" s="19">
        <f>IF(AND(ISNUMBER(L56),ISNUMBER(H56)),1,0)</f>
        <v>0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PENDING_KICKOFF_OR_FINAL_SCORE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PENDING_KICKOFF_OR_FINAL_SCORE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/>
      <c r="K59" s="18" t="inlineStr">
        <is>
          <t>PENDING_KICKOFF_OR_FINAL_SCORE</t>
        </is>
      </c>
      <c r="L59" s="18"/>
      <c r="M59" s="22" t="str">
        <f>IF(AND(ISNUMBER(L59),ISNUMBER(I59),I59&gt;1),'ROI Plan'!$B$5,"")</f>
        <v/>
      </c>
      <c r="N59" s="22" t="str">
        <f>IF(ISNUMBER(M59),M59*IF(K59="HALF_WON",(I59-1)/2-U59,IF(K59="HALF_LOST",-0.5-U59,IF(K59="REFUNDED",-U59,I59*L59-1-U59))),"")</f>
        <v/>
      </c>
      <c r="O59" s="21">
        <f>IF(AND(ISNUMBER(L59),ISNUMBER(H59)),(H59-L59)^2,"")</f>
      </c>
      <c r="P59" s="18" t="inlineStr">
        <is>
          <t>2026-W43</t>
        </is>
      </c>
      <c r="Q59" s="18" t="inlineStr">
        <is>
          <t>007f589ff28970f5c6dcc58af5d09a89aaf2fb4a</t>
        </is>
      </c>
      <c r="R59" s="18"/>
      <c r="S59" s="20">
        <f>IF(AND(ISNUMBER(L59),ISNUMBER(H59)),H59,"")</f>
      </c>
      <c r="T59" s="19">
        <f>IF(AND(ISNUMBER(L59),ISNUMBER(H59)),1,0)</f>
        <v>0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/>
      <c r="K60" s="18" t="inlineStr">
        <is>
          <t>PENDING_KICKOFF_OR_FINAL_SCORE</t>
        </is>
      </c>
      <c r="L60" s="18"/>
      <c r="M60" s="22" t="str">
        <f>IF(AND(ISNUMBER(L60),ISNUMBER(I60),I60&gt;1),'ROI Plan'!$B$5,"")</f>
        <v/>
      </c>
      <c r="N60" s="22" t="str">
        <f>IF(ISNUMBER(M60),M60*IF(K60="HALF_WON",(I60-1)/2-U60,IF(K60="HALF_LOST",-0.5-U60,IF(K60="REFUNDED",-U60,I60*L60-1-U60))),"")</f>
        <v/>
      </c>
      <c r="O60" s="21">
        <f>IF(AND(ISNUMBER(L60),ISNUMBER(H60)),(H60-L60)^2,"")</f>
      </c>
      <c r="P60" s="18" t="inlineStr">
        <is>
          <t>2026-W43</t>
        </is>
      </c>
      <c r="Q60" s="18" t="inlineStr">
        <is>
          <t>089cdbb10f80fa5c2ab9bdb1d45166e2fe2090bc</t>
        </is>
      </c>
      <c r="R60" s="18"/>
      <c r="S60" s="20">
        <f>IF(AND(ISNUMBER(L60),ISNUMBER(H60)),H60,"")</f>
      </c>
      <c r="T60" s="19">
        <f>IF(AND(ISNUMBER(L60),ISNUMBER(H60)),1,0)</f>
        <v>0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/>
      <c r="K61" s="18" t="inlineStr">
        <is>
          <t>PENDING_KICKOFF_OR_FINAL_SCORE</t>
        </is>
      </c>
      <c r="L61" s="18"/>
      <c r="M61" s="22" t="str">
        <f>IF(AND(ISNUMBER(L61),ISNUMBER(I61),I61&gt;1),'ROI Plan'!$B$5,"")</f>
        <v/>
      </c>
      <c r="N61" s="22" t="str">
        <f>IF(ISNUMBER(M61),M61*IF(K61="HALF_WON",(I61-1)/2-U61,IF(K61="HALF_LOST",-0.5-U61,IF(K61="REFUNDED",-U61,I61*L61-1-U61))),"")</f>
        <v/>
      </c>
      <c r="O61" s="21">
        <f>IF(AND(ISNUMBER(L61),ISNUMBER(H61)),(H61-L61)^2,"")</f>
      </c>
      <c r="P61" s="18" t="inlineStr">
        <is>
          <t>2026-W43</t>
        </is>
      </c>
      <c r="Q61" s="18" t="inlineStr">
        <is>
          <t>089cdbb10f80fa5c2ab9bdb1d45166e2fe2090bc</t>
        </is>
      </c>
      <c r="R61" s="18"/>
      <c r="S61" s="20">
        <f>IF(AND(ISNUMBER(L61),ISNUMBER(H61)),H61,"")</f>
      </c>
      <c r="T61" s="19">
        <f>IF(AND(ISNUMBER(L61),ISNUMBER(H61)),1,0)</f>
        <v>0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/>
      <c r="K62" s="18" t="inlineStr">
        <is>
          <t>PENDING_KICKOFF_OR_FINAL_SCORE</t>
        </is>
      </c>
      <c r="L62" s="18"/>
      <c r="M62" s="22" t="str">
        <f>IF(AND(ISNUMBER(L62),ISNUMBER(I62),I62&gt;1),'ROI Plan'!$B$5,"")</f>
        <v/>
      </c>
      <c r="N62" s="22" t="str">
        <f>IF(ISNUMBER(M62),M62*IF(K62="HALF_WON",(I62-1)/2-U62,IF(K62="HALF_LOST",-0.5-U62,IF(K62="REFUNDED",-U62,I62*L62-1-U62))),"")</f>
        <v/>
      </c>
      <c r="O62" s="21">
        <f>IF(AND(ISNUMBER(L62),ISNUMBER(H62)),(H62-L62)^2,"")</f>
      </c>
      <c r="P62" s="18" t="inlineStr">
        <is>
          <t>2026-W43</t>
        </is>
      </c>
      <c r="Q62" s="18" t="inlineStr">
        <is>
          <t>b5f46a88705f2cf938a6bd462a2cc457b35f2a2d</t>
        </is>
      </c>
      <c r="R62" s="18"/>
      <c r="S62" s="20">
        <f>IF(AND(ISNUMBER(L62),ISNUMBER(H62)),H62,"")</f>
      </c>
      <c r="T62" s="19">
        <f>IF(AND(ISNUMBER(L62),ISNUMBER(H62)),1,0)</f>
        <v>0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/>
      <c r="K63" s="18" t="inlineStr">
        <is>
          <t>PENDING_KICKOFF_OR_FINAL_SCORE</t>
        </is>
      </c>
      <c r="L63" s="18"/>
      <c r="M63" s="22" t="str">
        <f>IF(AND(ISNUMBER(L63),ISNUMBER(I63),I63&gt;1),'ROI Plan'!$B$5,"")</f>
        <v/>
      </c>
      <c r="N63" s="22" t="str">
        <f>IF(ISNUMBER(M63),M63*IF(K63="HALF_WON",(I63-1)/2-U63,IF(K63="HALF_LOST",-0.5-U63,IF(K63="REFUNDED",-U63,I63*L63-1-U63))),"")</f>
        <v/>
      </c>
      <c r="O63" s="21">
        <f>IF(AND(ISNUMBER(L63),ISNUMBER(H63)),(H63-L63)^2,"")</f>
      </c>
      <c r="P63" s="18" t="inlineStr">
        <is>
          <t>2026-W43</t>
        </is>
      </c>
      <c r="Q63" s="18" t="inlineStr">
        <is>
          <t>b5f46a88705f2cf938a6bd462a2cc457b35f2a2d</t>
        </is>
      </c>
      <c r="R63" s="18"/>
      <c r="S63" s="20">
        <f>IF(AND(ISNUMBER(L63),ISNUMBER(H63)),H63,"")</f>
      </c>
      <c r="T63" s="19">
        <f>IF(AND(ISNUMBER(L63),ISNUMBER(H63)),1,0)</f>
        <v>0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/>
      <c r="K64" s="18" t="inlineStr">
        <is>
          <t>PENDING_KICKOFF_OR_FINAL_SCORE</t>
        </is>
      </c>
      <c r="L64" s="18"/>
      <c r="M64" s="22" t="str">
        <f>IF(AND(ISNUMBER(L64),ISNUMBER(I64),I64&gt;1),'ROI Plan'!$B$5,"")</f>
        <v/>
      </c>
      <c r="N64" s="22" t="str">
        <f>IF(ISNUMBER(M64),M64*IF(K64="HALF_WON",(I64-1)/2-U64,IF(K64="HALF_LOST",-0.5-U64,IF(K64="REFUNDED",-U64,I64*L64-1-U64))),"")</f>
        <v/>
      </c>
      <c r="O64" s="21">
        <f>IF(AND(ISNUMBER(L64),ISNUMBER(H64)),(H64-L64)^2,"")</f>
      </c>
      <c r="P64" s="18" t="inlineStr">
        <is>
          <t>2026-W43</t>
        </is>
      </c>
      <c r="Q64" s="18" t="inlineStr">
        <is>
          <t>b5f46a88705f2cf938a6bd462a2cc457b35f2a2d</t>
        </is>
      </c>
      <c r="R64" s="18"/>
      <c r="S64" s="20">
        <f>IF(AND(ISNUMBER(L64),ISNUMBER(H64)),H64,"")</f>
      </c>
      <c r="T64" s="19">
        <f>IF(AND(ISNUMBER(L64),ISNUMBER(H64)),1,0)</f>
        <v>0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PENDING_KICKOFF_OR_FINAL_SCORE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PENDING_KICKOFF_OR_FINAL_SCORE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/>
      <c r="K67" s="18" t="inlineStr">
        <is>
          <t>PENDING_KICKOFF_OR_FINAL_SCORE</t>
        </is>
      </c>
      <c r="L67" s="18"/>
      <c r="M67" s="22" t="str">
        <f>IF(AND(ISNUMBER(L67),ISNUMBER(I67),I67&gt;1),'ROI Plan'!$B$5,"")</f>
        <v/>
      </c>
      <c r="N67" s="22" t="str">
        <f>IF(ISNUMBER(M67),M67*IF(K67="HALF_WON",(I67-1)/2-U67,IF(K67="HALF_LOST",-0.5-U67,IF(K67="REFUNDED",-U67,I67*L67-1-U67))),"")</f>
        <v/>
      </c>
      <c r="O67" s="21">
        <f>IF(AND(ISNUMBER(L67),ISNUMBER(H67)),(H67-L67)^2,"")</f>
      </c>
      <c r="P67" s="18" t="inlineStr">
        <is>
          <t>2026-W43</t>
        </is>
      </c>
      <c r="Q67" s="18" t="inlineStr">
        <is>
          <t>b5f46a88705f2cf938a6bd462a2cc457b35f2a2d</t>
        </is>
      </c>
      <c r="R67" s="18"/>
      <c r="S67" s="20">
        <f>IF(AND(ISNUMBER(L67),ISNUMBER(H67)),H67,"")</f>
      </c>
      <c r="T67" s="19">
        <f>IF(AND(ISNUMBER(L67),ISNUMBER(H67)),1,0)</f>
        <v>0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/>
      <c r="K68" s="18" t="inlineStr">
        <is>
          <t>PENDING_KICKOFF_OR_FINAL_SCORE</t>
        </is>
      </c>
      <c r="L68" s="18"/>
      <c r="M68" s="22" t="str">
        <f>IF(AND(ISNUMBER(L68),ISNUMBER(I68),I68&gt;1),'ROI Plan'!$B$5,"")</f>
        <v/>
      </c>
      <c r="N68" s="22" t="str">
        <f>IF(ISNUMBER(M68),M68*IF(K68="HALF_WON",(I68-1)/2-U68,IF(K68="HALF_LOST",-0.5-U68,IF(K68="REFUNDED",-U68,I68*L68-1-U68))),"")</f>
        <v/>
      </c>
      <c r="O68" s="21">
        <f>IF(AND(ISNUMBER(L68),ISNUMBER(H68)),(H68-L68)^2,"")</f>
      </c>
      <c r="P68" s="18" t="inlineStr">
        <is>
          <t>2026-W43</t>
        </is>
      </c>
      <c r="Q68" s="18" t="inlineStr">
        <is>
          <t>b5f46a88705f2cf938a6bd462a2cc457b35f2a2d</t>
        </is>
      </c>
      <c r="R68" s="18"/>
      <c r="S68" s="20">
        <f>IF(AND(ISNUMBER(L68),ISNUMBER(H68)),H68,"")</f>
      </c>
      <c r="T68" s="19">
        <f>IF(AND(ISNUMBER(L68),ISNUMBER(H68)),1,0)</f>
        <v>0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/>
      <c r="K69" s="18" t="inlineStr">
        <is>
          <t>PENDING_KICKOFF_OR_FINAL_SCORE</t>
        </is>
      </c>
      <c r="L69" s="18"/>
      <c r="M69" s="22" t="str">
        <f>IF(AND(ISNUMBER(L69),ISNUMBER(I69),I69&gt;1),'ROI Plan'!$B$5,"")</f>
        <v/>
      </c>
      <c r="N69" s="22" t="str">
        <f>IF(ISNUMBER(M69),M69*IF(K69="HALF_WON",(I69-1)/2-U69,IF(K69="HALF_LOST",-0.5-U69,IF(K69="REFUNDED",-U69,I69*L69-1-U69))),"")</f>
        <v/>
      </c>
      <c r="O69" s="21">
        <f>IF(AND(ISNUMBER(L69),ISNUMBER(H69)),(H69-L69)^2,"")</f>
      </c>
      <c r="P69" s="18" t="inlineStr">
        <is>
          <t>2026-W43</t>
        </is>
      </c>
      <c r="Q69" s="18" t="inlineStr">
        <is>
          <t>b5f46a88705f2cf938a6bd462a2cc457b35f2a2d</t>
        </is>
      </c>
      <c r="R69" s="18"/>
      <c r="S69" s="20">
        <f>IF(AND(ISNUMBER(L69),ISNUMBER(H69)),H69,"")</f>
      </c>
      <c r="T69" s="19">
        <f>IF(AND(ISNUMBER(L69),ISNUMBER(H69)),1,0)</f>
        <v>0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/>
      <c r="K70" s="18" t="inlineStr">
        <is>
          <t>PENDING_KICKOFF_OR_FINAL_SCORE</t>
        </is>
      </c>
      <c r="L70" s="18"/>
      <c r="M70" s="22" t="str">
        <f>IF(AND(ISNUMBER(L70),ISNUMBER(I70),I70&gt;1),'ROI Plan'!$B$5,"")</f>
        <v/>
      </c>
      <c r="N70" s="22" t="str">
        <f>IF(ISNUMBER(M70),M70*IF(K70="HALF_WON",(I70-1)/2-U70,IF(K70="HALF_LOST",-0.5-U70,IF(K70="REFUNDED",-U70,I70*L70-1-U70))),"")</f>
        <v/>
      </c>
      <c r="O70" s="21">
        <f>IF(AND(ISNUMBER(L70),ISNUMBER(H70)),(H70-L70)^2,"")</f>
      </c>
      <c r="P70" s="18" t="inlineStr">
        <is>
          <t>2026-W43</t>
        </is>
      </c>
      <c r="Q70" s="18" t="inlineStr">
        <is>
          <t>b5f46a88705f2cf938a6bd462a2cc457b35f2a2d</t>
        </is>
      </c>
      <c r="R70" s="18"/>
      <c r="S70" s="20">
        <f>IF(AND(ISNUMBER(L70),ISNUMBER(H70)),H70,"")</f>
      </c>
      <c r="T70" s="19">
        <f>IF(AND(ISNUMBER(L70),ISNUMBER(H70)),1,0)</f>
        <v>0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/>
      <c r="K71" s="18" t="inlineStr">
        <is>
          <t>PENDING_KICKOFF_OR_FINAL_SCORE</t>
        </is>
      </c>
      <c r="L71" s="18"/>
      <c r="M71" s="22" t="str">
        <f>IF(AND(ISNUMBER(L71),ISNUMBER(I71),I71&gt;1),'ROI Plan'!$B$5,"")</f>
        <v/>
      </c>
      <c r="N71" s="22" t="str">
        <f>IF(ISNUMBER(M71),M71*IF(K71="HALF_WON",(I71-1)/2-U71,IF(K71="HALF_LOST",-0.5-U71,IF(K71="REFUNDED",-U71,I71*L71-1-U71))),"")</f>
        <v/>
      </c>
      <c r="O71" s="21">
        <f>IF(AND(ISNUMBER(L71),ISNUMBER(H71)),(H71-L71)^2,"")</f>
      </c>
      <c r="P71" s="18" t="inlineStr">
        <is>
          <t>2026-W43</t>
        </is>
      </c>
      <c r="Q71" s="18" t="inlineStr">
        <is>
          <t>b5f46a88705f2cf938a6bd462a2cc457b35f2a2d</t>
        </is>
      </c>
      <c r="R71" s="18"/>
      <c r="S71" s="20">
        <f>IF(AND(ISNUMBER(L71),ISNUMBER(H71)),H71,"")</f>
      </c>
      <c r="T71" s="19">
        <f>IF(AND(ISNUMBER(L71),ISNUMBER(H71)),1,0)</f>
        <v>0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/>
      <c r="K72" s="18" t="inlineStr">
        <is>
          <t>PENDING_KICKOFF_OR_FINAL_SCORE</t>
        </is>
      </c>
      <c r="L72" s="18"/>
      <c r="M72" s="22" t="str">
        <f>IF(AND(ISNUMBER(L72),ISNUMBER(I72),I72&gt;1),'ROI Plan'!$B$5,"")</f>
        <v/>
      </c>
      <c r="N72" s="22" t="str">
        <f>IF(ISNUMBER(M72),M72*IF(K72="HALF_WON",(I72-1)/2-U72,IF(K72="HALF_LOST",-0.5-U72,IF(K72="REFUNDED",-U72,I72*L72-1-U72))),"")</f>
        <v/>
      </c>
      <c r="O72" s="21">
        <f>IF(AND(ISNUMBER(L72),ISNUMBER(H72)),(H72-L72)^2,"")</f>
      </c>
      <c r="P72" s="18" t="inlineStr">
        <is>
          <t>2026-W43</t>
        </is>
      </c>
      <c r="Q72" s="18" t="inlineStr">
        <is>
          <t>b5f46a88705f2cf938a6bd462a2cc457b35f2a2d</t>
        </is>
      </c>
      <c r="R72" s="18"/>
      <c r="S72" s="20">
        <f>IF(AND(ISNUMBER(L72),ISNUMBER(H72)),H72,"")</f>
      </c>
      <c r="T72" s="19">
        <f>IF(AND(ISNUMBER(L72),ISNUMBER(H72)),1,0)</f>
        <v>0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PENDING_KICKOFF_OR_FINAL_SCORE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/>
      <c r="K74" s="18" t="inlineStr">
        <is>
          <t>PENDING_KICKOFF_OR_FINAL_SCORE</t>
        </is>
      </c>
      <c r="L74" s="18"/>
      <c r="M74" s="22" t="str">
        <f>IF(AND(ISNUMBER(L74),ISNUMBER(I74),I74&gt;1),'ROI Plan'!$B$5,"")</f>
        <v/>
      </c>
      <c r="N74" s="22" t="str">
        <f>IF(ISNUMBER(M74),M74*IF(K74="HALF_WON",(I74-1)/2-U74,IF(K74="HALF_LOST",-0.5-U74,IF(K74="REFUNDED",-U74,I74*L74-1-U74))),"")</f>
        <v/>
      </c>
      <c r="O74" s="21">
        <f>IF(AND(ISNUMBER(L74),ISNUMBER(H74)),(H74-L74)^2,"")</f>
      </c>
      <c r="P74" s="18" t="inlineStr">
        <is>
          <t>2026-W43</t>
        </is>
      </c>
      <c r="Q74" s="18" t="inlineStr">
        <is>
          <t>b5f46a88705f2cf938a6bd462a2cc457b35f2a2d</t>
        </is>
      </c>
      <c r="R74" s="18"/>
      <c r="S74" s="20">
        <f>IF(AND(ISNUMBER(L74),ISNUMBER(H74)),H74,"")</f>
      </c>
      <c r="T74" s="19">
        <f>IF(AND(ISNUMBER(L74),ISNUMBER(H74)),1,0)</f>
        <v>0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/>
      <c r="K75" s="18" t="inlineStr">
        <is>
          <t>PENDING_KICKOFF_OR_FINAL_SCORE</t>
        </is>
      </c>
      <c r="L75" s="18"/>
      <c r="M75" s="22" t="str">
        <f>IF(AND(ISNUMBER(L75),ISNUMBER(I75),I75&gt;1),'ROI Plan'!$B$5,"")</f>
        <v/>
      </c>
      <c r="N75" s="22" t="str">
        <f>IF(ISNUMBER(M75),M75*IF(K75="HALF_WON",(I75-1)/2-U75,IF(K75="HALF_LOST",-0.5-U75,IF(K75="REFUNDED",-U75,I75*L75-1-U75))),"")</f>
        <v/>
      </c>
      <c r="O75" s="21">
        <f>IF(AND(ISNUMBER(L75),ISNUMBER(H75)),(H75-L75)^2,"")</f>
      </c>
      <c r="P75" s="18" t="inlineStr">
        <is>
          <t>2026-W43</t>
        </is>
      </c>
      <c r="Q75" s="18" t="inlineStr">
        <is>
          <t>b5f46a88705f2cf938a6bd462a2cc457b35f2a2d</t>
        </is>
      </c>
      <c r="R75" s="18"/>
      <c r="S75" s="20">
        <f>IF(AND(ISNUMBER(L75),ISNUMBER(H75)),H75,"")</f>
      </c>
      <c r="T75" s="19">
        <f>IF(AND(ISNUMBER(L75),ISNUMBER(H75)),1,0)</f>
        <v>0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Ligue 1|paris sg|lyon|2026-10-26</t>
        </is>
      </c>
      <c r="B76" s="23">
        <v>46321.8125</v>
      </c>
      <c r="C76" s="18" t="inlineStr">
        <is>
          <t>Ligue 1</t>
        </is>
      </c>
      <c r="D76" s="18" t="inlineStr">
        <is>
          <t>Paris Saint Germain vs Lyon</t>
        </is>
      </c>
      <c r="E76" s="18" t="inlineStr">
        <is>
          <t>Double Chance 12</t>
        </is>
      </c>
      <c r="F76" s="18" t="inlineStr">
        <is>
          <t>STRICT</t>
        </is>
      </c>
      <c r="G76" s="18" t="inlineStr">
        <is>
          <t>48h-two-per-market-group-probability-ev-corners-cards-v25</t>
        </is>
      </c>
      <c r="H76" s="20">
        <v>0.812255129717973</v>
      </c>
      <c r="I76" s="22">
        <v>1.17</v>
      </c>
      <c r="J76" s="18"/>
      <c r="K76" s="18" t="inlineStr">
        <is>
          <t>PENDING_KICKOFF_OR_FINAL_SCORE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b5f46a88705f2cf938a6bd462a2cc457b35f2a2d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2026-10-25T10:24:47.847996+00:00</t>
        </is>
      </c>
      <c r="W76" t="inlineStr" s="18">
        <is>
          <t>2026-10-25T10:25:17Z</t>
        </is>
      </c>
    </row>
  </sheetData>
  <mergeCells count="2">
    <mergeCell ref="B2:W2"/>
    <mergeCell ref="B4:W4"/>
  </mergeCells>
  <conditionalFormatting sqref="K6:K76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UNVERIFIED_FIXTURE_OR_RESULT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007f589ff28970f5c6dcc58af5d09a89aaf2fb4a</t>
        </is>
      </c>
      <c r="P168" s="18"/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9425e536c27cdb34914535517891f53a7af4191b</t>
        </is>
      </c>
      <c r="P175" s="18"/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9425e536c27cdb34914535517891f53a7af4191b</t>
        </is>
      </c>
      <c r="P176" s="18"/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007f589ff28970f5c6dcc58af5d09a89aaf2fb4a</t>
        </is>
      </c>
      <c r="P179" s="18"/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4613e5b8880d2d0ce751532e86eacc4600631a47</t>
        </is>
      </c>
      <c r="P184" s="18"/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2026-W43</t>
        </is>
      </c>
      <c r="O187" s="18" t="inlineStr">
        <is>
          <t>7a6c9d44b7c20308d3ed85270f7cabc2a98df58e</t>
        </is>
      </c>
      <c r="P187" s="18"/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2026-W43</t>
        </is>
      </c>
      <c r="O188" s="18" t="inlineStr">
        <is>
          <t>7a6c9d44b7c20308d3ed85270f7cabc2a98df58e</t>
        </is>
      </c>
      <c r="P188" s="18"/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2026-W43</t>
        </is>
      </c>
      <c r="O190" s="18" t="inlineStr">
        <is>
          <t>007f589ff28970f5c6dcc58af5d09a89aaf2fb4a</t>
        </is>
      </c>
      <c r="P190" s="18"/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2026-W43</t>
        </is>
      </c>
      <c r="O193" s="18" t="inlineStr">
        <is>
          <t>7a6c9d44b7c20308d3ed85270f7cabc2a98df58e</t>
        </is>
      </c>
      <c r="P193" s="18"/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2026-W43</t>
        </is>
      </c>
      <c r="O194" s="18" t="inlineStr">
        <is>
          <t>7a6c9d44b7c20308d3ed85270f7cabc2a98df58e</t>
        </is>
      </c>
      <c r="P194" s="18"/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2026-W43</t>
        </is>
      </c>
      <c r="O195" s="18" t="inlineStr">
        <is>
          <t>007f589ff28970f5c6dcc58af5d09a89aaf2fb4a</t>
        </is>
      </c>
      <c r="P195" s="18"/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7a6c9d44b7c20308d3ed85270f7cabc2a98df58e</t>
        </is>
      </c>
      <c r="P198" s="18"/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ca1e126489f9dedd7d4f5072a6bfa57835dec39c</t>
        </is>
      </c>
      <c r="P199" s="18"/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ca1e126489f9dedd7d4f5072a6bfa57835dec39c</t>
        </is>
      </c>
      <c r="P200" s="18"/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ca1e126489f9dedd7d4f5072a6bfa57835dec39c</t>
        </is>
      </c>
      <c r="P202" s="18"/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ca1e126489f9dedd7d4f5072a6bfa57835dec39c</t>
        </is>
      </c>
      <c r="P203" s="18"/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ca1e126489f9dedd7d4f5072a6bfa57835dec39c</t>
        </is>
      </c>
      <c r="P204" s="18"/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ca1e126489f9dedd7d4f5072a6bfa57835dec39c</t>
        </is>
      </c>
      <c r="P205" s="18"/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ca1e126489f9dedd7d4f5072a6bfa57835dec39c</t>
        </is>
      </c>
      <c r="P206" s="18"/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Ligue 1|le havre|paris sg|2026-10-30</t>
        </is>
      </c>
      <c r="B209" s="23">
        <v>46325.75</v>
      </c>
      <c r="C209" s="18" t="inlineStr">
        <is>
          <t>Ligue 1</t>
        </is>
      </c>
      <c r="D209" s="18" t="inlineStr">
        <is>
          <t>Le Havre vs Paris Saint Germain</t>
        </is>
      </c>
      <c r="E209" s="18" t="inlineStr">
        <is>
          <t>48h-top-twelve-probability-ev-no-under35-v15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4c569effb9e7261783c7d1cc1a5b93cb0f40d309</t>
        </is>
      </c>
      <c r="P209" s="18"/>
      <c r="Q209" s="18"/>
      <c r="R209" s="18"/>
    </row>
    <row r="210" ht="36" customHeight="1">
      <c r="A210" s="18" t="inlineStr">
        <is>
          <t>Bundesliga|elversberg|fsv mainz|2026-10-30</t>
        </is>
      </c>
      <c r="B210" s="23">
        <v>46325.8125</v>
      </c>
      <c r="C210" s="18" t="inlineStr">
        <is>
          <t>Bundesliga</t>
        </is>
      </c>
      <c r="D210" s="18" t="inlineStr">
        <is>
          <t>Elversberg vs FSV Mainz 05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La Liga|villarreal|espanyol|2026-10-30</t>
        </is>
      </c>
      <c r="B211" s="23">
        <v>46325.833333333336</v>
      </c>
      <c r="C211" s="18" t="inlineStr">
        <is>
          <t>La Liga</t>
        </is>
      </c>
      <c r="D211" s="18" t="inlineStr">
        <is>
          <t>Villarreal vs Espanyol</t>
        </is>
      </c>
      <c r="E211" s="18" t="inlineStr">
        <is>
          <t>48h-top-twelve-probability-ev-no-under35-v15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4c569effb9e7261783c7d1cc1a5b93cb0f40d309</t>
        </is>
      </c>
      <c r="P211" s="18"/>
      <c r="Q211" s="18"/>
      <c r="R211" s="18"/>
    </row>
    <row r="212" ht="36" customHeight="1">
      <c r="A212" s="18" t="inlineStr">
        <is>
          <t>Ligue 1|lille|rc lens|2026-10-30</t>
        </is>
      </c>
      <c r="B212" s="23">
        <v>46325.836805555555</v>
      </c>
      <c r="C212" s="18" t="inlineStr">
        <is>
          <t>Ligue 1</t>
        </is>
      </c>
      <c r="D212" s="18" t="inlineStr">
        <is>
          <t>Lille vs RC Lens</t>
        </is>
      </c>
      <c r="E212" s="18" t="inlineStr">
        <is>
          <t>48h-top-twelve-probability-ev-no-under35-v15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4c569effb9e7261783c7d1cc1a5b93cb0f40d309</t>
        </is>
      </c>
      <c r="P212" s="18"/>
      <c r="Q212" s="18"/>
      <c r="R212" s="18"/>
    </row>
    <row r="213" ht="36" customHeight="1">
      <c r="A213" s="18" t="inlineStr">
        <is>
          <t>Premier League|chelsea|man united|2026-10-31</t>
        </is>
      </c>
      <c r="B213" s="23">
        <v>46326.520833333336</v>
      </c>
      <c r="C213" s="18" t="inlineStr">
        <is>
          <t>Premier League</t>
        </is>
      </c>
      <c r="D213" s="18" t="inlineStr">
        <is>
          <t>Chelsea vs Manchester United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La Liga|levante|ath madrid|2026-10-31</t>
        </is>
      </c>
      <c r="B214" s="23">
        <v>46326.541666666664</v>
      </c>
      <c r="C214" s="18" t="inlineStr">
        <is>
          <t>La Liga</t>
        </is>
      </c>
      <c r="D214" s="18" t="inlineStr">
        <is>
          <t>Levante vs Atlético Madrid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Bundesliga|augsburg|freiburg|2026-10-31</t>
        </is>
      </c>
      <c r="B215" s="23">
        <v>46326.604166666664</v>
      </c>
      <c r="C215" s="18" t="inlineStr">
        <is>
          <t>Bundesliga</t>
        </is>
      </c>
      <c r="D215" s="18" t="inlineStr">
        <is>
          <t>Augsburg vs SC Freiburg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Bundesliga|bayer leverkusen|vfb stuttgart|2026-10-31</t>
        </is>
      </c>
      <c r="B216" s="23">
        <v>46326.604166666664</v>
      </c>
      <c r="C216" s="18" t="inlineStr">
        <is>
          <t>Bundesliga</t>
        </is>
      </c>
      <c r="D216" s="18" t="inlineStr">
        <is>
          <t>Bayer Leverkusen vs VfB Stuttgart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Bundesliga|m gladbach|paderborn|2026-10-31</t>
        </is>
      </c>
      <c r="B217" s="23">
        <v>46326.604166666664</v>
      </c>
      <c r="C217" s="18" t="inlineStr">
        <is>
          <t>Bundesliga</t>
        </is>
      </c>
      <c r="D217" s="18" t="inlineStr">
        <is>
          <t>Borussia Monchengladbach vs SC Paderborn</t>
        </is>
      </c>
      <c r="E217" s="18" t="inlineStr">
        <is>
          <t>48h-risk-band-ev1-asian-handicap-1x2-over15-v20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d737a7a239cba647c6a18877351a8ec1e81a6350</t>
        </is>
      </c>
      <c r="P217" s="18"/>
      <c r="Q217" s="18"/>
      <c r="R217" s="18"/>
    </row>
    <row r="218" ht="36" customHeight="1">
      <c r="A218" s="18" t="inlineStr">
        <is>
          <t>Bundesliga|schalke|rb leipzig|2026-10-31</t>
        </is>
      </c>
      <c r="B218" s="23">
        <v>46326.604166666664</v>
      </c>
      <c r="C218" s="18" t="inlineStr">
        <is>
          <t>Bundesliga</t>
        </is>
      </c>
      <c r="D218" s="18" t="inlineStr">
        <is>
          <t>FC Schalke 04 vs RB Leipzig</t>
        </is>
      </c>
      <c r="E218" s="18" t="inlineStr">
        <is>
          <t>48h-risk-band-ev1-asian-handicap-1x2-over15-v20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d737a7a239cba647c6a18877351a8ec1e81a6350</t>
        </is>
      </c>
      <c r="P218" s="18"/>
      <c r="Q218" s="18"/>
      <c r="R218" s="18"/>
    </row>
    <row r="219" ht="36" customHeight="1">
      <c r="A219" s="18" t="inlineStr">
        <is>
          <t>Bundesliga|werder bremen|tsg hoffenheim|2026-10-31</t>
        </is>
      </c>
      <c r="B219" s="23">
        <v>46326.604166666664</v>
      </c>
      <c r="C219" s="18" t="inlineStr">
        <is>
          <t>Bundesliga</t>
        </is>
      </c>
      <c r="D219" s="18" t="inlineStr">
        <is>
          <t>Werder Bremen vs TSG Hoffenheim</t>
        </is>
      </c>
      <c r="E219" s="18" t="inlineStr">
        <is>
          <t>48h-risk-band-ev1-asian-handicap-1x2-over15-v20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d737a7a239cba647c6a18877351a8ec1e81a6350</t>
        </is>
      </c>
      <c r="P219" s="18"/>
      <c r="Q219" s="18"/>
      <c r="R219" s="18"/>
    </row>
    <row r="220" ht="36" customHeight="1">
      <c r="A220" s="18" t="inlineStr">
        <is>
          <t>Premier League|bournemouth|leeds|2026-10-31</t>
        </is>
      </c>
      <c r="B220" s="23">
        <v>46326.625</v>
      </c>
      <c r="C220" s="18" t="inlineStr">
        <is>
          <t>Premier League</t>
        </is>
      </c>
      <c r="D220" s="18" t="inlineStr">
        <is>
          <t>Bournemouth vs Leeds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Premier League|brentford|nott m forest|2026-10-31</t>
        </is>
      </c>
      <c r="B221" s="23">
        <v>46326.625</v>
      </c>
      <c r="C221" s="18" t="inlineStr">
        <is>
          <t>Premier League</t>
        </is>
      </c>
      <c r="D221" s="18" t="inlineStr">
        <is>
          <t>Brentford vs Nottingham Forest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Premier League|coventry city|sunderland|2026-10-31</t>
        </is>
      </c>
      <c r="B222" s="23">
        <v>46326.625</v>
      </c>
      <c r="C222" s="18" t="inlineStr">
        <is>
          <t>Premier League</t>
        </is>
      </c>
      <c r="D222" s="18" t="inlineStr">
        <is>
          <t>Coventry City vs Sunderland</t>
        </is>
      </c>
      <c r="E222" s="18" t="inlineStr">
        <is>
          <t>48h-risk-band-ev1-asian-handicap-1x2-over15-v20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d737a7a239cba647c6a18877351a8ec1e81a6350</t>
        </is>
      </c>
      <c r="P222" s="18"/>
      <c r="Q222" s="18"/>
      <c r="R222" s="18"/>
    </row>
    <row r="223" ht="36" customHeight="1">
      <c r="A223" s="18" t="inlineStr">
        <is>
          <t>Premier League|hull city|ipswich town|2026-10-31</t>
        </is>
      </c>
      <c r="B223" s="23">
        <v>46326.625</v>
      </c>
      <c r="C223" s="18" t="inlineStr">
        <is>
          <t>Premier League</t>
        </is>
      </c>
      <c r="D223" s="18" t="inlineStr">
        <is>
          <t>Hull City vs Ipswich Town</t>
        </is>
      </c>
      <c r="E223" s="18" t="inlineStr">
        <is>
          <t>48h-risk-band-ev1-asian-handicap-1x2-over15-v20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d737a7a239cba647c6a18877351a8ec1e81a6350</t>
        </is>
      </c>
      <c r="P223" s="18"/>
      <c r="Q223" s="18"/>
      <c r="R223" s="18"/>
    </row>
    <row r="224" ht="36" customHeight="1">
      <c r="A224" s="18" t="inlineStr">
        <is>
          <t>Premier League|man city|brighton|2026-10-31</t>
        </is>
      </c>
      <c r="B224" s="23">
        <v>46326.625</v>
      </c>
      <c r="C224" s="18" t="inlineStr">
        <is>
          <t>Premier League</t>
        </is>
      </c>
      <c r="D224" s="18" t="inlineStr">
        <is>
          <t>Manchester City vs Brighton and Hove Albion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La Liga|rayo vallecano|celta vigo|2026-10-31</t>
        </is>
      </c>
      <c r="B225" s="23">
        <v>46326.635416666664</v>
      </c>
      <c r="C225" s="18" t="inlineStr">
        <is>
          <t>La Liga</t>
        </is>
      </c>
      <c r="D225" s="18" t="inlineStr">
        <is>
          <t>Rayo Vallecano vs Celta Vigo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Ligue 1|nice|rennes|2026-10-31</t>
        </is>
      </c>
      <c r="B226" s="23">
        <v>46326.677083333336</v>
      </c>
      <c r="C226" s="18" t="inlineStr">
        <is>
          <t>Ligue 1</t>
        </is>
      </c>
      <c r="D226" s="18" t="inlineStr">
        <is>
          <t>Nice vs Rennes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Bundesliga|bayern munich|borussia dortmund|2026-10-31</t>
        </is>
      </c>
      <c r="B227" s="23">
        <v>46326.729166666664</v>
      </c>
      <c r="C227" s="18" t="inlineStr">
        <is>
          <t>Bundesliga</t>
        </is>
      </c>
      <c r="D227" s="18" t="inlineStr">
        <is>
          <t>Bayern Munich vs Borussia Dortmund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betis|malaga|2026-10-31</t>
        </is>
      </c>
      <c r="B228" s="23">
        <v>46326.729166666664</v>
      </c>
      <c r="C228" s="18" t="inlineStr">
        <is>
          <t>La Liga</t>
        </is>
      </c>
      <c r="D228" s="18" t="inlineStr">
        <is>
          <t>Real Betis vs Málaga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0117b0e0fe09a0266deb28e532f2ad9e4f4da47a</t>
        </is>
      </c>
      <c r="P228" s="18"/>
      <c r="Q228" s="18"/>
      <c r="R228" s="18"/>
    </row>
    <row r="229" ht="36" customHeight="1">
      <c r="A229" s="18" t="inlineStr">
        <is>
          <t>Premier League|tottenham|crystal palace|2026-10-31</t>
        </is>
      </c>
      <c r="B229" s="23">
        <v>46326.729166666664</v>
      </c>
      <c r="C229" s="18" t="inlineStr">
        <is>
          <t>Premier League</t>
        </is>
      </c>
      <c r="D229" s="18" t="inlineStr">
        <is>
          <t>Tottenham Hotspur vs Crystal Palace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0117b0e0fe09a0266deb28e532f2ad9e4f4da47a</t>
        </is>
      </c>
      <c r="P229" s="18"/>
      <c r="Q229" s="18"/>
      <c r="R229" s="18"/>
    </row>
    <row r="230" ht="36" customHeight="1">
      <c r="A230" s="18" t="inlineStr">
        <is>
          <t>Ligue 1|lorient|brest|2026-10-31</t>
        </is>
      </c>
      <c r="B230" s="23">
        <v>46326.822916666664</v>
      </c>
      <c r="C230" s="18" t="inlineStr">
        <is>
          <t>Ligue 1</t>
        </is>
      </c>
      <c r="D230" s="18" t="inlineStr">
        <is>
          <t>Lorient vs Brest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0117b0e0fe09a0266deb28e532f2ad9e4f4da47a</t>
        </is>
      </c>
      <c r="P230" s="18"/>
      <c r="Q230" s="18"/>
      <c r="R230" s="18"/>
    </row>
    <row r="231" ht="36" customHeight="1">
      <c r="A231" s="18" t="inlineStr">
        <is>
          <t>Ligue 1|lyon|angers|2026-10-31</t>
        </is>
      </c>
      <c r="B231" s="23">
        <v>46326.822916666664</v>
      </c>
      <c r="C231" s="18" t="inlineStr">
        <is>
          <t>Ligue 1</t>
        </is>
      </c>
      <c r="D231" s="18" t="inlineStr">
        <is>
          <t>Lyon vs Angers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0117b0e0fe09a0266deb28e532f2ad9e4f4da47a</t>
        </is>
      </c>
      <c r="P231" s="18"/>
      <c r="Q231" s="18"/>
      <c r="R231" s="18"/>
    </row>
    <row r="232" ht="36" customHeight="1">
      <c r="A232" s="18" t="inlineStr">
        <is>
          <t>Ligue 1|troyes|le mans|2026-10-31</t>
        </is>
      </c>
      <c r="B232" s="23">
        <v>46326.822916666664</v>
      </c>
      <c r="C232" s="18" t="inlineStr">
        <is>
          <t>Ligue 1</t>
        </is>
      </c>
      <c r="D232" s="18" t="inlineStr">
        <is>
          <t>Troyes vs Le Mans FC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0117b0e0fe09a0266deb28e532f2ad9e4f4da47a</t>
        </is>
      </c>
      <c r="P232" s="18"/>
      <c r="Q232" s="18"/>
      <c r="R232" s="18"/>
    </row>
    <row r="233" ht="36" customHeight="1">
      <c r="A233" s="18" t="inlineStr">
        <is>
          <t>La Liga|barcelona|alaves|2026-10-31</t>
        </is>
      </c>
      <c r="B233" s="23">
        <v>46326.833333333336</v>
      </c>
      <c r="C233" s="18" t="inlineStr">
        <is>
          <t>La Liga</t>
        </is>
      </c>
      <c r="D233" s="18" t="inlineStr">
        <is>
          <t>Barcelona vs Alavés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0117b0e0fe09a0266deb28e532f2ad9e4f4da47a</t>
        </is>
      </c>
      <c r="P233" s="18"/>
      <c r="Q233" s="18"/>
      <c r="R233" s="18"/>
    </row>
    <row r="234" ht="36" customHeight="1">
      <c r="A234" s="18" t="inlineStr">
        <is>
          <t>Premier League|aston villa|fulham|2026-10-31</t>
        </is>
      </c>
      <c r="B234" s="23">
        <v>46326.833333333336</v>
      </c>
      <c r="C234" s="18" t="inlineStr">
        <is>
          <t>Premier League</t>
        </is>
      </c>
      <c r="D234" s="18" t="inlineStr">
        <is>
          <t>Aston Villa vs Fulham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0117b0e0fe09a0266deb28e532f2ad9e4f4da47a</t>
        </is>
      </c>
      <c r="P234" s="18"/>
      <c r="Q234" s="18"/>
      <c r="R234" s="18"/>
    </row>
    <row r="235" ht="36" customHeight="1">
      <c r="A235" s="18" t="inlineStr">
        <is>
          <t>La Liga|getafe|sevilla|2026-11-01</t>
        </is>
      </c>
      <c r="B235" s="23">
        <v>46327.541666666664</v>
      </c>
      <c r="C235" s="18" t="inlineStr">
        <is>
          <t>La Liga</t>
        </is>
      </c>
      <c r="D235" s="18" t="inlineStr">
        <is>
          <t>Getafe vs Sevilla</t>
        </is>
      </c>
      <c r="E235" s="18" t="inlineStr">
        <is>
          <t>48h-zero-tolerance-ev1-common-no-loss75-v22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0117b0e0fe09a0266deb28e532f2ad9e4f4da47a</t>
        </is>
      </c>
      <c r="P235" s="18"/>
      <c r="Q235" s="18"/>
      <c r="R235" s="18"/>
    </row>
    <row r="236" ht="36" customHeight="1">
      <c r="A236" s="18" t="inlineStr">
        <is>
          <t>Ligue 1|strasbourg|auxerre|2026-11-01</t>
        </is>
      </c>
      <c r="B236" s="23">
        <v>46327.583333333336</v>
      </c>
      <c r="C236" s="18" t="inlineStr">
        <is>
          <t>Ligue 1</t>
        </is>
      </c>
      <c r="D236" s="18" t="inlineStr">
        <is>
          <t>Strasbourg vs Auxerre</t>
        </is>
      </c>
      <c r="E236" s="18" t="inlineStr">
        <is>
          <t>48h-zero-tolerance-ev1-common-no-loss75-v22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0117b0e0fe09a0266deb28e532f2ad9e4f4da47a</t>
        </is>
      </c>
      <c r="P236" s="18"/>
      <c r="Q236" s="18"/>
      <c r="R236" s="18"/>
    </row>
    <row r="237" ht="36" customHeight="1">
      <c r="A237" s="18" t="inlineStr">
        <is>
          <t>Bundesliga|union berlin|1 koln|2026-11-01</t>
        </is>
      </c>
      <c r="B237" s="23">
        <v>46327.604166666664</v>
      </c>
      <c r="C237" s="18" t="inlineStr">
        <is>
          <t>Bundesliga</t>
        </is>
      </c>
      <c r="D237" s="18" t="inlineStr">
        <is>
          <t>Union Berlin vs 1. FC Köln</t>
        </is>
      </c>
      <c r="E237" s="18" t="inlineStr">
        <is>
          <t>48h-zero-tolerance-ev1-common-no-loss75-v22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0117b0e0fe09a0266deb28e532f2ad9e4f4da47a</t>
        </is>
      </c>
      <c r="P237" s="18"/>
      <c r="Q237" s="18"/>
      <c r="R237" s="18"/>
    </row>
    <row r="238" ht="36" customHeight="1">
      <c r="A238" s="18" t="inlineStr">
        <is>
          <t>La Liga|real racing santander|real madrid|2026-11-01</t>
        </is>
      </c>
      <c r="B238" s="23">
        <v>46327.635416666664</v>
      </c>
      <c r="C238" s="18" t="inlineStr">
        <is>
          <t>La Liga</t>
        </is>
      </c>
      <c r="D238" s="18" t="inlineStr">
        <is>
          <t>Real Racing Club de Santander vs Real Madrid</t>
        </is>
      </c>
      <c r="E238" s="18" t="inlineStr">
        <is>
          <t>48h-zero-tolerance-ev1-common-no-loss75-v22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10a7df008090a45923c14f3c84ec260b147ea047</t>
        </is>
      </c>
      <c r="P238" s="18"/>
      <c r="Q238" s="18"/>
      <c r="R238" s="18"/>
    </row>
    <row r="239" ht="36" customHeight="1">
      <c r="A239" s="18" t="inlineStr">
        <is>
          <t>Ligue 1|paris|as monaco|2026-11-01</t>
        </is>
      </c>
      <c r="B239" s="23">
        <v>46327.677083333336</v>
      </c>
      <c r="C239" s="18" t="inlineStr">
        <is>
          <t>Ligue 1</t>
        </is>
      </c>
      <c r="D239" s="18" t="inlineStr">
        <is>
          <t>Paris FC vs AS Monaco</t>
        </is>
      </c>
      <c r="E239" s="18" t="inlineStr">
        <is>
          <t>48h-zero-tolerance-ev1-common-no-loss75-v22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10a7df008090a45923c14f3c84ec260b147ea047</t>
        </is>
      </c>
      <c r="P239" s="18"/>
      <c r="Q239" s="18"/>
      <c r="R239" s="18"/>
    </row>
    <row r="240" ht="36" customHeight="1">
      <c r="A240" s="18" t="inlineStr">
        <is>
          <t>Bundesliga|eintracht frankfurt|hamburger|2026-11-01</t>
        </is>
      </c>
      <c r="B240" s="23">
        <v>46327.6875</v>
      </c>
      <c r="C240" s="18" t="inlineStr">
        <is>
          <t>Bundesliga</t>
        </is>
      </c>
      <c r="D240" s="18" t="inlineStr">
        <is>
          <t>Eintracht Frankfurt vs Hamburger SV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10a7df008090a45923c14f3c84ec260b147ea047</t>
        </is>
      </c>
      <c r="P240" s="18"/>
      <c r="Q240" s="18"/>
      <c r="R240" s="18"/>
    </row>
    <row r="241" ht="36" customHeight="1">
      <c r="A241" s="18" t="inlineStr">
        <is>
          <t>Premier League|liverpool|arsenal|2026-11-01</t>
        </is>
      </c>
      <c r="B241" s="23">
        <v>46327.6875</v>
      </c>
      <c r="C241" s="18" t="inlineStr">
        <is>
          <t>Premier League</t>
        </is>
      </c>
      <c r="D241" s="18" t="inlineStr">
        <is>
          <t>Liverpool vs Arsenal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10a7df008090a45923c14f3c84ec260b147ea047</t>
        </is>
      </c>
      <c r="P241" s="18"/>
      <c r="Q241" s="18"/>
      <c r="R241" s="18"/>
    </row>
    <row r="242" ht="36" customHeight="1">
      <c r="A242" s="18" t="inlineStr">
        <is>
          <t>La Liga|elche|valencia|2026-11-01</t>
        </is>
      </c>
      <c r="B242" s="23">
        <v>46327.729166666664</v>
      </c>
      <c r="C242" s="18" t="inlineStr">
        <is>
          <t>La Liga</t>
        </is>
      </c>
      <c r="D242" s="18" t="inlineStr">
        <is>
          <t>Elche CF vs Valencia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10a7df008090a45923c14f3c84ec260b147ea047</t>
        </is>
      </c>
      <c r="P242" s="18"/>
      <c r="Q242" s="18"/>
      <c r="R242" s="18"/>
    </row>
    <row r="243" ht="36" customHeight="1">
      <c r="A243" s="18" t="inlineStr">
        <is>
          <t>Ligue 1|marseille|toulouse|2026-11-01</t>
        </is>
      </c>
      <c r="B243" s="23">
        <v>46327.822916666664</v>
      </c>
      <c r="C243" s="18" t="inlineStr">
        <is>
          <t>Ligue 1</t>
        </is>
      </c>
      <c r="D243" s="18" t="inlineStr">
        <is>
          <t>Marseille vs Toulouse</t>
        </is>
      </c>
      <c r="E243" s="18" t="inlineStr">
        <is>
          <t>48h-zero-tolerance-ev1-common-no-loss75-v22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10a7df008090a45923c14f3c84ec260b147ea047</t>
        </is>
      </c>
      <c r="P243" s="18"/>
      <c r="Q243" s="18"/>
      <c r="R243" s="18"/>
    </row>
    <row r="244" ht="36" customHeight="1">
      <c r="A244" s="18" t="inlineStr">
        <is>
          <t>La Liga|ath bilbao|real sociedad|2026-11-01</t>
        </is>
      </c>
      <c r="B244" s="23">
        <v>46327.833333333336</v>
      </c>
      <c r="C244" s="18" t="inlineStr">
        <is>
          <t>La Liga</t>
        </is>
      </c>
      <c r="D244" s="18" t="inlineStr">
        <is>
          <t>Athletic Bilbao vs Real Sociedad</t>
        </is>
      </c>
      <c r="E244" s="18" t="inlineStr">
        <is>
          <t>48h-zero-tolerance-ev1-common-no-loss75-v22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10a7df008090a45923c14f3c84ec260b147ea047</t>
        </is>
      </c>
      <c r="P244" s="18"/>
      <c r="Q244" s="18"/>
      <c r="R24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71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12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16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46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12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16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214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63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0.9692307692307692</v>
      </c>
      <c r="H10" s="18" t="inlineStr">
        <is>
          <t>Approval review</t>
        </is>
      </c>
      <c r="I10" s="18" t="inlineStr">
        <is>
          <t>237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9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0.13846153846153847</v>
      </c>
      <c r="H11" s="18" t="inlineStr">
        <is>
          <t>Approval review</t>
        </is>
      </c>
      <c r="I11" s="18" t="inlineStr">
        <is>
          <t>291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63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0.9692307692307692</v>
      </c>
      <c r="H12" s="18" t="inlineStr">
        <is>
          <t>Approval review</t>
        </is>
      </c>
      <c r="I12" s="18" t="inlineStr">
        <is>
          <t>237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63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0.9692307692307692</v>
      </c>
      <c r="H13" s="18" t="inlineStr">
        <is>
          <t>Approval review</t>
        </is>
      </c>
      <c r="I13" s="18" t="inlineStr">
        <is>
          <t>237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Breakdowns!B45</f>
        <v>2026-W41</v>
      </c>
      <c r="B6" s="19">
        <f>Breakdowns!D45</f>
        <v>4.0</v>
      </c>
      <c r="C6" s="19">
        <f>COUNTIFS(Selections!$P$6:$P$76,A6,Selections!$M$6:$M$76,"&gt;0")</f>
        <v>4.0</v>
      </c>
      <c r="D6" s="22">
        <f>IF(C6=0,"n.a.",Breakdowns!J45)</f>
        <v>-1.48</v>
      </c>
      <c r="E6" s="22">
        <f>IF(SUM($C$6:C6)=0,"n.a.",SUM($D$6:D6))</f>
        <v>-1.48</v>
      </c>
      <c r="F6" s="20">
        <f>Breakdowns!H45</f>
        <v>0.5</v>
      </c>
    </row>
    <row r="7" ht="26" customHeight="1">
      <c r="A7" s="18" t="str">
        <f>Breakdowns!B46</f>
        <v>2026-W42</v>
      </c>
      <c r="B7" s="19">
        <f>Breakdowns!D46</f>
        <v>22.0</v>
      </c>
      <c r="C7" s="19">
        <f>COUNTIFS(Selections!$P$6:$P$76,A7,Selections!$M$6:$M$76,"&gt;0")</f>
        <v>22.0</v>
      </c>
      <c r="D7" s="22">
        <f>IF(C7=0,"n.a.",Breakdowns!J46)</f>
        <v>4.289999999999999</v>
      </c>
      <c r="E7" s="22">
        <f>IF(SUM($C$6:C7)=0,"n.a.",SUM($D$6:D7))</f>
        <v>2.809999999999999</v>
      </c>
      <c r="F7" s="20">
        <f>Breakdowns!H46</f>
        <v>0.8636363636363636</v>
      </c>
    </row>
    <row r="8" ht="26" customHeight="1">
      <c r="A8" s="18" t="str">
        <f>Breakdowns!B47</f>
        <v>2026-W43</v>
      </c>
      <c r="B8" s="19">
        <f>Breakdowns!D47</f>
        <v>19.0</v>
      </c>
      <c r="C8" s="19">
        <f>COUNTIFS(Selections!$P$6:$P$76,A8,Selections!$M$6:$M$76,"&gt;0")</f>
        <v>19.0</v>
      </c>
      <c r="D8" s="22">
        <f>IF(C8=0,"n.a.",Breakdowns!J47)</f>
        <v>-0.010000000000000397</v>
      </c>
      <c r="E8" s="22">
        <f>IF(SUM($C$6:C8)=0,"n.a.",SUM($D$6:D8))</f>
        <v>2.799999999999999</v>
      </c>
      <c r="F8" s="20">
        <f>Breakdowns!H47</f>
        <v>0.7368421052631579</v>
      </c>
    </row>
    <row r="9" ht="26" customHeight="1">
      <c r="A9" s="18" t="str">
        <f>Breakdowns!B48</f>
        <v>2026-W44</v>
      </c>
      <c r="B9" s="19">
        <f>Breakdowns!D48</f>
        <v>0.0</v>
      </c>
      <c r="C9" s="19">
        <f>COUNTIFS(Selections!$P$6:$P$76,A9,Selections!$M$6:$M$76,"&gt;0")</f>
        <v>0</v>
      </c>
      <c r="D9" s="22" t="str">
        <f>IF(C9=0,"n.a.",Breakdowns!J48)</f>
        <v>n.a.</v>
      </c>
      <c r="E9" s="22">
        <f>IF(SUM($C$6:C9)=0,"n.a.",SUM($D$6:D9))</f>
        <v>2.799999999999999</v>
      </c>
      <c r="F9" s="20" t="str">
        <f>Breakdowns!H48</f>
        <v>n.a.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71</v>
      </c>
      <c r="B8" s="19">
        <v>45</v>
      </c>
      <c r="C8" s="19">
        <v>35</v>
      </c>
      <c r="D8" s="19">
        <v>10</v>
      </c>
      <c r="E8" s="19">
        <v>26</v>
      </c>
      <c r="F8" s="20">
        <v>0.777778</v>
      </c>
      <c r="G8" s="20">
        <v>0.062222</v>
      </c>
      <c r="H8" s="19">
        <v>2.8</v>
      </c>
      <c r="I8" s="19">
        <v>43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6</v>
      </c>
      <c r="E49" s="19">
        <v>6</v>
      </c>
      <c r="F49" s="20">
        <v>1.0</v>
      </c>
      <c r="G49" s="20">
        <v>0.361667</v>
      </c>
      <c r="H49" s="19">
        <v>2.17</v>
      </c>
      <c r="I49" s="19">
        <v>4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0</v>
      </c>
      <c r="E50" s="19">
        <v>0</v>
      </c>
      <c r="F50" s="20"/>
      <c r="G50" s="20"/>
      <c r="H50" s="18"/>
      <c r="I50" s="19">
        <v>5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0</v>
      </c>
      <c r="E51" s="19">
        <v>0</v>
      </c>
      <c r="F51" s="20"/>
      <c r="G51" s="20"/>
      <c r="H51" s="18"/>
      <c r="I51" s="19">
        <v>10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0</v>
      </c>
      <c r="E52" s="19">
        <v>0</v>
      </c>
      <c r="F52" s="20"/>
      <c r="G52" s="20"/>
      <c r="H52" s="18"/>
      <c r="I52" s="19">
        <v>5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0</v>
      </c>
      <c r="E53" s="19">
        <v>0</v>
      </c>
      <c r="F53" s="20"/>
      <c r="G53" s="20"/>
      <c r="H53" s="18"/>
      <c r="I53" s="19">
        <v>10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0</v>
      </c>
      <c r="E54" s="19">
        <v>0</v>
      </c>
      <c r="F54" s="20"/>
      <c r="G54" s="20"/>
      <c r="H54" s="18"/>
      <c r="I54" s="19">
        <v>16</v>
      </c>
    </row>
    <row r="57">
      <c r="A57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7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2026-10-25T13:16:46.121388+00:00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2026-10-24</t>
        </is>
      </c>
      <c r="C9" s="19">
        <v>1593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2026-10-24</t>
        </is>
      </c>
      <c r="C10" s="19">
        <v>1975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2026-10-18</t>
        </is>
      </c>
      <c r="C11" s="19">
        <v>1611</v>
      </c>
      <c r="D11" s="19">
        <v>7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2026-10-24</t>
        </is>
      </c>
      <c r="C12" s="19">
        <v>1994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2026-10-24</t>
        </is>
      </c>
      <c r="C13" s="19">
        <v>1745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2026-10-19</t>
        </is>
      </c>
      <c r="C14" s="19">
        <v>1602</v>
      </c>
      <c r="D14" s="19">
        <v>6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2026-10-24</t>
        </is>
      </c>
      <c r="C15" s="19">
        <v>1975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UCL</t>
        </is>
      </c>
      <c r="B16" s="18" t="inlineStr">
        <is>
          <t>2026-10-21</t>
        </is>
      </c>
      <c r="C16" s="19">
        <v>557</v>
      </c>
      <c r="D16" s="19">
        <v>4</v>
      </c>
      <c r="E16" s="18" t="inlineStr">
        <is>
          <t>Current within provider schedule</t>
        </is>
      </c>
      <c r="F16" s="18" t="inlineStr">
        <is>
          <t>See source health report</t>
        </is>
      </c>
    </row>
    <row r="17" ht="44" customHeight="1">
      <c r="A17" s="18" t="inlineStr">
        <is>
          <t>UEL</t>
        </is>
      </c>
      <c r="B17" s="18" t="inlineStr">
        <is>
          <t>2026-10-22</t>
        </is>
      </c>
      <c r="C17" s="19">
        <v>714</v>
      </c>
      <c r="D17" s="19">
        <v>3</v>
      </c>
      <c r="E17" s="18" t="inlineStr">
        <is>
          <t>Verified within 24 hours</t>
        </is>
      </c>
      <c r="F17" s="18" t="inlineStr">
        <is>
          <t>See source health report</t>
        </is>
      </c>
    </row>
    <row r="20">
      <c r="A20" s="26" t="inlineStr">
        <is>
          <t>API-Football supplementary inputs</t>
        </is>
      </c>
    </row>
    <row r="21" ht="34" customHeight="1">
      <c r="A21" s="24" t="inlineStr">
        <is>
          <t>League</t>
        </is>
      </c>
      <c r="B21" s="24" t="inlineStr">
        <is>
          <t>Source status</t>
        </is>
      </c>
      <c r="C21" s="24" t="inlineStr">
        <is>
          <t>Confirmed results</t>
        </is>
      </c>
      <c r="D21" s="24" t="inlineStr">
        <is>
          <t>Added results</t>
        </is>
      </c>
      <c r="E21" s="24" t="inlineStr">
        <is>
          <t>Conflicts held</t>
        </is>
      </c>
      <c r="F21" s="24" t="inlineStr">
        <is>
          <t>Stats observations</t>
        </is>
      </c>
    </row>
    <row r="22" ht="44" customHeight="1">
      <c r="A22" s="18" t="inlineStr">
        <is>
          <t>Bundesliga</t>
        </is>
      </c>
      <c r="B22" s="18" t="inlineStr">
        <is>
          <t>AVAILABLE</t>
        </is>
      </c>
      <c r="C22" s="19">
        <v>254</v>
      </c>
      <c r="D22" s="19">
        <v>2</v>
      </c>
      <c r="E22" s="19">
        <v>0</v>
      </c>
      <c r="F22" s="19">
        <v>33</v>
      </c>
    </row>
    <row r="23" ht="44" customHeight="1">
      <c r="A23" s="18" t="inlineStr">
        <is>
          <t>EPL</t>
        </is>
      </c>
      <c r="B23" s="18" t="inlineStr">
        <is>
          <t>AVAILABLE</t>
        </is>
      </c>
      <c r="C23" s="19">
        <v>1102</v>
      </c>
      <c r="D23" s="19">
        <v>0</v>
      </c>
      <c r="E23" s="19">
        <v>0</v>
      </c>
      <c r="F23" s="19">
        <v>101</v>
      </c>
    </row>
    <row r="24" ht="44" customHeight="1">
      <c r="A24" s="18" t="inlineStr">
        <is>
          <t>Eredivisie</t>
        </is>
      </c>
      <c r="B24" s="18" t="inlineStr">
        <is>
          <t>NOT_COLLECTED</t>
        </is>
      </c>
      <c r="C24" s="18"/>
      <c r="D24" s="18"/>
      <c r="E24" s="18"/>
      <c r="F24" s="18"/>
    </row>
    <row r="25" ht="44" customHeight="1">
      <c r="A25" s="18" t="inlineStr">
        <is>
          <t>LaLiga</t>
        </is>
      </c>
      <c r="B25" s="18" t="inlineStr">
        <is>
          <t>AVAILABLE</t>
        </is>
      </c>
      <c r="C25" s="19">
        <v>574</v>
      </c>
      <c r="D25" s="19">
        <v>0</v>
      </c>
      <c r="E25" s="19">
        <v>0</v>
      </c>
      <c r="F25" s="19">
        <v>54</v>
      </c>
    </row>
    <row r="26" ht="44" customHeight="1">
      <c r="A26" s="18" t="inlineStr">
        <is>
          <t>Ligue1</t>
        </is>
      </c>
      <c r="B26" s="18" t="inlineStr">
        <is>
          <t>AVAILABLE</t>
        </is>
      </c>
      <c r="C26" s="19">
        <v>752</v>
      </c>
      <c r="D26" s="19">
        <v>2</v>
      </c>
      <c r="E26" s="19">
        <v>0</v>
      </c>
      <c r="F26" s="19">
        <v>66</v>
      </c>
    </row>
    <row r="27" ht="44" customHeight="1">
      <c r="A27" s="18" t="inlineStr">
        <is>
          <t>PrimeiraLiga</t>
        </is>
      </c>
      <c r="B27" s="18" t="inlineStr">
        <is>
          <t>NOT_COLLECTED</t>
        </is>
      </c>
      <c r="C27" s="18"/>
      <c r="D27" s="18"/>
      <c r="E27" s="18"/>
      <c r="F27" s="18"/>
    </row>
    <row r="28" ht="44" customHeight="1">
      <c r="A28" s="18" t="inlineStr">
        <is>
          <t>SerieA</t>
        </is>
      </c>
      <c r="B28" s="18" t="inlineStr">
        <is>
          <t>AVAILABLE</t>
        </is>
      </c>
      <c r="C28" s="19">
        <v>918</v>
      </c>
      <c r="D28" s="19">
        <v>0</v>
      </c>
      <c r="E28" s="19">
        <v>0</v>
      </c>
      <c r="F28" s="19">
        <v>83</v>
      </c>
    </row>
    <row r="29" ht="44" customHeight="1">
      <c r="A29" s="18" t="inlineStr">
        <is>
          <t>UCL</t>
        </is>
      </c>
      <c r="B29" s="18" t="inlineStr">
        <is>
          <t>AVAILABLE</t>
        </is>
      </c>
      <c r="C29" s="19">
        <v>139</v>
      </c>
      <c r="D29" s="19">
        <v>0</v>
      </c>
      <c r="E29" s="19">
        <v>1</v>
      </c>
      <c r="F29" s="19">
        <v>16</v>
      </c>
    </row>
    <row r="30" ht="44" customHeight="1">
      <c r="A30" s="18" t="inlineStr">
        <is>
          <t>UEL</t>
        </is>
      </c>
      <c r="B30" s="18" t="inlineStr">
        <is>
          <t>NOT_COLLECTED</t>
        </is>
      </c>
      <c r="C30" s="18"/>
      <c r="D30" s="18"/>
      <c r="E30" s="18"/>
      <c r="F30" s="18"/>
    </row>
    <row r="33">
      <c r="A33" s="26" t="inlineStr">
        <is>
          <t>Near-close quote coverage</t>
        </is>
      </c>
    </row>
    <row r="34" ht="34" customHeight="1">
      <c r="A34" s="24" t="inlineStr">
        <is>
          <t>Bookmaker</t>
        </is>
      </c>
      <c r="B34" s="24" t="inlineStr">
        <is>
          <t>Covered selections</t>
        </is>
      </c>
      <c r="C34" s="24" t="inlineStr">
        <is>
          <t>Missing selections</t>
        </is>
      </c>
      <c r="D34" s="24" t="inlineStr">
        <is>
          <t>Pending selections</t>
        </is>
      </c>
      <c r="E34" s="24" t="inlineStr">
        <is>
          <t>Mean fair-close EV</t>
        </is>
      </c>
      <c r="F34" s="24" t="inlineStr">
        <is>
          <t>Same-book offer CLV</t>
        </is>
      </c>
    </row>
    <row r="35" ht="44" customHeight="1">
      <c r="A35" s="18" t="inlineStr">
        <is>
          <t>1xbet</t>
        </is>
      </c>
      <c r="B35" s="19">
        <v>26</v>
      </c>
      <c r="C35" s="19">
        <v>26</v>
      </c>
      <c r="D35" s="19">
        <v>19</v>
      </c>
      <c r="E35" s="20">
        <v>-0.03771087941688432</v>
      </c>
      <c r="F35" s="20">
        <v>0.009153547906679346</v>
      </c>
    </row>
    <row r="36" ht="44" customHeight="1">
      <c r="A36" s="18" t="inlineStr">
        <is>
          <t>bet365</t>
        </is>
      </c>
      <c r="B36" s="19">
        <v>0</v>
      </c>
      <c r="C36" s="19">
        <v>52</v>
      </c>
      <c r="D36" s="19">
        <v>19</v>
      </c>
      <c r="E36" s="20" t="inlineStr">
        <is>
          <t>Unavailable</t>
        </is>
      </c>
      <c r="F36" s="20" t="inlineStr">
        <is>
          <t>Unavailable</t>
        </is>
      </c>
    </row>
    <row r="37" ht="44" customHeight="1">
      <c r="A37" s="18" t="inlineStr">
        <is>
          <t>pinnacle</t>
        </is>
      </c>
      <c r="B37" s="19">
        <v>34</v>
      </c>
      <c r="C37" s="19">
        <v>18</v>
      </c>
      <c r="D37" s="19">
        <v>19</v>
      </c>
      <c r="E37" s="20">
        <v>-0.03841854517117613</v>
      </c>
      <c r="F37" s="20">
        <v>0.012462583404922789</v>
      </c>
    </row>
    <row r="40">
      <c r="A40" s="27" t="inlineStr">
        <is>
          <t>Near-close quotes: latest selections. Observed quotes are not guaranteed official closes; accepted execution is unverified.</t>
        </is>
      </c>
    </row>
    <row r="42">
      <c r="A42" s="26" t="inlineStr">
        <is>
          <t>Latest shortlist quote audit</t>
        </is>
      </c>
    </row>
    <row r="43" ht="34" customHeight="1">
      <c r="A43" s="24" t="inlineStr">
        <is>
          <t>Check</t>
        </is>
      </c>
      <c r="B43" s="24" t="inlineStr">
        <is>
          <t>Recorded value</t>
        </is>
      </c>
    </row>
    <row r="44" ht="44" customHeight="1">
      <c r="A44" s="18" t="inlineStr">
        <is>
          <t>Selected quotes</t>
        </is>
      </c>
      <c r="B44" s="19">
        <v>16</v>
      </c>
    </row>
    <row r="45" ht="44" customHeight="1">
      <c r="A45" s="18" t="inlineStr">
        <is>
          <t>Exchange quotes</t>
        </is>
      </c>
      <c r="B45" s="19">
        <v>0</v>
      </c>
    </row>
    <row r="46" ht="44" customHeight="1">
      <c r="A46" s="18" t="inlineStr">
        <is>
          <t>Missing quote age</t>
        </is>
      </c>
      <c r="B46" s="19">
        <v>0</v>
      </c>
    </row>
    <row r="47" ht="44" customHeight="1">
      <c r="A47" s="18" t="inlineStr">
        <is>
          <t>Quote age over 24h</t>
        </is>
      </c>
      <c r="B47" s="19">
        <v>0</v>
      </c>
    </row>
    <row r="48" ht="44" customHeight="1">
      <c r="A48" s="18" t="inlineStr">
        <is>
          <t>Costs recorded</t>
        </is>
      </c>
      <c r="B48" s="19">
        <v>16</v>
      </c>
    </row>
    <row r="49" ht="44" customHeight="1">
      <c r="A49" s="18" t="inlineStr">
        <is>
          <t>Bookmakers: Pinnacle</t>
        </is>
      </c>
      <c r="B49" s="19">
        <v>16</v>
      </c>
    </row>
    <row r="50" ht="44" customHeight="1">
      <c r="A50" s="18" t="inlineStr">
        <is>
          <t>Account availability</t>
        </is>
      </c>
      <c r="B50" s="18" t="inlineStr">
        <is>
          <t>Not verified with bookmaker accounts</t>
        </is>
      </c>
    </row>
    <row r="51" ht="44" customHeight="1">
      <c r="A51" s="18" t="inlineStr">
        <is>
          <t>Past kickoff count</t>
        </is>
      </c>
      <c r="B51" s="19">
        <v>1</v>
      </c>
    </row>
    <row r="52" ht="44" customHeight="1">
      <c r="A52" s="18" t="inlineStr">
        <is>
          <t>Upcoming kickoff count</t>
        </is>
      </c>
      <c r="B52" s="19">
        <v>15</v>
      </c>
    </row>
    <row r="53" ht="44" customHeight="1">
      <c r="A53" s="18" t="inlineStr">
        <is>
          <t>Unknown kickoff count</t>
        </is>
      </c>
      <c r="B53" s="19">
        <v>0</v>
      </c>
    </row>
    <row r="56">
      <c r="A56" s="26" t="inlineStr">
        <is>
          <t>Forecast capture coverage</t>
        </is>
      </c>
    </row>
    <row r="57" ht="34" customHeight="1">
      <c r="A57" s="24" t="inlineStr">
        <is>
          <t>Experiment</t>
        </is>
      </c>
      <c r="B57" s="24" t="inlineStr">
        <is>
          <t>Capture state</t>
        </is>
      </c>
      <c r="C57" s="24" t="inlineStr">
        <is>
          <t>Snapshot count</t>
        </is>
      </c>
    </row>
    <row r="58" ht="44" customHeight="1">
      <c r="A58" s="18" t="inlineStr">
        <is>
          <t>Goal-market blend</t>
        </is>
      </c>
      <c r="B58" s="18" t="inlineStr">
        <is>
          <t>Captured</t>
        </is>
      </c>
      <c r="C58" s="19">
        <v>37</v>
      </c>
    </row>
    <row r="59" ht="44" customHeight="1">
      <c r="A59" s="18" t="inlineStr">
        <is>
          <t>Goal-market blend</t>
        </is>
      </c>
      <c r="B59" s="18" t="inlineStr">
        <is>
          <t>Legacy not recorded</t>
        </is>
      </c>
      <c r="C59" s="19">
        <v>14</v>
      </c>
    </row>
    <row r="60" ht="44" customHeight="1">
      <c r="A60" s="18" t="inlineStr">
        <is>
          <t>Market-led forecasts</t>
        </is>
      </c>
      <c r="B60" s="18" t="inlineStr">
        <is>
          <t>Captured</t>
        </is>
      </c>
      <c r="C60" s="19">
        <v>37</v>
      </c>
    </row>
    <row r="61" ht="44" customHeight="1">
      <c r="A61" s="18" t="inlineStr">
        <is>
          <t>Market-led forecasts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Recency comparison</t>
        </is>
      </c>
      <c r="B62" s="18" t="inlineStr">
        <is>
          <t>Captured</t>
        </is>
      </c>
      <c r="C62" s="19">
        <v>33</v>
      </c>
    </row>
    <row r="63" ht="44" customHeight="1">
      <c r="A63" s="18" t="inlineStr">
        <is>
          <t>Recency comparison</t>
        </is>
      </c>
      <c r="B63" s="18" t="inlineStr">
        <is>
          <t>Legacy not recorded</t>
        </is>
      </c>
      <c r="C63" s="19">
        <v>18</v>
      </c>
    </row>
    <row r="64" ht="44" customHeight="1">
      <c r="A64" s="18" t="inlineStr">
        <is>
          <t>EV filter sensitivity</t>
        </is>
      </c>
      <c r="B64" s="18" t="inlineStr">
        <is>
          <t>Captured</t>
        </is>
      </c>
      <c r="C64" s="19">
        <v>23</v>
      </c>
    </row>
    <row r="65" ht="44" customHeight="1">
      <c r="A65" s="18" t="inlineStr">
        <is>
          <t>EV filter sensitivity</t>
        </is>
      </c>
      <c r="B65" s="18" t="inlineStr">
        <is>
          <t>Legacy not recorded</t>
        </is>
      </c>
      <c r="C65" s="19">
        <v>19</v>
      </c>
    </row>
    <row r="66" ht="44" customHeight="1">
      <c r="A66" s="18" t="inlineStr">
        <is>
          <t>EV filter sensitivity</t>
        </is>
      </c>
      <c r="B66" s="18" t="inlineStr">
        <is>
          <t>Not generated</t>
        </is>
      </c>
      <c r="C66" s="19">
        <v>9</v>
      </c>
    </row>
    <row r="67" ht="44" customHeight="1">
      <c r="A67" s="18" t="inlineStr">
        <is>
          <t>85% market weight</t>
        </is>
      </c>
      <c r="B67" s="18" t="inlineStr">
        <is>
          <t>Captured</t>
        </is>
      </c>
      <c r="C67" s="19">
        <v>30</v>
      </c>
    </row>
    <row r="68" ht="44" customHeight="1">
      <c r="A68" s="18" t="inlineStr">
        <is>
          <t>85% market weight</t>
        </is>
      </c>
      <c r="B68" s="18" t="inlineStr">
        <is>
          <t>Legacy not recorded</t>
        </is>
      </c>
      <c r="C68" s="19">
        <v>20</v>
      </c>
    </row>
    <row r="69" ht="44" customHeight="1">
      <c r="A69" s="18" t="inlineStr">
        <is>
          <t>85% market weight</t>
        </is>
      </c>
      <c r="B69" s="18" t="inlineStr">
        <is>
          <t>Present but rejected</t>
        </is>
      </c>
      <c r="C69" s="19">
        <v>1</v>
      </c>
    </row>
    <row r="70" ht="44" customHeight="1">
      <c r="A70" s="18" t="inlineStr">
        <is>
          <t>Pinnacle totals anchor</t>
        </is>
      </c>
      <c r="B70" s="18" t="inlineStr">
        <is>
          <t>Captured</t>
        </is>
      </c>
      <c r="C70" s="19">
        <v>30</v>
      </c>
    </row>
    <row r="71" ht="44" customHeight="1">
      <c r="A71" s="18" t="inlineStr">
        <is>
          <t>Pinnacle totals anchor</t>
        </is>
      </c>
      <c r="B71" s="18" t="inlineStr">
        <is>
          <t>Legacy not recorded</t>
        </is>
      </c>
      <c r="C71" s="19">
        <v>21</v>
      </c>
    </row>
    <row r="72" ht="44" customHeight="1">
      <c r="A72" s="18" t="inlineStr">
        <is>
          <t>Stronger regularisation (L2=3)</t>
        </is>
      </c>
      <c r="B72" s="18" t="inlineStr">
        <is>
          <t>Legacy not recorded</t>
        </is>
      </c>
      <c r="C72" s="19">
        <v>51</v>
      </c>
    </row>
    <row r="73" ht="44" customHeight="1">
      <c r="A73" s="18" t="inlineStr">
        <is>
          <t>Fixed half-life (480 days)</t>
        </is>
      </c>
      <c r="B73" s="18" t="inlineStr">
        <is>
          <t>Legacy not recorded</t>
        </is>
      </c>
      <c r="C73" s="19">
        <v>51</v>
      </c>
    </row>
    <row r="74" ht="44" customHeight="1">
      <c r="A74" s="18" t="inlineStr">
        <is>
          <t>Probability / calibration policy</t>
        </is>
      </c>
      <c r="B74" s="18" t="inlineStr">
        <is>
          <t>Captured</t>
        </is>
      </c>
      <c r="C74" s="19">
        <v>15</v>
      </c>
    </row>
    <row r="75" ht="44" customHeight="1">
      <c r="A75" s="18" t="inlineStr">
        <is>
          <t>Probability / calibration policy</t>
        </is>
      </c>
      <c r="B75" s="18" t="inlineStr">
        <is>
          <t>Legacy not recorded</t>
        </is>
      </c>
      <c r="C75" s="19">
        <v>26</v>
      </c>
    </row>
    <row r="76" ht="44" customHeight="1">
      <c r="A76" s="18" t="inlineStr">
        <is>
          <t>Probability / calibration policy</t>
        </is>
      </c>
      <c r="B76" s="18" t="inlineStr">
        <is>
          <t>Not generated</t>
        </is>
      </c>
      <c r="C76" s="19">
        <v>9</v>
      </c>
    </row>
    <row r="77" ht="44" customHeight="1">
      <c r="A77" s="18" t="inlineStr">
        <is>
          <t>Probability / calibration policy</t>
        </is>
      </c>
      <c r="B77" s="18" t="inlineStr">
        <is>
          <t>Present but rejected</t>
        </is>
      </c>
      <c r="C77" s="19">
        <v>1</v>
      </c>
    </row>
    <row r="78" ht="44" customHeight="1">
      <c r="A78" s="18" t="inlineStr">
        <is>
          <t>Shortlist probability / EV weights</t>
        </is>
      </c>
      <c r="B78" s="18" t="inlineStr">
        <is>
          <t>Captured</t>
        </is>
      </c>
      <c r="C78" s="19">
        <v>7</v>
      </c>
    </row>
    <row r="79" ht="44" customHeight="1">
      <c r="A79" s="18" t="inlineStr">
        <is>
          <t>Shortlist probability / EV weights</t>
        </is>
      </c>
      <c r="B79" s="18" t="inlineStr">
        <is>
          <t>Legacy not recorded</t>
        </is>
      </c>
      <c r="C79" s="19">
        <v>35</v>
      </c>
    </row>
    <row r="80" ht="44" customHeight="1">
      <c r="A80" s="18" t="inlineStr">
        <is>
          <t>Shortlist probability / EV weights</t>
        </is>
      </c>
      <c r="B80" s="18" t="inlineStr">
        <is>
          <t>Not generated</t>
        </is>
      </c>
      <c r="C80" s="19">
        <v>9</v>
      </c>
    </row>
    <row r="83">
      <c r="A83" s="26" t="inlineStr">
        <is>
          <t>EV sensitivity results</t>
        </is>
      </c>
    </row>
    <row r="84" ht="34" customHeight="1">
      <c r="A84" s="24" t="inlineStr">
        <is>
          <t>EV floor</t>
        </is>
      </c>
      <c r="B84" s="24" t="inlineStr">
        <is>
          <t>Tier</t>
        </is>
      </c>
      <c r="C84" s="24" t="inlineStr">
        <is>
          <t>Selected</t>
        </is>
      </c>
      <c r="D84" s="24" t="inlineStr">
        <is>
          <t>Settled</t>
        </is>
      </c>
      <c r="E84" s="24" t="inlineStr">
        <is>
          <t>Simulated ROI</t>
        </is>
      </c>
      <c r="F84" s="24" t="inlineStr">
        <is>
          <t>Drawdown (units)</t>
        </is>
      </c>
    </row>
    <row r="85" ht="44" customHeight="1">
      <c r="A85" s="20">
        <v>0.015</v>
      </c>
      <c r="B85" s="18" t="inlineStr">
        <is>
          <t>ALL</t>
        </is>
      </c>
      <c r="C85" s="19">
        <v>9</v>
      </c>
      <c r="D85" s="19">
        <v>8</v>
      </c>
      <c r="E85" s="20">
        <v>0.1725</v>
      </c>
      <c r="F85" s="22">
        <v>1.0</v>
      </c>
    </row>
    <row r="86" ht="44" customHeight="1">
      <c r="A86" s="20">
        <v>0.015</v>
      </c>
      <c r="B86" s="18" t="inlineStr">
        <is>
          <t>STRICT</t>
        </is>
      </c>
      <c r="C86" s="19">
        <v>7</v>
      </c>
      <c r="D86" s="19">
        <v>6</v>
      </c>
      <c r="E86" s="20">
        <v>0.09833333333333331</v>
      </c>
      <c r="F86" s="22">
        <v>1.0</v>
      </c>
    </row>
    <row r="87" ht="44" customHeight="1">
      <c r="A87" s="20">
        <v>0.015</v>
      </c>
      <c r="B87" s="18" t="inlineStr">
        <is>
          <t>PROVISIONAL</t>
        </is>
      </c>
      <c r="C87" s="19">
        <v>2</v>
      </c>
      <c r="D87" s="19">
        <v>2</v>
      </c>
      <c r="E87" s="20">
        <v>0.395</v>
      </c>
      <c r="F87" s="22">
        <v>0.0</v>
      </c>
    </row>
    <row r="88" ht="44" customHeight="1">
      <c r="A88" s="20">
        <v>0.03</v>
      </c>
      <c r="B88" s="18" t="inlineStr">
        <is>
          <t>ALL</t>
        </is>
      </c>
      <c r="C88" s="19">
        <v>8</v>
      </c>
      <c r="D88" s="19">
        <v>7</v>
      </c>
      <c r="E88" s="20">
        <v>0.16285714285714284</v>
      </c>
      <c r="F88" s="22">
        <v>1.0</v>
      </c>
    </row>
    <row r="89" ht="44" customHeight="1">
      <c r="A89" s="20">
        <v>0.03</v>
      </c>
      <c r="B89" s="18" t="inlineStr">
        <is>
          <t>STRICT</t>
        </is>
      </c>
      <c r="C89" s="19">
        <v>6</v>
      </c>
      <c r="D89" s="19">
        <v>5</v>
      </c>
      <c r="E89" s="20">
        <v>0.06999999999999998</v>
      </c>
      <c r="F89" s="22">
        <v>1.0</v>
      </c>
    </row>
    <row r="90" ht="44" customHeight="1">
      <c r="A90" s="20">
        <v>0.03</v>
      </c>
      <c r="B90" s="18" t="inlineStr">
        <is>
          <t>PROVISIONAL</t>
        </is>
      </c>
      <c r="C90" s="19">
        <v>2</v>
      </c>
      <c r="D90" s="19">
        <v>2</v>
      </c>
      <c r="E90" s="20">
        <v>0.395</v>
      </c>
      <c r="F90" s="22">
        <v>0.0</v>
      </c>
    </row>
    <row r="91" ht="44" customHeight="1">
      <c r="A91" s="20">
        <v>0.05</v>
      </c>
      <c r="B91" s="18" t="inlineStr">
        <is>
          <t>ALL</t>
        </is>
      </c>
      <c r="C91" s="19">
        <v>7</v>
      </c>
      <c r="D91" s="19">
        <v>6</v>
      </c>
      <c r="E91" s="20">
        <v>0.14666666666666664</v>
      </c>
      <c r="F91" s="22">
        <v>1.0</v>
      </c>
    </row>
    <row r="92" ht="44" customHeight="1">
      <c r="A92" s="20">
        <v>0.05</v>
      </c>
      <c r="B92" s="18" t="inlineStr">
        <is>
          <t>STRICT</t>
        </is>
      </c>
      <c r="C92" s="19">
        <v>5</v>
      </c>
      <c r="D92" s="19">
        <v>5</v>
      </c>
      <c r="E92" s="20">
        <v>0.06999999999999998</v>
      </c>
      <c r="F92" s="22">
        <v>1.0</v>
      </c>
    </row>
    <row r="93" ht="44" customHeight="1">
      <c r="A93" s="20">
        <v>0.05</v>
      </c>
      <c r="B93" s="18" t="inlineStr">
        <is>
          <t>PROVISIONAL</t>
        </is>
      </c>
      <c r="C93" s="19">
        <v>2</v>
      </c>
      <c r="D93" s="19">
        <v>1</v>
      </c>
      <c r="E93" s="20">
        <v>0.53</v>
      </c>
      <c r="F93" s="22">
        <v>0.0</v>
      </c>
    </row>
    <row r="96">
      <c r="A96" s="26" t="inlineStr">
        <is>
          <t>Daily review observations</t>
        </is>
      </c>
    </row>
    <row r="97" ht="34" customHeight="1">
      <c r="A97" s="24" t="inlineStr">
        <is>
          <t>Review date</t>
        </is>
      </c>
      <c r="B97" s="24" t="inlineStr">
        <is>
          <t>Graded</t>
        </is>
      </c>
      <c r="C97" s="24" t="inlineStr">
        <is>
          <t>Win rate</t>
        </is>
      </c>
      <c r="D97" s="24" t="inlineStr">
        <is>
          <t>Simulated ROI</t>
        </is>
      </c>
      <c r="E97" s="24" t="inlineStr">
        <is>
          <t>Brier</t>
        </is>
      </c>
    </row>
    <row r="98" ht="44" customHeight="1">
      <c r="A98" s="18" t="inlineStr">
        <is>
          <t>2026-10-13</t>
        </is>
      </c>
      <c r="B98" s="19">
        <v>9</v>
      </c>
      <c r="C98" s="20">
        <v>0.666667</v>
      </c>
      <c r="D98" s="20">
        <v>-0.096667</v>
      </c>
      <c r="E98" s="21">
        <v>0.250532</v>
      </c>
    </row>
    <row r="99" ht="44" customHeight="1">
      <c r="A99" s="18" t="inlineStr">
        <is>
          <t>2026-10-14</t>
        </is>
      </c>
      <c r="B99" s="19">
        <v>11</v>
      </c>
      <c r="C99" s="20">
        <v>0.727273</v>
      </c>
      <c r="D99" s="20">
        <v>0.01</v>
      </c>
      <c r="E99" s="21">
        <v>0.215932</v>
      </c>
    </row>
    <row r="100" ht="44" customHeight="1">
      <c r="A100" s="18" t="inlineStr">
        <is>
          <t>2026-10-15</t>
        </is>
      </c>
      <c r="B100" s="19">
        <v>11</v>
      </c>
      <c r="C100" s="20">
        <v>0.727273</v>
      </c>
      <c r="D100" s="20">
        <v>0.01</v>
      </c>
      <c r="E100" s="21">
        <v>0.215932</v>
      </c>
    </row>
    <row r="101" ht="44" customHeight="1">
      <c r="A101" s="18" t="inlineStr">
        <is>
          <t>2026-10-16</t>
        </is>
      </c>
      <c r="B101" s="19">
        <v>12</v>
      </c>
      <c r="C101" s="20">
        <v>0.75</v>
      </c>
      <c r="D101" s="20">
        <v>0.031667</v>
      </c>
      <c r="E101" s="21">
        <v>0.199836</v>
      </c>
    </row>
    <row r="102" ht="44" customHeight="1">
      <c r="A102" s="18" t="inlineStr">
        <is>
          <t>2026-10-17</t>
        </is>
      </c>
      <c r="B102" s="19">
        <v>17</v>
      </c>
      <c r="C102" s="20">
        <v>0.764706</v>
      </c>
      <c r="D102" s="20">
        <v>0.044706</v>
      </c>
      <c r="E102" s="21">
        <v>0.178798</v>
      </c>
    </row>
    <row r="103" ht="44" customHeight="1">
      <c r="A103" s="18" t="inlineStr">
        <is>
          <t>2026-10-18</t>
        </is>
      </c>
      <c r="B103" s="19">
        <v>26</v>
      </c>
      <c r="C103" s="20">
        <v>0.807692</v>
      </c>
      <c r="D103" s="20">
        <v>0.108077</v>
      </c>
      <c r="E103" s="21">
        <v>0.161003</v>
      </c>
    </row>
    <row r="104" ht="44" customHeight="1">
      <c r="A104" s="18" t="inlineStr">
        <is>
          <t>2026-10-19</t>
        </is>
      </c>
      <c r="B104" s="19">
        <v>30</v>
      </c>
      <c r="C104" s="20">
        <v>0.733333</v>
      </c>
      <c r="D104" s="20">
        <v>0.011333</v>
      </c>
      <c r="E104" s="21">
        <v>0.175695</v>
      </c>
    </row>
    <row r="105" ht="44" customHeight="1">
      <c r="A105" s="18" t="inlineStr">
        <is>
          <t>2026-10-20</t>
        </is>
      </c>
      <c r="B105" s="19">
        <v>30</v>
      </c>
      <c r="C105" s="20">
        <v>0.733333</v>
      </c>
      <c r="D105" s="20">
        <v>0.011333</v>
      </c>
      <c r="E105" s="21">
        <v>0.175695</v>
      </c>
    </row>
    <row r="106" ht="44" customHeight="1">
      <c r="A106" s="18" t="inlineStr">
        <is>
          <t>2026-10-21</t>
        </is>
      </c>
      <c r="B106" s="19">
        <v>38</v>
      </c>
      <c r="C106" s="20">
        <v>0.736842</v>
      </c>
      <c r="D106" s="20">
        <v>0.011316</v>
      </c>
      <c r="E106" s="21">
        <v>0.176926</v>
      </c>
    </row>
    <row r="107" ht="44" customHeight="1">
      <c r="A107" s="18" t="inlineStr">
        <is>
          <t>2026-10-22</t>
        </is>
      </c>
      <c r="B107" s="19">
        <v>38</v>
      </c>
      <c r="C107" s="20">
        <v>0.736842</v>
      </c>
      <c r="D107" s="20">
        <v>0.011316</v>
      </c>
      <c r="E107" s="21">
        <v>0.176926</v>
      </c>
    </row>
    <row r="108" ht="44" customHeight="1">
      <c r="A108" s="18" t="inlineStr">
        <is>
          <t>2026-10-23</t>
        </is>
      </c>
      <c r="B108" s="19">
        <v>40</v>
      </c>
      <c r="C108" s="20">
        <v>0.75</v>
      </c>
      <c r="D108" s="20">
        <v>0.03125</v>
      </c>
      <c r="E108" s="21">
        <v>0.169745</v>
      </c>
    </row>
    <row r="109" ht="44" customHeight="1">
      <c r="A109" s="18" t="inlineStr">
        <is>
          <t>2026-10-24</t>
        </is>
      </c>
      <c r="B109" s="19">
        <v>40</v>
      </c>
      <c r="C109" s="20">
        <v>0.75</v>
      </c>
      <c r="D109" s="20">
        <v>0.03125</v>
      </c>
      <c r="E109" s="21">
        <v>0.169745</v>
      </c>
    </row>
    <row r="110" ht="44" customHeight="1">
      <c r="A110" s="18" t="inlineStr">
        <is>
          <t>2026-10-25</t>
        </is>
      </c>
      <c r="B110" s="19">
        <v>45</v>
      </c>
      <c r="C110" s="20">
        <v>0.777778</v>
      </c>
      <c r="D110" s="20">
        <v>0.062222</v>
      </c>
      <c r="E110" s="21">
        <v>0.153949</v>
      </c>
    </row>
    <row r="113">
      <c r="A113" s="26" t="inlineStr">
        <is>
          <t>Dependency versions</t>
        </is>
      </c>
    </row>
    <row r="114" ht="34" customHeight="1">
      <c r="A114" s="24" t="inlineStr">
        <is>
          <t>Dependency</t>
        </is>
      </c>
      <c r="B114" s="24" t="inlineStr">
        <is>
          <t>Version</t>
        </is>
      </c>
    </row>
    <row r="115" ht="44" customHeight="1">
      <c r="A115" s="18" t="inlineStr">
        <is>
          <t>python</t>
        </is>
      </c>
      <c r="B115" s="18" t="inlineStr">
        <is>
          <t>3.12.15</t>
        </is>
      </c>
    </row>
    <row r="116" ht="44" customHeight="1">
      <c r="A116" s="18" t="inlineStr">
        <is>
          <t>numpy</t>
        </is>
      </c>
      <c r="B116" s="18" t="inlineStr">
        <is>
          <t>2.5.4</t>
        </is>
      </c>
    </row>
    <row r="117" ht="44" customHeight="1">
      <c r="A117" s="18" t="inlineStr">
        <is>
          <t>pandas</t>
        </is>
      </c>
      <c r="B117" s="18" t="inlineStr">
        <is>
          <t>3.1.0</t>
        </is>
      </c>
    </row>
    <row r="118" ht="44" customHeight="1">
      <c r="A118" s="18" t="inlineStr">
        <is>
          <t>scipy</t>
        </is>
      </c>
      <c r="B118" s="18" t="inlineStr">
        <is>
          <t>1.18.1</t>
        </is>
      </c>
    </row>
    <row r="119" ht="44" customHeight="1">
      <c r="A119" s="18" t="inlineStr">
        <is>
          <t>requests</t>
        </is>
      </c>
      <c r="B119" s="18" t="inlineStr">
        <is>
          <t>2.34.2</t>
        </is>
      </c>
    </row>
    <row r="120" ht="44" customHeight="1">
      <c r="A120" s="18" t="inlineStr">
        <is>
          <t>rapidfuzz</t>
        </is>
      </c>
      <c r="B120" s="18" t="inlineStr">
        <is>
          <t>3.14.6</t>
        </is>
      </c>
    </row>
    <row r="121" ht="44" customHeight="1">
      <c r="A121" s="18" t="inlineStr">
        <is>
          <t>python-dotenv</t>
        </is>
      </c>
      <c r="B121" s="18" t="inlineStr">
        <is>
          <t>1.2.4</t>
        </is>
      </c>
    </row>
    <row r="122" ht="44" customHeight="1">
      <c r="A122" s="18" t="inlineStr">
        <is>
          <t>coverage</t>
        </is>
      </c>
      <c r="B122" s="18" t="inlineStr">
        <is>
          <t>NOT_INSTALLED</t>
        </is>
      </c>
    </row>
    <row r="123" ht="44" customHeight="1">
      <c r="A123" s="18" t="inlineStr">
        <is>
          <t>PyYAML</t>
        </is>
      </c>
      <c r="B123" s="18" t="inlineStr">
        <is>
          <t>NOT_INSTALLED</t>
        </is>
      </c>
    </row>
    <row r="126">
      <c r="A126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0:F20"/>
    <mergeCell ref="A33:F33"/>
    <mergeCell ref="A40:F40"/>
    <mergeCell ref="A42:F42"/>
    <mergeCell ref="A56:F56"/>
    <mergeCell ref="A83:F83"/>
    <mergeCell ref="A96:F96"/>
    <mergeCell ref="A113:F113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hyperlinks>
    <hyperlink ref="A126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</sheetData>
  <autoFilter ref="A5:H56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2026-10-25T13:16:46.121388+00:00; 1182 candidates on 112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1182</v>
      </c>
      <c r="D9" s="19">
        <v>112</v>
      </c>
      <c r="E9" s="20">
        <v>-0.03312795392712844</v>
      </c>
      <c r="F9" s="20">
        <v>0.27580372250423013</v>
      </c>
      <c r="G9" s="22">
        <v>-10.405363166508108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56</v>
      </c>
      <c r="D10" s="19">
        <v>44</v>
      </c>
      <c r="E10" s="20">
        <v>-0.032306596120597116</v>
      </c>
      <c r="F10" s="20">
        <v>0.21428571428571427</v>
      </c>
      <c r="G10" s="22">
        <v>-3.35183022415805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675</v>
      </c>
      <c r="D11" s="19">
        <v>106</v>
      </c>
      <c r="E11" s="20">
        <v>0.007459941024181952</v>
      </c>
      <c r="F11" s="20">
        <v>0.5348148148148149</v>
      </c>
      <c r="G11" s="22">
        <v>2.4492474468072998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112</v>
      </c>
      <c r="D15" s="18"/>
      <c r="E15" s="21">
        <v>-0.11495072896146519</v>
      </c>
      <c r="F15" s="20">
        <v>0.5714285714285714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258</v>
      </c>
      <c r="D20" s="19">
        <v>14</v>
      </c>
      <c r="E20" s="20">
        <v>-0.041188143866176564</v>
      </c>
      <c r="F20" s="20">
        <v>0.2441860465116279</v>
      </c>
      <c r="G20" s="22">
        <v>-21.18091471441091</v>
      </c>
      <c r="H20" s="20">
        <v>-0.0009309556859611509</v>
      </c>
      <c r="I20" s="19">
        <v>258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203</v>
      </c>
      <c r="D21" s="19">
        <v>87</v>
      </c>
      <c r="E21" s="20">
        <v>-0.025668419801221545</v>
      </c>
      <c r="F21" s="20">
        <v>0.39408866995073893</v>
      </c>
      <c r="G21" s="22">
        <v>-6.03908577277185</v>
      </c>
      <c r="H21" s="20">
        <v>0.028424674728550734</v>
      </c>
      <c r="I21" s="19">
        <v>150</v>
      </c>
      <c r="J21" s="18" t="inlineStr">
        <is>
          <t>Negative (t &lt;= -2)</t>
        </is>
      </c>
    </row>
    <row r="22" ht="30" customHeight="1">
      <c r="A22" s="18" t="inlineStr">
        <is>
          <t>Double chance</t>
        </is>
      </c>
      <c r="B22" s="18" t="inlineStr">
        <is>
          <t>1xBet</t>
        </is>
      </c>
      <c r="C22" s="19">
        <v>175</v>
      </c>
      <c r="D22" s="19">
        <v>64</v>
      </c>
      <c r="E22" s="20">
        <v>-0.03607459696305066</v>
      </c>
      <c r="F22" s="20">
        <v>0.15428571428571428</v>
      </c>
      <c r="G22" s="22">
        <v>-17.584601591573183</v>
      </c>
      <c r="H22" s="20">
        <v>0.02609626740648781</v>
      </c>
      <c r="I22" s="19">
        <v>60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166</v>
      </c>
      <c r="D23" s="19">
        <v>66</v>
      </c>
      <c r="E23" s="20">
        <v>-0.030785524899016644</v>
      </c>
      <c r="F23" s="20">
        <v>0.14457831325301204</v>
      </c>
      <c r="G23" s="22">
        <v>-10.84267780281923</v>
      </c>
      <c r="H23" s="20">
        <v>-0.008258188114450822</v>
      </c>
      <c r="I23" s="19">
        <v>34</v>
      </c>
      <c r="J23" s="18" t="inlineStr">
        <is>
          <t>Negative (t &lt;= -2)</t>
        </is>
      </c>
    </row>
    <row r="24" ht="30" customHeight="1">
      <c r="A24" s="18" t="inlineStr">
        <is>
          <t>1X2</t>
        </is>
      </c>
      <c r="B24" s="18" t="inlineStr">
        <is>
          <t>Pinnacle</t>
        </is>
      </c>
      <c r="C24" s="19">
        <v>161</v>
      </c>
      <c r="D24" s="19">
        <v>69</v>
      </c>
      <c r="E24" s="20">
        <v>-0.04025264447723311</v>
      </c>
      <c r="F24" s="20">
        <v>0.2670807453416149</v>
      </c>
      <c r="G24" s="22">
        <v>-6.725587952668266</v>
      </c>
      <c r="H24" s="20">
        <v>0.0010779952819649572</v>
      </c>
      <c r="I24" s="19">
        <v>161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68</v>
      </c>
      <c r="D25" s="19">
        <v>14</v>
      </c>
      <c r="E25" s="20">
        <v>-0.05751141737749099</v>
      </c>
      <c r="F25" s="20">
        <v>0.2647058823529412</v>
      </c>
      <c r="G25" s="22">
        <v>-6.126451931628721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1X2</t>
        </is>
      </c>
      <c r="B32" s="18" t="inlineStr">
        <is>
          <t>Tipico</t>
        </is>
      </c>
      <c r="C32" s="19">
        <v>8</v>
      </c>
      <c r="D32" s="19">
        <v>8</v>
      </c>
      <c r="E32" s="20">
        <v>-0.09632021006561466</v>
      </c>
      <c r="F32" s="20">
        <v>0.25</v>
      </c>
      <c r="G32" s="22">
        <v>-2.655537832904031</v>
      </c>
      <c r="H32" s="20"/>
      <c r="I32" s="19">
        <v>0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LeoVegas (SE)</t>
        </is>
      </c>
      <c r="C33" s="19">
        <v>6</v>
      </c>
      <c r="D33" s="19">
        <v>4</v>
      </c>
      <c r="E33" s="20">
        <v>0.021874811291622775</v>
      </c>
      <c r="F33" s="20">
        <v>0.6666666666666666</v>
      </c>
      <c r="G33" s="22">
        <v>0.42694411633106255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BetOnline.ag</t>
        </is>
      </c>
      <c r="C34" s="19">
        <v>6</v>
      </c>
      <c r="D34" s="19">
        <v>6</v>
      </c>
      <c r="E34" s="20">
        <v>-0.07253122489801984</v>
      </c>
      <c r="F34" s="20">
        <v>0.3333333333333333</v>
      </c>
      <c r="G34" s="22">
        <v>-1.6405519325411488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Goal totals</t>
        </is>
      </c>
      <c r="B35" s="18" t="inlineStr">
        <is>
          <t>Pinnacle</t>
        </is>
      </c>
      <c r="C35" s="19">
        <v>5</v>
      </c>
      <c r="D35" s="19">
        <v>5</v>
      </c>
      <c r="E35" s="20">
        <v>-0.059028995790368466</v>
      </c>
      <c r="F35" s="20">
        <v>0.0</v>
      </c>
      <c r="G35" s="22">
        <v>-3.5623095932682296</v>
      </c>
      <c r="H35" s="20">
        <v>-0.03859740329833063</v>
      </c>
      <c r="I35" s="19">
        <v>5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610</v>
      </c>
      <c r="D48" s="19">
        <v>91</v>
      </c>
      <c r="E48" s="20">
        <v>-0.03739564406992414</v>
      </c>
      <c r="F48" s="20">
        <v>0.2360655737704918</v>
      </c>
      <c r="G48" s="22">
        <v>-14.359443240081138</v>
      </c>
      <c r="H48" s="20">
        <v>0.0075519279796565095</v>
      </c>
      <c r="I48" s="19">
        <v>391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276</v>
      </c>
      <c r="D49" s="19">
        <v>30</v>
      </c>
      <c r="E49" s="20">
        <v>-0.03576173317993612</v>
      </c>
      <c r="F49" s="20">
        <v>0.2391304347826087</v>
      </c>
      <c r="G49" s="22">
        <v>-8.452236421225619</v>
      </c>
      <c r="H49" s="20">
        <v>0.005085522844813241</v>
      </c>
      <c r="I49" s="19">
        <v>171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238</v>
      </c>
      <c r="D50" s="19">
        <v>69</v>
      </c>
      <c r="E50" s="20">
        <v>-0.01989447109364693</v>
      </c>
      <c r="F50" s="20">
        <v>0.42016806722689076</v>
      </c>
      <c r="G50" s="22">
        <v>-1.9823088286693114</v>
      </c>
      <c r="H50" s="20">
        <v>0.02108659937549456</v>
      </c>
      <c r="I50" s="19">
        <v>95</v>
      </c>
      <c r="J50" s="18" t="inlineStr">
        <is>
          <t>Not distinguishable from zero</t>
        </is>
      </c>
    </row>
    <row r="51" ht="30" customHeight="1">
      <c r="A51" s="18" t="inlineStr">
        <is>
          <t>24-48h</t>
        </is>
      </c>
      <c r="B51" s="18"/>
      <c r="C51" s="19">
        <v>58</v>
      </c>
      <c r="D51" s="19">
        <v>23</v>
      </c>
      <c r="E51" s="20">
        <v>-0.030013382435547468</v>
      </c>
      <c r="F51" s="20">
        <v>0.27586206896551724</v>
      </c>
      <c r="G51" s="22">
        <v>-1.30445201925399</v>
      </c>
      <c r="H51" s="20">
        <v>-0.04389972199210688</v>
      </c>
      <c r="I51" s="19">
        <v>18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1126</v>
      </c>
      <c r="D56" s="19">
        <v>112</v>
      </c>
      <c r="E56" s="20">
        <v>-0.033168802983225915</v>
      </c>
      <c r="F56" s="20">
        <v>0.27886323268206037</v>
      </c>
      <c r="G56" s="22">
        <v>-9.8912493138147</v>
      </c>
      <c r="H56" s="20">
        <v>0.007891085699489066</v>
      </c>
      <c r="I56" s="19">
        <v>632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56</v>
      </c>
      <c r="D57" s="19">
        <v>44</v>
      </c>
      <c r="E57" s="20">
        <v>-0.032306596120597116</v>
      </c>
      <c r="F57" s="20">
        <v>0.21428571428571427</v>
      </c>
      <c r="G57" s="22">
        <v>-3.35183022415805</v>
      </c>
      <c r="H57" s="20">
        <v>0.0011231169592029744</v>
      </c>
      <c r="I57" s="19">
        <v>43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Bundesliga</t>
        </is>
      </c>
      <c r="B63" s="18"/>
      <c r="C63" s="19">
        <v>197</v>
      </c>
      <c r="D63" s="19">
        <v>15</v>
      </c>
      <c r="E63" s="20">
        <v>-0.034390350632241204</v>
      </c>
      <c r="F63" s="20">
        <v>0.27411167512690354</v>
      </c>
      <c r="G63" s="22">
        <v>-6.060923613314703</v>
      </c>
      <c r="H63" s="20">
        <v>0.012018633102277706</v>
      </c>
      <c r="I63" s="19">
        <v>118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173</v>
      </c>
      <c r="D64" s="19">
        <v>14</v>
      </c>
      <c r="E64" s="20">
        <v>-0.03519091681992768</v>
      </c>
      <c r="F64" s="20">
        <v>0.2138728323699422</v>
      </c>
      <c r="G64" s="22">
        <v>-6.6904732354746885</v>
      </c>
      <c r="H64" s="20">
        <v>0.0015799054338995948</v>
      </c>
      <c r="I64" s="19">
        <v>107</v>
      </c>
      <c r="J64" s="18" t="inlineStr">
        <is>
          <t>Small sample</t>
        </is>
      </c>
    </row>
    <row r="65" ht="30" customHeight="1">
      <c r="A65" s="18" t="inlineStr">
        <is>
          <t>Serie A</t>
        </is>
      </c>
      <c r="B65" s="18"/>
      <c r="C65" s="19">
        <v>165</v>
      </c>
      <c r="D65" s="19">
        <v>14</v>
      </c>
      <c r="E65" s="20">
        <v>-0.028987134589098518</v>
      </c>
      <c r="F65" s="20">
        <v>0.2909090909090909</v>
      </c>
      <c r="G65" s="22">
        <v>-2.682837716047315</v>
      </c>
      <c r="H65" s="20">
        <v>0.007126177810577568</v>
      </c>
      <c r="I65" s="19">
        <v>101</v>
      </c>
      <c r="J65" s="18" t="inlineStr">
        <is>
          <t>Small sample</t>
        </is>
      </c>
    </row>
    <row r="66" ht="30" customHeight="1">
      <c r="A66" s="18" t="inlineStr">
        <is>
          <t>Premier League</t>
        </is>
      </c>
      <c r="B66" s="18"/>
      <c r="C66" s="19">
        <v>144</v>
      </c>
      <c r="D66" s="19">
        <v>14</v>
      </c>
      <c r="E66" s="20">
        <v>-0.035484319068351776</v>
      </c>
      <c r="F66" s="20">
        <v>0.2222222222222222</v>
      </c>
      <c r="G66" s="22">
        <v>-3.3131380676886333</v>
      </c>
      <c r="H66" s="20">
        <v>0.0032433455115894265</v>
      </c>
      <c r="I66" s="19">
        <v>74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75</v>
      </c>
      <c r="D68" s="19">
        <v>9</v>
      </c>
      <c r="E68" s="20">
        <v>-0.01906295515099016</v>
      </c>
      <c r="F68" s="20">
        <v>0.3466666666666667</v>
      </c>
      <c r="G68" s="22">
        <v>-1.21914265864722</v>
      </c>
      <c r="H68" s="20">
        <v>0.04459034625980546</v>
      </c>
      <c r="I68" s="19">
        <v>34</v>
      </c>
      <c r="J68" s="18" t="inlineStr">
        <is>
          <t>Small sample</t>
        </is>
      </c>
    </row>
    <row r="69" ht="30" customHeight="1">
      <c r="A69" s="18" t="inlineStr">
        <is>
          <t>Eredivisie</t>
        </is>
      </c>
      <c r="B69" s="18"/>
      <c r="C69" s="19">
        <v>6</v>
      </c>
      <c r="D69" s="19">
        <v>3</v>
      </c>
      <c r="E69" s="20">
        <v>-0.038067256212839885</v>
      </c>
      <c r="F69" s="20">
        <v>0.16666666666666666</v>
      </c>
      <c r="G69" s="22">
        <v>-23.80078761515281</v>
      </c>
      <c r="H69" s="20">
        <v>-0.007909772417231805</v>
      </c>
      <c r="I69" s="19">
        <v>6</v>
      </c>
      <c r="J69" s="18" t="inlineStr">
        <is>
          <t>Small sample</t>
        </is>
      </c>
    </row>
    <row r="70" ht="30" customHeight="1">
      <c r="A70" s="18" t="inlineStr">
        <is>
          <t>Primeira Liga</t>
        </is>
      </c>
      <c r="B70" s="18"/>
      <c r="C70" s="19">
        <v>5</v>
      </c>
      <c r="D70" s="19">
        <v>2</v>
      </c>
      <c r="E70" s="20">
        <v>-0.03427680933240147</v>
      </c>
      <c r="F70" s="20">
        <v>0.2</v>
      </c>
      <c r="G70" s="22">
        <v>-1.359266160667851</v>
      </c>
      <c r="H70" s="20">
        <v>0.0028408223925284527</v>
      </c>
      <c r="I70" s="19">
        <v>5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