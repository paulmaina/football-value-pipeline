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1.0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3.8799999999999986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0.8235294117647058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Plan'!$A$10:$A$83</c:f>
              <c:strCache>
                <c:ptCount val="7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  <c:pt idx="73">
                  <c:v>2026-10-29T19:45:00+00:00</c:v>
                </c:pt>
              </c:strCache>
            </c:strRef>
          </c:cat>
          <c:val>
            <c:numRef>
              <c:f>'ROI Plan'!$F$10:$F$83</c:f>
              <c:numCache>
                <c:formatCode>General</c:formatCode>
                <c:ptCount val="7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  <c:pt idx="73">
                  <c:v>3.8799999999999994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0.7615160521306804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0.8181818181818182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9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9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70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74</v>
      </c>
      <c r="C7" s="18"/>
      <c r="D7" s="18" t="str">
        <v>STRICT</v>
      </c>
      <c r="E7" s="18">
        <f>Breakdowns!D7</f>
        <v>34</v>
      </c>
      <c r="F7" s="20">
        <f>Breakdowns!H7</f>
        <v>0.8235294117647058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61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0.7540983606557377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0.06360655737704916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3.879999999999999</v>
      </c>
      <c r="C14" s="18"/>
      <c r="D14" s="18" t="inlineStr">
        <is>
          <t>61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0.1514546029633793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IF(COUNT(Predictions!H6:H270)=0,"n.a.",AVERAGE(Predictions!H6:H270))</f>
        <v>0.5689655172413793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IF(COUNT(Predictions!I6:I270)=0,"n.a.",AVERAGE(Predictions!I6:I270))</f>
        <v>0.5715983433908046</v>
      </c>
      <c r="C17" s="18"/>
      <c r="D17" s="18" t="inlineStr">
        <is>
          <t>Over 1.5</t>
        </is>
      </c>
      <c r="E17" s="18">
        <f>COUNT(Predictions!J6:J270)</f>
        <v>174</v>
      </c>
      <c r="F17" s="20">
        <f>IF(E17=0,"n.a.",AVERAGE(Predictions!J6:J270))</f>
        <v>0.8045977011494253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0.6331533709421812</v>
      </c>
      <c r="C18" s="18"/>
      <c r="D18" s="18" t="inlineStr">
        <is>
          <t>Under 3.5</t>
        </is>
      </c>
      <c r="E18" s="18">
        <f>COUNT(Predictions!K6:K270)</f>
        <v>174</v>
      </c>
      <c r="F18" s="20">
        <f>IF(E18=0,"n.a.",AVERAGE(Predictions!K6:K270))</f>
        <v>0.6206896551724138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0.8449347700043716</v>
      </c>
      <c r="C19" s="18"/>
      <c r="D19" s="18" t="inlineStr">
        <is>
          <t>BTTS Yes</t>
        </is>
      </c>
      <c r="E19" s="18">
        <f>COUNT(Predictions!L6:L270)</f>
        <v>174</v>
      </c>
      <c r="F19" s="20">
        <f>IF(E19=0,"n.a.",AVERAGE(Predictions!L6:L270))</f>
        <v>0.5689655172413793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COUNT(Predictions!M6:M270)</f>
        <v>174</v>
      </c>
      <c r="F20" s="20">
        <f>IF(E20=0,"n.a.",AVERAGE(Predictions!M6:M270))</f>
        <v>0.5689655172413793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46 wins from 61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2026-10-29T15:21:03.058201+00:00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1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138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2026-10-29 12:08:32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REFUNDED</t>
        </is>
      </c>
      <c r="D82" s="22">
        <f>IF(ISNUMBER(Selections!M78),Selections!M78,"")</f>
        <v>1</v>
      </c>
      <c r="E82" s="22">
        <f>IF(ISNUMBER(Selections!N78),Selections!N78,"")</f>
        <v>0.0</v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  <row r="83" ht="36" customHeight="1">
      <c r="A83" s="18" t="inlineStr">
        <is>
          <t>2026-10-29T19:45:00+00:00</t>
        </is>
      </c>
      <c r="B83" s="18" t="inlineStr">
        <is>
          <t>Fiorentina vs Atalanta BC</t>
        </is>
      </c>
      <c r="C83" s="18" t="inlineStr">
        <is>
          <t>PENDING_KICKOFF_OR_FINAL_SCORE</t>
        </is>
      </c>
      <c r="D83" s="22" t="str">
        <f>IF(ISNUMBER(Selections!M79),Selections!M79,"")</f>
        <v/>
      </c>
      <c r="E83" s="22" t="str">
        <f>IF(ISNUMBER(Selections!N79),Selections!N79,"")</f>
        <v/>
      </c>
      <c r="F83" s="22">
        <f>SUM($E$10:E83)</f>
        <v>3.8799999999999994</v>
      </c>
      <c r="G83" s="22">
        <f>$B$4+F83</f>
        <v>103.88</v>
      </c>
      <c r="H83" s="22">
        <f>MAX($B$4,$G$10:G83)</f>
        <v>104.12</v>
      </c>
      <c r="I83" s="22">
        <f>H83-G83</f>
        <v>0.2400000000000091</v>
      </c>
      <c r="J83" s="18" t="inlineStr">
        <is>
          <t>2026-W44</t>
        </is>
      </c>
      <c r="K83" s="18"/>
      <c r="L83" s="18"/>
      <c r="M83" s="18"/>
      <c r="N83" s="18"/>
      <c r="O83" s="18"/>
      <c r="P83" s="18"/>
      <c r="Q83" s="18"/>
      <c r="R83" s="18"/>
    </row>
  </sheetData>
  <mergeCells count="1">
    <mergeCell ref="A2:J2"/>
  </mergeCells>
  <conditionalFormatting sqref="E10:E8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COUNTA(Selections!$A$6:$A$79)</f>
        <v>74</v>
      </c>
      <c r="D6" s="19">
        <f>((COUNTIFS(Selections!$K$6:$K$79,"WON")+COUNTIFS(Selections!$K$6:$K$79,"HALF_WON"))+(COUNTIFS(Selections!$K$6:$K$79,"LOST")+COUNTIFS(Selections!$K$6:$K$79,"HALF_LOST"))+COUNTIFS(Selections!$K$6:$K$79,"REFUNDED"))</f>
        <v>61</v>
      </c>
      <c r="E6" s="19">
        <f>(COUNTIFS(Selections!$K$6:$K$79,"WON")+COUNTIFS(Selections!$K$6:$K$79,"HALF_WON"))</f>
        <v>46</v>
      </c>
      <c r="F6" s="19">
        <f>(COUNTIFS(Selections!$K$6:$K$79,"LOST")+COUNTIFS(Selections!$K$6:$K$79,"HALF_LOST"))</f>
        <v>14</v>
      </c>
      <c r="G6" s="19">
        <f>COUNTA(Selections!$A$6:$A$79)-((COUNTIFS(Selections!$K$6:$K$79,"WON")+COUNTIFS(Selections!$K$6:$K$79,"HALF_WON"))+(COUNTIFS(Selections!$K$6:$K$79,"LOST")+COUNTIFS(Selections!$K$6:$K$79,"HALF_LOST"))+COUNTIFS(Selections!$K$6:$K$79,"REFUNDED"))</f>
        <v>13</v>
      </c>
      <c r="H6" s="20">
        <f>IF(((COUNTIFS(Selections!$K$6:$K$79,"WON")+COUNTIFS(Selections!$K$6:$K$79,"HALF_WON"))+(COUNTIFS(Selections!$K$6:$K$79,"LOST")+COUNTIFS(Selections!$K$6:$K$79,"HALF_LOST"))+COUNTIFS(Selections!$K$6:$K$79,"REFUNDED"))=0,"n.a.",(COUNTIFS(Selections!$K$6:$K$79,"WON")+COUNTIFS(Selections!$K$6:$K$79,"HALF_WON"))/((COUNTIFS(Selections!$K$6:$K$79,"WON")+COUNTIFS(Selections!$K$6:$K$79,"HALF_WON"))+(COUNTIFS(Selections!$K$6:$K$79,"LOST")+COUNTIFS(Selections!$K$6:$K$79,"HALF_LOST"))+COUNTIFS(Selections!$K$6:$K$79,"REFUNDED")))</f>
        <v>0.7540983606557377</v>
      </c>
      <c r="I6" s="22">
        <f>SUM(Selections!$M$6:$M$79)</f>
        <v>61</v>
      </c>
      <c r="J6" s="22">
        <f>SUM(Selections!$N$6:$N$79)</f>
        <v>3.879999999999999</v>
      </c>
      <c r="K6" s="20">
        <f>IF(SUM(Selections!$M$6:$M$79)=0,"n.a.",SUM(Selections!$N$6:$N$79)/SUM(Selections!$M$6:$M$79))</f>
        <v>0.06360655737704916</v>
      </c>
      <c r="L6" s="21">
        <f>IF(SUM(Selections!$T$6:$T$79)=0,"n.a.",SUM(Selections!$O$6:$O$79)/SUM(Selections!$T$6:$T$79))</f>
        <v>0.1514546029633793</v>
      </c>
      <c r="M6" s="20">
        <f>IF(SUM(Selections!$T$6:$T$79)=0,"n.a.",SUM(Selections!$S$6:$S$79)/SUM(Selections!$T$6:$T$79))</f>
        <v>0.7471701633791901</v>
      </c>
      <c r="N6" s="20">
        <f>IF(SUM(Selections!$T$6:$T$79)=0,"n.a.",(SUMIFS(Selections!$L$6:$L$79,Selections!$T$6:$T$79,1))/SUM(Selections!$T$6:$T$79))</f>
        <v>0.7704918032786885</v>
      </c>
      <c r="O6" s="20">
        <f>IF(SUM(Selections!$T$6:$T$79)=0,"n.a.",(SUM(Selections!$S$6:$S$79)-(SUMIFS(Selections!$L$6:$L$79,Selections!$T$6:$T$79,1)))/SUM(Selections!$T$6:$T$79))</f>
        <v>-0.023321639899498425</v>
      </c>
      <c r="P6" s="19">
        <f>SUM(Selections!$T$6:$T$79)</f>
        <v>61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COUNTIFS(Selections!$F$6:$F$79,"STRICT")</f>
        <v>45</v>
      </c>
      <c r="D7" s="19">
        <f>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</f>
        <v>34</v>
      </c>
      <c r="E7" s="19">
        <f>(COUNTIFS(Selections!$F$6:$F$79,"STRICT",Selections!$K$6:$K$79,"WON")+COUNTIFS(Selections!$F$6:$F$79,"STRICT",Selections!$K$6:$K$79,"HALF_WON"))</f>
        <v>28</v>
      </c>
      <c r="F7" s="19">
        <f>(COUNTIFS(Selections!$F$6:$F$79,"STRICT",Selections!$K$6:$K$79,"LOST")+COUNTIFS(Selections!$F$6:$F$79,"STRICT",Selections!$K$6:$K$79,"HALF_LOST"))</f>
        <v>5</v>
      </c>
      <c r="G7" s="19">
        <f>COUNTIFS(Selections!$F$6:$F$79,"STRICT")-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</f>
        <v>11</v>
      </c>
      <c r="H7" s="20">
        <f>IF(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=0,"n.a.",(COUNTIFS(Selections!$F$6:$F$79,"STRICT",Selections!$K$6:$K$79,"WON")+COUNTIFS(Selections!$F$6:$F$79,"STRICT",Selections!$K$6:$K$79,"HALF_WON"))/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)</f>
        <v>0.8235294117647058</v>
      </c>
      <c r="I7" s="22">
        <f>SUMIFS(Selections!$M$6:$M$79,Selections!$F$6:$F$79,"STRICT")</f>
        <v>34</v>
      </c>
      <c r="J7" s="22">
        <f>SUMIFS(Selections!$N$6:$N$79,Selections!$F$6:$F$79,"STRICT")</f>
        <v>6.77</v>
      </c>
      <c r="K7" s="20">
        <f>IF(SUMIFS(Selections!$M$6:$M$79,Selections!$F$6:$F$79,"STRICT")=0,"n.a.",SUMIFS(Selections!$N$6:$N$79,Selections!$F$6:$F$79,"STRICT")/SUMIFS(Selections!$M$6:$M$79,Selections!$F$6:$F$79,"STRICT"))</f>
        <v>0.1991176470588235</v>
      </c>
      <c r="L7" s="21">
        <f>IF(SUMIFS(Selections!$T$6:$T$79,Selections!$F$6:$F$79,"STRICT")=0,"n.a.",SUMIFS(Selections!$O$6:$O$79,Selections!$F$6:$F$79,"STRICT")/SUMIFS(Selections!$T$6:$T$79,Selections!$F$6:$F$79,"STRICT"))</f>
        <v>0.10511102590058027</v>
      </c>
      <c r="M7" s="20">
        <f>IF(SUMIFS(Selections!$T$6:$T$79,Selections!$F$6:$F$79,"STRICT")=0,"n.a.",SUMIFS(Selections!$S$6:$S$79,Selections!$F$6:$F$79,"STRICT")/SUMIFS(Selections!$T$6:$T$79,Selections!$F$6:$F$79,"STRICT"))</f>
        <v>0.7371029186088693</v>
      </c>
      <c r="N7" s="20">
        <f>IF(SUMIFS(Selections!$T$6:$T$79,Selections!$F$6:$F$79,"STRICT")=0,"n.a.",(SUMIFS(Selections!$L$6:$L$79,Selections!$F$6:$F$79,"STRICT",Selections!$T$6:$T$79,1))/SUMIFS(Selections!$T$6:$T$79,Selections!$F$6:$F$79,"STRICT"))</f>
        <v>0.8529411764705882</v>
      </c>
      <c r="O7" s="20">
        <f>IF(SUMIFS(Selections!$T$6:$T$79,Selections!$F$6:$F$79,"STRICT")=0,"n.a.",(SUMIFS(Selections!$S$6:$S$79,Selections!$F$6:$F$79,"STRICT")-(SUMIFS(Selections!$L$6:$L$79,Selections!$F$6:$F$79,"STRICT",Selections!$T$6:$T$79,1)))/SUMIFS(Selections!$T$6:$T$79,Selections!$F$6:$F$79,"STRICT"))</f>
        <v>-0.11583825786171886</v>
      </c>
      <c r="P7" s="19">
        <f>SUMIFS(Selections!$T$6:$T$79,Selections!$F$6:$F$79,"STRICT")</f>
        <v>34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COUNTIFS(Selections!$F$6:$F$79,"PROVISIONAL")</f>
        <v>29</v>
      </c>
      <c r="D8" s="19">
        <f>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</f>
        <v>27</v>
      </c>
      <c r="E8" s="19">
        <f>(COUNTIFS(Selections!$F$6:$F$79,"PROVISIONAL",Selections!$K$6:$K$79,"WON")+COUNTIFS(Selections!$F$6:$F$79,"PROVISIONAL",Selections!$K$6:$K$79,"HALF_WON"))</f>
        <v>18</v>
      </c>
      <c r="F8" s="19">
        <f>(COUNTIFS(Selections!$F$6:$F$79,"PROVISIONAL",Selections!$K$6:$K$79,"LOST")+COUNTIFS(Selections!$F$6:$F$79,"PROVISIONAL",Selections!$K$6:$K$79,"HALF_LOST"))</f>
        <v>9</v>
      </c>
      <c r="G8" s="19">
        <f>COUNTIFS(Selections!$F$6:$F$79,"PROVISIONAL")-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</f>
        <v>2</v>
      </c>
      <c r="H8" s="20">
        <f>IF(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=0,"n.a.",(COUNTIFS(Selections!$F$6:$F$79,"PROVISIONAL",Selections!$K$6:$K$79,"WON")+COUNTIFS(Selections!$F$6:$F$79,"PROVISIONAL",Selections!$K$6:$K$79,"HALF_WON"))/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)</f>
        <v>0.6666666666666666</v>
      </c>
      <c r="I8" s="22">
        <f>SUMIFS(Selections!$M$6:$M$79,Selections!$F$6:$F$79,"PROVISIONAL")</f>
        <v>27</v>
      </c>
      <c r="J8" s="22">
        <f>SUMIFS(Selections!$N$6:$N$79,Selections!$F$6:$F$79,"PROVISIONAL")</f>
        <v>-2.8900000000000006</v>
      </c>
      <c r="K8" s="20">
        <f>IF(SUMIFS(Selections!$M$6:$M$79,Selections!$F$6:$F$79,"PROVISIONAL")=0,"n.a.",SUMIFS(Selections!$N$6:$N$79,Selections!$F$6:$F$79,"PROVISIONAL")/SUMIFS(Selections!$M$6:$M$79,Selections!$F$6:$F$79,"PROVISIONAL"))</f>
        <v>-0.10703703703703706</v>
      </c>
      <c r="L8" s="21">
        <f>IF(SUMIFS(Selections!$T$6:$T$79,Selections!$F$6:$F$79,"PROVISIONAL")=0,"n.a.",SUMIFS(Selections!$O$6:$O$79,Selections!$F$6:$F$79,"PROVISIONAL")/SUMIFS(Selections!$T$6:$T$79,Selections!$F$6:$F$79,"PROVISIONAL"))</f>
        <v>0.20981318148690395</v>
      </c>
      <c r="M8" s="20">
        <f>IF(SUMIFS(Selections!$T$6:$T$79,Selections!$F$6:$F$79,"PROVISIONAL")=0,"n.a.",SUMIFS(Selections!$S$6:$S$79,Selections!$F$6:$F$79,"PROVISIONAL")/SUMIFS(Selections!$T$6:$T$79,Selections!$F$6:$F$79,"PROVISIONAL"))</f>
        <v>0.7598474345714459</v>
      </c>
      <c r="N8" s="20">
        <f>IF(SUMIFS(Selections!$T$6:$T$79,Selections!$F$6:$F$79,"PROVISIONAL")=0,"n.a.",(SUMIFS(Selections!$L$6:$L$79,Selections!$F$6:$F$79,"PROVISIONAL",Selections!$T$6:$T$79,1))/SUMIFS(Selections!$T$6:$T$79,Selections!$F$6:$F$79,"PROVISIONAL"))</f>
        <v>0.6666666666666666</v>
      </c>
      <c r="O8" s="20">
        <f>IF(SUMIFS(Selections!$T$6:$T$79,Selections!$F$6:$F$79,"PROVISIONAL")=0,"n.a.",(SUMIFS(Selections!$S$6:$S$79,Selections!$F$6:$F$79,"PROVISIONAL")-(SUMIFS(Selections!$L$6:$L$79,Selections!$F$6:$F$79,"PROVISIONAL",Selections!$T$6:$T$79,1)))/SUMIFS(Selections!$T$6:$T$79,Selections!$F$6:$F$79,"PROVISIONAL"))</f>
        <v>0.09318076790477925</v>
      </c>
      <c r="P8" s="19">
        <f>SUMIFS(Selections!$T$6:$T$79,Selections!$F$6:$F$79,"PROVISIONAL")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COUNTIFS(Selections!$C$6:$C$79,"Bundesliga")</f>
        <v>8</v>
      </c>
      <c r="D9" s="19">
        <f>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</f>
        <v>8</v>
      </c>
      <c r="E9" s="19">
        <f>(COUNTIFS(Selections!$C$6:$C$79,"Bundesliga",Selections!$K$6:$K$79,"WON")+COUNTIFS(Selections!$C$6:$C$79,"Bundesliga",Selections!$K$6:$K$79,"HALF_WON"))</f>
        <v>7</v>
      </c>
      <c r="F9" s="19">
        <f>(COUNTIFS(Selections!$C$6:$C$79,"Bundesliga",Selections!$K$6:$K$79,"LOST")+COUNTIFS(Selections!$C$6:$C$79,"Bundesliga",Selections!$K$6:$K$79,"HALF_LOST"))</f>
        <v>1</v>
      </c>
      <c r="G9" s="19">
        <f>COUNTIFS(Selections!$C$6:$C$79,"Bundesliga")-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</f>
        <v>0</v>
      </c>
      <c r="H9" s="20">
        <f>IF(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=0,"n.a.",(COUNTIFS(Selections!$C$6:$C$79,"Bundesliga",Selections!$K$6:$K$79,"WON")+COUNTIFS(Selections!$C$6:$C$79,"Bundesliga",Selections!$K$6:$K$79,"HALF_WON"))/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)</f>
        <v>0.875</v>
      </c>
      <c r="I9" s="22">
        <f>SUMIFS(Selections!$M$6:$M$79,Selections!$C$6:$C$79,"Bundesliga")</f>
        <v>8</v>
      </c>
      <c r="J9" s="22">
        <f>SUMIFS(Selections!$N$6:$N$79,Selections!$C$6:$C$79,"Bundesliga")</f>
        <v>0.8599999999999999</v>
      </c>
      <c r="K9" s="20">
        <f>IF(SUMIFS(Selections!$M$6:$M$79,Selections!$C$6:$C$79,"Bundesliga")=0,"n.a.",SUMIFS(Selections!$N$6:$N$79,Selections!$C$6:$C$79,"Bundesliga")/SUMIFS(Selections!$M$6:$M$79,Selections!$C$6:$C$79,"Bundesliga"))</f>
        <v>0.10749999999999998</v>
      </c>
      <c r="L9" s="21">
        <f>IF(SUMIFS(Selections!$T$6:$T$79,Selections!$C$6:$C$79,"Bundesliga")=0,"n.a.",SUMIFS(Selections!$O$6:$O$79,Selections!$C$6:$C$79,"Bundesliga")/SUMIFS(Selections!$T$6:$T$79,Selections!$C$6:$C$79,"Bundesliga"))</f>
        <v>0.05476987785554626</v>
      </c>
      <c r="M9" s="20">
        <f>IF(SUMIFS(Selections!$T$6:$T$79,Selections!$C$6:$C$79,"Bundesliga")=0,"n.a.",SUMIFS(Selections!$S$6:$S$79,Selections!$C$6:$C$79,"Bundesliga")/SUMIFS(Selections!$T$6:$T$79,Selections!$C$6:$C$79,"Bundesliga"))</f>
        <v>0.7834511017749206</v>
      </c>
      <c r="N9" s="20">
        <f>IF(SUMIFS(Selections!$T$6:$T$79,Selections!$C$6:$C$79,"Bundesliga")=0,"n.a.",(SUMIFS(Selections!$L$6:$L$79,Selections!$C$6:$C$79,"Bundesliga",Selections!$T$6:$T$79,1))/SUMIFS(Selections!$T$6:$T$79,Selections!$C$6:$C$79,"Bundesliga"))</f>
        <v>0.875</v>
      </c>
      <c r="O9" s="20">
        <f>IF(SUMIFS(Selections!$T$6:$T$79,Selections!$C$6:$C$79,"Bundesliga")=0,"n.a.",(SUMIFS(Selections!$S$6:$S$79,Selections!$C$6:$C$79,"Bundesliga")-(SUMIFS(Selections!$L$6:$L$79,Selections!$C$6:$C$79,"Bundesliga",Selections!$T$6:$T$79,1)))/SUMIFS(Selections!$T$6:$T$79,Selections!$C$6:$C$79,"Bundesliga"))</f>
        <v>-0.09154889822507939</v>
      </c>
      <c r="P9" s="19">
        <f>SUMIFS(Selections!$T$6:$T$79,Selections!$C$6:$C$79,"Bundesliga")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COUNTIFS(Selections!$C$6:$C$79,"Eredivisie")</f>
        <v>3</v>
      </c>
      <c r="D10" s="19">
        <f>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</f>
        <v>2</v>
      </c>
      <c r="E10" s="19">
        <f>(COUNTIFS(Selections!$C$6:$C$79,"Eredivisie",Selections!$K$6:$K$79,"WON")+COUNTIFS(Selections!$C$6:$C$79,"Eredivisie",Selections!$K$6:$K$79,"HALF_WON"))</f>
        <v>1</v>
      </c>
      <c r="F10" s="19">
        <f>(COUNTIFS(Selections!$C$6:$C$79,"Eredivisie",Selections!$K$6:$K$79,"LOST")+COUNTIFS(Selections!$C$6:$C$79,"Eredivisie",Selections!$K$6:$K$79,"HALF_LOST"))</f>
        <v>1</v>
      </c>
      <c r="G10" s="19">
        <f>COUNTIFS(Selections!$C$6:$C$79,"Eredivisie")-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</f>
        <v>1</v>
      </c>
      <c r="H10" s="20">
        <f>IF(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=0,"n.a.",(COUNTIFS(Selections!$C$6:$C$79,"Eredivisie",Selections!$K$6:$K$79,"WON")+COUNTIFS(Selections!$C$6:$C$79,"Eredivisie",Selections!$K$6:$K$79,"HALF_WON"))/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)</f>
        <v>0.5</v>
      </c>
      <c r="I10" s="22">
        <f>SUMIFS(Selections!$M$6:$M$79,Selections!$C$6:$C$79,"Eredivisie")</f>
        <v>2</v>
      </c>
      <c r="J10" s="22">
        <f>SUMIFS(Selections!$N$6:$N$79,Selections!$C$6:$C$79,"Eredivisie")</f>
        <v>-0.65</v>
      </c>
      <c r="K10" s="20">
        <f>IF(SUMIFS(Selections!$M$6:$M$79,Selections!$C$6:$C$79,"Eredivisie")=0,"n.a.",SUMIFS(Selections!$N$6:$N$79,Selections!$C$6:$C$79,"Eredivisie")/SUMIFS(Selections!$M$6:$M$79,Selections!$C$6:$C$79,"Eredivisie"))</f>
        <v>-0.325</v>
      </c>
      <c r="L10" s="21">
        <f>IF(SUMIFS(Selections!$T$6:$T$79,Selections!$C$6:$C$79,"Eredivisie")=0,"n.a.",SUMIFS(Selections!$O$6:$O$79,Selections!$C$6:$C$79,"Eredivisie")/SUMIFS(Selections!$T$6:$T$79,Selections!$C$6:$C$79,"Eredivisie"))</f>
        <v>0.14257965392608346</v>
      </c>
      <c r="M10" s="20">
        <f>IF(SUMIFS(Selections!$T$6:$T$79,Selections!$C$6:$C$79,"Eredivisie")=0,"n.a.",SUMIFS(Selections!$S$6:$S$79,Selections!$C$6:$C$79,"Eredivisie")/SUMIFS(Selections!$T$6:$T$79,Selections!$C$6:$C$79,"Eredivisie"))</f>
        <v>0.6505937799294621</v>
      </c>
      <c r="N10" s="20">
        <f>IF(SUMIFS(Selections!$T$6:$T$79,Selections!$C$6:$C$79,"Eredivisie")=0,"n.a.",(SUMIFS(Selections!$L$6:$L$79,Selections!$C$6:$C$79,"Eredivisie",Selections!$T$6:$T$79,1))/SUMIFS(Selections!$T$6:$T$79,Selections!$C$6:$C$79,"Eredivisie"))</f>
        <v>0.5</v>
      </c>
      <c r="O10" s="20">
        <f>IF(SUMIFS(Selections!$T$6:$T$79,Selections!$C$6:$C$79,"Eredivisie")=0,"n.a.",(SUMIFS(Selections!$S$6:$S$79,Selections!$C$6:$C$79,"Eredivisie")-(SUMIFS(Selections!$L$6:$L$79,Selections!$C$6:$C$79,"Eredivisie",Selections!$T$6:$T$79,1)))/SUMIFS(Selections!$T$6:$T$79,Selections!$C$6:$C$79,"Eredivisie"))</f>
        <v>0.1505937799294621</v>
      </c>
      <c r="P10" s="19">
        <f>SUMIFS(Selections!$T$6:$T$79,Selections!$C$6:$C$79,"Eredivisie")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COUNTIFS(Selections!$C$6:$C$79,"La Liga")</f>
        <v>13</v>
      </c>
      <c r="D11" s="19">
        <f>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</f>
        <v>10</v>
      </c>
      <c r="E11" s="19">
        <f>(COUNTIFS(Selections!$C$6:$C$79,"La Liga",Selections!$K$6:$K$79,"WON")+COUNTIFS(Selections!$C$6:$C$79,"La Liga",Selections!$K$6:$K$79,"HALF_WON"))</f>
        <v>10</v>
      </c>
      <c r="F11" s="19">
        <f>(COUNTIFS(Selections!$C$6:$C$79,"La Liga",Selections!$K$6:$K$79,"LOST")+COUNTIFS(Selections!$C$6:$C$79,"La Liga",Selections!$K$6:$K$79,"HALF_LOST"))</f>
        <v>0</v>
      </c>
      <c r="G11" s="19">
        <f>COUNTIFS(Selections!$C$6:$C$79,"La Liga")-((COUNTIFS(Selections!$C$6:$C$79,"La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</f>
        <v>3</v>
      </c>
      <c r="H11" s="20">
        <f>IF(((COUNTIFS(Selections!$C$6:$C$79,"La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Liga",Selections!$K$6:$K$79,"REFUNDED"))=0,"n.a.",(COUNTIFS(Selections!$C$6:$C$79,"La Liga",Selections!$K$6:$K$79,"WON")+COUNTIFS(Selections!$C$6:$C$79,"La Liga",Selections!$K$6:$K$79,"HALF_WON"))/((COUNTIFS(Selections!$C$6:$C$79,"La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Liga",Selections!$K$6:$K$79,"REFUNDED")))</f>
        <v>1.0</v>
      </c>
      <c r="I11" s="22">
        <f>SUMIFS(Selections!$M$6:$M$79,Selections!$C$6:$C$79,"La Liga")</f>
        <v>10</v>
      </c>
      <c r="J11" s="22">
        <f>SUMIFS(Selections!$N$6:$N$79,Selections!$C$6:$C$79,"La Liga")</f>
        <v>3.3499999999999996</v>
      </c>
      <c r="K11" s="20">
        <f>IF(SUMIFS(Selections!$M$6:$M$79,Selections!$C$6:$C$79,"La Liga")=0,"n.a.",SUMIFS(Selections!$N$6:$N$79,Selections!$C$6:$C$79,"La Liga")/SUMIFS(Selections!$M$6:$M$79,Selections!$C$6:$C$79,"La Liga"))</f>
        <v>0.33499999999999996</v>
      </c>
      <c r="L11" s="21">
        <f>IF(SUMIFS(Selections!$T$6:$T$79,Selections!$C$6:$C$79,"La Liga")=0,"n.a.",SUMIFS(Selections!$O$6:$O$79,Selections!$C$6:$C$79,"La Liga")/SUMIFS(Selections!$T$6:$T$79,Selections!$C$6:$C$79,"La Liga"))</f>
        <v>0.04486184778213071</v>
      </c>
      <c r="M11" s="20">
        <f>IF(SUMIFS(Selections!$T$6:$T$79,Selections!$C$6:$C$79,"La Liga")=0,"n.a.",SUMIFS(Selections!$S$6:$S$79,Selections!$C$6:$C$79,"La Liga")/SUMIFS(Selections!$T$6:$T$79,Selections!$C$6:$C$79,"La Liga"))</f>
        <v>0.8008348272747599</v>
      </c>
      <c r="N11" s="20">
        <f>IF(SUMIFS(Selections!$T$6:$T$79,Selections!$C$6:$C$79,"La Liga")=0,"n.a.",(SUMIFS(Selections!$L$6:$L$79,Selections!$C$6:$C$79,"La Liga",Selections!$T$6:$T$79,1))/SUMIFS(Selections!$T$6:$T$79,Selections!$C$6:$C$79,"La Liga"))</f>
        <v>1.0</v>
      </c>
      <c r="O11" s="20">
        <f>IF(SUMIFS(Selections!$T$6:$T$79,Selections!$C$6:$C$79,"La Liga")=0,"n.a.",(SUMIFS(Selections!$S$6:$S$79,Selections!$C$6:$C$79,"La Liga")-(SUMIFS(Selections!$L$6:$L$79,Selections!$C$6:$C$79,"La Liga",Selections!$T$6:$T$79,1)))/SUMIFS(Selections!$T$6:$T$79,Selections!$C$6:$C$79,"La Liga"))</f>
        <v>-0.19916517272524015</v>
      </c>
      <c r="P11" s="19">
        <f>SUMIFS(Selections!$T$6:$T$79,Selections!$C$6:$C$79,"La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COUNTIFS(Selections!$C$6:$C$79,"Ligue 1")</f>
        <v>7</v>
      </c>
      <c r="D12" s="19">
        <f>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</f>
        <v>5</v>
      </c>
      <c r="E12" s="19">
        <f>(COUNTIFS(Selections!$C$6:$C$79,"Ligue 1",Selections!$K$6:$K$79,"WON")+COUNTIFS(Selections!$C$6:$C$79,"Ligue 1",Selections!$K$6:$K$79,"HALF_WON"))</f>
        <v>3</v>
      </c>
      <c r="F12" s="19">
        <f>(COUNTIFS(Selections!$C$6:$C$79,"Ligue 1",Selections!$K$6:$K$79,"LOST")+COUNTIFS(Selections!$C$6:$C$79,"Ligue 1",Selections!$K$6:$K$79,"HALF_LOST"))</f>
        <v>2</v>
      </c>
      <c r="G12" s="19">
        <f>COUNTIFS(Selections!$C$6:$C$79,"Ligue 1")-((COUNTIFS(Selections!$C$6:$C$79,"Ligue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</f>
        <v>2</v>
      </c>
      <c r="H12" s="20">
        <f>IF(((COUNTIFS(Selections!$C$6:$C$79,"Ligue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1",Selections!$K$6:$K$79,"REFUNDED"))=0,"n.a.",(COUNTIFS(Selections!$C$6:$C$79,"Ligue 1",Selections!$K$6:$K$79,"WON")+COUNTIFS(Selections!$C$6:$C$79,"Ligue 1",Selections!$K$6:$K$79,"HALF_WON"))/((COUNTIFS(Selections!$C$6:$C$79,"Ligue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1",Selections!$K$6:$K$79,"REFUNDED")))</f>
        <v>0.6</v>
      </c>
      <c r="I12" s="22">
        <f>SUMIFS(Selections!$M$6:$M$79,Selections!$C$6:$C$79,"Ligue 1")</f>
        <v>5</v>
      </c>
      <c r="J12" s="22">
        <f>SUMIFS(Selections!$N$6:$N$79,Selections!$C$6:$C$79,"Ligue 1")</f>
        <v>-0.9200000000000002</v>
      </c>
      <c r="K12" s="20">
        <f>IF(SUMIFS(Selections!$M$6:$M$79,Selections!$C$6:$C$79,"Ligue 1")=0,"n.a.",SUMIFS(Selections!$N$6:$N$79,Selections!$C$6:$C$79,"Ligue 1")/SUMIFS(Selections!$M$6:$M$79,Selections!$C$6:$C$79,"Ligue 1"))</f>
        <v>-0.18400000000000002</v>
      </c>
      <c r="L12" s="21">
        <f>IF(SUMIFS(Selections!$T$6:$T$79,Selections!$C$6:$C$79,"Ligue 1")=0,"n.a.",SUMIFS(Selections!$O$6:$O$79,Selections!$C$6:$C$79,"Ligue 1")/SUMIFS(Selections!$T$6:$T$79,Selections!$C$6:$C$79,"Ligue 1"))</f>
        <v>0.24280020699055926</v>
      </c>
      <c r="M12" s="20">
        <f>IF(SUMIFS(Selections!$T$6:$T$79,Selections!$C$6:$C$79,"Ligue 1")=0,"n.a.",SUMIFS(Selections!$S$6:$S$79,Selections!$C$6:$C$79,"Ligue 1")/SUMIFS(Selections!$T$6:$T$79,Selections!$C$6:$C$79,"Ligue 1"))</f>
        <v>0.7165429404243758</v>
      </c>
      <c r="N12" s="20">
        <f>IF(SUMIFS(Selections!$T$6:$T$79,Selections!$C$6:$C$79,"Ligue 1")=0,"n.a.",(SUMIFS(Selections!$L$6:$L$79,Selections!$C$6:$C$79,"Ligue 1",Selections!$T$6:$T$79,1))/SUMIFS(Selections!$T$6:$T$79,Selections!$C$6:$C$79,"Ligue 1"))</f>
        <v>0.6</v>
      </c>
      <c r="O12" s="20">
        <f>IF(SUMIFS(Selections!$T$6:$T$79,Selections!$C$6:$C$79,"Ligue 1")=0,"n.a.",(SUMIFS(Selections!$S$6:$S$79,Selections!$C$6:$C$79,"Ligue 1")-(SUMIFS(Selections!$L$6:$L$79,Selections!$C$6:$C$79,"Ligue 1",Selections!$T$6:$T$79,1)))/SUMIFS(Selections!$T$6:$T$79,Selections!$C$6:$C$79,"Ligue 1"))</f>
        <v>0.11654294042437585</v>
      </c>
      <c r="P12" s="19">
        <f>SUMIFS(Selections!$T$6:$T$79,Selections!$C$6:$C$79,"Ligue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COUNTIFS(Selections!$C$6:$C$79,"Premier League")</f>
        <v>10</v>
      </c>
      <c r="D13" s="19">
        <f>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</f>
        <v>10</v>
      </c>
      <c r="E13" s="19">
        <f>(COUNTIFS(Selections!$C$6:$C$79,"Premier League",Selections!$K$6:$K$79,"WON")+COUNTIFS(Selections!$C$6:$C$79,"Premier League",Selections!$K$6:$K$79,"HALF_WON"))</f>
        <v>6</v>
      </c>
      <c r="F13" s="19">
        <f>(COUNTIFS(Selections!$C$6:$C$79,"Premier League",Selections!$K$6:$K$79,"LOST")+COUNTIFS(Selections!$C$6:$C$79,"Premier League",Selections!$K$6:$K$79,"HALF_LOST"))</f>
        <v>4</v>
      </c>
      <c r="G13" s="19">
        <f>COUNTIFS(Selections!$C$6:$C$79,"Premier League")-((COUNTIFS(Selections!$C$6:$C$79,"Premier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</f>
        <v>0</v>
      </c>
      <c r="H13" s="20">
        <f>IF(((COUNTIFS(Selections!$C$6:$C$79,"Premier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League",Selections!$K$6:$K$79,"REFUNDED"))=0,"n.a.",(COUNTIFS(Selections!$C$6:$C$79,"Premier League",Selections!$K$6:$K$79,"WON")+COUNTIFS(Selections!$C$6:$C$79,"Premier League",Selections!$K$6:$K$79,"HALF_WON"))/((COUNTIFS(Selections!$C$6:$C$79,"Premier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League",Selections!$K$6:$K$79,"REFUNDED")))</f>
        <v>0.6</v>
      </c>
      <c r="I13" s="22">
        <f>SUMIFS(Selections!$M$6:$M$79,Selections!$C$6:$C$79,"Premier League")</f>
        <v>10</v>
      </c>
      <c r="J13" s="22">
        <f>SUMIFS(Selections!$N$6:$N$79,Selections!$C$6:$C$79,"Premier League")</f>
        <v>-0.91</v>
      </c>
      <c r="K13" s="20">
        <f>IF(SUMIFS(Selections!$M$6:$M$79,Selections!$C$6:$C$79,"Premier League")=0,"n.a.",SUMIFS(Selections!$N$6:$N$79,Selections!$C$6:$C$79,"Premier League")/SUMIFS(Selections!$M$6:$M$79,Selections!$C$6:$C$79,"Premier League"))</f>
        <v>-0.091</v>
      </c>
      <c r="L13" s="21">
        <f>IF(SUMIFS(Selections!$T$6:$T$79,Selections!$C$6:$C$79,"Premier League")=0,"n.a.",SUMIFS(Selections!$O$6:$O$79,Selections!$C$6:$C$79,"Premier League")/SUMIFS(Selections!$T$6:$T$79,Selections!$C$6:$C$79,"Premier League"))</f>
        <v>0.2710779075766395</v>
      </c>
      <c r="M13" s="20">
        <f>IF(SUMIFS(Selections!$T$6:$T$79,Selections!$C$6:$C$79,"Premier League")=0,"n.a.",SUMIFS(Selections!$S$6:$S$79,Selections!$C$6:$C$79,"Premier League")/SUMIFS(Selections!$T$6:$T$79,Selections!$C$6:$C$79,"Premier League"))</f>
        <v>0.73688098969651</v>
      </c>
      <c r="N13" s="20">
        <f>IF(SUMIFS(Selections!$T$6:$T$79,Selections!$C$6:$C$79,"Premier League")=0,"n.a.",(SUMIFS(Selections!$L$6:$L$79,Selections!$C$6:$C$79,"Premier League",Selections!$T$6:$T$79,1))/SUMIFS(Selections!$T$6:$T$79,Selections!$C$6:$C$79,"Premier League"))</f>
        <v>0.6</v>
      </c>
      <c r="O13" s="20">
        <f>IF(SUMIFS(Selections!$T$6:$T$79,Selections!$C$6:$C$79,"Premier League")=0,"n.a.",(SUMIFS(Selections!$S$6:$S$79,Selections!$C$6:$C$79,"Premier League")-(SUMIFS(Selections!$L$6:$L$79,Selections!$C$6:$C$79,"Premier League",Selections!$T$6:$T$79,1)))/SUMIFS(Selections!$T$6:$T$79,Selections!$C$6:$C$79,"Premier League"))</f>
        <v>0.13688098969650997</v>
      </c>
      <c r="P13" s="19">
        <f>SUMIFS(Selections!$T$6:$T$79,Selections!$C$6:$C$79,"Premier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COUNTIFS(Selections!$C$6:$C$79,"Primeira Liga")</f>
        <v>4</v>
      </c>
      <c r="D14" s="19">
        <f>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</f>
        <v>1</v>
      </c>
      <c r="E14" s="19">
        <f>(COUNTIFS(Selections!$C$6:$C$79,"Primeira Liga",Selections!$K$6:$K$79,"WON")+COUNTIFS(Selections!$C$6:$C$79,"Primeira Liga",Selections!$K$6:$K$79,"HALF_WON"))</f>
        <v>1</v>
      </c>
      <c r="F14" s="19">
        <f>(COUNTIFS(Selections!$C$6:$C$79,"Primeira Liga",Selections!$K$6:$K$79,"LOST")+COUNTIFS(Selections!$C$6:$C$79,"Primeira Liga",Selections!$K$6:$K$79,"HALF_LOST"))</f>
        <v>0</v>
      </c>
      <c r="G14" s="19">
        <f>COUNTIFS(Selections!$C$6:$C$79,"Primeira Liga")-((COUNTIFS(Selections!$C$6:$C$79,"Primeira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</f>
        <v>3</v>
      </c>
      <c r="H14" s="20">
        <f>IF(((COUNTIFS(Selections!$C$6:$C$79,"Primeira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Liga",Selections!$K$6:$K$79,"REFUNDED"))=0,"n.a.",(COUNTIFS(Selections!$C$6:$C$79,"Primeira Liga",Selections!$K$6:$K$79,"WON")+COUNTIFS(Selections!$C$6:$C$79,"Primeira Liga",Selections!$K$6:$K$79,"HALF_WON"))/((COUNTIFS(Selections!$C$6:$C$79,"Primeira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Liga",Selections!$K$6:$K$79,"REFUNDED")))</f>
        <v>1.0</v>
      </c>
      <c r="I14" s="22">
        <f>SUMIFS(Selections!$M$6:$M$79,Selections!$C$6:$C$79,"Primeira Liga")</f>
        <v>1</v>
      </c>
      <c r="J14" s="22">
        <f>SUMIFS(Selections!$N$6:$N$79,Selections!$C$6:$C$79,"Primeira Liga")</f>
        <v>1.0899999999999999</v>
      </c>
      <c r="K14" s="20">
        <f>IF(SUMIFS(Selections!$M$6:$M$79,Selections!$C$6:$C$79,"Primeira Liga")=0,"n.a.",SUMIFS(Selections!$N$6:$N$79,Selections!$C$6:$C$79,"Primeira Liga")/SUMIFS(Selections!$M$6:$M$79,Selections!$C$6:$C$79,"Primeira Liga"))</f>
        <v>1.0899999999999999</v>
      </c>
      <c r="L14" s="21">
        <f>IF(SUMIFS(Selections!$T$6:$T$79,Selections!$C$6:$C$79,"Primeira Liga")=0,"n.a.",SUMIFS(Selections!$O$6:$O$79,Selections!$C$6:$C$79,"Primeira Liga")/SUMIFS(Selections!$T$6:$T$79,Selections!$C$6:$C$79,"Primeira Liga"))</f>
        <v>0.3218146879483473</v>
      </c>
      <c r="M14" s="20">
        <f>IF(SUMIFS(Selections!$T$6:$T$79,Selections!$C$6:$C$79,"Primeira Liga")=0,"n.a.",SUMIFS(Selections!$S$6:$S$79,Selections!$C$6:$C$79,"Primeira Liga")/SUMIFS(Selections!$T$6:$T$79,Selections!$C$6:$C$79,"Primeira Liga"))</f>
        <v>0.4327128699253373</v>
      </c>
      <c r="N14" s="20">
        <f>IF(SUMIFS(Selections!$T$6:$T$79,Selections!$C$6:$C$79,"Primeira Liga")=0,"n.a.",(SUMIFS(Selections!$L$6:$L$79,Selections!$C$6:$C$79,"Primeira Liga",Selections!$T$6:$T$79,1))/SUMIFS(Selections!$T$6:$T$79,Selections!$C$6:$C$79,"Primeira Liga"))</f>
        <v>1.0</v>
      </c>
      <c r="O14" s="20">
        <f>IF(SUMIFS(Selections!$T$6:$T$79,Selections!$C$6:$C$79,"Primeira Liga")=0,"n.a.",(SUMIFS(Selections!$S$6:$S$79,Selections!$C$6:$C$79,"Primeira Liga")-(SUMIFS(Selections!$L$6:$L$79,Selections!$C$6:$C$79,"Primeira Liga",Selections!$T$6:$T$79,1)))/SUMIFS(Selections!$T$6:$T$79,Selections!$C$6:$C$79,"Primeira Liga"))</f>
        <v>-0.5672871300746627</v>
      </c>
      <c r="P14" s="19">
        <f>SUMIFS(Selections!$T$6:$T$79,Selections!$C$6:$C$79,"Primeira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COUNTIFS(Selections!$C$6:$C$79,"Serie A")</f>
        <v>15</v>
      </c>
      <c r="D15" s="19">
        <f>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</f>
        <v>13</v>
      </c>
      <c r="E15" s="19">
        <f>(COUNTIFS(Selections!$C$6:$C$79,"Serie A",Selections!$K$6:$K$79,"WON")+COUNTIFS(Selections!$C$6:$C$79,"Serie A",Selections!$K$6:$K$79,"HALF_WON"))</f>
        <v>8</v>
      </c>
      <c r="F15" s="19">
        <f>(COUNTIFS(Selections!$C$6:$C$79,"Serie A",Selections!$K$6:$K$79,"LOST")+COUNTIFS(Selections!$C$6:$C$79,"Serie A",Selections!$K$6:$K$79,"HALF_LOST"))</f>
        <v>4</v>
      </c>
      <c r="G15" s="19">
        <f>COUNTIFS(Selections!$C$6:$C$79,"Serie A")-((COUNTIFS(Selections!$C$6:$C$79,"Serie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</f>
        <v>2</v>
      </c>
      <c r="H15" s="20">
        <f>IF(((COUNTIFS(Selections!$C$6:$C$79,"Serie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A",Selections!$K$6:$K$79,"REFUNDED"))=0,"n.a.",(COUNTIFS(Selections!$C$6:$C$79,"Serie A",Selections!$K$6:$K$79,"WON")+COUNTIFS(Selections!$C$6:$C$79,"Serie A",Selections!$K$6:$K$79,"HALF_WON"))/((COUNTIFS(Selections!$C$6:$C$79,"Serie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A",Selections!$K$6:$K$79,"REFUNDED")))</f>
        <v>0.6153846153846154</v>
      </c>
      <c r="I15" s="22">
        <f>SUMIFS(Selections!$M$6:$M$79,Selections!$C$6:$C$79,"Serie A")</f>
        <v>13</v>
      </c>
      <c r="J15" s="22">
        <f>SUMIFS(Selections!$N$6:$N$79,Selections!$C$6:$C$79,"Serie A")</f>
        <v>-0.9499999999999998</v>
      </c>
      <c r="K15" s="20">
        <f>IF(SUMIFS(Selections!$M$6:$M$79,Selections!$C$6:$C$79,"Serie A")=0,"n.a.",SUMIFS(Selections!$N$6:$N$79,Selections!$C$6:$C$79,"Serie A")/SUMIFS(Selections!$M$6:$M$79,Selections!$C$6:$C$79,"Serie A"))</f>
        <v>-0.07307692307692307</v>
      </c>
      <c r="L15" s="21">
        <f>IF(SUMIFS(Selections!$T$6:$T$79,Selections!$C$6:$C$79,"Serie A")=0,"n.a.",SUMIFS(Selections!$O$6:$O$79,Selections!$C$6:$C$79,"Serie A")/SUMIFS(Selections!$T$6:$T$79,Selections!$C$6:$C$79,"Serie A"))</f>
        <v>0.16064971066314016</v>
      </c>
      <c r="M15" s="20">
        <f>IF(SUMIFS(Selections!$T$6:$T$79,Selections!$C$6:$C$79,"Serie A")=0,"n.a.",SUMIFS(Selections!$S$6:$S$79,Selections!$C$6:$C$79,"Serie A")/SUMIFS(Selections!$T$6:$T$79,Selections!$C$6:$C$79,"Serie A"))</f>
        <v>0.7185948616364346</v>
      </c>
      <c r="N15" s="20">
        <f>IF(SUMIFS(Selections!$T$6:$T$79,Selections!$C$6:$C$79,"Serie A")=0,"n.a.",(SUMIFS(Selections!$L$6:$L$79,Selections!$C$6:$C$79,"Serie A",Selections!$T$6:$T$79,1))/SUMIFS(Selections!$T$6:$T$79,Selections!$C$6:$C$79,"Serie A"))</f>
        <v>0.6923076923076923</v>
      </c>
      <c r="O15" s="20">
        <f>IF(SUMIFS(Selections!$T$6:$T$79,Selections!$C$6:$C$79,"Serie A")=0,"n.a.",(SUMIFS(Selections!$S$6:$S$79,Selections!$C$6:$C$79,"Serie A")-(SUMIFS(Selections!$L$6:$L$79,Selections!$C$6:$C$79,"Serie A",Selections!$T$6:$T$79,1)))/SUMIFS(Selections!$T$6:$T$79,Selections!$C$6:$C$79,"Serie A"))</f>
        <v>0.02628716932874231</v>
      </c>
      <c r="P15" s="19">
        <f>SUMIFS(Selections!$T$6:$T$79,Selections!$C$6:$C$79,"Serie A")</f>
        <v>13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(n=13).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COUNTIFS(Selections!$C$6:$C$79,"UEFA Champions League")</f>
        <v>14</v>
      </c>
      <c r="D16" s="19">
        <f>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</f>
        <v>12</v>
      </c>
      <c r="E16" s="19">
        <f>(COUNTIFS(Selections!$C$6:$C$79,"UEFA Champions League",Selections!$K$6:$K$79,"WON")+COUNTIFS(Selections!$C$6:$C$79,"UEFA Champions League",Selections!$K$6:$K$79,"HALF_WON"))</f>
        <v>10</v>
      </c>
      <c r="F16" s="19">
        <f>(COUNTIFS(Selections!$C$6:$C$79,"UEFA Champions League",Selections!$K$6:$K$79,"LOST")+COUNTIFS(Selections!$C$6:$C$79,"UEFA Champions League",Selections!$K$6:$K$79,"HALF_LOST"))</f>
        <v>2</v>
      </c>
      <c r="G16" s="19">
        <f>COUNTIFS(Selections!$C$6:$C$79,"UEFA Champions League")-((COUNTIFS(Selections!$C$6:$C$79,"UEFA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</f>
        <v>2</v>
      </c>
      <c r="H16" s="20">
        <f>IF(((COUNTIFS(Selections!$C$6:$C$79,"UEFA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League",Selections!$K$6:$K$79,"REFUNDED"))=0,"n.a.",(COUNTIFS(Selections!$C$6:$C$79,"UEFA Champions League",Selections!$K$6:$K$79,"WON")+COUNTIFS(Selections!$C$6:$C$79,"UEFA Champions League",Selections!$K$6:$K$79,"HALF_WON"))/((COUNTIFS(Selections!$C$6:$C$79,"UEFA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League",Selections!$K$6:$K$79,"REFUNDED")))</f>
        <v>0.8333333333333334</v>
      </c>
      <c r="I16" s="22">
        <f>SUMIFS(Selections!$M$6:$M$79,Selections!$C$6:$C$79,"UEFA Champions League")</f>
        <v>12</v>
      </c>
      <c r="J16" s="22">
        <f>SUMIFS(Selections!$N$6:$N$79,Selections!$C$6:$C$79,"UEFA Champions League")</f>
        <v>2.01</v>
      </c>
      <c r="K16" s="20">
        <f>IF(SUMIFS(Selections!$M$6:$M$79,Selections!$C$6:$C$79,"UEFA Champions League")=0,"n.a.",SUMIFS(Selections!$N$6:$N$79,Selections!$C$6:$C$79,"UEFA Champions League")/SUMIFS(Selections!$M$6:$M$79,Selections!$C$6:$C$79,"UEFA Champions League"))</f>
        <v>0.16749999999999998</v>
      </c>
      <c r="L16" s="21">
        <f>IF(SUMIFS(Selections!$T$6:$T$79,Selections!$C$6:$C$79,"UEFA Champions League")=0,"n.a.",SUMIFS(Selections!$O$6:$O$79,Selections!$C$6:$C$79,"UEFA Champions League")/SUMIFS(Selections!$T$6:$T$79,Selections!$C$6:$C$79,"UEFA Champions League"))</f>
        <v>0.14431274457999424</v>
      </c>
      <c r="M16" s="20">
        <f>IF(SUMIFS(Selections!$T$6:$T$79,Selections!$C$6:$C$79,"UEFA Champions League")=0,"n.a.",SUMIFS(Selections!$S$6:$S$79,Selections!$C$6:$C$79,"UEFA Champions League")/SUMIFS(Selections!$T$6:$T$79,Selections!$C$6:$C$79,"UEFA Champions League"))</f>
        <v>0.7728553874198951</v>
      </c>
      <c r="N16" s="20">
        <f>IF(SUMIFS(Selections!$T$6:$T$79,Selections!$C$6:$C$79,"UEFA Champions League")=0,"n.a.",(SUMIFS(Selections!$L$6:$L$79,Selections!$C$6:$C$79,"UEFA Champions League",Selections!$T$6:$T$79,1))/SUMIFS(Selections!$T$6:$T$79,Selections!$C$6:$C$79,"UEFA Champions League"))</f>
        <v>0.8333333333333334</v>
      </c>
      <c r="O16" s="20">
        <f>IF(SUMIFS(Selections!$T$6:$T$79,Selections!$C$6:$C$79,"UEFA Champions League")=0,"n.a.",(SUMIFS(Selections!$S$6:$S$79,Selections!$C$6:$C$79,"UEFA Champions League")-(SUMIFS(Selections!$L$6:$L$79,Selections!$C$6:$C$79,"UEFA Champions League",Selections!$T$6:$T$79,1)))/SUMIFS(Selections!$T$6:$T$79,Selections!$C$6:$C$79,"UEFA Champions League"))</f>
        <v>-0.06047794591343825</v>
      </c>
      <c r="P16" s="19">
        <f>SUMIFS(Selections!$T$6:$T$79,Selections!$C$6:$C$79,"UEFA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COUNTIFS(Selections!$E$6:$E$79,"Asian Handicap Away +1.00")</f>
        <v>2</v>
      </c>
      <c r="D17" s="19">
        <f>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</f>
        <v>1</v>
      </c>
      <c r="E17" s="19">
        <f>(COUNTIFS(Selections!$E$6:$E$79,"Asian Handicap Away +1.00",Selections!$K$6:$K$79,"WON")+COUNTIFS(Selections!$E$6:$E$79,"Asian Handicap Away +1.00",Selections!$K$6:$K$79,"HALF_WON"))</f>
        <v>1</v>
      </c>
      <c r="F17" s="19">
        <f>(COUNTIFS(Selections!$E$6:$E$79,"Asian Handicap Away +1.00",Selections!$K$6:$K$79,"LOST")+COUNTIFS(Selections!$E$6:$E$79,"Asian Handicap Away +1.00",Selections!$K$6:$K$79,"HALF_LOST"))</f>
        <v>0</v>
      </c>
      <c r="G17" s="19">
        <f>COUNTIFS(Selections!$E$6:$E$79,"Asian Handicap Away +1.00")-((COUNTIFS(Selections!$E$6:$E$79,"Asian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</f>
        <v>1</v>
      </c>
      <c r="H17" s="20">
        <f>IF(((COUNTIFS(Selections!$E$6:$E$79,"Asian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+1.00",Selections!$K$6:$K$79,"REFUNDED"))=0,"n.a.",(COUNTIFS(Selections!$E$6:$E$79,"Asian Handicap Away +1.00",Selections!$K$6:$K$79,"WON")+COUNTIFS(Selections!$E$6:$E$79,"Asian Handicap Away +1.00",Selections!$K$6:$K$79,"HALF_WON"))/((COUNTIFS(Selections!$E$6:$E$79,"Asian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+1.00",Selections!$K$6:$K$79,"REFUNDED")))</f>
        <v>1.0</v>
      </c>
      <c r="I17" s="22">
        <f>SUMIFS(Selections!$M$6:$M$79,Selections!$E$6:$E$79,"Asian Handicap Away +1.00")</f>
        <v>1</v>
      </c>
      <c r="J17" s="22">
        <f>SUMIFS(Selections!$N$6:$N$79,Selections!$E$6:$E$79,"Asian Handicap Away +1.00")</f>
        <v>0.58</v>
      </c>
      <c r="K17" s="20">
        <f>IF(SUMIFS(Selections!$M$6:$M$79,Selections!$E$6:$E$79,"Asian Handicap Away +1.00")=0,"n.a.",SUMIFS(Selections!$N$6:$N$79,Selections!$E$6:$E$79,"Asian Handicap Away +1.00")/SUMIFS(Selections!$M$6:$M$79,Selections!$E$6:$E$79,"Asian Handicap Away +1.00"))</f>
        <v>0.58</v>
      </c>
      <c r="L17" s="21">
        <f>IF(SUMIFS(Selections!$T$6:$T$79,Selections!$E$6:$E$79,"Asian Handicap Away +1.00")=0,"n.a.",SUMIFS(Selections!$O$6:$O$79,Selections!$E$6:$E$79,"Asian Handicap Away +1.00")/SUMIFS(Selections!$T$6:$T$79,Selections!$E$6:$E$79,"Asian Handicap Away +1.00"))</f>
        <v>0.061763712158882544</v>
      </c>
      <c r="M17" s="20">
        <f>IF(SUMIFS(Selections!$T$6:$T$79,Selections!$E$6:$E$79,"Asian Handicap Away +1.00")=0,"n.a.",SUMIFS(Selections!$S$6:$S$79,Selections!$E$6:$E$79,"Asian Handicap Away +1.00")/SUMIFS(Selections!$T$6:$T$79,Selections!$E$6:$E$79,"Asian Handicap Away +1.00"))</f>
        <v>0.7514769383761689</v>
      </c>
      <c r="N17" s="20">
        <f>IF(SUMIFS(Selections!$T$6:$T$79,Selections!$E$6:$E$79,"Asian Handicap Away +1.00")=0,"n.a.",(SUMIFS(Selections!$L$6:$L$79,Selections!$E$6:$E$79,"Asian Handicap Away +1.00",Selections!$T$6:$T$79,1))/SUMIFS(Selections!$T$6:$T$79,Selections!$E$6:$E$79,"Asian Handicap Away +1.00"))</f>
        <v>1.0</v>
      </c>
      <c r="O17" s="20">
        <f>IF(SUMIFS(Selections!$T$6:$T$79,Selections!$E$6:$E$79,"Asian Handicap Away +1.00")=0,"n.a.",(SUMIFS(Selections!$S$6:$S$79,Selections!$E$6:$E$79,"Asian Handicap Away +1.00")-(SUMIFS(Selections!$L$6:$L$79,Selections!$E$6:$E$79,"Asian Handicap Away +1.00",Selections!$T$6:$T$79,1)))/SUMIFS(Selections!$T$6:$T$79,Selections!$E$6:$E$79,"Asian Handicap Away +1.00"))</f>
        <v>-0.2485230616238311</v>
      </c>
      <c r="P17" s="19">
        <f>SUMIFS(Selections!$T$6:$T$79,Selections!$E$6:$E$79,"Asian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COUNTIFS(Selections!$E$6:$E$79,"Asian Handicap Away +1.25")</f>
        <v>1</v>
      </c>
      <c r="D18" s="19">
        <f>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</f>
        <v>1</v>
      </c>
      <c r="E18" s="19">
        <f>(COUNTIFS(Selections!$E$6:$E$79,"Asian Handicap Away +1.25",Selections!$K$6:$K$79,"WON")+COUNTIFS(Selections!$E$6:$E$79,"Asian Handicap Away +1.25",Selections!$K$6:$K$79,"HALF_WON"))</f>
        <v>1</v>
      </c>
      <c r="F18" s="19">
        <f>(COUNTIFS(Selections!$E$6:$E$79,"Asian Handicap Away +1.25",Selections!$K$6:$K$79,"LOST")+COUNTIFS(Selections!$E$6:$E$79,"Asian Handicap Away +1.25",Selections!$K$6:$K$79,"HALF_LOST"))</f>
        <v>0</v>
      </c>
      <c r="G18" s="19">
        <f>COUNTIFS(Selections!$E$6:$E$79,"Asian Handicap Away +1.25")-((COUNTIFS(Selections!$E$6:$E$79,"Asian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</f>
        <v>0</v>
      </c>
      <c r="H18" s="20">
        <f>IF(((COUNTIFS(Selections!$E$6:$E$79,"Asian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+1.25",Selections!$K$6:$K$79,"REFUNDED"))=0,"n.a.",(COUNTIFS(Selections!$E$6:$E$79,"Asian Handicap Away +1.25",Selections!$K$6:$K$79,"WON")+COUNTIFS(Selections!$E$6:$E$79,"Asian Handicap Away +1.25",Selections!$K$6:$K$79,"HALF_WON"))/((COUNTIFS(Selections!$E$6:$E$79,"Asian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+1.25",Selections!$K$6:$K$79,"REFUNDED")))</f>
        <v>1.0</v>
      </c>
      <c r="I18" s="22">
        <f>SUMIFS(Selections!$M$6:$M$79,Selections!$E$6:$E$79,"Asian Handicap Away +1.25")</f>
        <v>1</v>
      </c>
      <c r="J18" s="22">
        <f>SUMIFS(Selections!$N$6:$N$79,Selections!$E$6:$E$79,"Asian Handicap Away +1.25")</f>
        <v>0.16</v>
      </c>
      <c r="K18" s="20">
        <f>IF(SUMIFS(Selections!$M$6:$M$79,Selections!$E$6:$E$79,"Asian Handicap Away +1.25")=0,"n.a.",SUMIFS(Selections!$N$6:$N$79,Selections!$E$6:$E$79,"Asian Handicap Away +1.25")/SUMIFS(Selections!$M$6:$M$79,Selections!$E$6:$E$79,"Asian Handicap Away +1.25"))</f>
        <v>0.16</v>
      </c>
      <c r="L18" s="21">
        <f>IF(SUMIFS(Selections!$T$6:$T$79,Selections!$E$6:$E$79,"Asian Handicap Away +1.25")=0,"n.a.",SUMIFS(Selections!$O$6:$O$79,Selections!$E$6:$E$79,"Asian Handicap Away +1.25")/SUMIFS(Selections!$T$6:$T$79,Selections!$E$6:$E$79,"Asian Handicap Away +1.25"))</f>
        <v>0.024359397046770922</v>
      </c>
      <c r="M18" s="20">
        <f>IF(SUMIFS(Selections!$T$6:$T$79,Selections!$E$6:$E$79,"Asian Handicap Away +1.25")=0,"n.a.",SUMIFS(Selections!$S$6:$S$79,Selections!$E$6:$E$79,"Asian Handicap Away +1.25")/SUMIFS(Selections!$T$6:$T$79,Selections!$E$6:$E$79,"Asian Handicap Away +1.25"))</f>
        <v>0.8439250274811143</v>
      </c>
      <c r="N18" s="20">
        <f>IF(SUMIFS(Selections!$T$6:$T$79,Selections!$E$6:$E$79,"Asian Handicap Away +1.25")=0,"n.a.",(SUMIFS(Selections!$L$6:$L$79,Selections!$E$6:$E$79,"Asian Handicap Away +1.25",Selections!$T$6:$T$79,1))/SUMIFS(Selections!$T$6:$T$79,Selections!$E$6:$E$79,"Asian Handicap Away +1.25"))</f>
        <v>1.0</v>
      </c>
      <c r="O18" s="20">
        <f>IF(SUMIFS(Selections!$T$6:$T$79,Selections!$E$6:$E$79,"Asian Handicap Away +1.25")=0,"n.a.",(SUMIFS(Selections!$S$6:$S$79,Selections!$E$6:$E$79,"Asian Handicap Away +1.25")-(SUMIFS(Selections!$L$6:$L$79,Selections!$E$6:$E$79,"Asian Handicap Away +1.25",Selections!$T$6:$T$79,1)))/SUMIFS(Selections!$T$6:$T$79,Selections!$E$6:$E$79,"Asian Handicap Away +1.25"))</f>
        <v>-0.1560749725188857</v>
      </c>
      <c r="P18" s="19">
        <f>SUMIFS(Selections!$T$6:$T$79,Selections!$E$6:$E$79,"Asian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COUNTIFS(Selections!$E$6:$E$79,"Asian Handicap Away +2.00")</f>
        <v>4</v>
      </c>
      <c r="D19" s="19">
        <f>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</f>
        <v>4</v>
      </c>
      <c r="E19" s="19">
        <f>(COUNTIFS(Selections!$E$6:$E$79,"Asian Handicap Away +2.00",Selections!$K$6:$K$79,"WON")+COUNTIFS(Selections!$E$6:$E$79,"Asian Handicap Away +2.00",Selections!$K$6:$K$79,"HALF_WON"))</f>
        <v>3</v>
      </c>
      <c r="F19" s="19">
        <f>(COUNTIFS(Selections!$E$6:$E$79,"Asian Handicap Away +2.00",Selections!$K$6:$K$79,"LOST")+COUNTIFS(Selections!$E$6:$E$79,"Asian Handicap Away +2.00",Selections!$K$6:$K$79,"HALF_LOST"))</f>
        <v>0</v>
      </c>
      <c r="G19" s="19">
        <f>COUNTIFS(Selections!$E$6:$E$79,"Asian Handicap Away +2.00")-((COUNTIFS(Selections!$E$6:$E$79,"Asian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</f>
        <v>0</v>
      </c>
      <c r="H19" s="20">
        <f>IF(((COUNTIFS(Selections!$E$6:$E$79,"Asian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+2.00",Selections!$K$6:$K$79,"REFUNDED"))=0,"n.a.",(COUNTIFS(Selections!$E$6:$E$79,"Asian Handicap Away +2.00",Selections!$K$6:$K$79,"WON")+COUNTIFS(Selections!$E$6:$E$79,"Asian Handicap Away +2.00",Selections!$K$6:$K$79,"HALF_WON"))/((COUNTIFS(Selections!$E$6:$E$79,"Asian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+2.00",Selections!$K$6:$K$79,"REFUNDED")))</f>
        <v>0.75</v>
      </c>
      <c r="I19" s="22">
        <f>SUMIFS(Selections!$M$6:$M$79,Selections!$E$6:$E$79,"Asian Handicap Away +2.00")</f>
        <v>4</v>
      </c>
      <c r="J19" s="22">
        <f>SUMIFS(Selections!$N$6:$N$79,Selections!$E$6:$E$79,"Asian Handicap Away +2.00")</f>
        <v>1.17</v>
      </c>
      <c r="K19" s="20">
        <f>IF(SUMIFS(Selections!$M$6:$M$79,Selections!$E$6:$E$79,"Asian Handicap Away +2.00")=0,"n.a.",SUMIFS(Selections!$N$6:$N$79,Selections!$E$6:$E$79,"Asian Handicap Away +2.00")/SUMIFS(Selections!$M$6:$M$79,Selections!$E$6:$E$79,"Asian Handicap Away +2.00"))</f>
        <v>0.2925</v>
      </c>
      <c r="L19" s="21">
        <f>IF(SUMIFS(Selections!$T$6:$T$79,Selections!$E$6:$E$79,"Asian Handicap Away +2.00")=0,"n.a.",SUMIFS(Selections!$O$6:$O$79,Selections!$E$6:$E$79,"Asian Handicap Away +2.00")/SUMIFS(Selections!$T$6:$T$79,Selections!$E$6:$E$79,"Asian Handicap Away +2.00"))</f>
        <v>0.030287940809718607</v>
      </c>
      <c r="M19" s="20">
        <f>IF(SUMIFS(Selections!$T$6:$T$79,Selections!$E$6:$E$79,"Asian Handicap Away +2.00")=0,"n.a.",SUMIFS(Selections!$S$6:$S$79,Selections!$E$6:$E$79,"Asian Handicap Away +2.00")/SUMIFS(Selections!$T$6:$T$79,Selections!$E$6:$E$79,"Asian Handicap Away +2.00"))</f>
        <v>0.8352097137017651</v>
      </c>
      <c r="N19" s="20">
        <f>IF(SUMIFS(Selections!$T$6:$T$79,Selections!$E$6:$E$79,"Asian Handicap Away +2.00")=0,"n.a.",(SUMIFS(Selections!$L$6:$L$79,Selections!$E$6:$E$79,"Asian Handicap Away +2.00",Selections!$T$6:$T$79,1))/SUMIFS(Selections!$T$6:$T$79,Selections!$E$6:$E$79,"Asian Handicap Away +2.00"))</f>
        <v>1.0</v>
      </c>
      <c r="O19" s="20">
        <f>IF(SUMIFS(Selections!$T$6:$T$79,Selections!$E$6:$E$79,"Asian Handicap Away +2.00")=0,"n.a.",(SUMIFS(Selections!$S$6:$S$79,Selections!$E$6:$E$79,"Asian Handicap Away +2.00")-(SUMIFS(Selections!$L$6:$L$79,Selections!$E$6:$E$79,"Asian Handicap Away +2.00",Selections!$T$6:$T$79,1)))/SUMIFS(Selections!$T$6:$T$79,Selections!$E$6:$E$79,"Asian Handicap Away +2.00"))</f>
        <v>-0.1647902862982349</v>
      </c>
      <c r="P19" s="19">
        <f>SUMIFS(Selections!$T$6:$T$79,Selections!$E$6:$E$79,"Asian Handicap Away +2.00")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COUNTIFS(Selections!$E$6:$E$79,"Asian Handicap Away +2.25")</f>
        <v>1</v>
      </c>
      <c r="D20" s="19">
        <f>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</f>
        <v>0</v>
      </c>
      <c r="E20" s="19">
        <f>(COUNTIFS(Selections!$E$6:$E$79,"Asian Handicap Away +2.25",Selections!$K$6:$K$79,"WON")+COUNTIFS(Selections!$E$6:$E$79,"Asian Handicap Away +2.25",Selections!$K$6:$K$79,"HALF_WON"))</f>
        <v>0</v>
      </c>
      <c r="F20" s="19">
        <f>(COUNTIFS(Selections!$E$6:$E$79,"Asian Handicap Away +2.25",Selections!$K$6:$K$79,"LOST")+COUNTIFS(Selections!$E$6:$E$79,"Asian Handicap Away +2.25",Selections!$K$6:$K$79,"HALF_LOST"))</f>
        <v>0</v>
      </c>
      <c r="G20" s="19">
        <f>COUNTIFS(Selections!$E$6:$E$79,"Asian Handicap Away +2.25")-((COUNTIFS(Selections!$E$6:$E$79,"Asian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</f>
        <v>1</v>
      </c>
      <c r="H20" s="20" t="str">
        <f>IF(((COUNTIFS(Selections!$E$6:$E$79,"Asian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+2.25",Selections!$K$6:$K$79,"REFUNDED"))=0,"n.a.",(COUNTIFS(Selections!$E$6:$E$79,"Asian Handicap Away +2.25",Selections!$K$6:$K$79,"WON")+COUNTIFS(Selections!$E$6:$E$79,"Asian Handicap Away +2.25",Selections!$K$6:$K$79,"HALF_WON"))/((COUNTIFS(Selections!$E$6:$E$79,"Asian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+2.25",Selections!$K$6:$K$79,"REFUNDED")))</f>
        <v>n.a.</v>
      </c>
      <c r="I20" s="22">
        <f>SUMIFS(Selections!$M$6:$M$79,Selections!$E$6:$E$79,"Asian Handicap Away +2.25")</f>
        <v>0</v>
      </c>
      <c r="J20" s="22">
        <f>SUMIFS(Selections!$N$6:$N$79,Selections!$E$6:$E$79,"Asian Handicap Away +2.25")</f>
        <v>0</v>
      </c>
      <c r="K20" s="20" t="str">
        <f>IF(SUMIFS(Selections!$M$6:$M$79,Selections!$E$6:$E$79,"Asian Handicap Away +2.25")=0,"n.a.",SUMIFS(Selections!$N$6:$N$79,Selections!$E$6:$E$79,"Asian Handicap Away +2.25")/SUMIFS(Selections!$M$6:$M$79,Selections!$E$6:$E$79,"Asian Handicap Away +2.25"))</f>
        <v>n.a.</v>
      </c>
      <c r="L20" s="21" t="str">
        <f>IF(SUMIFS(Selections!$T$6:$T$79,Selections!$E$6:$E$79,"Asian Handicap Away +2.25")=0,"n.a.",SUMIFS(Selections!$O$6:$O$79,Selections!$E$6:$E$79,"Asian Handicap Away +2.25")/SUMIFS(Selections!$T$6:$T$79,Selections!$E$6:$E$79,"Asian Handicap Away +2.25"))</f>
        <v>n.a.</v>
      </c>
      <c r="M20" s="20" t="str">
        <f>IF(SUMIFS(Selections!$T$6:$T$79,Selections!$E$6:$E$79,"Asian Handicap Away +2.25")=0,"n.a.",SUMIFS(Selections!$S$6:$S$79,Selections!$E$6:$E$79,"Asian Handicap Away +2.25")/SUMIFS(Selections!$T$6:$T$79,Selections!$E$6:$E$79,"Asian Handicap Away +2.25"))</f>
        <v>n.a.</v>
      </c>
      <c r="N20" s="20" t="str">
        <f>IF(SUMIFS(Selections!$T$6:$T$79,Selections!$E$6:$E$79,"Asian Handicap Away +2.25")=0,"n.a.",(SUMIFS(Selections!$L$6:$L$79,Selections!$E$6:$E$79,"Asian Handicap Away +2.25",Selections!$T$6:$T$79,1))/SUMIFS(Selections!$T$6:$T$79,Selections!$E$6:$E$79,"Asian Handicap Away +2.25"))</f>
        <v>n.a.</v>
      </c>
      <c r="O20" s="20" t="str">
        <f>IF(SUMIFS(Selections!$T$6:$T$79,Selections!$E$6:$E$79,"Asian Handicap Away +2.25")=0,"n.a.",(SUMIFS(Selections!$S$6:$S$79,Selections!$E$6:$E$79,"Asian Handicap Away +2.25")-(SUMIFS(Selections!$L$6:$L$79,Selections!$E$6:$E$79,"Asian Handicap Away +2.25",Selections!$T$6:$T$79,1)))/SUMIFS(Selections!$T$6:$T$79,Selections!$E$6:$E$79,"Asian Handicap Away +2.25"))</f>
        <v>n.a.</v>
      </c>
      <c r="P20" s="19">
        <f>SUMIFS(Selections!$T$6:$T$79,Selections!$E$6:$E$79,"Asian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COUNTIFS(Selections!$E$6:$E$79,"Asian Handicap Home +1.25")</f>
        <v>1</v>
      </c>
      <c r="D21" s="19">
        <f>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</f>
        <v>1</v>
      </c>
      <c r="E21" s="19">
        <f>(COUNTIFS(Selections!$E$6:$E$79,"Asian Handicap Home +1.25",Selections!$K$6:$K$79,"WON")+COUNTIFS(Selections!$E$6:$E$79,"Asian Handicap Home +1.25",Selections!$K$6:$K$79,"HALF_WON"))</f>
        <v>1</v>
      </c>
      <c r="F21" s="19">
        <f>(COUNTIFS(Selections!$E$6:$E$79,"Asian Handicap Home +1.25",Selections!$K$6:$K$79,"LOST")+COUNTIFS(Selections!$E$6:$E$79,"Asian Handicap Home +1.25",Selections!$K$6:$K$79,"HALF_LOST"))</f>
        <v>0</v>
      </c>
      <c r="G21" s="19">
        <f>COUNTIFS(Selections!$E$6:$E$79,"Asian Handicap Home +1.25")-((COUNTIFS(Selections!$E$6:$E$79,"Asian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</f>
        <v>0</v>
      </c>
      <c r="H21" s="20">
        <f>IF(((COUNTIFS(Selections!$E$6:$E$79,"Asian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+1.25",Selections!$K$6:$K$79,"REFUNDED"))=0,"n.a.",(COUNTIFS(Selections!$E$6:$E$79,"Asian Handicap Home +1.25",Selections!$K$6:$K$79,"WON")+COUNTIFS(Selections!$E$6:$E$79,"Asian Handicap Home +1.25",Selections!$K$6:$K$79,"HALF_WON"))/((COUNTIFS(Selections!$E$6:$E$79,"Asian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+1.25",Selections!$K$6:$K$79,"REFUNDED")))</f>
        <v>1.0</v>
      </c>
      <c r="I21" s="22">
        <f>SUMIFS(Selections!$M$6:$M$79,Selections!$E$6:$E$79,"Asian Handicap Home +1.25")</f>
        <v>1</v>
      </c>
      <c r="J21" s="22">
        <f>SUMIFS(Selections!$N$6:$N$79,Selections!$E$6:$E$79,"Asian Handicap Home +1.25")</f>
        <v>0.6</v>
      </c>
      <c r="K21" s="20">
        <f>IF(SUMIFS(Selections!$M$6:$M$79,Selections!$E$6:$E$79,"Asian Handicap Home +1.25")=0,"n.a.",SUMIFS(Selections!$N$6:$N$79,Selections!$E$6:$E$79,"Asian Handicap Home +1.25")/SUMIFS(Selections!$M$6:$M$79,Selections!$E$6:$E$79,"Asian Handicap Home +1.25"))</f>
        <v>0.6</v>
      </c>
      <c r="L21" s="21">
        <f>IF(SUMIFS(Selections!$T$6:$T$79,Selections!$E$6:$E$79,"Asian Handicap Home +1.25")=0,"n.a.",SUMIFS(Selections!$O$6:$O$79,Selections!$E$6:$E$79,"Asian Handicap Home +1.25")/SUMIFS(Selections!$T$6:$T$79,Selections!$E$6:$E$79,"Asian Handicap Home +1.25"))</f>
        <v>0.040902088882518665</v>
      </c>
      <c r="M21" s="20">
        <f>IF(SUMIFS(Selections!$T$6:$T$79,Selections!$E$6:$E$79,"Asian Handicap Home +1.25")=0,"n.a.",SUMIFS(Selections!$S$6:$S$79,Selections!$E$6:$E$79,"Asian Handicap Home +1.25")/SUMIFS(Selections!$T$6:$T$79,Selections!$E$6:$E$79,"Asian Handicap Home +1.25"))</f>
        <v>0.7977573514747232</v>
      </c>
      <c r="N21" s="20">
        <f>IF(SUMIFS(Selections!$T$6:$T$79,Selections!$E$6:$E$79,"Asian Handicap Home +1.25")=0,"n.a.",(SUMIFS(Selections!$L$6:$L$79,Selections!$E$6:$E$79,"Asian Handicap Home +1.25",Selections!$T$6:$T$79,1))/SUMIFS(Selections!$T$6:$T$79,Selections!$E$6:$E$79,"Asian Handicap Home +1.25"))</f>
        <v>1.0</v>
      </c>
      <c r="O21" s="20">
        <f>IF(SUMIFS(Selections!$T$6:$T$79,Selections!$E$6:$E$79,"Asian Handicap Home +1.25")=0,"n.a.",(SUMIFS(Selections!$S$6:$S$79,Selections!$E$6:$E$79,"Asian Handicap Home +1.25")-(SUMIFS(Selections!$L$6:$L$79,Selections!$E$6:$E$79,"Asian Handicap Home +1.25",Selections!$T$6:$T$79,1)))/SUMIFS(Selections!$T$6:$T$79,Selections!$E$6:$E$79,"Asian Handicap Home +1.25"))</f>
        <v>-0.20224264852527685</v>
      </c>
      <c r="P21" s="19">
        <f>SUMIFS(Selections!$T$6:$T$79,Selections!$E$6:$E$79,"Asian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COUNTIFS(Selections!$E$6:$E$79,"Asian Handicap Home +2.00")</f>
        <v>2</v>
      </c>
      <c r="D22" s="19">
        <f>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</f>
        <v>1</v>
      </c>
      <c r="E22" s="19">
        <f>(COUNTIFS(Selections!$E$6:$E$79,"Asian Handicap Home +2.00",Selections!$K$6:$K$79,"WON")+COUNTIFS(Selections!$E$6:$E$79,"Asian Handicap Home +2.00",Selections!$K$6:$K$79,"HALF_WON"))</f>
        <v>1</v>
      </c>
      <c r="F22" s="19">
        <f>(COUNTIFS(Selections!$E$6:$E$79,"Asian Handicap Home +2.00",Selections!$K$6:$K$79,"LOST")+COUNTIFS(Selections!$E$6:$E$79,"Asian Handicap Home +2.00",Selections!$K$6:$K$79,"HALF_LOST"))</f>
        <v>0</v>
      </c>
      <c r="G22" s="19">
        <f>COUNTIFS(Selections!$E$6:$E$79,"Asian Handicap Home +2.00")-((COUNTIFS(Selections!$E$6:$E$79,"Asian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</f>
        <v>1</v>
      </c>
      <c r="H22" s="20">
        <f>IF(((COUNTIFS(Selections!$E$6:$E$79,"Asian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+2.00",Selections!$K$6:$K$79,"REFUNDED"))=0,"n.a.",(COUNTIFS(Selections!$E$6:$E$79,"Asian Handicap Home +2.00",Selections!$K$6:$K$79,"WON")+COUNTIFS(Selections!$E$6:$E$79,"Asian Handicap Home +2.00",Selections!$K$6:$K$79,"HALF_WON"))/((COUNTIFS(Selections!$E$6:$E$79,"Asian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+2.00",Selections!$K$6:$K$79,"REFUNDED")))</f>
        <v>1.0</v>
      </c>
      <c r="I22" s="22">
        <f>SUMIFS(Selections!$M$6:$M$79,Selections!$E$6:$E$79,"Asian Handicap Home +2.00")</f>
        <v>1</v>
      </c>
      <c r="J22" s="22">
        <f>SUMIFS(Selections!$N$6:$N$79,Selections!$E$6:$E$79,"Asian Handicap Home +2.00")</f>
        <v>0.26</v>
      </c>
      <c r="K22" s="20">
        <f>IF(SUMIFS(Selections!$M$6:$M$79,Selections!$E$6:$E$79,"Asian Handicap Home +2.00")=0,"n.a.",SUMIFS(Selections!$N$6:$N$79,Selections!$E$6:$E$79,"Asian Handicap Home +2.00")/SUMIFS(Selections!$M$6:$M$79,Selections!$E$6:$E$79,"Asian Handicap Home +2.00"))</f>
        <v>0.26</v>
      </c>
      <c r="L22" s="21">
        <f>IF(SUMIFS(Selections!$T$6:$T$79,Selections!$E$6:$E$79,"Asian Handicap Home +2.00")=0,"n.a.",SUMIFS(Selections!$O$6:$O$79,Selections!$E$6:$E$79,"Asian Handicap Home +2.00")/SUMIFS(Selections!$T$6:$T$79,Selections!$E$6:$E$79,"Asian Handicap Home +2.00"))</f>
        <v>0.022096178165030404</v>
      </c>
      <c r="M22" s="20">
        <f>IF(SUMIFS(Selections!$T$6:$T$79,Selections!$E$6:$E$79,"Asian Handicap Home +2.00")=0,"n.a.",SUMIFS(Selections!$S$6:$S$79,Selections!$E$6:$E$79,"Asian Handicap Home +2.00")/SUMIFS(Selections!$T$6:$T$79,Selections!$E$6:$E$79,"Asian Handicap Home +2.00"))</f>
        <v>0.851352167304631</v>
      </c>
      <c r="N22" s="20">
        <f>IF(SUMIFS(Selections!$T$6:$T$79,Selections!$E$6:$E$79,"Asian Handicap Home +2.00")=0,"n.a.",(SUMIFS(Selections!$L$6:$L$79,Selections!$E$6:$E$79,"Asian Handicap Home +2.00",Selections!$T$6:$T$79,1))/SUMIFS(Selections!$T$6:$T$79,Selections!$E$6:$E$79,"Asian Handicap Home +2.00"))</f>
        <v>1.0</v>
      </c>
      <c r="O22" s="20">
        <f>IF(SUMIFS(Selections!$T$6:$T$79,Selections!$E$6:$E$79,"Asian Handicap Home +2.00")=0,"n.a.",(SUMIFS(Selections!$S$6:$S$79,Selections!$E$6:$E$79,"Asian Handicap Home +2.00")-(SUMIFS(Selections!$L$6:$L$79,Selections!$E$6:$E$79,"Asian Handicap Home +2.00",Selections!$T$6:$T$79,1)))/SUMIFS(Selections!$T$6:$T$79,Selections!$E$6:$E$79,"Asian Handicap Home +2.00"))</f>
        <v>-0.14864783269536896</v>
      </c>
      <c r="P22" s="19">
        <f>SUMIFS(Selections!$T$6:$T$79,Selections!$E$6:$E$79,"Asian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COUNTIFS(Selections!$E$6:$E$79,"Asian Handicap Home +2.25")</f>
        <v>1</v>
      </c>
      <c r="D23" s="19">
        <f>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</f>
        <v>1</v>
      </c>
      <c r="E23" s="19">
        <f>(COUNTIFS(Selections!$E$6:$E$79,"Asian Handicap Home +2.25",Selections!$K$6:$K$79,"WON")+COUNTIFS(Selections!$E$6:$E$79,"Asian Handicap Home +2.25",Selections!$K$6:$K$79,"HALF_WON"))</f>
        <v>1</v>
      </c>
      <c r="F23" s="19">
        <f>(COUNTIFS(Selections!$E$6:$E$79,"Asian Handicap Home +2.25",Selections!$K$6:$K$79,"LOST")+COUNTIFS(Selections!$E$6:$E$79,"Asian Handicap Home +2.25",Selections!$K$6:$K$79,"HALF_LOST"))</f>
        <v>0</v>
      </c>
      <c r="G23" s="19">
        <f>COUNTIFS(Selections!$E$6:$E$79,"Asian Handicap Home +2.25")-((COUNTIFS(Selections!$E$6:$E$79,"Asian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</f>
        <v>0</v>
      </c>
      <c r="H23" s="20">
        <f>IF(((COUNTIFS(Selections!$E$6:$E$79,"Asian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+2.25",Selections!$K$6:$K$79,"REFUNDED"))=0,"n.a.",(COUNTIFS(Selections!$E$6:$E$79,"Asian Handicap Home +2.25",Selections!$K$6:$K$79,"WON")+COUNTIFS(Selections!$E$6:$E$79,"Asian Handicap Home +2.25",Selections!$K$6:$K$79,"HALF_WON"))/((COUNTIFS(Selections!$E$6:$E$79,"Asian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+2.25",Selections!$K$6:$K$79,"REFUNDED")))</f>
        <v>1.0</v>
      </c>
      <c r="I23" s="22">
        <f>SUMIFS(Selections!$M$6:$M$79,Selections!$E$6:$E$79,"Asian Handicap Home +2.25")</f>
        <v>1</v>
      </c>
      <c r="J23" s="22">
        <f>SUMIFS(Selections!$N$6:$N$79,Selections!$E$6:$E$79,"Asian Handicap Home +2.25")</f>
        <v>0.35</v>
      </c>
      <c r="K23" s="20">
        <f>IF(SUMIFS(Selections!$M$6:$M$79,Selections!$E$6:$E$79,"Asian Handicap Home +2.25")=0,"n.a.",SUMIFS(Selections!$N$6:$N$79,Selections!$E$6:$E$79,"Asian Handicap Home +2.25")/SUMIFS(Selections!$M$6:$M$79,Selections!$E$6:$E$79,"Asian Handicap Home +2.25"))</f>
        <v>0.35</v>
      </c>
      <c r="L23" s="21">
        <f>IF(SUMIFS(Selections!$T$6:$T$79,Selections!$E$6:$E$79,"Asian Handicap Home +2.25")=0,"n.a.",SUMIFS(Selections!$O$6:$O$79,Selections!$E$6:$E$79,"Asian Handicap Home +2.25")/SUMIFS(Selections!$T$6:$T$79,Selections!$E$6:$E$79,"Asian Handicap Home +2.25"))</f>
        <v>0.03828819671116923</v>
      </c>
      <c r="M23" s="20">
        <f>IF(SUMIFS(Selections!$T$6:$T$79,Selections!$E$6:$E$79,"Asian Handicap Home +2.25")=0,"n.a.",SUMIFS(Selections!$S$6:$S$79,Selections!$E$6:$E$79,"Asian Handicap Home +2.25")/SUMIFS(Selections!$T$6:$T$79,Selections!$E$6:$E$79,"Asian Handicap Home +2.25"))</f>
        <v>0.8043263004101746</v>
      </c>
      <c r="N23" s="20">
        <f>IF(SUMIFS(Selections!$T$6:$T$79,Selections!$E$6:$E$79,"Asian Handicap Home +2.25")=0,"n.a.",(SUMIFS(Selections!$L$6:$L$79,Selections!$E$6:$E$79,"Asian Handicap Home +2.25",Selections!$T$6:$T$79,1))/SUMIFS(Selections!$T$6:$T$79,Selections!$E$6:$E$79,"Asian Handicap Home +2.25"))</f>
        <v>1.0</v>
      </c>
      <c r="O23" s="20">
        <f>IF(SUMIFS(Selections!$T$6:$T$79,Selections!$E$6:$E$79,"Asian Handicap Home +2.25")=0,"n.a.",(SUMIFS(Selections!$S$6:$S$79,Selections!$E$6:$E$79,"Asian Handicap Home +2.25")-(SUMIFS(Selections!$L$6:$L$79,Selections!$E$6:$E$79,"Asian Handicap Home +2.25",Selections!$T$6:$T$79,1)))/SUMIFS(Selections!$T$6:$T$79,Selections!$E$6:$E$79,"Asian Handicap Home +2.25"))</f>
        <v>-0.1956736995898254</v>
      </c>
      <c r="P23" s="19">
        <f>SUMIFS(Selections!$T$6:$T$79,Selections!$E$6:$E$79,"Asian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COUNTIFS(Selections!$E$6:$E$79,"Away win")</f>
        <v>4</v>
      </c>
      <c r="D24" s="19">
        <f>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</f>
        <v>4</v>
      </c>
      <c r="E24" s="19">
        <f>(COUNTIFS(Selections!$E$6:$E$79,"Away win",Selections!$K$6:$K$79,"WON")+COUNTIFS(Selections!$E$6:$E$79,"Away win",Selections!$K$6:$K$79,"HALF_WON"))</f>
        <v>2</v>
      </c>
      <c r="F24" s="19">
        <f>(COUNTIFS(Selections!$E$6:$E$79,"Away win",Selections!$K$6:$K$79,"LOST")+COUNTIFS(Selections!$E$6:$E$79,"Away win",Selections!$K$6:$K$79,"HALF_LOST"))</f>
        <v>2</v>
      </c>
      <c r="G24" s="19">
        <f>COUNTIFS(Selections!$E$6:$E$79,"Away win")-((COUNTIFS(Selections!$E$6:$E$79,"Away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</f>
        <v>0</v>
      </c>
      <c r="H24" s="20">
        <f>IF(((COUNTIFS(Selections!$E$6:$E$79,"Away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win",Selections!$K$6:$K$79,"REFUNDED"))=0,"n.a.",(COUNTIFS(Selections!$E$6:$E$79,"Away win",Selections!$K$6:$K$79,"WON")+COUNTIFS(Selections!$E$6:$E$79,"Away win",Selections!$K$6:$K$79,"HALF_WON"))/((COUNTIFS(Selections!$E$6:$E$79,"Away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win",Selections!$K$6:$K$79,"REFUNDED")))</f>
        <v>0.5</v>
      </c>
      <c r="I24" s="22">
        <f>SUMIFS(Selections!$M$6:$M$79,Selections!$E$6:$E$79,"Away win")</f>
        <v>4</v>
      </c>
      <c r="J24" s="22">
        <f>SUMIFS(Selections!$N$6:$N$79,Selections!$E$6:$E$79,"Away win")</f>
        <v>0.45999999999999996</v>
      </c>
      <c r="K24" s="20">
        <f>IF(SUMIFS(Selections!$M$6:$M$79,Selections!$E$6:$E$79,"Away win")=0,"n.a.",SUMIFS(Selections!$N$6:$N$79,Selections!$E$6:$E$79,"Away win")/SUMIFS(Selections!$M$6:$M$79,Selections!$E$6:$E$79,"Away win"))</f>
        <v>0.11499999999999999</v>
      </c>
      <c r="L24" s="21">
        <f>IF(SUMIFS(Selections!$T$6:$T$79,Selections!$E$6:$E$79,"Away win")=0,"n.a.",SUMIFS(Selections!$O$6:$O$79,Selections!$E$6:$E$79,"Away win")/SUMIFS(Selections!$T$6:$T$79,Selections!$E$6:$E$79,"Away win"))</f>
        <v>0.33482070932030694</v>
      </c>
      <c r="M24" s="20">
        <f>IF(SUMIFS(Selections!$T$6:$T$79,Selections!$E$6:$E$79,"Away win")=0,"n.a.",SUMIFS(Selections!$S$6:$S$79,Selections!$E$6:$E$79,"Away win")/SUMIFS(Selections!$T$6:$T$79,Selections!$E$6:$E$79,"Away win"))</f>
        <v>0.4847194437283757</v>
      </c>
      <c r="N24" s="20">
        <f>IF(SUMIFS(Selections!$T$6:$T$79,Selections!$E$6:$E$79,"Away win")=0,"n.a.",(SUMIFS(Selections!$L$6:$L$79,Selections!$E$6:$E$79,"Away win",Selections!$T$6:$T$79,1))/SUMIFS(Selections!$T$6:$T$79,Selections!$E$6:$E$79,"Away win"))</f>
        <v>0.5</v>
      </c>
      <c r="O24" s="20">
        <f>IF(SUMIFS(Selections!$T$6:$T$79,Selections!$E$6:$E$79,"Away win")=0,"n.a.",(SUMIFS(Selections!$S$6:$S$79,Selections!$E$6:$E$79,"Away win")-(SUMIFS(Selections!$L$6:$L$79,Selections!$E$6:$E$79,"Away win",Selections!$T$6:$T$79,1)))/SUMIFS(Selections!$T$6:$T$79,Selections!$E$6:$E$79,"Away win"))</f>
        <v>-0.01528055627162428</v>
      </c>
      <c r="P24" s="19">
        <f>SUMIFS(Selections!$T$6:$T$79,Selections!$E$6:$E$79,"Away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COUNTIFS(Selections!$E$6:$E$79,"Both Teams to Score - Yes")</f>
        <v>3</v>
      </c>
      <c r="D25" s="19">
        <f>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</f>
        <v>3</v>
      </c>
      <c r="E25" s="19">
        <f>(COUNTIFS(Selections!$E$6:$E$79,"Both Teams to Score - Yes",Selections!$K$6:$K$79,"WON")+COUNTIFS(Selections!$E$6:$E$79,"Both Teams to Score - Yes",Selections!$K$6:$K$79,"HALF_WON"))</f>
        <v>2</v>
      </c>
      <c r="F25" s="19">
        <f>(COUNTIFS(Selections!$E$6:$E$79,"Both Teams to Score - Yes",Selections!$K$6:$K$79,"LOST")+COUNTIFS(Selections!$E$6:$E$79,"Both Teams to Score - Yes",Selections!$K$6:$K$79,"HALF_LOST"))</f>
        <v>1</v>
      </c>
      <c r="G25" s="19">
        <f>COUNTIFS(Selections!$E$6:$E$79,"Both Teams to Score - Yes")-((COUNTIFS(Selections!$E$6:$E$79,"Both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</f>
        <v>0</v>
      </c>
      <c r="H25" s="20">
        <f>IF(((COUNTIFS(Selections!$E$6:$E$79,"Both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Yes",Selections!$K$6:$K$79,"REFUNDED"))=0,"n.a.",(COUNTIFS(Selections!$E$6:$E$79,"Both Teams to Score - Yes",Selections!$K$6:$K$79,"WON")+COUNTIFS(Selections!$E$6:$E$79,"Both Teams to Score - Yes",Selections!$K$6:$K$79,"HALF_WON"))/((COUNTIFS(Selections!$E$6:$E$79,"Both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Yes",Selections!$K$6:$K$79,"REFUNDED")))</f>
        <v>0.6666666666666666</v>
      </c>
      <c r="I25" s="22">
        <f>SUMIFS(Selections!$M$6:$M$79,Selections!$E$6:$E$79,"Both Teams to Score - Yes")</f>
        <v>3</v>
      </c>
      <c r="J25" s="22">
        <f>SUMIFS(Selections!$N$6:$N$79,Selections!$E$6:$E$79,"Both Teams to Score - Yes")</f>
        <v>0.020000000000000018</v>
      </c>
      <c r="K25" s="20">
        <f>IF(SUMIFS(Selections!$M$6:$M$79,Selections!$E$6:$E$79,"Both Teams to Score - Yes")=0,"n.a.",SUMIFS(Selections!$N$6:$N$79,Selections!$E$6:$E$79,"Both Teams to Score - Yes")/SUMIFS(Selections!$M$6:$M$79,Selections!$E$6:$E$79,"Both Teams to Score - Yes"))</f>
        <v>0.006666666666666672</v>
      </c>
      <c r="L25" s="21">
        <f>IF(SUMIFS(Selections!$T$6:$T$79,Selections!$E$6:$E$79,"Both Teams to Score - Yes")=0,"n.a.",SUMIFS(Selections!$O$6:$O$79,Selections!$E$6:$E$79,"Both Teams to Score - Yes")/SUMIFS(Selections!$T$6:$T$79,Selections!$E$6:$E$79,"Both Teams to Score - Yes"))</f>
        <v>0.2227178753914428</v>
      </c>
      <c r="M25" s="20">
        <f>IF(SUMIFS(Selections!$T$6:$T$79,Selections!$E$6:$E$79,"Both Teams to Score - Yes")=0,"n.a.",SUMIFS(Selections!$S$6:$S$79,Selections!$E$6:$E$79,"Both Teams to Score - Yes")/SUMIFS(Selections!$T$6:$T$79,Selections!$E$6:$E$79,"Both Teams to Score - Yes"))</f>
        <v>0.7130523653970714</v>
      </c>
      <c r="N25" s="20">
        <f>IF(SUMIFS(Selections!$T$6:$T$79,Selections!$E$6:$E$79,"Both Teams to Score - Yes")=0,"n.a.",(SUMIFS(Selections!$L$6:$L$79,Selections!$E$6:$E$79,"Both Teams to Score - Yes",Selections!$T$6:$T$79,1))/SUMIFS(Selections!$T$6:$T$79,Selections!$E$6:$E$79,"Both Teams to Score - Yes"))</f>
        <v>0.6666666666666666</v>
      </c>
      <c r="O25" s="20">
        <f>IF(SUMIFS(Selections!$T$6:$T$79,Selections!$E$6:$E$79,"Both Teams to Score - Yes")=0,"n.a.",(SUMIFS(Selections!$S$6:$S$79,Selections!$E$6:$E$79,"Both Teams to Score - Yes")-(SUMIFS(Selections!$L$6:$L$79,Selections!$E$6:$E$79,"Both Teams to Score - Yes",Selections!$T$6:$T$79,1)))/SUMIFS(Selections!$T$6:$T$79,Selections!$E$6:$E$79,"Both Teams to Score - Yes"))</f>
        <v>0.04638569873040477</v>
      </c>
      <c r="P25" s="19">
        <f>SUMIFS(Selections!$T$6:$T$79,Selections!$E$6:$E$79,"Both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COUNTIFS(Selections!$E$6:$E$79,"Corners Under 10.5")</f>
        <v>2</v>
      </c>
      <c r="D26" s="19">
        <f>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</f>
        <v>1</v>
      </c>
      <c r="E26" s="19">
        <f>(COUNTIFS(Selections!$E$6:$E$79,"Corners Under 10.5",Selections!$K$6:$K$79,"WON")+COUNTIFS(Selections!$E$6:$E$79,"Corners Under 10.5",Selections!$K$6:$K$79,"HALF_WON"))</f>
        <v>1</v>
      </c>
      <c r="F26" s="19">
        <f>(COUNTIFS(Selections!$E$6:$E$79,"Corners Under 10.5",Selections!$K$6:$K$79,"LOST")+COUNTIFS(Selections!$E$6:$E$79,"Corners Under 10.5",Selections!$K$6:$K$79,"HALF_LOST"))</f>
        <v>0</v>
      </c>
      <c r="G26" s="19">
        <f>COUNTIFS(Selections!$E$6:$E$79,"Corners Under 10.5")-((COUNTIFS(Selections!$E$6:$E$79,"Corners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</f>
        <v>1</v>
      </c>
      <c r="H26" s="20">
        <f>IF(((COUNTIFS(Selections!$E$6:$E$79,"Corners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10.5",Selections!$K$6:$K$79,"REFUNDED"))=0,"n.a.",(COUNTIFS(Selections!$E$6:$E$79,"Corners Under 10.5",Selections!$K$6:$K$79,"WON")+COUNTIFS(Selections!$E$6:$E$79,"Corners Under 10.5",Selections!$K$6:$K$79,"HALF_WON"))/((COUNTIFS(Selections!$E$6:$E$79,"Corners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10.5",Selections!$K$6:$K$79,"REFUNDED")))</f>
        <v>1.0</v>
      </c>
      <c r="I26" s="22">
        <f>SUMIFS(Selections!$M$6:$M$79,Selections!$E$6:$E$79,"Corners Under 10.5")</f>
        <v>1</v>
      </c>
      <c r="J26" s="22">
        <f>SUMIFS(Selections!$N$6:$N$79,Selections!$E$6:$E$79,"Corners Under 10.5")</f>
        <v>0.53</v>
      </c>
      <c r="K26" s="20">
        <f>IF(SUMIFS(Selections!$M$6:$M$79,Selections!$E$6:$E$79,"Corners Under 10.5")=0,"n.a.",SUMIFS(Selections!$N$6:$N$79,Selections!$E$6:$E$79,"Corners Under 10.5")/SUMIFS(Selections!$M$6:$M$79,Selections!$E$6:$E$79,"Corners Under 10.5"))</f>
        <v>0.53</v>
      </c>
      <c r="L26" s="21">
        <f>IF(SUMIFS(Selections!$T$6:$T$79,Selections!$E$6:$E$79,"Corners Under 10.5")=0,"n.a.",SUMIFS(Selections!$O$6:$O$79,Selections!$E$6:$E$79,"Corners Under 10.5")/SUMIFS(Selections!$T$6:$T$79,Selections!$E$6:$E$79,"Corners Under 10.5"))</f>
        <v>0.07225612473142058</v>
      </c>
      <c r="M26" s="20">
        <f>IF(SUMIFS(Selections!$T$6:$T$79,Selections!$E$6:$E$79,"Corners Under 10.5")=0,"n.a.",SUMIFS(Selections!$S$6:$S$79,Selections!$E$6:$E$79,"Corners Under 10.5")/SUMIFS(Selections!$T$6:$T$79,Selections!$E$6:$E$79,"Corners Under 10.5"))</f>
        <v>0.7311950061263359</v>
      </c>
      <c r="N26" s="20">
        <f>IF(SUMIFS(Selections!$T$6:$T$79,Selections!$E$6:$E$79,"Corners Under 10.5")=0,"n.a.",(SUMIFS(Selections!$L$6:$L$79,Selections!$E$6:$E$79,"Corners Under 10.5",Selections!$T$6:$T$79,1))/SUMIFS(Selections!$T$6:$T$79,Selections!$E$6:$E$79,"Corners Under 10.5"))</f>
        <v>1.0</v>
      </c>
      <c r="O26" s="20">
        <f>IF(SUMIFS(Selections!$T$6:$T$79,Selections!$E$6:$E$79,"Corners Under 10.5")=0,"n.a.",(SUMIFS(Selections!$S$6:$S$79,Selections!$E$6:$E$79,"Corners Under 10.5")-(SUMIFS(Selections!$L$6:$L$79,Selections!$E$6:$E$79,"Corners Under 10.5",Selections!$T$6:$T$79,1)))/SUMIFS(Selections!$T$6:$T$79,Selections!$E$6:$E$79,"Corners Under 10.5"))</f>
        <v>-0.2688049938736641</v>
      </c>
      <c r="P26" s="19">
        <f>SUMIFS(Selections!$T$6:$T$79,Selections!$E$6:$E$79,"Corners Under 10.5")</f>
        <v>1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COUNTIFS(Selections!$E$6:$E$79,"Double Chance 12")</f>
        <v>8</v>
      </c>
      <c r="D27" s="19">
        <f>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</f>
        <v>7</v>
      </c>
      <c r="E27" s="19">
        <f>(COUNTIFS(Selections!$E$6:$E$79,"Double Chance 12",Selections!$K$6:$K$79,"WON")+COUNTIFS(Selections!$E$6:$E$79,"Double Chance 12",Selections!$K$6:$K$79,"HALF_WON"))</f>
        <v>6</v>
      </c>
      <c r="F27" s="19">
        <f>(COUNTIFS(Selections!$E$6:$E$79,"Double Chance 12",Selections!$K$6:$K$79,"LOST")+COUNTIFS(Selections!$E$6:$E$79,"Double Chance 12",Selections!$K$6:$K$79,"HALF_LOST"))</f>
        <v>1</v>
      </c>
      <c r="G27" s="19">
        <f>COUNTIFS(Selections!$E$6:$E$79,"Double Chance 12")-((COUNTIFS(Selections!$E$6:$E$79,"Double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</f>
        <v>1</v>
      </c>
      <c r="H27" s="20">
        <f>IF(((COUNTIFS(Selections!$E$6:$E$79,"Double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12",Selections!$K$6:$K$79,"REFUNDED"))=0,"n.a.",(COUNTIFS(Selections!$E$6:$E$79,"Double Chance 12",Selections!$K$6:$K$79,"WON")+COUNTIFS(Selections!$E$6:$E$79,"Double Chance 12",Selections!$K$6:$K$79,"HALF_WON"))/((COUNTIFS(Selections!$E$6:$E$79,"Double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12",Selections!$K$6:$K$79,"REFUNDED")))</f>
        <v>0.8571428571428571</v>
      </c>
      <c r="I27" s="22">
        <f>SUMIFS(Selections!$M$6:$M$79,Selections!$E$6:$E$79,"Double Chance 12")</f>
        <v>7</v>
      </c>
      <c r="J27" s="22">
        <f>SUMIFS(Selections!$N$6:$N$79,Selections!$E$6:$E$79,"Double Chance 12")</f>
        <v>0.3799999999999999</v>
      </c>
      <c r="K27" s="20">
        <f>IF(SUMIFS(Selections!$M$6:$M$79,Selections!$E$6:$E$79,"Double Chance 12")=0,"n.a.",SUMIFS(Selections!$N$6:$N$79,Selections!$E$6:$E$79,"Double Chance 12")/SUMIFS(Selections!$M$6:$M$79,Selections!$E$6:$E$79,"Double Chance 12"))</f>
        <v>0.05428571428571427</v>
      </c>
      <c r="L27" s="21">
        <f>IF(SUMIFS(Selections!$T$6:$T$79,Selections!$E$6:$E$79,"Double Chance 12")=0,"n.a.",SUMIFS(Selections!$O$6:$O$79,Selections!$E$6:$E$79,"Double Chance 12")/SUMIFS(Selections!$T$6:$T$79,Selections!$E$6:$E$79,"Double Chance 12"))</f>
        <v>0.1271285110309219</v>
      </c>
      <c r="M27" s="20">
        <f>IF(SUMIFS(Selections!$T$6:$T$79,Selections!$E$6:$E$79,"Double Chance 12")=0,"n.a.",SUMIFS(Selections!$S$6:$S$79,Selections!$E$6:$E$79,"Double Chance 12")/SUMIFS(Selections!$T$6:$T$79,Selections!$E$6:$E$79,"Double Chance 12"))</f>
        <v>0.7824061665594064</v>
      </c>
      <c r="N27" s="20">
        <f>IF(SUMIFS(Selections!$T$6:$T$79,Selections!$E$6:$E$79,"Double Chance 12")=0,"n.a.",(SUMIFS(Selections!$L$6:$L$79,Selections!$E$6:$E$79,"Double Chance 12",Selections!$T$6:$T$79,1))/SUMIFS(Selections!$T$6:$T$79,Selections!$E$6:$E$79,"Double Chance 12"))</f>
        <v>0.8571428571428571</v>
      </c>
      <c r="O27" s="20">
        <f>IF(SUMIFS(Selections!$T$6:$T$79,Selections!$E$6:$E$79,"Double Chance 12")=0,"n.a.",(SUMIFS(Selections!$S$6:$S$79,Selections!$E$6:$E$79,"Double Chance 12")-(SUMIFS(Selections!$L$6:$L$79,Selections!$E$6:$E$79,"Double Chance 12",Selections!$T$6:$T$79,1)))/SUMIFS(Selections!$T$6:$T$79,Selections!$E$6:$E$79,"Double Chance 12"))</f>
        <v>-0.07473669058345067</v>
      </c>
      <c r="P27" s="19">
        <f>SUMIFS(Selections!$T$6:$T$79,Selections!$E$6:$E$79,"Double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COUNTIFS(Selections!$E$6:$E$79,"Double Chance 1X")</f>
        <v>11</v>
      </c>
      <c r="D28" s="19">
        <f>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</f>
        <v>8</v>
      </c>
      <c r="E28" s="19">
        <f>(COUNTIFS(Selections!$E$6:$E$79,"Double Chance 1X",Selections!$K$6:$K$79,"WON")+COUNTIFS(Selections!$E$6:$E$79,"Double Chance 1X",Selections!$K$6:$K$79,"HALF_WON"))</f>
        <v>7</v>
      </c>
      <c r="F28" s="19">
        <f>(COUNTIFS(Selections!$E$6:$E$79,"Double Chance 1X",Selections!$K$6:$K$79,"LOST")+COUNTIFS(Selections!$E$6:$E$79,"Double Chance 1X",Selections!$K$6:$K$79,"HALF_LOST"))</f>
        <v>1</v>
      </c>
      <c r="G28" s="19">
        <f>COUNTIFS(Selections!$E$6:$E$79,"Double Chance 1X")-((COUNTIFS(Selections!$E$6:$E$79,"Double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</f>
        <v>3</v>
      </c>
      <c r="H28" s="20">
        <f>IF(((COUNTIFS(Selections!$E$6:$E$79,"Double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1X",Selections!$K$6:$K$79,"REFUNDED"))=0,"n.a.",(COUNTIFS(Selections!$E$6:$E$79,"Double Chance 1X",Selections!$K$6:$K$79,"WON")+COUNTIFS(Selections!$E$6:$E$79,"Double Chance 1X",Selections!$K$6:$K$79,"HALF_WON"))/((COUNTIFS(Selections!$E$6:$E$79,"Double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1X",Selections!$K$6:$K$79,"REFUNDED")))</f>
        <v>0.875</v>
      </c>
      <c r="I28" s="22">
        <f>SUMIFS(Selections!$M$6:$M$79,Selections!$E$6:$E$79,"Double Chance 1X")</f>
        <v>8</v>
      </c>
      <c r="J28" s="22">
        <f>SUMIFS(Selections!$N$6:$N$79,Selections!$E$6:$E$79,"Double Chance 1X")</f>
        <v>0.6199999999999999</v>
      </c>
      <c r="K28" s="20">
        <f>IF(SUMIFS(Selections!$M$6:$M$79,Selections!$E$6:$E$79,"Double Chance 1X")=0,"n.a.",SUMIFS(Selections!$N$6:$N$79,Selections!$E$6:$E$79,"Double Chance 1X")/SUMIFS(Selections!$M$6:$M$79,Selections!$E$6:$E$79,"Double Chance 1X"))</f>
        <v>0.07749999999999999</v>
      </c>
      <c r="L28" s="21">
        <f>IF(SUMIFS(Selections!$T$6:$T$79,Selections!$E$6:$E$79,"Double Chance 1X")=0,"n.a.",SUMIFS(Selections!$O$6:$O$79,Selections!$E$6:$E$79,"Double Chance 1X")/SUMIFS(Selections!$T$6:$T$79,Selections!$E$6:$E$79,"Double Chance 1X"))</f>
        <v>0.07791461736616206</v>
      </c>
      <c r="M28" s="20">
        <f>IF(SUMIFS(Selections!$T$6:$T$79,Selections!$E$6:$E$79,"Double Chance 1X")=0,"n.a.",SUMIFS(Selections!$S$6:$S$79,Selections!$E$6:$E$79,"Double Chance 1X")/SUMIFS(Selections!$T$6:$T$79,Selections!$E$6:$E$79,"Double Chance 1X"))</f>
        <v>0.79596299912058</v>
      </c>
      <c r="N28" s="20">
        <f>IF(SUMIFS(Selections!$T$6:$T$79,Selections!$E$6:$E$79,"Double Chance 1X")=0,"n.a.",(SUMIFS(Selections!$L$6:$L$79,Selections!$E$6:$E$79,"Double Chance 1X",Selections!$T$6:$T$79,1))/SUMIFS(Selections!$T$6:$T$79,Selections!$E$6:$E$79,"Double Chance 1X"))</f>
        <v>0.875</v>
      </c>
      <c r="O28" s="20">
        <f>IF(SUMIFS(Selections!$T$6:$T$79,Selections!$E$6:$E$79,"Double Chance 1X")=0,"n.a.",(SUMIFS(Selections!$S$6:$S$79,Selections!$E$6:$E$79,"Double Chance 1X")-(SUMIFS(Selections!$L$6:$L$79,Selections!$E$6:$E$79,"Double Chance 1X",Selections!$T$6:$T$79,1)))/SUMIFS(Selections!$T$6:$T$79,Selections!$E$6:$E$79,"Double Chance 1X"))</f>
        <v>-0.07903700087942</v>
      </c>
      <c r="P28" s="19">
        <f>SUMIFS(Selections!$T$6:$T$79,Selections!$E$6:$E$79,"Double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COUNTIFS(Selections!$E$6:$E$79,"Double Chance X2")</f>
        <v>8</v>
      </c>
      <c r="D29" s="19">
        <f>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</f>
        <v>8</v>
      </c>
      <c r="E29" s="19">
        <f>(COUNTIFS(Selections!$E$6:$E$79,"Double Chance X2",Selections!$K$6:$K$79,"WON")+COUNTIFS(Selections!$E$6:$E$79,"Double Chance X2",Selections!$K$6:$K$79,"HALF_WON"))</f>
        <v>6</v>
      </c>
      <c r="F29" s="19">
        <f>(COUNTIFS(Selections!$E$6:$E$79,"Double Chance X2",Selections!$K$6:$K$79,"LOST")+COUNTIFS(Selections!$E$6:$E$79,"Double Chance X2",Selections!$K$6:$K$79,"HALF_LOST"))</f>
        <v>2</v>
      </c>
      <c r="G29" s="19">
        <f>COUNTIFS(Selections!$E$6:$E$79,"Double Chance X2")-((COUNTIFS(Selections!$E$6:$E$79,"Double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</f>
        <v>0</v>
      </c>
      <c r="H29" s="20">
        <f>IF(((COUNTIFS(Selections!$E$6:$E$79,"Double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X2",Selections!$K$6:$K$79,"REFUNDED"))=0,"n.a.",(COUNTIFS(Selections!$E$6:$E$79,"Double Chance X2",Selections!$K$6:$K$79,"WON")+COUNTIFS(Selections!$E$6:$E$79,"Double Chance X2",Selections!$K$6:$K$79,"HALF_WON"))/((COUNTIFS(Selections!$E$6:$E$79,"Double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X2",Selections!$K$6:$K$79,"REFUNDED")))</f>
        <v>0.75</v>
      </c>
      <c r="I29" s="22">
        <f>SUMIFS(Selections!$M$6:$M$79,Selections!$E$6:$E$79,"Double Chance X2")</f>
        <v>8</v>
      </c>
      <c r="J29" s="22">
        <f>SUMIFS(Selections!$N$6:$N$79,Selections!$E$6:$E$79,"Double Chance X2")</f>
        <v>0.8999999999999995</v>
      </c>
      <c r="K29" s="20">
        <f>IF(SUMIFS(Selections!$M$6:$M$79,Selections!$E$6:$E$79,"Double Chance X2")=0,"n.a.",SUMIFS(Selections!$N$6:$N$79,Selections!$E$6:$E$79,"Double Chance X2")/SUMIFS(Selections!$M$6:$M$79,Selections!$E$6:$E$79,"Double Chance X2"))</f>
        <v>0.11249999999999993</v>
      </c>
      <c r="L29" s="21">
        <f>IF(SUMIFS(Selections!$T$6:$T$79,Selections!$E$6:$E$79,"Double Chance X2")=0,"n.a.",SUMIFS(Selections!$O$6:$O$79,Selections!$E$6:$E$79,"Double Chance X2")/SUMIFS(Selections!$T$6:$T$79,Selections!$E$6:$E$79,"Double Chance X2"))</f>
        <v>0.14280778054839663</v>
      </c>
      <c r="M29" s="20">
        <f>IF(SUMIFS(Selections!$T$6:$T$79,Selections!$E$6:$E$79,"Double Chance X2")=0,"n.a.",SUMIFS(Selections!$S$6:$S$79,Selections!$E$6:$E$79,"Double Chance X2")/SUMIFS(Selections!$T$6:$T$79,Selections!$E$6:$E$79,"Double Chance X2"))</f>
        <v>0.6766958022298177</v>
      </c>
      <c r="N29" s="20">
        <f>IF(SUMIFS(Selections!$T$6:$T$79,Selections!$E$6:$E$79,"Double Chance X2")=0,"n.a.",(SUMIFS(Selections!$L$6:$L$79,Selections!$E$6:$E$79,"Double Chance X2",Selections!$T$6:$T$79,1))/SUMIFS(Selections!$T$6:$T$79,Selections!$E$6:$E$79,"Double Chance X2"))</f>
        <v>0.75</v>
      </c>
      <c r="O29" s="20">
        <f>IF(SUMIFS(Selections!$T$6:$T$79,Selections!$E$6:$E$79,"Double Chance X2")=0,"n.a.",(SUMIFS(Selections!$S$6:$S$79,Selections!$E$6:$E$79,"Double Chance X2")-(SUMIFS(Selections!$L$6:$L$79,Selections!$E$6:$E$79,"Double Chance X2",Selections!$T$6:$T$79,1)))/SUMIFS(Selections!$T$6:$T$79,Selections!$E$6:$E$79,"Double Chance X2"))</f>
        <v>-0.07330419777018227</v>
      </c>
      <c r="P29" s="19">
        <f>SUMIFS(Selections!$T$6:$T$79,Selections!$E$6:$E$79,"Double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COUNTIFS(Selections!$E$6:$E$79,"Home win")</f>
        <v>9</v>
      </c>
      <c r="D30" s="19">
        <f>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</f>
        <v>8</v>
      </c>
      <c r="E30" s="19">
        <f>(COUNTIFS(Selections!$E$6:$E$79,"Home win",Selections!$K$6:$K$79,"WON")+COUNTIFS(Selections!$E$6:$E$79,"Home win",Selections!$K$6:$K$79,"HALF_WON"))</f>
        <v>5</v>
      </c>
      <c r="F30" s="19">
        <f>(COUNTIFS(Selections!$E$6:$E$79,"Home win",Selections!$K$6:$K$79,"LOST")+COUNTIFS(Selections!$E$6:$E$79,"Home win",Selections!$K$6:$K$79,"HALF_LOST"))</f>
        <v>3</v>
      </c>
      <c r="G30" s="19">
        <f>COUNTIFS(Selections!$E$6:$E$79,"Home win")-((COUNTIFS(Selections!$E$6:$E$79,"Home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</f>
        <v>1</v>
      </c>
      <c r="H30" s="20">
        <f>IF(((COUNTIFS(Selections!$E$6:$E$79,"Home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win",Selections!$K$6:$K$79,"REFUNDED"))=0,"n.a.",(COUNTIFS(Selections!$E$6:$E$79,"Home win",Selections!$K$6:$K$79,"WON")+COUNTIFS(Selections!$E$6:$E$79,"Home win",Selections!$K$6:$K$79,"HALF_WON"))/((COUNTIFS(Selections!$E$6:$E$79,"Home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win",Selections!$K$6:$K$79,"REFUNDED")))</f>
        <v>0.625</v>
      </c>
      <c r="I30" s="22">
        <f>SUMIFS(Selections!$M$6:$M$79,Selections!$E$6:$E$79,"Home win")</f>
        <v>8</v>
      </c>
      <c r="J30" s="22">
        <f>SUMIFS(Selections!$N$6:$N$79,Selections!$E$6:$E$79,"Home win")</f>
        <v>-0.47</v>
      </c>
      <c r="K30" s="20">
        <f>IF(SUMIFS(Selections!$M$6:$M$79,Selections!$E$6:$E$79,"Home win")=0,"n.a.",SUMIFS(Selections!$N$6:$N$79,Selections!$E$6:$E$79,"Home win")/SUMIFS(Selections!$M$6:$M$79,Selections!$E$6:$E$79,"Home win"))</f>
        <v>-0.05875</v>
      </c>
      <c r="L30" s="21">
        <f>IF(SUMIFS(Selections!$T$6:$T$79,Selections!$E$6:$E$79,"Home win")=0,"n.a.",SUMIFS(Selections!$O$6:$O$79,Selections!$E$6:$E$79,"Home win")/SUMIFS(Selections!$T$6:$T$79,Selections!$E$6:$E$79,"Home win"))</f>
        <v>0.17119356220977308</v>
      </c>
      <c r="M30" s="20">
        <f>IF(SUMIFS(Selections!$T$6:$T$79,Selections!$E$6:$E$79,"Home win")=0,"n.a.",SUMIFS(Selections!$S$6:$S$79,Selections!$E$6:$E$79,"Home win")/SUMIFS(Selections!$T$6:$T$79,Selections!$E$6:$E$79,"Home win"))</f>
        <v>0.6586625192942568</v>
      </c>
      <c r="N30" s="20">
        <f>IF(SUMIFS(Selections!$T$6:$T$79,Selections!$E$6:$E$79,"Home win")=0,"n.a.",(SUMIFS(Selections!$L$6:$L$79,Selections!$E$6:$E$79,"Home win",Selections!$T$6:$T$79,1))/SUMIFS(Selections!$T$6:$T$79,Selections!$E$6:$E$79,"Home win"))</f>
        <v>0.625</v>
      </c>
      <c r="O30" s="20">
        <f>IF(SUMIFS(Selections!$T$6:$T$79,Selections!$E$6:$E$79,"Home win")=0,"n.a.",(SUMIFS(Selections!$S$6:$S$79,Selections!$E$6:$E$79,"Home win")-(SUMIFS(Selections!$L$6:$L$79,Selections!$E$6:$E$79,"Home win",Selections!$T$6:$T$79,1)))/SUMIFS(Selections!$T$6:$T$79,Selections!$E$6:$E$79,"Home win"))</f>
        <v>0.03366251929425679</v>
      </c>
      <c r="P30" s="19">
        <f>SUMIFS(Selections!$T$6:$T$79,Selections!$E$6:$E$79,"Home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COUNTIFS(Selections!$E$6:$E$79,"Over 1.5")</f>
        <v>12</v>
      </c>
      <c r="D31" s="19">
        <f>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</f>
        <v>8</v>
      </c>
      <c r="E31" s="19">
        <f>(COUNTIFS(Selections!$E$6:$E$79,"Over 1.5",Selections!$K$6:$K$79,"WON")+COUNTIFS(Selections!$E$6:$E$79,"Over 1.5",Selections!$K$6:$K$79,"HALF_WON"))</f>
        <v>7</v>
      </c>
      <c r="F31" s="19">
        <f>(COUNTIFS(Selections!$E$6:$E$79,"Over 1.5",Selections!$K$6:$K$79,"LOST")+COUNTIFS(Selections!$E$6:$E$79,"Over 1.5",Selections!$K$6:$K$79,"HALF_LOST"))</f>
        <v>1</v>
      </c>
      <c r="G31" s="19">
        <f>COUNTIFS(Selections!$E$6:$E$79,"Over 1.5")-((COUNTIFS(Selections!$E$6:$E$79,"Over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</f>
        <v>4</v>
      </c>
      <c r="H31" s="20">
        <f>IF(((COUNTIFS(Selections!$E$6:$E$79,"Over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1.5",Selections!$K$6:$K$79,"REFUNDED"))=0,"n.a.",(COUNTIFS(Selections!$E$6:$E$79,"Over 1.5",Selections!$K$6:$K$79,"WON")+COUNTIFS(Selections!$E$6:$E$79,"Over 1.5",Selections!$K$6:$K$79,"HALF_WON"))/((COUNTIFS(Selections!$E$6:$E$79,"Over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1.5",Selections!$K$6:$K$79,"REFUNDED")))</f>
        <v>0.875</v>
      </c>
      <c r="I31" s="22">
        <f>SUMIFS(Selections!$M$6:$M$79,Selections!$E$6:$E$79,"Over 1.5")</f>
        <v>8</v>
      </c>
      <c r="J31" s="22">
        <f>SUMIFS(Selections!$N$6:$N$79,Selections!$E$6:$E$79,"Over 1.5")</f>
        <v>0.6199999999999999</v>
      </c>
      <c r="K31" s="20">
        <f>IF(SUMIFS(Selections!$M$6:$M$79,Selections!$E$6:$E$79,"Over 1.5")=0,"n.a.",SUMIFS(Selections!$N$6:$N$79,Selections!$E$6:$E$79,"Over 1.5")/SUMIFS(Selections!$M$6:$M$79,Selections!$E$6:$E$79,"Over 1.5"))</f>
        <v>0.07749999999999999</v>
      </c>
      <c r="L31" s="21">
        <f>IF(SUMIFS(Selections!$T$6:$T$79,Selections!$E$6:$E$79,"Over 1.5")=0,"n.a.",SUMIFS(Selections!$O$6:$O$79,Selections!$E$6:$E$79,"Over 1.5")/SUMIFS(Selections!$T$6:$T$79,Selections!$E$6:$E$79,"Over 1.5"))</f>
        <v>0.09729999767437307</v>
      </c>
      <c r="M31" s="20">
        <f>IF(SUMIFS(Selections!$T$6:$T$79,Selections!$E$6:$E$79,"Over 1.5")=0,"n.a.",SUMIFS(Selections!$S$6:$S$79,Selections!$E$6:$E$79,"Over 1.5")/SUMIFS(Selections!$T$6:$T$79,Selections!$E$6:$E$79,"Over 1.5"))</f>
        <v>0.8532929638063016</v>
      </c>
      <c r="N31" s="20">
        <f>IF(SUMIFS(Selections!$T$6:$T$79,Selections!$E$6:$E$79,"Over 1.5")=0,"n.a.",(SUMIFS(Selections!$L$6:$L$79,Selections!$E$6:$E$79,"Over 1.5",Selections!$T$6:$T$79,1))/SUMIFS(Selections!$T$6:$T$79,Selections!$E$6:$E$79,"Over 1.5"))</f>
        <v>0.875</v>
      </c>
      <c r="O31" s="20">
        <f>IF(SUMIFS(Selections!$T$6:$T$79,Selections!$E$6:$E$79,"Over 1.5")=0,"n.a.",(SUMIFS(Selections!$S$6:$S$79,Selections!$E$6:$E$79,"Over 1.5")-(SUMIFS(Selections!$L$6:$L$79,Selections!$E$6:$E$79,"Over 1.5",Selections!$T$6:$T$79,1)))/SUMIFS(Selections!$T$6:$T$79,Selections!$E$6:$E$79,"Over 1.5"))</f>
        <v>-0.021707036193698404</v>
      </c>
      <c r="P31" s="19">
        <f>SUMIFS(Selections!$T$6:$T$79,Selections!$E$6:$E$79,"Over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COUNTIFS(Selections!$E$6:$E$79,"Under 3.5")</f>
        <v>5</v>
      </c>
      <c r="D32" s="19">
        <f>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</f>
        <v>5</v>
      </c>
      <c r="E32" s="19">
        <f>(COUNTIFS(Selections!$E$6:$E$79,"Under 3.5",Selections!$K$6:$K$79,"WON")+COUNTIFS(Selections!$E$6:$E$79,"Under 3.5",Selections!$K$6:$K$79,"HALF_WON"))</f>
        <v>2</v>
      </c>
      <c r="F32" s="19">
        <f>(COUNTIFS(Selections!$E$6:$E$79,"Under 3.5",Selections!$K$6:$K$79,"LOST")+COUNTIFS(Selections!$E$6:$E$79,"Under 3.5",Selections!$K$6:$K$79,"HALF_LOST"))</f>
        <v>3</v>
      </c>
      <c r="G32" s="19">
        <f>COUNTIFS(Selections!$E$6:$E$79,"Under 3.5")-((COUNTIFS(Selections!$E$6:$E$79,"Under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</f>
        <v>0</v>
      </c>
      <c r="H32" s="20">
        <f>IF(((COUNTIFS(Selections!$E$6:$E$79,"Under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3.5",Selections!$K$6:$K$79,"REFUNDED"))=0,"n.a.",(COUNTIFS(Selections!$E$6:$E$79,"Under 3.5",Selections!$K$6:$K$79,"WON")+COUNTIFS(Selections!$E$6:$E$79,"Under 3.5",Selections!$K$6:$K$79,"HALF_WON"))/((COUNTIFS(Selections!$E$6:$E$79,"Under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3.5",Selections!$K$6:$K$79,"REFUNDED")))</f>
        <v>0.4</v>
      </c>
      <c r="I32" s="22">
        <f>SUMIFS(Selections!$M$6:$M$79,Selections!$E$6:$E$79,"Under 3.5")</f>
        <v>5</v>
      </c>
      <c r="J32" s="22">
        <f>SUMIFS(Selections!$N$6:$N$79,Selections!$E$6:$E$79,"Under 3.5")</f>
        <v>-2.3</v>
      </c>
      <c r="K32" s="20">
        <f>IF(SUMIFS(Selections!$M$6:$M$79,Selections!$E$6:$E$79,"Under 3.5")=0,"n.a.",SUMIFS(Selections!$N$6:$N$79,Selections!$E$6:$E$79,"Under 3.5")/SUMIFS(Selections!$M$6:$M$79,Selections!$E$6:$E$79,"Under 3.5"))</f>
        <v>-0.45999999999999996</v>
      </c>
      <c r="L32" s="21">
        <f>IF(SUMIFS(Selections!$T$6:$T$79,Selections!$E$6:$E$79,"Under 3.5")=0,"n.a.",SUMIFS(Selections!$O$6:$O$79,Selections!$E$6:$E$79,"Under 3.5")/SUMIFS(Selections!$T$6:$T$79,Selections!$E$6:$E$79,"Under 3.5"))</f>
        <v>0.4093699233539641</v>
      </c>
      <c r="M32" s="20">
        <f>IF(SUMIFS(Selections!$T$6:$T$79,Selections!$E$6:$E$79,"Under 3.5")=0,"n.a.",SUMIFS(Selections!$S$6:$S$79,Selections!$E$6:$E$79,"Under 3.5")/SUMIFS(Selections!$T$6:$T$79,Selections!$E$6:$E$79,"Under 3.5"))</f>
        <v>0.8049432015044351</v>
      </c>
      <c r="N32" s="20">
        <f>IF(SUMIFS(Selections!$T$6:$T$79,Selections!$E$6:$E$79,"Under 3.5")=0,"n.a.",(SUMIFS(Selections!$L$6:$L$79,Selections!$E$6:$E$79,"Under 3.5",Selections!$T$6:$T$79,1))/SUMIFS(Selections!$T$6:$T$79,Selections!$E$6:$E$79,"Under 3.5"))</f>
        <v>0.4</v>
      </c>
      <c r="O32" s="20">
        <f>IF(SUMIFS(Selections!$T$6:$T$79,Selections!$E$6:$E$79,"Under 3.5")=0,"n.a.",(SUMIFS(Selections!$S$6:$S$79,Selections!$E$6:$E$79,"Under 3.5")-(SUMIFS(Selections!$L$6:$L$79,Selections!$E$6:$E$79,"Under 3.5",Selections!$T$6:$T$79,1)))/SUMIFS(Selections!$T$6:$T$79,Selections!$E$6:$E$79,"Under 3.5"))</f>
        <v>0.4049432015044351</v>
      </c>
      <c r="P32" s="19">
        <f>SUMIFS(Selections!$T$6:$T$79,Selections!$E$6:$E$79,"Under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COUNTIFS(Selections!$G$6:$G$79,"48h-top-ten-probability-ev-no-under35-v14")</f>
        <v>9</v>
      </c>
      <c r="D33" s="19">
        <f>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</f>
        <v>8</v>
      </c>
      <c r="E33" s="19">
        <f>(COUNTIFS(Selections!$G$6:$G$79,"48h-top-ten-probability-ev-no-under35-v14",Selections!$K$6:$K$79,"WON")+COUNTIFS(Selections!$G$6:$G$79,"48h-top-ten-probability-ev-no-under35-v14",Selections!$K$6:$K$79,"HALF_WON"))</f>
        <v>6</v>
      </c>
      <c r="F33" s="19">
        <f>(COUNTIFS(Selections!$G$6:$G$79,"48h-top-ten-probability-ev-no-under35-v14",Selections!$K$6:$K$79,"LOST")+COUNTIFS(Selections!$G$6:$G$79,"48h-top-ten-probability-ev-no-under35-v14",Selections!$K$6:$K$79,"HALF_LOST"))</f>
        <v>2</v>
      </c>
      <c r="G33" s="19">
        <f>COUNTIFS(Selections!$G$6:$G$79,"48h-top-ten-probability-ev-no-under35-v14")-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</f>
        <v>1</v>
      </c>
      <c r="H33" s="20">
        <f>IF(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=0,"n.a.",(COUNTIFS(Selections!$G$6:$G$79,"48h-top-ten-probability-ev-no-under35-v14",Selections!$K$6:$K$79,"WON")+COUNTIFS(Selections!$G$6:$G$79,"48h-top-ten-probability-ev-no-under35-v14",Selections!$K$6:$K$79,"HALF_WON"))/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)</f>
        <v>0.75</v>
      </c>
      <c r="I33" s="22">
        <f>SUMIFS(Selections!$M$6:$M$79,Selections!$G$6:$G$79,"48h-top-ten-probability-ev-no-under35-v14")</f>
        <v>8</v>
      </c>
      <c r="J33" s="22">
        <f>SUMIFS(Selections!$N$6:$N$79,Selections!$G$6:$G$79,"48h-top-ten-probability-ev-no-under35-v14")</f>
        <v>0.04999999999999982</v>
      </c>
      <c r="K33" s="20">
        <f>IF(SUMIFS(Selections!$M$6:$M$79,Selections!$G$6:$G$79,"48h-top-ten-probability-ev-no-under35-v14")=0,"n.a.",SUMIFS(Selections!$N$6:$N$79,Selections!$G$6:$G$79,"48h-top-ten-probability-ev-no-under35-v14")/SUMIFS(Selections!$M$6:$M$79,Selections!$G$6:$G$79,"48h-top-ten-probability-ev-no-under35-v14"))</f>
        <v>0.006249999999999978</v>
      </c>
      <c r="L33" s="21">
        <f>IF(SUMIFS(Selections!$T$6:$T$79,Selections!$G$6:$G$79,"48h-top-ten-probability-ev-no-under35-v14")=0,"n.a.",SUMIFS(Selections!$O$6:$O$79,Selections!$G$6:$G$79,"48h-top-ten-probability-ev-no-under35-v14")/SUMIFS(Selections!$T$6:$T$79,Selections!$G$6:$G$79,"48h-top-ten-probability-ev-no-under35-v14"))</f>
        <v>0.17867353798981395</v>
      </c>
      <c r="M33" s="20">
        <f>IF(SUMIFS(Selections!$T$6:$T$79,Selections!$G$6:$G$79,"48h-top-ten-probability-ev-no-under35-v14")=0,"n.a.",SUMIFS(Selections!$S$6:$S$79,Selections!$G$6:$G$79,"48h-top-ten-probability-ev-no-under35-v14")/SUMIFS(Selections!$T$6:$T$79,Selections!$G$6:$G$79,"48h-top-ten-probability-ev-no-under35-v14"))</f>
        <v>0.7347857301737204</v>
      </c>
      <c r="N33" s="20">
        <f>IF(SUMIFS(Selections!$T$6:$T$79,Selections!$G$6:$G$79,"48h-top-ten-probability-ev-no-under35-v14")=0,"n.a.",(SUMIFS(Selections!$L$6:$L$79,Selections!$G$6:$G$79,"48h-top-ten-probability-ev-no-under35-v14",Selections!$T$6:$T$79,1))/SUMIFS(Selections!$T$6:$T$79,Selections!$G$6:$G$79,"48h-top-ten-probability-ev-no-under35-v14"))</f>
        <v>0.75</v>
      </c>
      <c r="O33" s="20">
        <f>IF(SUMIFS(Selections!$T$6:$T$79,Selections!$G$6:$G$79,"48h-top-ten-probability-ev-no-under35-v14")=0,"n.a.",(SUMIFS(Selections!$S$6:$S$79,Selections!$G$6:$G$79,"48h-top-ten-probability-ev-no-under35-v14")-(SUMIFS(Selections!$L$6:$L$79,Selections!$G$6:$G$79,"48h-top-ten-probability-ev-no-under35-v14",Selections!$T$6:$T$79,1)))/SUMIFS(Selections!$T$6:$T$79,Selections!$G$6:$G$79,"48h-top-ten-probability-ev-no-under35-v14"))</f>
        <v>-0.015214269826279603</v>
      </c>
      <c r="P33" s="19">
        <f>SUMIFS(Selections!$T$6:$T$79,Selections!$G$6:$G$79,"48h-top-ten-probability-ev-no-under35-v14")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COUNTIFS(Selections!$G$6:$G$79,"48h-top-twelve-probability-ev-no-under35-v15")</f>
        <v>12</v>
      </c>
      <c r="D34" s="19">
        <f>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</f>
        <v>11</v>
      </c>
      <c r="E34" s="19">
        <f>(COUNTIFS(Selections!$G$6:$G$79,"48h-top-twelve-probability-ev-no-under35-v15",Selections!$K$6:$K$79,"WON")+COUNTIFS(Selections!$G$6:$G$79,"48h-top-twelve-probability-ev-no-under35-v15",Selections!$K$6:$K$79,"HALF_WON"))</f>
        <v>7</v>
      </c>
      <c r="F34" s="19">
        <f>(COUNTIFS(Selections!$G$6:$G$79,"48h-top-twelve-probability-ev-no-under35-v15",Selections!$K$6:$K$79,"LOST")+COUNTIFS(Selections!$G$6:$G$79,"48h-top-twelve-probability-ev-no-under35-v15",Selections!$K$6:$K$79,"HALF_LOST"))</f>
        <v>4</v>
      </c>
      <c r="G34" s="19">
        <f>COUNTIFS(Selections!$G$6:$G$79,"48h-top-twelve-probability-ev-no-under35-v15")-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</f>
        <v>1</v>
      </c>
      <c r="H34" s="20">
        <f>IF(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=0,"n.a.",(COUNTIFS(Selections!$G$6:$G$79,"48h-top-twelve-probability-ev-no-under35-v15",Selections!$K$6:$K$79,"WON")+COUNTIFS(Selections!$G$6:$G$79,"48h-top-twelve-probability-ev-no-under35-v15",Selections!$K$6:$K$79,"HALF_WON"))/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)</f>
        <v>0.6363636363636364</v>
      </c>
      <c r="I34" s="22">
        <f>SUMIFS(Selections!$M$6:$M$79,Selections!$G$6:$G$79,"48h-top-twelve-probability-ev-no-under35-v15")</f>
        <v>11</v>
      </c>
      <c r="J34" s="22">
        <f>SUMIFS(Selections!$N$6:$N$79,Selections!$G$6:$G$79,"48h-top-twelve-probability-ev-no-under35-v15")</f>
        <v>-1.3800000000000003</v>
      </c>
      <c r="K34" s="20">
        <f>IF(SUMIFS(Selections!$M$6:$M$79,Selections!$G$6:$G$79,"48h-top-twelve-probability-ev-no-under35-v15")=0,"n.a.",SUMIFS(Selections!$N$6:$N$79,Selections!$G$6:$G$79,"48h-top-twelve-probability-ev-no-under35-v15")/SUMIFS(Selections!$M$6:$M$79,Selections!$G$6:$G$79,"48h-top-twelve-probability-ev-no-under35-v15"))</f>
        <v>-0.12545454545454549</v>
      </c>
      <c r="L34" s="21">
        <f>IF(SUMIFS(Selections!$T$6:$T$79,Selections!$G$6:$G$79,"48h-top-twelve-probability-ev-no-under35-v15")=0,"n.a.",SUMIFS(Selections!$O$6:$O$79,Selections!$G$6:$G$79,"48h-top-twelve-probability-ev-no-under35-v15")/SUMIFS(Selections!$T$6:$T$79,Selections!$G$6:$G$79,"48h-top-twelve-probability-ev-no-under35-v15"))</f>
        <v>0.19421744781096573</v>
      </c>
      <c r="M34" s="20">
        <f>IF(SUMIFS(Selections!$T$6:$T$79,Selections!$G$6:$G$79,"48h-top-twelve-probability-ev-no-under35-v15")=0,"n.a.",SUMIFS(Selections!$S$6:$S$79,Selections!$G$6:$G$79,"48h-top-twelve-probability-ev-no-under35-v15")/SUMIFS(Selections!$T$6:$T$79,Selections!$G$6:$G$79,"48h-top-twelve-probability-ev-no-under35-v15"))</f>
        <v>0.7256811914176179</v>
      </c>
      <c r="N34" s="20">
        <f>IF(SUMIFS(Selections!$T$6:$T$79,Selections!$G$6:$G$79,"48h-top-twelve-probability-ev-no-under35-v15")=0,"n.a.",(SUMIFS(Selections!$L$6:$L$79,Selections!$G$6:$G$79,"48h-top-twelve-probability-ev-no-under35-v15",Selections!$T$6:$T$79,1))/SUMIFS(Selections!$T$6:$T$79,Selections!$G$6:$G$79,"48h-top-twelve-probability-ev-no-under35-v15"))</f>
        <v>0.6363636363636364</v>
      </c>
      <c r="O34" s="20">
        <f>IF(SUMIFS(Selections!$T$6:$T$79,Selections!$G$6:$G$79,"48h-top-twelve-probability-ev-no-under35-v15")=0,"n.a.",(SUMIFS(Selections!$S$6:$S$79,Selections!$G$6:$G$79,"48h-top-twelve-probability-ev-no-under35-v15")-(SUMIFS(Selections!$L$6:$L$79,Selections!$G$6:$G$79,"48h-top-twelve-probability-ev-no-under35-v15",Selections!$T$6:$T$79,1)))/SUMIFS(Selections!$T$6:$T$79,Selections!$G$6:$G$79,"48h-top-twelve-probability-ev-no-under35-v15"))</f>
        <v>0.08931755505398153</v>
      </c>
      <c r="P34" s="19">
        <f>SUMIFS(Selections!$T$6:$T$79,Selections!$G$6:$G$79,"48h-top-twelve-probability-ev-no-under35-v15")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COUNTIFS(Selections!$G$6:$G$79,"48h-top-twelve-profitable-win-probability-v23")</f>
        <v>1</v>
      </c>
      <c r="D35" s="19">
        <f>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</f>
        <v>0</v>
      </c>
      <c r="E35" s="19">
        <f>(COUNTIFS(Selections!$G$6:$G$79,"48h-top-twelve-profitable-win-probability-v23",Selections!$K$6:$K$79,"WON")+COUNTIFS(Selections!$G$6:$G$79,"48h-top-twelve-profitable-win-probability-v23",Selections!$K$6:$K$79,"HALF_WON"))</f>
        <v>0</v>
      </c>
      <c r="F35" s="19">
        <f>(COUNTIFS(Selections!$G$6:$G$79,"48h-top-twelve-profitable-win-probability-v23",Selections!$K$6:$K$79,"LOST")+COUNTIFS(Selections!$G$6:$G$79,"48h-top-twelve-profitable-win-probability-v23",Selections!$K$6:$K$79,"HALF_LOST"))</f>
        <v>0</v>
      </c>
      <c r="G35" s="19">
        <f>COUNTIFS(Selections!$G$6:$G$79,"48h-top-twelve-profitable-win-probability-v23")-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</f>
        <v>1</v>
      </c>
      <c r="H35" s="20" t="str">
        <f>IF(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=0,"n.a.",(COUNTIFS(Selections!$G$6:$G$79,"48h-top-twelve-profitable-win-probability-v23",Selections!$K$6:$K$79,"WON")+COUNTIFS(Selections!$G$6:$G$79,"48h-top-twelve-profitable-win-probability-v23",Selections!$K$6:$K$79,"HALF_WON"))/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)</f>
        <v>n.a.</v>
      </c>
      <c r="I35" s="22">
        <f>SUMIFS(Selections!$M$6:$M$79,Selections!$G$6:$G$79,"48h-top-twelve-profitable-win-probability-v23")</f>
        <v>0</v>
      </c>
      <c r="J35" s="22">
        <f>SUMIFS(Selections!$N$6:$N$79,Selections!$G$6:$G$79,"48h-top-twelve-profitable-win-probability-v23")</f>
        <v>0</v>
      </c>
      <c r="K35" s="20" t="str">
        <f>IF(SUMIFS(Selections!$M$6:$M$79,Selections!$G$6:$G$79,"48h-top-twelve-profitable-win-probability-v23")=0,"n.a.",SUMIFS(Selections!$N$6:$N$79,Selections!$G$6:$G$79,"48h-top-twelve-profitable-win-probability-v23")/SUMIFS(Selections!$M$6:$M$79,Selections!$G$6:$G$79,"48h-top-twelve-profitable-win-probability-v23"))</f>
        <v>n.a.</v>
      </c>
      <c r="L35" s="21" t="str">
        <f>IF(SUMIFS(Selections!$T$6:$T$79,Selections!$G$6:$G$79,"48h-top-twelve-profitable-win-probability-v23")=0,"n.a.",SUMIFS(Selections!$O$6:$O$79,Selections!$G$6:$G$79,"48h-top-twelve-profitable-win-probability-v23")/SUMIFS(Selections!$T$6:$T$79,Selections!$G$6:$G$79,"48h-top-twelve-profitable-win-probability-v23"))</f>
        <v>n.a.</v>
      </c>
      <c r="M35" s="20" t="str">
        <f>IF(SUMIFS(Selections!$T$6:$T$79,Selections!$G$6:$G$79,"48h-top-twelve-profitable-win-probability-v23")=0,"n.a.",SUMIFS(Selections!$S$6:$S$79,Selections!$G$6:$G$79,"48h-top-twelve-profitable-win-probability-v23")/SUMIFS(Selections!$T$6:$T$79,Selections!$G$6:$G$79,"48h-top-twelve-profitable-win-probability-v23"))</f>
        <v>n.a.</v>
      </c>
      <c r="N35" s="20" t="str">
        <f>IF(SUMIFS(Selections!$T$6:$T$79,Selections!$G$6:$G$79,"48h-top-twelve-profitable-win-probability-v23")=0,"n.a.",(SUMIFS(Selections!$L$6:$L$79,Selections!$G$6:$G$79,"48h-top-twelve-profitable-win-probability-v23",Selections!$T$6:$T$79,1))/SUMIFS(Selections!$T$6:$T$79,Selections!$G$6:$G$79,"48h-top-twelve-profitable-win-probability-v23"))</f>
        <v>n.a.</v>
      </c>
      <c r="O35" s="20" t="str">
        <f>IF(SUMIFS(Selections!$T$6:$T$79,Selections!$G$6:$G$79,"48h-top-twelve-profitable-win-probability-v23")=0,"n.a.",(SUMIFS(Selections!$S$6:$S$79,Selections!$G$6:$G$79,"48h-top-twelve-profitable-win-probability-v23")-(SUMIFS(Selections!$L$6:$L$79,Selections!$G$6:$G$79,"48h-top-twelve-profitable-win-probability-v23",Selections!$T$6:$T$79,1)))/SUMIFS(Selections!$T$6:$T$79,Selections!$G$6:$G$79,"48h-top-twelve-profitable-win-probability-v23"))</f>
        <v>n.a.</v>
      </c>
      <c r="P35" s="19">
        <f>SUMIFS(Selections!$T$6:$T$79,Selections!$G$6:$G$79,"48h-top-twelve-profitable-win-probability-v23")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COUNTIFS(Selections!$G$6:$G$79,"48h-two-per-market-group-probability-ev-corners-cards-v25")</f>
        <v>16</v>
      </c>
      <c r="D36" s="19">
        <f>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</f>
        <v>12</v>
      </c>
      <c r="E36" s="19">
        <f>(COUNTIFS(Selections!$G$6:$G$79,"48h-two-per-market-group-probability-ev-corners-cards-v25",Selections!$K$6:$K$79,"WON")+COUNTIFS(Selections!$G$6:$G$79,"48h-two-per-market-group-probability-ev-corners-cards-v25",Selections!$K$6:$K$79,"HALF_WON"))</f>
        <v>9</v>
      </c>
      <c r="F36" s="19">
        <f>(COUNTIFS(Selections!$G$6:$G$79,"48h-two-per-market-group-probability-ev-corners-cards-v25",Selections!$K$6:$K$79,"LOST")+COUNTIFS(Selections!$G$6:$G$79,"48h-two-per-market-group-probability-ev-corners-cards-v25",Selections!$K$6:$K$79,"HALF_LOST"))</f>
        <v>3</v>
      </c>
      <c r="G36" s="19">
        <f>COUNTIFS(Selections!$G$6:$G$79,"48h-two-per-market-group-probability-ev-corners-cards-v25")-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</f>
        <v>4</v>
      </c>
      <c r="H36" s="20">
        <f>IF(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=0,"n.a.",(COUNTIFS(Selections!$G$6:$G$79,"48h-two-per-market-group-probability-ev-corners-cards-v25",Selections!$K$6:$K$79,"WON")+COUNTIFS(Selections!$G$6:$G$79,"48h-two-per-market-group-probability-ev-corners-cards-v25",Selections!$K$6:$K$79,"HALF_WON"))/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)</f>
        <v>0.75</v>
      </c>
      <c r="I36" s="22">
        <f>SUMIFS(Selections!$M$6:$M$79,Selections!$G$6:$G$79,"48h-two-per-market-group-probability-ev-corners-cards-v25")</f>
        <v>12</v>
      </c>
      <c r="J36" s="22">
        <f>SUMIFS(Selections!$N$6:$N$79,Selections!$G$6:$G$79,"48h-two-per-market-group-probability-ev-corners-cards-v25")</f>
        <v>0.45999999999999974</v>
      </c>
      <c r="K36" s="20">
        <f>IF(SUMIFS(Selections!$M$6:$M$79,Selections!$G$6:$G$79,"48h-two-per-market-group-probability-ev-corners-cards-v25")=0,"n.a.",SUMIFS(Selections!$N$6:$N$79,Selections!$G$6:$G$79,"48h-two-per-market-group-probability-ev-corners-cards-v25")/SUMIFS(Selections!$M$6:$M$79,Selections!$G$6:$G$79,"48h-two-per-market-group-probability-ev-corners-cards-v25"))</f>
        <v>0.03833333333333331</v>
      </c>
      <c r="L36" s="21">
        <f>IF(SUMIFS(Selections!$T$6:$T$79,Selections!$G$6:$G$79,"48h-two-per-market-group-probability-ev-corners-cards-v25")=0,"n.a.",SUMIFS(Selections!$O$6:$O$79,Selections!$G$6:$G$79,"48h-two-per-market-group-probability-ev-corners-cards-v25")/SUMIFS(Selections!$T$6:$T$79,Selections!$G$6:$G$79,"48h-two-per-market-group-probability-ev-corners-cards-v25"))</f>
        <v>0.13045944850654306</v>
      </c>
      <c r="M36" s="20">
        <f>IF(SUMIFS(Selections!$T$6:$T$79,Selections!$G$6:$G$79,"48h-two-per-market-group-probability-ev-corners-cards-v25")=0,"n.a.",SUMIFS(Selections!$S$6:$S$79,Selections!$G$6:$G$79,"48h-two-per-market-group-probability-ev-corners-cards-v25")/SUMIFS(Selections!$T$6:$T$79,Selections!$G$6:$G$79,"48h-two-per-market-group-probability-ev-corners-cards-v25"))</f>
        <v>0.7093136666437047</v>
      </c>
      <c r="N36" s="20">
        <f>IF(SUMIFS(Selections!$T$6:$T$79,Selections!$G$6:$G$79,"48h-two-per-market-group-probability-ev-corners-cards-v25")=0,"n.a.",(SUMIFS(Selections!$L$6:$L$79,Selections!$G$6:$G$79,"48h-two-per-market-group-probability-ev-corners-cards-v25",Selections!$T$6:$T$79,1))/SUMIFS(Selections!$T$6:$T$79,Selections!$G$6:$G$79,"48h-two-per-market-group-probability-ev-corners-cards-v25"))</f>
        <v>0.75</v>
      </c>
      <c r="O36" s="20">
        <f>IF(SUMIFS(Selections!$T$6:$T$79,Selections!$G$6:$G$79,"48h-two-per-market-group-probability-ev-corners-cards-v25")=0,"n.a.",(SUMIFS(Selections!$S$6:$S$79,Selections!$G$6:$G$79,"48h-two-per-market-group-probability-ev-corners-cards-v25")-(SUMIFS(Selections!$L$6:$L$79,Selections!$G$6:$G$79,"48h-two-per-market-group-probability-ev-corners-cards-v25",Selections!$T$6:$T$79,1)))/SUMIFS(Selections!$T$6:$T$79,Selections!$G$6:$G$79,"48h-two-per-market-group-probability-ev-corners-cards-v25"))</f>
        <v>-0.040686333356295346</v>
      </c>
      <c r="P36" s="19">
        <f>SUMIFS(Selections!$T$6:$T$79,Selections!$G$6:$G$79,"48h-two-per-market-group-probability-ev-corners-cards-v25")</f>
        <v>12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(n=12).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COUNTIFS(Selections!$G$6:$G$79,"48h-two-per-market-group-probability-ev-v24")</f>
        <v>4</v>
      </c>
      <c r="D37" s="19">
        <f>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</f>
        <v>3</v>
      </c>
      <c r="E37" s="19">
        <f>(COUNTIFS(Selections!$G$6:$G$79,"48h-two-per-market-group-probability-ev-v24",Selections!$K$6:$K$79,"WON")+COUNTIFS(Selections!$G$6:$G$79,"48h-two-per-market-group-probability-ev-v24",Selections!$K$6:$K$79,"HALF_WON"))</f>
        <v>2</v>
      </c>
      <c r="F37" s="19">
        <f>(COUNTIFS(Selections!$G$6:$G$79,"48h-two-per-market-group-probability-ev-v24",Selections!$K$6:$K$79,"LOST")+COUNTIFS(Selections!$G$6:$G$79,"48h-two-per-market-group-probability-ev-v24",Selections!$K$6:$K$79,"HALF_LOST"))</f>
        <v>1</v>
      </c>
      <c r="G37" s="19">
        <f>COUNTIFS(Selections!$G$6:$G$79,"48h-two-per-market-group-probability-ev-v24")-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</f>
        <v>1</v>
      </c>
      <c r="H37" s="20">
        <f>IF(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=0,"n.a.",(COUNTIFS(Selections!$G$6:$G$79,"48h-two-per-market-group-probability-ev-v24",Selections!$K$6:$K$79,"WON")+COUNTIFS(Selections!$G$6:$G$79,"48h-two-per-market-group-probability-ev-v24",Selections!$K$6:$K$79,"HALF_WON"))/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)</f>
        <v>0.6666666666666666</v>
      </c>
      <c r="I37" s="22">
        <f>SUMIFS(Selections!$M$6:$M$79,Selections!$G$6:$G$79,"48h-two-per-market-group-probability-ev-v24")</f>
        <v>3</v>
      </c>
      <c r="J37" s="22">
        <f>SUMIFS(Selections!$N$6:$N$79,Selections!$G$6:$G$79,"48h-two-per-market-group-probability-ev-v24")</f>
        <v>0.6200000000000001</v>
      </c>
      <c r="K37" s="20">
        <f>IF(SUMIFS(Selections!$M$6:$M$79,Selections!$G$6:$G$79,"48h-two-per-market-group-probability-ev-v24")=0,"n.a.",SUMIFS(Selections!$N$6:$N$79,Selections!$G$6:$G$79,"48h-two-per-market-group-probability-ev-v24")/SUMIFS(Selections!$M$6:$M$79,Selections!$G$6:$G$79,"48h-two-per-market-group-probability-ev-v24"))</f>
        <v>0.2066666666666667</v>
      </c>
      <c r="L37" s="21">
        <f>IF(SUMIFS(Selections!$T$6:$T$79,Selections!$G$6:$G$79,"48h-two-per-market-group-probability-ev-v24")=0,"n.a.",SUMIFS(Selections!$O$6:$O$79,Selections!$G$6:$G$79,"48h-two-per-market-group-probability-ev-v24")/SUMIFS(Selections!$T$6:$T$79,Selections!$G$6:$G$79,"48h-two-per-market-group-probability-ev-v24"))</f>
        <v>0.23207082865311845</v>
      </c>
      <c r="M37" s="20">
        <f>IF(SUMIFS(Selections!$T$6:$T$79,Selections!$G$6:$G$79,"48h-two-per-market-group-probability-ev-v24")=0,"n.a.",SUMIFS(Selections!$S$6:$S$79,Selections!$G$6:$G$79,"48h-two-per-market-group-probability-ev-v24")/SUMIFS(Selections!$T$6:$T$79,Selections!$G$6:$G$79,"48h-two-per-market-group-probability-ev-v24"))</f>
        <v>0.5372089614736306</v>
      </c>
      <c r="N37" s="20">
        <f>IF(SUMIFS(Selections!$T$6:$T$79,Selections!$G$6:$G$79,"48h-two-per-market-group-probability-ev-v24")=0,"n.a.",(SUMIFS(Selections!$L$6:$L$79,Selections!$G$6:$G$79,"48h-two-per-market-group-probability-ev-v24",Selections!$T$6:$T$79,1))/SUMIFS(Selections!$T$6:$T$79,Selections!$G$6:$G$79,"48h-two-per-market-group-probability-ev-v24"))</f>
        <v>0.6666666666666666</v>
      </c>
      <c r="O37" s="20">
        <f>IF(SUMIFS(Selections!$T$6:$T$79,Selections!$G$6:$G$79,"48h-two-per-market-group-probability-ev-v24")=0,"n.a.",(SUMIFS(Selections!$S$6:$S$79,Selections!$G$6:$G$79,"48h-two-per-market-group-probability-ev-v24")-(SUMIFS(Selections!$L$6:$L$79,Selections!$G$6:$G$79,"48h-two-per-market-group-probability-ev-v24",Selections!$T$6:$T$79,1)))/SUMIFS(Selections!$T$6:$T$79,Selections!$G$6:$G$79,"48h-two-per-market-group-probability-ev-v24"))</f>
        <v>-0.129457705193036</v>
      </c>
      <c r="P37" s="19">
        <f>SUMIFS(Selections!$T$6:$T$79,Selections!$G$6:$G$79,"48h-two-per-market-group-probability-ev-v24")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48h-zero-tolerance-ev05-no-loss75-corners-v26</t>
        </is>
      </c>
      <c r="C38" s="19">
        <f>COUNTIFS(Selections!$G$6:$G$79,"48h-zero-tolerance-ev05-no-loss75-corners-v26")</f>
        <v>3</v>
      </c>
      <c r="D38" s="19">
        <f>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</f>
        <v>1</v>
      </c>
      <c r="E38" s="19">
        <f>(COUNTIFS(Selections!$G$6:$G$79,"48h-zero-tolerance-ev05-no-loss75-corners-v26",Selections!$K$6:$K$79,"WON")+COUNTIFS(Selections!$G$6:$G$79,"48h-zero-tolerance-ev05-no-loss75-corners-v26",Selections!$K$6:$K$79,"HALF_WON"))</f>
        <v>0</v>
      </c>
      <c r="F38" s="19">
        <f>(COUNTIFS(Selections!$G$6:$G$79,"48h-zero-tolerance-ev05-no-loss75-corners-v26",Selections!$K$6:$K$79,"LOST")+COUNTIFS(Selections!$G$6:$G$79,"48h-zero-tolerance-ev05-no-loss75-corners-v26",Selections!$K$6:$K$79,"HALF_LOST"))</f>
        <v>0</v>
      </c>
      <c r="G38" s="19">
        <f>COUNTIFS(Selections!$G$6:$G$79,"48h-zero-tolerance-ev05-no-loss75-corners-v26")-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</f>
        <v>2</v>
      </c>
      <c r="H38" s="20">
        <f>IF(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=0,"n.a.",(COUNTIFS(Selections!$G$6:$G$79,"48h-zero-tolerance-ev05-no-loss75-corners-v26",Selections!$K$6:$K$79,"WON")+COUNTIFS(Selections!$G$6:$G$79,"48h-zero-tolerance-ev05-no-loss75-corners-v26",Selections!$K$6:$K$79,"HALF_WON"))/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)</f>
        <v>0.0</v>
      </c>
      <c r="I38" s="22">
        <f>SUMIFS(Selections!$M$6:$M$79,Selections!$G$6:$G$79,"48h-zero-tolerance-ev05-no-loss75-corners-v26")</f>
        <v>1</v>
      </c>
      <c r="J38" s="22">
        <f>SUMIFS(Selections!$N$6:$N$79,Selections!$G$6:$G$79,"48h-zero-tolerance-ev05-no-loss75-corners-v26")</f>
        <v>0.0</v>
      </c>
      <c r="K38" s="20">
        <f>IF(SUMIFS(Selections!$M$6:$M$79,Selections!$G$6:$G$79,"48h-zero-tolerance-ev05-no-loss75-corners-v26")=0,"n.a.",SUMIFS(Selections!$N$6:$N$79,Selections!$G$6:$G$79,"48h-zero-tolerance-ev05-no-loss75-corners-v26")/SUMIFS(Selections!$M$6:$M$79,Selections!$G$6:$G$79,"48h-zero-tolerance-ev05-no-loss75-corners-v26"))</f>
        <v>0.0</v>
      </c>
      <c r="L38" s="21">
        <f>IF(SUMIFS(Selections!$T$6:$T$79,Selections!$G$6:$G$79,"48h-zero-tolerance-ev05-no-loss75-corners-v26")=0,"n.a.",SUMIFS(Selections!$O$6:$O$79,Selections!$G$6:$G$79,"48h-zero-tolerance-ev05-no-loss75-corners-v26")/SUMIFS(Selections!$T$6:$T$79,Selections!$G$6:$G$79,"48h-zero-tolerance-ev05-no-loss75-corners-v26"))</f>
        <v>0.04930986683311443</v>
      </c>
      <c r="M38" s="20">
        <f>IF(SUMIFS(Selections!$T$6:$T$79,Selections!$G$6:$G$79,"48h-zero-tolerance-ev05-no-loss75-corners-v26")=0,"n.a.",SUMIFS(Selections!$S$6:$S$79,Selections!$G$6:$G$79,"48h-zero-tolerance-ev05-no-loss75-corners-v26")/SUMIFS(Selections!$T$6:$T$79,Selections!$G$6:$G$79,"48h-zero-tolerance-ev05-no-loss75-corners-v26"))</f>
        <v>0.777941749009152</v>
      </c>
      <c r="N38" s="20">
        <f>IF(SUMIFS(Selections!$T$6:$T$79,Selections!$G$6:$G$79,"48h-zero-tolerance-ev05-no-loss75-corners-v26")=0,"n.a.",(SUMIFS(Selections!$L$6:$L$79,Selections!$G$6:$G$79,"48h-zero-tolerance-ev05-no-loss75-corners-v26",Selections!$T$6:$T$79,1))/SUMIFS(Selections!$T$6:$T$79,Selections!$G$6:$G$79,"48h-zero-tolerance-ev05-no-loss75-corners-v26"))</f>
        <v>1.0</v>
      </c>
      <c r="O38" s="20">
        <f>IF(SUMIFS(Selections!$T$6:$T$79,Selections!$G$6:$G$79,"48h-zero-tolerance-ev05-no-loss75-corners-v26")=0,"n.a.",(SUMIFS(Selections!$S$6:$S$79,Selections!$G$6:$G$79,"48h-zero-tolerance-ev05-no-loss75-corners-v26")-(SUMIFS(Selections!$L$6:$L$79,Selections!$G$6:$G$79,"48h-zero-tolerance-ev05-no-loss75-corners-v26",Selections!$T$6:$T$79,1)))/SUMIFS(Selections!$T$6:$T$79,Selections!$G$6:$G$79,"48h-zero-tolerance-ev05-no-loss75-corners-v26"))</f>
        <v>-0.22205825099084797</v>
      </c>
      <c r="P38" s="19">
        <f>SUMIFS(Selections!$T$6:$T$79,Selections!$G$6:$G$79,"48h-zero-tolerance-ev05-no-loss75-corners-v26")</f>
        <v>1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(n=1).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48h-zero-tolerance-ev1-common-no-loss75-v22</t>
        </is>
      </c>
      <c r="C39" s="19">
        <f>COUNTIFS(Selections!$G$6:$G$79,"48h-zero-tolerance-ev1-common-no-loss75-v22")</f>
        <v>8</v>
      </c>
      <c r="D39" s="19">
        <f>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</f>
        <v>7</v>
      </c>
      <c r="E39" s="19">
        <f>(COUNTIFS(Selections!$G$6:$G$79,"48h-zero-tolerance-ev1-common-no-loss75-v22",Selections!$K$6:$K$79,"WON")+COUNTIFS(Selections!$G$6:$G$79,"48h-zero-tolerance-ev1-common-no-loss75-v22",Selections!$K$6:$K$79,"HALF_WON"))</f>
        <v>7</v>
      </c>
      <c r="F39" s="19">
        <f>(COUNTIFS(Selections!$G$6:$G$79,"48h-zero-tolerance-ev1-common-no-loss75-v22",Selections!$K$6:$K$79,"LOST")+COUNTIFS(Selections!$G$6:$G$79,"48h-zero-tolerance-ev1-common-no-loss75-v22",Selections!$K$6:$K$79,"HALF_LOST"))</f>
        <v>0</v>
      </c>
      <c r="G39" s="19">
        <f>COUNTIFS(Selections!$G$6:$G$79,"48h-zero-tolerance-ev1-common-no-loss75-v22")-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</f>
        <v>1</v>
      </c>
      <c r="H39" s="20">
        <f>IF(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=0,"n.a.",(COUNTIFS(Selections!$G$6:$G$79,"48h-zero-tolerance-ev1-common-no-loss75-v22",Selections!$K$6:$K$79,"WON")+COUNTIFS(Selections!$G$6:$G$79,"48h-zero-tolerance-ev1-common-no-loss75-v22",Selections!$K$6:$K$79,"HALF_WON"))/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)</f>
        <v>1.0</v>
      </c>
      <c r="I39" s="22">
        <f>SUMIFS(Selections!$M$6:$M$79,Selections!$G$6:$G$79,"48h-zero-tolerance-ev1-common-no-loss75-v22")</f>
        <v>7</v>
      </c>
      <c r="J39" s="22">
        <f>SUMIFS(Selections!$N$6:$N$79,Selections!$G$6:$G$79,"48h-zero-tolerance-ev1-common-no-loss75-v22")</f>
        <v>2.37</v>
      </c>
      <c r="K39" s="20">
        <f>IF(SUMIFS(Selections!$M$6:$M$79,Selections!$G$6:$G$79,"48h-zero-tolerance-ev1-common-no-loss75-v22")=0,"n.a.",SUMIFS(Selections!$N$6:$N$79,Selections!$G$6:$G$79,"48h-zero-tolerance-ev1-common-no-loss75-v22")/SUMIFS(Selections!$M$6:$M$79,Selections!$G$6:$G$79,"48h-zero-tolerance-ev1-common-no-loss75-v22"))</f>
        <v>0.3385714285714286</v>
      </c>
      <c r="L39" s="21">
        <f>IF(SUMIFS(Selections!$T$6:$T$79,Selections!$G$6:$G$79,"48h-zero-tolerance-ev1-common-no-loss75-v22")=0,"n.a.",SUMIFS(Selections!$O$6:$O$79,Selections!$G$6:$G$79,"48h-zero-tolerance-ev1-common-no-loss75-v22")/SUMIFS(Selections!$T$6:$T$79,Selections!$G$6:$G$79,"48h-zero-tolerance-ev1-common-no-loss75-v22"))</f>
        <v>0.029217671084275306</v>
      </c>
      <c r="M39" s="20">
        <f>IF(SUMIFS(Selections!$T$6:$T$79,Selections!$G$6:$G$79,"48h-zero-tolerance-ev1-common-no-loss75-v22")=0,"n.a.",SUMIFS(Selections!$S$6:$S$79,Selections!$G$6:$G$79,"48h-zero-tolerance-ev1-common-no-loss75-v22")/SUMIFS(Selections!$T$6:$T$79,Selections!$G$6:$G$79,"48h-zero-tolerance-ev1-common-no-loss75-v22"))</f>
        <v>0.8361780388006138</v>
      </c>
      <c r="N39" s="20">
        <f>IF(SUMIFS(Selections!$T$6:$T$79,Selections!$G$6:$G$79,"48h-zero-tolerance-ev1-common-no-loss75-v22")=0,"n.a.",(SUMIFS(Selections!$L$6:$L$79,Selections!$G$6:$G$79,"48h-zero-tolerance-ev1-common-no-loss75-v22",Selections!$T$6:$T$79,1))/SUMIFS(Selections!$T$6:$T$79,Selections!$G$6:$G$79,"48h-zero-tolerance-ev1-common-no-loss75-v22"))</f>
        <v>1.0</v>
      </c>
      <c r="O39" s="20">
        <f>IF(SUMIFS(Selections!$T$6:$T$79,Selections!$G$6:$G$79,"48h-zero-tolerance-ev1-common-no-loss75-v22")=0,"n.a.",(SUMIFS(Selections!$S$6:$S$79,Selections!$G$6:$G$79,"48h-zero-tolerance-ev1-common-no-loss75-v22")-(SUMIFS(Selections!$L$6:$L$79,Selections!$G$6:$G$79,"48h-zero-tolerance-ev1-common-no-loss75-v22",Selections!$T$6:$T$79,1)))/SUMIFS(Selections!$T$6:$T$79,Selections!$G$6:$G$79,"48h-zero-tolerance-ev1-common-no-loss75-v22"))</f>
        <v>-0.1638219611993862</v>
      </c>
      <c r="P39" s="19">
        <f>SUMIFS(Selections!$T$6:$T$79,Selections!$G$6:$G$79,"48h-zero-tolerance-ev1-common-no-loss75-v22")</f>
        <v>7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(n=7).</v>
      </c>
      <c r="R39" s="18"/>
    </row>
    <row r="40" ht="36" customHeight="1">
      <c r="A40" s="18" t="inlineStr">
        <is>
          <t>Policy</t>
        </is>
      </c>
      <c r="B40" s="18" t="inlineStr">
        <is>
          <t>72h-all-markets-ev15-one-book-v6</t>
        </is>
      </c>
      <c r="C40" s="19">
        <f>COUNTIFS(Selections!$G$6:$G$79,"72h-all-markets-ev15-one-book-v6")</f>
        <v>1</v>
      </c>
      <c r="D40" s="19">
        <f>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</f>
        <v>1</v>
      </c>
      <c r="E40" s="19">
        <f>(COUNTIFS(Selections!$G$6:$G$79,"72h-all-markets-ev15-one-book-v6",Selections!$K$6:$K$79,"WON")+COUNTIFS(Selections!$G$6:$G$79,"72h-all-markets-ev15-one-book-v6",Selections!$K$6:$K$79,"HALF_WON"))</f>
        <v>1</v>
      </c>
      <c r="F40" s="19">
        <f>(COUNTIFS(Selections!$G$6:$G$79,"72h-all-markets-ev15-one-book-v6",Selections!$K$6:$K$79,"LOST")+COUNTIFS(Selections!$G$6:$G$79,"72h-all-markets-ev15-one-book-v6",Selections!$K$6:$K$79,"HALF_LOST"))</f>
        <v>0</v>
      </c>
      <c r="G40" s="19">
        <f>COUNTIFS(Selections!$G$6:$G$79,"72h-all-markets-ev15-one-book-v6")-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</f>
        <v>0</v>
      </c>
      <c r="H40" s="20">
        <f>IF(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=0,"n.a.",(COUNTIFS(Selections!$G$6:$G$79,"72h-all-markets-ev15-one-book-v6",Selections!$K$6:$K$79,"WON")+COUNTIFS(Selections!$G$6:$G$79,"72h-all-markets-ev15-one-book-v6",Selections!$K$6:$K$79,"HALF_WON"))/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)</f>
        <v>1.0</v>
      </c>
      <c r="I40" s="22">
        <f>SUMIFS(Selections!$M$6:$M$79,Selections!$G$6:$G$79,"72h-all-markets-ev15-one-book-v6")</f>
        <v>1</v>
      </c>
      <c r="J40" s="22">
        <f>SUMIFS(Selections!$N$6:$N$79,Selections!$G$6:$G$79,"72h-all-markets-ev15-one-book-v6")</f>
        <v>0.44999999999999996</v>
      </c>
      <c r="K40" s="20">
        <f>IF(SUMIFS(Selections!$M$6:$M$79,Selections!$G$6:$G$79,"72h-all-markets-ev15-one-book-v6")=0,"n.a.",SUMIFS(Selections!$N$6:$N$79,Selections!$G$6:$G$79,"72h-all-markets-ev15-one-book-v6")/SUMIFS(Selections!$M$6:$M$79,Selections!$G$6:$G$79,"72h-all-markets-ev15-one-book-v6"))</f>
        <v>0.44999999999999996</v>
      </c>
      <c r="L40" s="21">
        <f>IF(SUMIFS(Selections!$T$6:$T$79,Selections!$G$6:$G$79,"72h-all-markets-ev15-one-book-v6")=0,"n.a.",SUMIFS(Selections!$O$6:$O$79,Selections!$G$6:$G$79,"72h-all-markets-ev15-one-book-v6")/SUMIFS(Selections!$T$6:$T$79,Selections!$G$6:$G$79,"72h-all-markets-ev15-one-book-v6"))</f>
        <v>0.08610395019172555</v>
      </c>
      <c r="M40" s="20">
        <f>IF(SUMIFS(Selections!$T$6:$T$79,Selections!$G$6:$G$79,"72h-all-markets-ev15-one-book-v6")=0,"n.a.",SUMIFS(Selections!$S$6:$S$79,Selections!$G$6:$G$79,"72h-all-markets-ev15-one-book-v6")/SUMIFS(Selections!$T$6:$T$79,Selections!$G$6:$G$79,"72h-all-markets-ev15-one-book-v6"))</f>
        <v>0.706565253946085</v>
      </c>
      <c r="N40" s="20">
        <f>IF(SUMIFS(Selections!$T$6:$T$79,Selections!$G$6:$G$79,"72h-all-markets-ev15-one-book-v6")=0,"n.a.",(SUMIFS(Selections!$L$6:$L$79,Selections!$G$6:$G$79,"72h-all-markets-ev15-one-book-v6",Selections!$T$6:$T$79,1))/SUMIFS(Selections!$T$6:$T$79,Selections!$G$6:$G$79,"72h-all-markets-ev15-one-book-v6"))</f>
        <v>1.0</v>
      </c>
      <c r="O40" s="20">
        <f>IF(SUMIFS(Selections!$T$6:$T$79,Selections!$G$6:$G$79,"72h-all-markets-ev15-one-book-v6")=0,"n.a.",(SUMIFS(Selections!$S$6:$S$79,Selections!$G$6:$G$79,"72h-all-markets-ev15-one-book-v6")-(SUMIFS(Selections!$L$6:$L$79,Selections!$G$6:$G$79,"72h-all-markets-ev15-one-book-v6",Selections!$T$6:$T$79,1)))/SUMIFS(Selections!$T$6:$T$79,Selections!$G$6:$G$79,"72h-all-markets-ev15-one-book-v6"))</f>
        <v>-0.29343474605391495</v>
      </c>
      <c r="P40" s="19">
        <f>SUMIFS(Selections!$T$6:$T$79,Selections!$G$6:$G$79,"72h-all-markets-ev15-one-book-v6")</f>
        <v>1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(n=1).</v>
      </c>
      <c r="R40" s="18"/>
    </row>
    <row r="41" ht="36" customHeight="1">
      <c r="A41" s="18" t="inlineStr">
        <is>
          <t>Policy</t>
        </is>
      </c>
      <c r="B41" s="18" t="inlineStr">
        <is>
          <t>72h-all-markets-net-ev15-execution-v7</t>
        </is>
      </c>
      <c r="C41" s="19">
        <f>COUNTIFS(Selections!$G$6:$G$79,"72h-all-markets-net-ev15-execution-v7")</f>
        <v>5</v>
      </c>
      <c r="D41" s="19">
        <f>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</f>
        <v>4</v>
      </c>
      <c r="E41" s="19">
        <f>(COUNTIFS(Selections!$G$6:$G$79,"72h-all-markets-net-ev15-execution-v7",Selections!$K$6:$K$79,"WON")+COUNTIFS(Selections!$G$6:$G$79,"72h-all-markets-net-ev15-execution-v7",Selections!$K$6:$K$79,"HALF_WON"))</f>
        <v>4</v>
      </c>
      <c r="F41" s="19">
        <f>(COUNTIFS(Selections!$G$6:$G$79,"72h-all-markets-net-ev15-execution-v7",Selections!$K$6:$K$79,"LOST")+COUNTIFS(Selections!$G$6:$G$79,"72h-all-markets-net-ev15-execution-v7",Selections!$K$6:$K$79,"HALF_LOST"))</f>
        <v>0</v>
      </c>
      <c r="G41" s="19">
        <f>COUNTIFS(Selections!$G$6:$G$79,"72h-all-markets-net-ev15-execution-v7")-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</f>
        <v>1</v>
      </c>
      <c r="H41" s="20">
        <f>IF(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=0,"n.a.",(COUNTIFS(Selections!$G$6:$G$79,"72h-all-markets-net-ev15-execution-v7",Selections!$K$6:$K$79,"WON")+COUNTIFS(Selections!$G$6:$G$79,"72h-all-markets-net-ev15-execution-v7",Selections!$K$6:$K$79,"HALF_WON"))/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)</f>
        <v>1.0</v>
      </c>
      <c r="I41" s="22">
        <f>SUMIFS(Selections!$M$6:$M$79,Selections!$G$6:$G$79,"72h-all-markets-net-ev15-execution-v7")</f>
        <v>4</v>
      </c>
      <c r="J41" s="22">
        <f>SUMIFS(Selections!$N$6:$N$79,Selections!$G$6:$G$79,"72h-all-markets-net-ev15-execution-v7")</f>
        <v>1.74</v>
      </c>
      <c r="K41" s="20">
        <f>IF(SUMIFS(Selections!$M$6:$M$79,Selections!$G$6:$G$79,"72h-all-markets-net-ev15-execution-v7")=0,"n.a.",SUMIFS(Selections!$N$6:$N$79,Selections!$G$6:$G$79,"72h-all-markets-net-ev15-execution-v7")/SUMIFS(Selections!$M$6:$M$79,Selections!$G$6:$G$79,"72h-all-markets-net-ev15-execution-v7"))</f>
        <v>0.435</v>
      </c>
      <c r="L41" s="21">
        <f>IF(SUMIFS(Selections!$T$6:$T$79,Selections!$G$6:$G$79,"72h-all-markets-net-ev15-execution-v7")=0,"n.a.",SUMIFS(Selections!$O$6:$O$79,Selections!$G$6:$G$79,"72h-all-markets-net-ev15-execution-v7")/SUMIFS(Selections!$T$6:$T$79,Selections!$G$6:$G$79,"72h-all-markets-net-ev15-execution-v7"))</f>
        <v>0.05403053120768371</v>
      </c>
      <c r="M41" s="20">
        <f>IF(SUMIFS(Selections!$T$6:$T$79,Selections!$G$6:$G$79,"72h-all-markets-net-ev15-execution-v7")=0,"n.a.",SUMIFS(Selections!$S$6:$S$79,Selections!$G$6:$G$79,"72h-all-markets-net-ev15-execution-v7")/SUMIFS(Selections!$T$6:$T$79,Selections!$G$6:$G$79,"72h-all-markets-net-ev15-execution-v7"))</f>
        <v>0.7950551078170468</v>
      </c>
      <c r="N41" s="20">
        <f>IF(SUMIFS(Selections!$T$6:$T$79,Selections!$G$6:$G$79,"72h-all-markets-net-ev15-execution-v7")=0,"n.a.",(SUMIFS(Selections!$L$6:$L$79,Selections!$G$6:$G$79,"72h-all-markets-net-ev15-execution-v7",Selections!$T$6:$T$79,1))/SUMIFS(Selections!$T$6:$T$79,Selections!$G$6:$G$79,"72h-all-markets-net-ev15-execution-v7"))</f>
        <v>1.0</v>
      </c>
      <c r="O41" s="20">
        <f>IF(SUMIFS(Selections!$T$6:$T$79,Selections!$G$6:$G$79,"72h-all-markets-net-ev15-execution-v7")=0,"n.a.",(SUMIFS(Selections!$S$6:$S$79,Selections!$G$6:$G$79,"72h-all-markets-net-ev15-execution-v7")-(SUMIFS(Selections!$L$6:$L$79,Selections!$G$6:$G$79,"72h-all-markets-net-ev15-execution-v7",Selections!$T$6:$T$79,1)))/SUMIFS(Selections!$T$6:$T$79,Selections!$G$6:$G$79,"72h-all-markets-net-ev15-execution-v7"))</f>
        <v>-0.2049448921829532</v>
      </c>
      <c r="P41" s="19">
        <f>SUMIFS(Selections!$T$6:$T$79,Selections!$G$6:$G$79,"72h-all-markets-net-ev15-execution-v7")</f>
        <v>4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(n=4).</v>
      </c>
      <c r="R41" s="18"/>
    </row>
    <row r="42" ht="36" customHeight="1">
      <c r="A42" s="18" t="inlineStr">
        <is>
          <t>Policy</t>
        </is>
      </c>
      <c r="B42" s="18" t="inlineStr">
        <is>
          <t>72h-seven-markets-fresh-references-net-ev15-v11</t>
        </is>
      </c>
      <c r="C42" s="19">
        <f>COUNTIFS(Selections!$G$6:$G$79,"72h-seven-markets-fresh-references-net-ev15-v11")</f>
        <v>5</v>
      </c>
      <c r="D42" s="19">
        <f>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</f>
        <v>5</v>
      </c>
      <c r="E42" s="19">
        <f>(COUNTIFS(Selections!$G$6:$G$79,"72h-seven-markets-fresh-references-net-ev15-v11",Selections!$K$6:$K$79,"WON")+COUNTIFS(Selections!$G$6:$G$79,"72h-seven-markets-fresh-references-net-ev15-v11",Selections!$K$6:$K$79,"HALF_WON"))</f>
        <v>4</v>
      </c>
      <c r="F42" s="19">
        <f>(COUNTIFS(Selections!$G$6:$G$79,"72h-seven-markets-fresh-references-net-ev15-v11",Selections!$K$6:$K$79,"LOST")+COUNTIFS(Selections!$G$6:$G$79,"72h-seven-markets-fresh-references-net-ev15-v11",Selections!$K$6:$K$79,"HALF_LOST"))</f>
        <v>1</v>
      </c>
      <c r="G42" s="19">
        <f>COUNTIFS(Selections!$G$6:$G$79,"72h-seven-markets-fresh-references-net-ev15-v11")-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</f>
        <v>0</v>
      </c>
      <c r="H42" s="20">
        <f>IF(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=0,"n.a.",(COUNTIFS(Selections!$G$6:$G$79,"72h-seven-markets-fresh-references-net-ev15-v11",Selections!$K$6:$K$79,"WON")+COUNTIFS(Selections!$G$6:$G$79,"72h-seven-markets-fresh-references-net-ev15-v11",Selections!$K$6:$K$79,"HALF_WON"))/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)</f>
        <v>0.8</v>
      </c>
      <c r="I42" s="22">
        <f>SUMIFS(Selections!$M$6:$M$79,Selections!$G$6:$G$79,"72h-seven-markets-fresh-references-net-ev15-v11")</f>
        <v>5</v>
      </c>
      <c r="J42" s="22">
        <f>SUMIFS(Selections!$N$6:$N$79,Selections!$G$6:$G$79,"72h-seven-markets-fresh-references-net-ev15-v11")</f>
        <v>0.3600000000000001</v>
      </c>
      <c r="K42" s="20">
        <f>IF(SUMIFS(Selections!$M$6:$M$79,Selections!$G$6:$G$79,"72h-seven-markets-fresh-references-net-ev15-v11")=0,"n.a.",SUMIFS(Selections!$N$6:$N$79,Selections!$G$6:$G$79,"72h-seven-markets-fresh-references-net-ev15-v11")/SUMIFS(Selections!$M$6:$M$79,Selections!$G$6:$G$79,"72h-seven-markets-fresh-references-net-ev15-v11"))</f>
        <v>0.07200000000000002</v>
      </c>
      <c r="L42" s="21">
        <f>IF(SUMIFS(Selections!$T$6:$T$79,Selections!$G$6:$G$79,"72h-seven-markets-fresh-references-net-ev15-v11")=0,"n.a.",SUMIFS(Selections!$O$6:$O$79,Selections!$G$6:$G$79,"72h-seven-markets-fresh-references-net-ev15-v11")/SUMIFS(Selections!$T$6:$T$79,Selections!$G$6:$G$79,"72h-seven-markets-fresh-references-net-ev15-v11"))</f>
        <v>0.12900891729637554</v>
      </c>
      <c r="M42" s="20">
        <f>IF(SUMIFS(Selections!$T$6:$T$79,Selections!$G$6:$G$79,"72h-seven-markets-fresh-references-net-ev15-v11")=0,"n.a.",SUMIFS(Selections!$S$6:$S$79,Selections!$G$6:$G$79,"72h-seven-markets-fresh-references-net-ev15-v11")/SUMIFS(Selections!$T$6:$T$79,Selections!$G$6:$G$79,"72h-seven-markets-fresh-references-net-ev15-v11"))</f>
        <v>0.7527708085856005</v>
      </c>
      <c r="N42" s="20">
        <f>IF(SUMIFS(Selections!$T$6:$T$79,Selections!$G$6:$G$79,"72h-seven-markets-fresh-references-net-ev15-v11")=0,"n.a.",(SUMIFS(Selections!$L$6:$L$79,Selections!$G$6:$G$79,"72h-seven-markets-fresh-references-net-ev15-v11",Selections!$T$6:$T$79,1))/SUMIFS(Selections!$T$6:$T$79,Selections!$G$6:$G$79,"72h-seven-markets-fresh-references-net-ev15-v11"))</f>
        <v>0.8</v>
      </c>
      <c r="O42" s="20">
        <f>IF(SUMIFS(Selections!$T$6:$T$79,Selections!$G$6:$G$79,"72h-seven-markets-fresh-references-net-ev15-v11")=0,"n.a.",(SUMIFS(Selections!$S$6:$S$79,Selections!$G$6:$G$79,"72h-seven-markets-fresh-references-net-ev15-v11")-(SUMIFS(Selections!$L$6:$L$79,Selections!$G$6:$G$79,"72h-seven-markets-fresh-references-net-ev15-v11",Selections!$T$6:$T$79,1)))/SUMIFS(Selections!$T$6:$T$79,Selections!$G$6:$G$79,"72h-seven-markets-fresh-references-net-ev15-v11"))</f>
        <v>-0.04722919141439952</v>
      </c>
      <c r="P42" s="19">
        <f>SUMIFS(Selections!$T$6:$T$79,Selections!$G$6:$G$79,"72h-seven-markets-fresh-references-net-ev15-v11")</f>
        <v>5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(n=5).</v>
      </c>
      <c r="R42" s="18"/>
    </row>
    <row r="43" ht="36" customHeight="1">
      <c r="A43" s="18" t="inlineStr">
        <is>
          <t>Policy</t>
        </is>
      </c>
      <c r="B43" s="18" t="inlineStr">
        <is>
          <t>72h-ucl-v2</t>
        </is>
      </c>
      <c r="C43" s="19">
        <f>COUNTIFS(Selections!$G$6:$G$79,"72h-ucl-v2")</f>
        <v>1</v>
      </c>
      <c r="D43" s="19">
        <f>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</f>
        <v>1</v>
      </c>
      <c r="E43" s="19">
        <f>(COUNTIFS(Selections!$G$6:$G$79,"72h-ucl-v2",Selections!$K$6:$K$79,"WON")+COUNTIFS(Selections!$G$6:$G$79,"72h-ucl-v2",Selections!$K$6:$K$79,"HALF_WON"))</f>
        <v>1</v>
      </c>
      <c r="F43" s="19">
        <f>(COUNTIFS(Selections!$G$6:$G$79,"72h-ucl-v2",Selections!$K$6:$K$79,"LOST")+COUNTIFS(Selections!$G$6:$G$79,"72h-ucl-v2",Selections!$K$6:$K$79,"HALF_LOST"))</f>
        <v>0</v>
      </c>
      <c r="G43" s="19">
        <f>COUNTIFS(Selections!$G$6:$G$79,"72h-ucl-v2")-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</f>
        <v>0</v>
      </c>
      <c r="H43" s="20">
        <f>IF(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=0,"n.a.",(COUNTIFS(Selections!$G$6:$G$79,"72h-ucl-v2",Selections!$K$6:$K$79,"WON")+COUNTIFS(Selections!$G$6:$G$79,"72h-ucl-v2",Selections!$K$6:$K$79,"HALF_WON"))/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)</f>
        <v>1.0</v>
      </c>
      <c r="I43" s="22">
        <f>SUMIFS(Selections!$M$6:$M$79,Selections!$G$6:$G$79,"72h-ucl-v2")</f>
        <v>1</v>
      </c>
      <c r="J43" s="22">
        <f>SUMIFS(Selections!$N$6:$N$79,Selections!$G$6:$G$79,"72h-ucl-v2")</f>
        <v>0.28</v>
      </c>
      <c r="K43" s="20">
        <f>IF(SUMIFS(Selections!$M$6:$M$79,Selections!$G$6:$G$79,"72h-ucl-v2")=0,"n.a.",SUMIFS(Selections!$N$6:$N$79,Selections!$G$6:$G$79,"72h-ucl-v2")/SUMIFS(Selections!$M$6:$M$79,Selections!$G$6:$G$79,"72h-ucl-v2"))</f>
        <v>0.28</v>
      </c>
      <c r="L43" s="21">
        <f>IF(SUMIFS(Selections!$T$6:$T$79,Selections!$G$6:$G$79,"72h-ucl-v2")=0,"n.a.",SUMIFS(Selections!$O$6:$O$79,Selections!$G$6:$G$79,"72h-ucl-v2")/SUMIFS(Selections!$T$6:$T$79,Selections!$G$6:$G$79,"72h-ucl-v2"))</f>
        <v>0.041442876272802645</v>
      </c>
      <c r="M43" s="20">
        <f>IF(SUMIFS(Selections!$T$6:$T$79,Selections!$G$6:$G$79,"72h-ucl-v2")=0,"n.a.",SUMIFS(Selections!$S$6:$S$79,Selections!$G$6:$G$79,"72h-ucl-v2")/SUMIFS(Selections!$T$6:$T$79,Selections!$G$6:$G$79,"72h-ucl-v2"))</f>
        <v>0.7964247650798294</v>
      </c>
      <c r="N43" s="20">
        <f>IF(SUMIFS(Selections!$T$6:$T$79,Selections!$G$6:$G$79,"72h-ucl-v2")=0,"n.a.",(SUMIFS(Selections!$L$6:$L$79,Selections!$G$6:$G$79,"72h-ucl-v2",Selections!$T$6:$T$79,1))/SUMIFS(Selections!$T$6:$T$79,Selections!$G$6:$G$79,"72h-ucl-v2"))</f>
        <v>1.0</v>
      </c>
      <c r="O43" s="20">
        <f>IF(SUMIFS(Selections!$T$6:$T$79,Selections!$G$6:$G$79,"72h-ucl-v2")=0,"n.a.",(SUMIFS(Selections!$S$6:$S$79,Selections!$G$6:$G$79,"72h-ucl-v2")-(SUMIFS(Selections!$L$6:$L$79,Selections!$G$6:$G$79,"72h-ucl-v2",Selections!$T$6:$T$79,1)))/SUMIFS(Selections!$T$6:$T$79,Selections!$G$6:$G$79,"72h-ucl-v2"))</f>
        <v>-0.2035752349201706</v>
      </c>
      <c r="P43" s="19">
        <f>SUMIFS(Selections!$T$6:$T$79,Selections!$G$6:$G$79,"72h-ucl-v2")</f>
        <v>1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(n=1).</v>
      </c>
      <c r="R43" s="18"/>
    </row>
    <row r="44" ht="36" customHeight="1">
      <c r="A44" s="18" t="inlineStr">
        <is>
          <t>Policy</t>
        </is>
      </c>
      <c r="B44" s="18" t="inlineStr">
        <is>
          <t>72h-ucl-v3</t>
        </is>
      </c>
      <c r="C44" s="19">
        <f>COUNTIFS(Selections!$G$6:$G$79,"72h-ucl-v3")</f>
        <v>7</v>
      </c>
      <c r="D44" s="19">
        <f>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</f>
        <v>6</v>
      </c>
      <c r="E44" s="19">
        <f>(COUNTIFS(Selections!$G$6:$G$79,"72h-ucl-v3",Selections!$K$6:$K$79,"WON")+COUNTIFS(Selections!$G$6:$G$79,"72h-ucl-v3",Selections!$K$6:$K$79,"HALF_WON"))</f>
        <v>3</v>
      </c>
      <c r="F44" s="19">
        <f>(COUNTIFS(Selections!$G$6:$G$79,"72h-ucl-v3",Selections!$K$6:$K$79,"LOST")+COUNTIFS(Selections!$G$6:$G$79,"72h-ucl-v3",Selections!$K$6:$K$79,"HALF_LOST"))</f>
        <v>3</v>
      </c>
      <c r="G44" s="19">
        <f>COUNTIFS(Selections!$G$6:$G$79,"72h-ucl-v3")-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</f>
        <v>1</v>
      </c>
      <c r="H44" s="20">
        <f>IF(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=0,"n.a.",(COUNTIFS(Selections!$G$6:$G$79,"72h-ucl-v3",Selections!$K$6:$K$79,"WON")+COUNTIFS(Selections!$G$6:$G$79,"72h-ucl-v3",Selections!$K$6:$K$79,"HALF_WON"))/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)</f>
        <v>0.5</v>
      </c>
      <c r="I44" s="22">
        <f>SUMIFS(Selections!$M$6:$M$79,Selections!$G$6:$G$79,"72h-ucl-v3")</f>
        <v>6</v>
      </c>
      <c r="J44" s="22">
        <f>SUMIFS(Selections!$N$6:$N$79,Selections!$G$6:$G$79,"72h-ucl-v3")</f>
        <v>-1.7100000000000002</v>
      </c>
      <c r="K44" s="20">
        <f>IF(SUMIFS(Selections!$M$6:$M$79,Selections!$G$6:$G$79,"72h-ucl-v3")=0,"n.a.",SUMIFS(Selections!$N$6:$N$79,Selections!$G$6:$G$79,"72h-ucl-v3")/SUMIFS(Selections!$M$6:$M$79,Selections!$G$6:$G$79,"72h-ucl-v3"))</f>
        <v>-0.28500000000000003</v>
      </c>
      <c r="L44" s="21">
        <f>IF(SUMIFS(Selections!$T$6:$T$79,Selections!$G$6:$G$79,"72h-ucl-v3")=0,"n.a.",SUMIFS(Selections!$O$6:$O$79,Selections!$G$6:$G$79,"72h-ucl-v3")/SUMIFS(Selections!$T$6:$T$79,Selections!$G$6:$G$79,"72h-ucl-v3"))</f>
        <v>0.3538657630451178</v>
      </c>
      <c r="M44" s="20">
        <f>IF(SUMIFS(Selections!$T$6:$T$79,Selections!$G$6:$G$79,"72h-ucl-v3")=0,"n.a.",SUMIFS(Selections!$S$6:$S$79,Selections!$G$6:$G$79,"72h-ucl-v3")/SUMIFS(Selections!$T$6:$T$79,Selections!$G$6:$G$79,"72h-ucl-v3"))</f>
        <v>0.7987491501653422</v>
      </c>
      <c r="N44" s="20">
        <f>IF(SUMIFS(Selections!$T$6:$T$79,Selections!$G$6:$G$79,"72h-ucl-v3")=0,"n.a.",(SUMIFS(Selections!$L$6:$L$79,Selections!$G$6:$G$79,"72h-ucl-v3",Selections!$T$6:$T$79,1))/SUMIFS(Selections!$T$6:$T$79,Selections!$G$6:$G$79,"72h-ucl-v3"))</f>
        <v>0.5</v>
      </c>
      <c r="O44" s="20">
        <f>IF(SUMIFS(Selections!$T$6:$T$79,Selections!$G$6:$G$79,"72h-ucl-v3")=0,"n.a.",(SUMIFS(Selections!$S$6:$S$79,Selections!$G$6:$G$79,"72h-ucl-v3")-(SUMIFS(Selections!$L$6:$L$79,Selections!$G$6:$G$79,"72h-ucl-v3",Selections!$T$6:$T$79,1)))/SUMIFS(Selections!$T$6:$T$79,Selections!$G$6:$G$79,"72h-ucl-v3"))</f>
        <v>0.2987491501653422</v>
      </c>
      <c r="P44" s="19">
        <f>SUMIFS(Selections!$T$6:$T$79,Selections!$G$6:$G$79,"72h-ucl-v3")</f>
        <v>6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(n=6).</v>
      </c>
      <c r="R44" s="18"/>
    </row>
    <row r="45" ht="36" customHeight="1">
      <c r="A45" s="18" t="inlineStr">
        <is>
          <t>Policy</t>
        </is>
      </c>
      <c r="B45" s="18" t="inlineStr">
        <is>
          <t>legacy/unspecified</t>
        </is>
      </c>
      <c r="C45" s="19">
        <f>COUNTIFS(Selections!$G$6:$G$79,"legacy/unspecified")</f>
        <v>2</v>
      </c>
      <c r="D45" s="19">
        <f>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</f>
        <v>2</v>
      </c>
      <c r="E45" s="19">
        <f>(COUNTIFS(Selections!$G$6:$G$79,"legacy/unspecified",Selections!$K$6:$K$79,"WON")+COUNTIFS(Selections!$G$6:$G$79,"legacy/unspecified",Selections!$K$6:$K$79,"HALF_WON"))</f>
        <v>2</v>
      </c>
      <c r="F45" s="19">
        <f>(COUNTIFS(Selections!$G$6:$G$79,"legacy/unspecified",Selections!$K$6:$K$79,"LOST")+COUNTIFS(Selections!$G$6:$G$79,"legacy/unspecified",Selections!$K$6:$K$79,"HALF_LOST"))</f>
        <v>0</v>
      </c>
      <c r="G45" s="19">
        <f>COUNTIFS(Selections!$G$6:$G$79,"legacy/unspecified")-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</f>
        <v>0</v>
      </c>
      <c r="H45" s="20">
        <f>IF(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=0,"n.a.",(COUNTIFS(Selections!$G$6:$G$79,"legacy/unspecified",Selections!$K$6:$K$79,"WON")+COUNTIFS(Selections!$G$6:$G$79,"legacy/unspecified",Selections!$K$6:$K$79,"HALF_WON"))/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)</f>
        <v>1.0</v>
      </c>
      <c r="I45" s="22">
        <f>SUMIFS(Selections!$M$6:$M$79,Selections!$G$6:$G$79,"legacy/unspecified")</f>
        <v>2</v>
      </c>
      <c r="J45" s="22">
        <f>SUMIFS(Selections!$N$6:$N$79,Selections!$G$6:$G$79,"legacy/unspecified")</f>
        <v>0.6399999999999999</v>
      </c>
      <c r="K45" s="20">
        <f>IF(SUMIFS(Selections!$M$6:$M$79,Selections!$G$6:$G$79,"legacy/unspecified")=0,"n.a.",SUMIFS(Selections!$N$6:$N$79,Selections!$G$6:$G$79,"legacy/unspecified")/SUMIFS(Selections!$M$6:$M$79,Selections!$G$6:$G$79,"legacy/unspecified"))</f>
        <v>0.31999999999999995</v>
      </c>
      <c r="L45" s="21">
        <f>IF(SUMIFS(Selections!$T$6:$T$79,Selections!$G$6:$G$79,"legacy/unspecified")=0,"n.a.",SUMIFS(Selections!$O$6:$O$79,Selections!$G$6:$G$79,"legacy/unspecified")/SUMIFS(Selections!$T$6:$T$79,Selections!$G$6:$G$79,"legacy/unspecified"))</f>
        <v>0.022741501209119913</v>
      </c>
      <c r="M45" s="20">
        <f>IF(SUMIFS(Selections!$T$6:$T$79,Selections!$G$6:$G$79,"legacy/unspecified")=0,"n.a.",SUMIFS(Selections!$S$6:$S$79,Selections!$G$6:$G$79,"legacy/unspecified")/SUMIFS(Selections!$T$6:$T$79,Selections!$G$6:$G$79,"legacy/unspecified"))</f>
        <v>0.8612313600870412</v>
      </c>
      <c r="N45" s="20">
        <f>IF(SUMIFS(Selections!$T$6:$T$79,Selections!$G$6:$G$79,"legacy/unspecified")=0,"n.a.",(SUMIFS(Selections!$L$6:$L$79,Selections!$G$6:$G$79,"legacy/unspecified",Selections!$T$6:$T$79,1))/SUMIFS(Selections!$T$6:$T$79,Selections!$G$6:$G$79,"legacy/unspecified"))</f>
        <v>1.0</v>
      </c>
      <c r="O45" s="20">
        <f>IF(SUMIFS(Selections!$T$6:$T$79,Selections!$G$6:$G$79,"legacy/unspecified")=0,"n.a.",(SUMIFS(Selections!$S$6:$S$79,Selections!$G$6:$G$79,"legacy/unspecified")-(SUMIFS(Selections!$L$6:$L$79,Selections!$G$6:$G$79,"legacy/unspecified",Selections!$T$6:$T$79,1)))/SUMIFS(Selections!$T$6:$T$79,Selections!$G$6:$G$79,"legacy/unspecified"))</f>
        <v>-0.13876863991295885</v>
      </c>
      <c r="P45" s="19">
        <f>SUMIFS(Selections!$T$6:$T$79,Selections!$G$6:$G$79,"legacy/unspecified")</f>
        <v>2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(n=2).</v>
      </c>
      <c r="R45" s="18"/>
    </row>
    <row r="46" ht="36" customHeight="1">
      <c r="A46" s="18" t="inlineStr">
        <is>
          <t>Week</t>
        </is>
      </c>
      <c r="B46" s="18" t="inlineStr">
        <is>
          <t>2026-W41</t>
        </is>
      </c>
      <c r="C46" s="19">
        <f>COUNTIFS(Selections!$P$6:$P$79,"2026-W41")</f>
        <v>5</v>
      </c>
      <c r="D46" s="19">
        <f>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</f>
        <v>4</v>
      </c>
      <c r="E46" s="19">
        <f>(COUNTIFS(Selections!$P$6:$P$79,"2026-W41",Selections!$K$6:$K$79,"WON")+COUNTIFS(Selections!$P$6:$P$79,"2026-W41",Selections!$K$6:$K$79,"HALF_WON"))</f>
        <v>2</v>
      </c>
      <c r="F46" s="19">
        <f>(COUNTIFS(Selections!$P$6:$P$79,"2026-W41",Selections!$K$6:$K$79,"LOST")+COUNTIFS(Selections!$P$6:$P$79,"2026-W41",Selections!$K$6:$K$79,"HALF_LOST"))</f>
        <v>2</v>
      </c>
      <c r="G46" s="19">
        <f>COUNTIFS(Selections!$P$6:$P$79,"2026-W41")-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</f>
        <v>1</v>
      </c>
      <c r="H46" s="20">
        <f>IF(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=0,"n.a.",(COUNTIFS(Selections!$P$6:$P$79,"2026-W41",Selections!$K$6:$K$79,"WON")+COUNTIFS(Selections!$P$6:$P$79,"2026-W41",Selections!$K$6:$K$79,"HALF_WON"))/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)</f>
        <v>0.5</v>
      </c>
      <c r="I46" s="22">
        <f>SUMIFS(Selections!$M$6:$M$79,Selections!$P$6:$P$79,"2026-W41")</f>
        <v>4</v>
      </c>
      <c r="J46" s="22">
        <f>SUMIFS(Selections!$N$6:$N$79,Selections!$P$6:$P$79,"2026-W41")</f>
        <v>-1.48</v>
      </c>
      <c r="K46" s="20">
        <f>IF(SUMIFS(Selections!$M$6:$M$79,Selections!$P$6:$P$79,"2026-W41")=0,"n.a.",SUMIFS(Selections!$N$6:$N$79,Selections!$P$6:$P$79,"2026-W41")/SUMIFS(Selections!$M$6:$M$79,Selections!$P$6:$P$79,"2026-W41"))</f>
        <v>-0.37</v>
      </c>
      <c r="L46" s="21">
        <f>IF(SUMIFS(Selections!$T$6:$T$79,Selections!$P$6:$P$79,"2026-W41")=0,"n.a.",SUMIFS(Selections!$O$6:$O$79,Selections!$P$6:$P$79,"2026-W41")/SUMIFS(Selections!$T$6:$T$79,Selections!$P$6:$P$79,"2026-W41"))</f>
        <v>0.32924630276534106</v>
      </c>
      <c r="M46" s="20">
        <f>IF(SUMIFS(Selections!$T$6:$T$79,Selections!$P$6:$P$79,"2026-W41")=0,"n.a.",SUMIFS(Selections!$S$6:$S$79,Selections!$P$6:$P$79,"2026-W41")/SUMIFS(Selections!$T$6:$T$79,Selections!$P$6:$P$79,"2026-W41"))</f>
        <v>0.8212200676021444</v>
      </c>
      <c r="N46" s="20">
        <f>IF(SUMIFS(Selections!$T$6:$T$79,Selections!$P$6:$P$79,"2026-W41")=0,"n.a.",(SUMIFS(Selections!$L$6:$L$79,Selections!$P$6:$P$79,"2026-W41",Selections!$T$6:$T$79,1))/SUMIFS(Selections!$T$6:$T$79,Selections!$P$6:$P$79,"2026-W41"))</f>
        <v>0.5</v>
      </c>
      <c r="O46" s="20">
        <f>IF(SUMIFS(Selections!$T$6:$T$79,Selections!$P$6:$P$79,"2026-W41")=0,"n.a.",(SUMIFS(Selections!$S$6:$S$79,Selections!$P$6:$P$79,"2026-W41")-(SUMIFS(Selections!$L$6:$L$79,Selections!$P$6:$P$79,"2026-W41",Selections!$T$6:$T$79,1)))/SUMIFS(Selections!$T$6:$T$79,Selections!$P$6:$P$79,"2026-W41"))</f>
        <v>0.3212200676021444</v>
      </c>
      <c r="P46" s="19">
        <f>SUMIFS(Selections!$T$6:$T$79,Selections!$P$6:$P$79,"2026-W41")</f>
        <v>4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(n=4).</v>
      </c>
      <c r="R46" s="18"/>
    </row>
    <row r="47" ht="36" customHeight="1">
      <c r="A47" s="18" t="inlineStr">
        <is>
          <t>Week</t>
        </is>
      </c>
      <c r="B47" s="18" t="inlineStr">
        <is>
          <t>2026-W42</t>
        </is>
      </c>
      <c r="C47" s="19">
        <f>COUNTIFS(Selections!$P$6:$P$79,"2026-W42")</f>
        <v>24</v>
      </c>
      <c r="D47" s="19">
        <f>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</f>
        <v>22</v>
      </c>
      <c r="E47" s="19">
        <f>(COUNTIFS(Selections!$P$6:$P$79,"2026-W42",Selections!$K$6:$K$79,"WON")+COUNTIFS(Selections!$P$6:$P$79,"2026-W42",Selections!$K$6:$K$79,"HALF_WON"))</f>
        <v>19</v>
      </c>
      <c r="F47" s="19">
        <f>(COUNTIFS(Selections!$P$6:$P$79,"2026-W42",Selections!$K$6:$K$79,"LOST")+COUNTIFS(Selections!$P$6:$P$79,"2026-W42",Selections!$K$6:$K$79,"HALF_LOST"))</f>
        <v>3</v>
      </c>
      <c r="G47" s="19">
        <f>COUNTIFS(Selections!$P$6:$P$79,"2026-W42")-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</f>
        <v>2</v>
      </c>
      <c r="H47" s="20">
        <f>IF(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=0,"n.a.",(COUNTIFS(Selections!$P$6:$P$79,"2026-W42",Selections!$K$6:$K$79,"WON")+COUNTIFS(Selections!$P$6:$P$79,"2026-W42",Selections!$K$6:$K$79,"HALF_WON"))/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)</f>
        <v>0.8636363636363636</v>
      </c>
      <c r="I47" s="22">
        <f>SUMIFS(Selections!$M$6:$M$79,Selections!$P$6:$P$79,"2026-W42")</f>
        <v>22</v>
      </c>
      <c r="J47" s="22">
        <f>SUMIFS(Selections!$N$6:$N$79,Selections!$P$6:$P$79,"2026-W42")</f>
        <v>4.289999999999999</v>
      </c>
      <c r="K47" s="20">
        <f>IF(SUMIFS(Selections!$M$6:$M$79,Selections!$P$6:$P$79,"2026-W42")=0,"n.a.",SUMIFS(Selections!$N$6:$N$79,Selections!$P$6:$P$79,"2026-W42")/SUMIFS(Selections!$M$6:$M$79,Selections!$P$6:$P$79,"2026-W42"))</f>
        <v>0.19499999999999995</v>
      </c>
      <c r="L47" s="21">
        <f>IF(SUMIFS(Selections!$T$6:$T$79,Selections!$P$6:$P$79,"2026-W42")=0,"n.a.",SUMIFS(Selections!$O$6:$O$79,Selections!$P$6:$P$79,"2026-W42")/SUMIFS(Selections!$T$6:$T$79,Selections!$P$6:$P$79,"2026-W42"))</f>
        <v>0.13041357566209277</v>
      </c>
      <c r="M47" s="20">
        <f>IF(SUMIFS(Selections!$T$6:$T$79,Selections!$P$6:$P$79,"2026-W42")=0,"n.a.",SUMIFS(Selections!$S$6:$S$79,Selections!$P$6:$P$79,"2026-W42")/SUMIFS(Selections!$T$6:$T$79,Selections!$P$6:$P$79,"2026-W42"))</f>
        <v>0.7692010233716516</v>
      </c>
      <c r="N47" s="20">
        <f>IF(SUMIFS(Selections!$T$6:$T$79,Selections!$P$6:$P$79,"2026-W42")=0,"n.a.",(SUMIFS(Selections!$L$6:$L$79,Selections!$P$6:$P$79,"2026-W42",Selections!$T$6:$T$79,1))/SUMIFS(Selections!$T$6:$T$79,Selections!$P$6:$P$79,"2026-W42"))</f>
        <v>0.8636363636363636</v>
      </c>
      <c r="O47" s="20">
        <f>IF(SUMIFS(Selections!$T$6:$T$79,Selections!$P$6:$P$79,"2026-W42")=0,"n.a.",(SUMIFS(Selections!$S$6:$S$79,Selections!$P$6:$P$79,"2026-W42")-(SUMIFS(Selections!$L$6:$L$79,Selections!$P$6:$P$79,"2026-W42",Selections!$T$6:$T$79,1)))/SUMIFS(Selections!$T$6:$T$79,Selections!$P$6:$P$79,"2026-W42"))</f>
        <v>-0.09443534026471201</v>
      </c>
      <c r="P47" s="19">
        <f>SUMIFS(Selections!$T$6:$T$79,Selections!$P$6:$P$79,"2026-W42")</f>
        <v>22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(n=22).</v>
      </c>
      <c r="R47" s="18"/>
    </row>
    <row r="48" ht="36" customHeight="1">
      <c r="A48" s="18" t="inlineStr">
        <is>
          <t>Week</t>
        </is>
      </c>
      <c r="B48" s="18" t="inlineStr">
        <is>
          <t>2026-W43</t>
        </is>
      </c>
      <c r="C48" s="19">
        <f>COUNTIFS(Selections!$P$6:$P$79,"2026-W43")</f>
        <v>41</v>
      </c>
      <c r="D48" s="19">
        <f>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</f>
        <v>34</v>
      </c>
      <c r="E48" s="19">
        <f>(COUNTIFS(Selections!$P$6:$P$79,"2026-W43",Selections!$K$6:$K$79,"WON")+COUNTIFS(Selections!$P$6:$P$79,"2026-W43",Selections!$K$6:$K$79,"HALF_WON"))</f>
        <v>25</v>
      </c>
      <c r="F48" s="19">
        <f>(COUNTIFS(Selections!$P$6:$P$79,"2026-W43",Selections!$K$6:$K$79,"LOST")+COUNTIFS(Selections!$P$6:$P$79,"2026-W43",Selections!$K$6:$K$79,"HALF_LOST"))</f>
        <v>9</v>
      </c>
      <c r="G48" s="19">
        <f>COUNTIFS(Selections!$P$6:$P$79,"2026-W43")-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</f>
        <v>7</v>
      </c>
      <c r="H48" s="20">
        <f>IF(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=0,"n.a.",(COUNTIFS(Selections!$P$6:$P$79,"2026-W43",Selections!$K$6:$K$79,"WON")+COUNTIFS(Selections!$P$6:$P$79,"2026-W43",Selections!$K$6:$K$79,"HALF_WON"))/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)</f>
        <v>0.7352941176470589</v>
      </c>
      <c r="I48" s="22">
        <f>SUMIFS(Selections!$M$6:$M$79,Selections!$P$6:$P$79,"2026-W43")</f>
        <v>34</v>
      </c>
      <c r="J48" s="22">
        <f>SUMIFS(Selections!$N$6:$N$79,Selections!$P$6:$P$79,"2026-W43")</f>
        <v>1.0699999999999994</v>
      </c>
      <c r="K48" s="20">
        <f>IF(SUMIFS(Selections!$M$6:$M$79,Selections!$P$6:$P$79,"2026-W43")=0,"n.a.",SUMIFS(Selections!$N$6:$N$79,Selections!$P$6:$P$79,"2026-W43")/SUMIFS(Selections!$M$6:$M$79,Selections!$P$6:$P$79,"2026-W43"))</f>
        <v>0.0314705882352941</v>
      </c>
      <c r="L48" s="21">
        <f>IF(SUMIFS(Selections!$T$6:$T$79,Selections!$P$6:$P$79,"2026-W43")=0,"n.a.",SUMIFS(Selections!$O$6:$O$79,Selections!$P$6:$P$79,"2026-W43")/SUMIFS(Selections!$T$6:$T$79,Selections!$P$6:$P$79,"2026-W43"))</f>
        <v>0.14715697171487105</v>
      </c>
      <c r="M48" s="20">
        <f>IF(SUMIFS(Selections!$T$6:$T$79,Selections!$P$6:$P$79,"2026-W43")=0,"n.a.",SUMIFS(Selections!$S$6:$S$79,Selections!$P$6:$P$79,"2026-W43")/SUMIFS(Selections!$T$6:$T$79,Selections!$P$6:$P$79,"2026-W43"))</f>
        <v>0.7232981009569568</v>
      </c>
      <c r="N48" s="20">
        <f>IF(SUMIFS(Selections!$T$6:$T$79,Selections!$P$6:$P$79,"2026-W43")=0,"n.a.",(SUMIFS(Selections!$L$6:$L$79,Selections!$P$6:$P$79,"2026-W43",Selections!$T$6:$T$79,1))/SUMIFS(Selections!$T$6:$T$79,Selections!$P$6:$P$79,"2026-W43"))</f>
        <v>0.7352941176470589</v>
      </c>
      <c r="O48" s="20">
        <f>IF(SUMIFS(Selections!$T$6:$T$79,Selections!$P$6:$P$79,"2026-W43")=0,"n.a.",(SUMIFS(Selections!$S$6:$S$79,Selections!$P$6:$P$79,"2026-W43")-(SUMIFS(Selections!$L$6:$L$79,Selections!$P$6:$P$79,"2026-W43",Selections!$T$6:$T$79,1)))/SUMIFS(Selections!$T$6:$T$79,Selections!$P$6:$P$79,"2026-W43"))</f>
        <v>-0.011996016690102085</v>
      </c>
      <c r="P48" s="19">
        <f>SUMIFS(Selections!$T$6:$T$79,Selections!$P$6:$P$79,"2026-W43")</f>
        <v>34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Continue forward testing. No automatic model change.</v>
      </c>
      <c r="R48" s="18"/>
    </row>
    <row r="49" ht="36" customHeight="1">
      <c r="A49" s="18" t="inlineStr">
        <is>
          <t>Week</t>
        </is>
      </c>
      <c r="B49" s="18" t="inlineStr">
        <is>
          <t>2026-W44</t>
        </is>
      </c>
      <c r="C49" s="19">
        <f>COUNTIFS(Selections!$P$6:$P$79,"2026-W44")</f>
        <v>4</v>
      </c>
      <c r="D49" s="19">
        <f>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</f>
        <v>1</v>
      </c>
      <c r="E49" s="19">
        <f>(COUNTIFS(Selections!$P$6:$P$79,"2026-W44",Selections!$K$6:$K$79,"WON")+COUNTIFS(Selections!$P$6:$P$79,"2026-W44",Selections!$K$6:$K$79,"HALF_WON"))</f>
        <v>0</v>
      </c>
      <c r="F49" s="19">
        <f>(COUNTIFS(Selections!$P$6:$P$79,"2026-W44",Selections!$K$6:$K$79,"LOST")+COUNTIFS(Selections!$P$6:$P$79,"2026-W44",Selections!$K$6:$K$79,"HALF_LOST"))</f>
        <v>0</v>
      </c>
      <c r="G49" s="19">
        <f>COUNTIFS(Selections!$P$6:$P$79,"2026-W44")-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</f>
        <v>3</v>
      </c>
      <c r="H49" s="20">
        <f>IF(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=0,"n.a.",(COUNTIFS(Selections!$P$6:$P$79,"2026-W44",Selections!$K$6:$K$79,"WON")+COUNTIFS(Selections!$P$6:$P$79,"2026-W44",Selections!$K$6:$K$79,"HALF_WON"))/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)</f>
        <v>0.0</v>
      </c>
      <c r="I49" s="22">
        <f>SUMIFS(Selections!$M$6:$M$79,Selections!$P$6:$P$79,"2026-W44")</f>
        <v>1</v>
      </c>
      <c r="J49" s="22">
        <f>SUMIFS(Selections!$N$6:$N$79,Selections!$P$6:$P$79,"2026-W44")</f>
        <v>0.0</v>
      </c>
      <c r="K49" s="20">
        <f>IF(SUMIFS(Selections!$M$6:$M$79,Selections!$P$6:$P$79,"2026-W44")=0,"n.a.",SUMIFS(Selections!$N$6:$N$79,Selections!$P$6:$P$79,"2026-W44")/SUMIFS(Selections!$M$6:$M$79,Selections!$P$6:$P$79,"2026-W44"))</f>
        <v>0.0</v>
      </c>
      <c r="L49" s="21">
        <f>IF(SUMIFS(Selections!$T$6:$T$79,Selections!$P$6:$P$79,"2026-W44")=0,"n.a.",SUMIFS(Selections!$O$6:$O$79,Selections!$P$6:$P$79,"2026-W44")/SUMIFS(Selections!$T$6:$T$79,Selections!$P$6:$P$79,"2026-W44"))</f>
        <v>0.04930986683311443</v>
      </c>
      <c r="M49" s="20">
        <f>IF(SUMIFS(Selections!$T$6:$T$79,Selections!$P$6:$P$79,"2026-W44")=0,"n.a.",SUMIFS(Selections!$S$6:$S$79,Selections!$P$6:$P$79,"2026-W44")/SUMIFS(Selections!$T$6:$T$79,Selections!$P$6:$P$79,"2026-W44"))</f>
        <v>0.777941749009152</v>
      </c>
      <c r="N49" s="20">
        <f>IF(SUMIFS(Selections!$T$6:$T$79,Selections!$P$6:$P$79,"2026-W44")=0,"n.a.",(SUMIFS(Selections!$L$6:$L$79,Selections!$P$6:$P$79,"2026-W44",Selections!$T$6:$T$79,1))/SUMIFS(Selections!$T$6:$T$79,Selections!$P$6:$P$79,"2026-W44"))</f>
        <v>1.0</v>
      </c>
      <c r="O49" s="20">
        <f>IF(SUMIFS(Selections!$T$6:$T$79,Selections!$P$6:$P$79,"2026-W44")=0,"n.a.",(SUMIFS(Selections!$S$6:$S$79,Selections!$P$6:$P$79,"2026-W44")-(SUMIFS(Selections!$L$6:$L$79,Selections!$P$6:$P$79,"2026-W44",Selections!$T$6:$T$79,1)))/SUMIFS(Selections!$T$6:$T$79,Selections!$P$6:$P$79,"2026-W44"))</f>
        <v>-0.22205825099084797</v>
      </c>
      <c r="P49" s="19">
        <f>SUMIFS(Selections!$T$6:$T$79,Selections!$P$6:$P$79,"2026-W44")</f>
        <v>1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(n=1).</v>
      </c>
      <c r="R49" s="18"/>
    </row>
  </sheetData>
  <mergeCells count="2">
    <mergeCell ref="A2:Q2"/>
    <mergeCell ref="A4:Q4"/>
  </mergeCells>
  <conditionalFormatting sqref="K6:K49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COUNTIFS(Selections!$S$6:$S$79,"&gt;="&amp;B6,Selections!$S$6:$S$79,"&lt;"&amp;C6,Selections!$T$6:$T$79,1)</f>
        <v>5</v>
      </c>
      <c r="E6" s="20">
        <f>IF(D6=0,"n.a.",SUMIFS(Selections!$S$6:$S$79,Selections!$S$6:$S$79,"&gt;="&amp;B6,Selections!$S$6:$S$79,"&lt;"&amp;C6,Selections!$T$6:$T$79,1)/D6)</f>
        <v>0.44746011527469004</v>
      </c>
      <c r="F6" s="20">
        <f>IF(D6=0,"n.a.",SUMIFS(Selections!$L$6:$L$79,Selections!$S$6:$S$79,"&gt;="&amp;B6,Selections!$S$6:$S$79,"&lt;"&amp;C6,Selections!$T$6:$T$79,1)/D6)</f>
        <v>0.4</v>
      </c>
      <c r="G6" s="20">
        <f>IF(D6=0,"n.a.",E6-F6)</f>
        <v>0.04746011527469002</v>
      </c>
      <c r="H6" s="21">
        <f>IF(D6=0,"n.a.",SUMIFS(Selections!$O$6:$O$79,Selections!$S$6:$S$79,"&gt;="&amp;B6,Selections!$S$6:$S$79,"&lt;"&amp;C6,Selections!$T$6:$T$79,1)/D6)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COUNTIFS(Selections!$S$6:$S$79,"&gt;="&amp;B7,Selections!$S$6:$S$79,"&lt;"&amp;C7,Selections!$T$6:$T$79,1)</f>
        <v>2</v>
      </c>
      <c r="E7" s="20">
        <f>IF(D7=0,"n.a.",SUMIFS(Selections!$S$6:$S$79,Selections!$S$6:$S$79,"&gt;="&amp;B7,Selections!$S$6:$S$79,"&lt;"&amp;C7,Selections!$T$6:$T$79,1)/D7)</f>
        <v>0.566643476006385</v>
      </c>
      <c r="F7" s="20">
        <f>IF(D7=0,"n.a.",SUMIFS(Selections!$L$6:$L$79,Selections!$S$6:$S$79,"&gt;="&amp;B7,Selections!$S$6:$S$79,"&lt;"&amp;C7,Selections!$T$6:$T$79,1)/D7)</f>
        <v>0.5</v>
      </c>
      <c r="G7" s="20">
        <f>IF(D7=0,"n.a.",E7-F7)</f>
        <v>0.06664347600638498</v>
      </c>
      <c r="H7" s="21">
        <f>IF(D7=0,"n.a.",SUMIFS(Selections!$O$6:$O$79,Selections!$S$6:$S$79,"&gt;="&amp;B7,Selections!$S$6:$S$79,"&lt;"&amp;C7,Selections!$T$6:$T$79,1)/D7)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COUNTIFS(Selections!$S$6:$S$79,"&gt;="&amp;B8,Selections!$S$6:$S$79,"&lt;"&amp;C8,Selections!$T$6:$T$79,1)</f>
        <v>9</v>
      </c>
      <c r="E8" s="20">
        <f>IF(D8=0,"n.a.",SUMIFS(Selections!$S$6:$S$79,Selections!$S$6:$S$79,"&gt;="&amp;B8,Selections!$S$6:$S$79,"&lt;"&amp;C8,Selections!$T$6:$T$79,1)/D8)</f>
        <v>0.6435167729572643</v>
      </c>
      <c r="F8" s="20">
        <f>IF(D8=0,"n.a.",SUMIFS(Selections!$L$6:$L$79,Selections!$S$6:$S$79,"&gt;="&amp;B8,Selections!$S$6:$S$79,"&lt;"&amp;C8,Selections!$T$6:$T$79,1)/D8)</f>
        <v>0.5555555555555556</v>
      </c>
      <c r="G8" s="20">
        <f>IF(D8=0,"n.a.",E8-F8)</f>
        <v>0.0879612174017087</v>
      </c>
      <c r="H8" s="21">
        <f>IF(D8=0,"n.a.",SUMIFS(Selections!$O$6:$O$79,Selections!$S$6:$S$79,"&gt;="&amp;B8,Selections!$S$6:$S$79,"&lt;"&amp;C8,Selections!$T$6:$T$79,1)/D8)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COUNTIFS(Selections!$S$6:$S$79,"&gt;="&amp;B9,Selections!$S$6:$S$79,"&lt;"&amp;C9,Selections!$T$6:$T$79,1)</f>
        <v>22</v>
      </c>
      <c r="E9" s="20">
        <f>IF(D9=0,"n.a.",SUMIFS(Selections!$S$6:$S$79,Selections!$S$6:$S$79,"&gt;="&amp;B9,Selections!$S$6:$S$79,"&lt;"&amp;C9,Selections!$T$6:$T$79,1)/D9)</f>
        <v>0.7615160521306804</v>
      </c>
      <c r="F9" s="20">
        <f>IF(D9=0,"n.a.",SUMIFS(Selections!$L$6:$L$79,Selections!$S$6:$S$79,"&gt;="&amp;B9,Selections!$S$6:$S$79,"&lt;"&amp;C9,Selections!$T$6:$T$79,1)/D9)</f>
        <v>0.8181818181818182</v>
      </c>
      <c r="G9" s="20">
        <f>IF(D9=0,"n.a.",E9-F9)</f>
        <v>-0.05666576605113782</v>
      </c>
      <c r="H9" s="21">
        <f>IF(D9=0,"n.a.",SUMIFS(Selections!$O$6:$O$79,Selections!$S$6:$S$79,"&gt;="&amp;B9,Selections!$S$6:$S$79,"&lt;"&amp;C9,Selections!$T$6:$T$79,1)/D9)</f>
        <v>0.15067055703780896</v>
      </c>
      <c r="I9" s="18" t="inlineStr">
        <is>
          <t>Collect more scored forecasts (n=22).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COUNTIFS(Selections!$S$6:$S$79,"&gt;="&amp;B10,Selections!$S$6:$S$79,"&lt;"&amp;C10,Selections!$T$6:$T$79,1)</f>
        <v>19</v>
      </c>
      <c r="E10" s="20">
        <f>IF(D10=0,"n.a.",SUMIFS(Selections!$S$6:$S$79,Selections!$S$6:$S$79,"&gt;="&amp;B10,Selections!$S$6:$S$79,"&lt;"&amp;C10,Selections!$T$6:$T$79,1)/D10)</f>
        <v>0.8395330613191175</v>
      </c>
      <c r="F10" s="20">
        <f>IF(D10=0,"n.a.",SUMIFS(Selections!$L$6:$L$79,Selections!$S$6:$S$79,"&gt;="&amp;B10,Selections!$S$6:$S$79,"&lt;"&amp;C10,Selections!$T$6:$T$79,1)/D10)</f>
        <v>0.8947368421052632</v>
      </c>
      <c r="G10" s="20">
        <f>IF(D10=0,"n.a.",E10-F10)</f>
        <v>-0.05520378078614563</v>
      </c>
      <c r="H10" s="21">
        <f>IF(D10=0,"n.a.",SUMIFS(Selections!$O$6:$O$79,Selections!$S$6:$S$79,"&gt;="&amp;B10,Selections!$S$6:$S$79,"&lt;"&amp;C10,Selections!$T$6:$T$79,1)/D10)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COUNTIFS(Selections!$S$6:$S$79,"&gt;="&amp;B11,Selections!$S$6:$S$79,"&lt;"&amp;C11,Selections!$T$6:$T$79,1)</f>
        <v>4</v>
      </c>
      <c r="E11" s="20">
        <f>IF(D11=0,"n.a.",SUMIFS(Selections!$S$6:$S$79,Selections!$S$6:$S$79,"&gt;="&amp;B11,Selections!$S$6:$S$79,"&lt;"&amp;C11,Selections!$T$6:$T$79,1)/D11)</f>
        <v>0.9276650422976989</v>
      </c>
      <c r="F11" s="20">
        <f>IF(D11=0,"n.a.",SUMIFS(Selections!$L$6:$L$79,Selections!$S$6:$S$79,"&gt;="&amp;B11,Selections!$S$6:$S$79,"&lt;"&amp;C11,Selections!$T$6:$T$79,1)/D11)</f>
        <v>1.0</v>
      </c>
      <c r="G11" s="20">
        <f>IF(D11=0,"n.a.",E11-F11)</f>
        <v>-0.07233495770230114</v>
      </c>
      <c r="H11" s="21">
        <f>IF(D11=0,"n.a.",SUMIFS(Selections!$O$6:$O$79,Selections!$S$6:$S$79,"&gt;="&amp;B11,Selections!$S$6:$S$79,"&lt;"&amp;C11,Selections!$T$6:$T$79,1)/D11)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 t="inlineStr">
        <is>
          <t>4-2</t>
        </is>
      </c>
      <c r="K78" s="18" t="inlineStr">
        <is>
          <t>REFUNDED</t>
        </is>
      </c>
      <c r="L78" s="19">
        <v>1</v>
      </c>
      <c r="M78" s="22">
        <f>IF(AND(ISNUMBER(L78),ISNUMBER(I78),I78&gt;1),'ROI Plan'!$B$5,"")</f>
        <v>1</v>
      </c>
      <c r="N78" s="22">
        <f>IF(ISNUMBER(M78),M78*IF(K78="HALF_WON",(I78-1)/2-U78,IF(K78="HALF_LOST",-0.5-U78,IF(K78="REFUNDED",-U78,I78*L78-1-U78))),"")</f>
        <v>0.0</v>
      </c>
      <c r="O78" s="21">
        <f>IF(AND(ISNUMBER(L78),ISNUMBER(H78)),(H78-L78)^2,"")</f>
        <v>0.04930986683311443</v>
      </c>
      <c r="P78" s="18" t="inlineStr">
        <is>
          <t>2026-W44</t>
        </is>
      </c>
      <c r="Q78" s="18" t="inlineStr">
        <is>
          <t>61fd07517a6df27aaf13e10dfc2e47db9451d4a2</t>
        </is>
      </c>
      <c r="R78" s="18" t="inlineStr">
        <is>
          <t>football-data.org/v4</t>
        </is>
      </c>
      <c r="S78" s="20">
        <f>IF(AND(ISNUMBER(L78),ISNUMBER(H78)),H78,"")</f>
        <v>0.777941749009152</v>
      </c>
      <c r="T78" s="19">
        <f>IF(AND(ISNUMBER(L78),ISNUMBER(H78)),1,0)</f>
        <v>1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  <row r="79" ht="36" customHeight="1">
      <c r="A79" s="18" t="inlineStr">
        <is>
          <t>Serie A|fiorentina|atalanta bc|2026-10-29</t>
        </is>
      </c>
      <c r="B79" s="23">
        <v>46324.822916666664</v>
      </c>
      <c r="C79" s="18" t="inlineStr">
        <is>
          <t>Serie A</t>
        </is>
      </c>
      <c r="D79" s="18" t="inlineStr">
        <is>
          <t>Fiorentina vs Atalanta BC</t>
        </is>
      </c>
      <c r="E79" s="18" t="inlineStr">
        <is>
          <t>Asian Handicap Away +1.00</t>
        </is>
      </c>
      <c r="F79" s="18" t="inlineStr">
        <is>
          <t>STRICT</t>
        </is>
      </c>
      <c r="G79" s="18" t="inlineStr">
        <is>
          <t>48h-zero-tolerance-ev05-no-loss75-corners-v26</t>
        </is>
      </c>
      <c r="H79" s="20">
        <v>0.8265976428291664</v>
      </c>
      <c r="I79" s="22">
        <v>1.34</v>
      </c>
      <c r="J79" s="18"/>
      <c r="K79" s="18" t="inlineStr">
        <is>
          <t>PENDING_KICKOFF_OR_FINAL_SCORE</t>
        </is>
      </c>
      <c r="L79" s="18"/>
      <c r="M79" s="22" t="str">
        <f>IF(AND(ISNUMBER(L79),ISNUMBER(I79),I79&gt;1),'ROI Plan'!$B$5,"")</f>
        <v/>
      </c>
      <c r="N79" s="22" t="str">
        <f>IF(ISNUMBER(M79),M79*IF(K79="HALF_WON",(I79-1)/2-U79,IF(K79="HALF_LOST",-0.5-U79,IF(K79="REFUNDED",-U79,I79*L79-1-U79))),"")</f>
        <v/>
      </c>
      <c r="O79" s="21">
        <f>IF(AND(ISNUMBER(L79),ISNUMBER(H79)),(H79-L79)^2,"")</f>
      </c>
      <c r="P79" s="18" t="inlineStr">
        <is>
          <t>2026-W44</t>
        </is>
      </c>
      <c r="Q79" s="18" t="inlineStr">
        <is>
          <t>c75d4ab52706e716a3a14117d34c979609102533</t>
        </is>
      </c>
      <c r="R79" s="18"/>
      <c r="S79" s="20">
        <f>IF(AND(ISNUMBER(L79),ISNUMBER(H79)),H79,"")</f>
      </c>
      <c r="T79" s="19">
        <f>IF(AND(ISNUMBER(L79),ISNUMBER(H79)),1,0)</f>
        <v>0</v>
      </c>
      <c r="U79" s="22">
        <v>0.0</v>
      </c>
      <c r="V79" t="inlineStr" s="18">
        <is>
          <t>2026-10-29T12:08:22.532184+00:00</t>
        </is>
      </c>
      <c r="W79" t="inlineStr" s="18">
        <is>
          <t>2026-10-29T12:08:32Z</t>
        </is>
      </c>
    </row>
  </sheetData>
  <mergeCells count="2">
    <mergeCell ref="B2:W2"/>
    <mergeCell ref="B4:W4"/>
  </mergeCells>
  <conditionalFormatting sqref="K6:K79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GRADED</t>
        </is>
      </c>
      <c r="G199" s="18" t="inlineStr">
        <is>
          <t>2-6</t>
        </is>
      </c>
      <c r="H199" s="19">
        <v>1.0</v>
      </c>
      <c r="I199" s="21">
        <v>0.4686667</v>
      </c>
      <c r="J199" s="19">
        <v>1.0</v>
      </c>
      <c r="K199" s="19">
        <v>0.0</v>
      </c>
      <c r="L199" s="19">
        <v>1.0</v>
      </c>
      <c r="M199" s="19">
        <v>1.0</v>
      </c>
      <c r="N199" s="18" t="inlineStr">
        <is>
          <t>2026-W44</t>
        </is>
      </c>
      <c r="O199" s="18" t="inlineStr">
        <is>
          <t>ca1e126489f9dedd7d4f5072a6bfa57835dec39c</t>
        </is>
      </c>
      <c r="P199" s="18" t="inlineStr">
        <is>
          <t>football-data.org/v4</t>
        </is>
      </c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GRADED</t>
        </is>
      </c>
      <c r="G200" s="18" t="inlineStr">
        <is>
          <t>4-2</t>
        </is>
      </c>
      <c r="H200" s="19">
        <v>1.0</v>
      </c>
      <c r="I200" s="21">
        <v>0.15002213</v>
      </c>
      <c r="J200" s="19">
        <v>1.0</v>
      </c>
      <c r="K200" s="19">
        <v>0.0</v>
      </c>
      <c r="L200" s="19">
        <v>0.0</v>
      </c>
      <c r="M200" s="19">
        <v>0.0</v>
      </c>
      <c r="N200" s="18" t="inlineStr">
        <is>
          <t>2026-W44</t>
        </is>
      </c>
      <c r="O200" s="18" t="inlineStr">
        <is>
          <t>ca1e126489f9dedd7d4f5072a6bfa57835dec39c</t>
        </is>
      </c>
      <c r="P200" s="18" t="inlineStr">
        <is>
          <t>football-data.org/v4</t>
        </is>
      </c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UNVERIFIED_FIXTURE_OR_RESULT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GRADED</t>
        </is>
      </c>
      <c r="G202" s="18" t="inlineStr">
        <is>
          <t>2-4</t>
        </is>
      </c>
      <c r="H202" s="19">
        <v>0.0</v>
      </c>
      <c r="I202" s="21">
        <v>0.99074781</v>
      </c>
      <c r="J202" s="19">
        <v>1.0</v>
      </c>
      <c r="K202" s="19">
        <v>0.0</v>
      </c>
      <c r="L202" s="19">
        <v>1.0</v>
      </c>
      <c r="M202" s="19">
        <v>1.0</v>
      </c>
      <c r="N202" s="18" t="inlineStr">
        <is>
          <t>2026-W44</t>
        </is>
      </c>
      <c r="O202" s="18" t="inlineStr">
        <is>
          <t>ca1e126489f9dedd7d4f5072a6bfa57835dec39c</t>
        </is>
      </c>
      <c r="P202" s="18" t="inlineStr">
        <is>
          <t>football-data.org/v4</t>
        </is>
      </c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GRADED</t>
        </is>
      </c>
      <c r="G203" s="18" t="inlineStr">
        <is>
          <t>0-0</t>
        </is>
      </c>
      <c r="H203" s="19">
        <v>0.0</v>
      </c>
      <c r="I203" s="21">
        <v>0.76205493</v>
      </c>
      <c r="J203" s="19">
        <v>0.0</v>
      </c>
      <c r="K203" s="19">
        <v>1.0</v>
      </c>
      <c r="L203" s="19">
        <v>1.0</v>
      </c>
      <c r="M203" s="19">
        <v>1.0</v>
      </c>
      <c r="N203" s="18" t="inlineStr">
        <is>
          <t>2026-W44</t>
        </is>
      </c>
      <c r="O203" s="18" t="inlineStr">
        <is>
          <t>ca1e126489f9dedd7d4f5072a6bfa57835dec39c</t>
        </is>
      </c>
      <c r="P203" s="18" t="inlineStr">
        <is>
          <t>football-data.org/v4</t>
        </is>
      </c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GRADED</t>
        </is>
      </c>
      <c r="G204" s="18" t="inlineStr">
        <is>
          <t>0-2</t>
        </is>
      </c>
      <c r="H204" s="19">
        <v>1.0</v>
      </c>
      <c r="I204" s="21">
        <v>0.08348098</v>
      </c>
      <c r="J204" s="19">
        <v>1.0</v>
      </c>
      <c r="K204" s="19">
        <v>1.0</v>
      </c>
      <c r="L204" s="19">
        <v>1.0</v>
      </c>
      <c r="M204" s="19">
        <v>1.0</v>
      </c>
      <c r="N204" s="18" t="inlineStr">
        <is>
          <t>2026-W44</t>
        </is>
      </c>
      <c r="O204" s="18" t="inlineStr">
        <is>
          <t>ca1e126489f9dedd7d4f5072a6bfa57835dec39c</t>
        </is>
      </c>
      <c r="P204" s="18" t="inlineStr">
        <is>
          <t>football-data.org/v4</t>
        </is>
      </c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GRADED</t>
        </is>
      </c>
      <c r="G205" s="18" t="inlineStr">
        <is>
          <t>2-0</t>
        </is>
      </c>
      <c r="H205" s="19">
        <v>0.0</v>
      </c>
      <c r="I205" s="21">
        <v>1.033543</v>
      </c>
      <c r="J205" s="19">
        <v>1.0</v>
      </c>
      <c r="K205" s="19">
        <v>1.0</v>
      </c>
      <c r="L205" s="19">
        <v>1.0</v>
      </c>
      <c r="M205" s="19">
        <v>1.0</v>
      </c>
      <c r="N205" s="18" t="inlineStr">
        <is>
          <t>2026-W44</t>
        </is>
      </c>
      <c r="O205" s="18" t="inlineStr">
        <is>
          <t>ca1e126489f9dedd7d4f5072a6bfa57835dec39c</t>
        </is>
      </c>
      <c r="P205" s="18" t="inlineStr">
        <is>
          <t>football-data.org/v4</t>
        </is>
      </c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GRADED</t>
        </is>
      </c>
      <c r="G206" s="18" t="inlineStr">
        <is>
          <t>1-4</t>
        </is>
      </c>
      <c r="H206" s="19">
        <v>1.0</v>
      </c>
      <c r="I206" s="21">
        <v>0.26196369</v>
      </c>
      <c r="J206" s="19">
        <v>1.0</v>
      </c>
      <c r="K206" s="19">
        <v>0.0</v>
      </c>
      <c r="L206" s="19">
        <v>0.0</v>
      </c>
      <c r="M206" s="19">
        <v>0.0</v>
      </c>
      <c r="N206" s="18" t="inlineStr">
        <is>
          <t>2026-W44</t>
        </is>
      </c>
      <c r="O206" s="18" t="inlineStr">
        <is>
          <t>ca1e126489f9dedd7d4f5072a6bfa57835dec39c</t>
        </is>
      </c>
      <c r="P206" s="18" t="inlineStr">
        <is>
          <t>football-data.org/v4</t>
        </is>
      </c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Super Lig|torku konyaspor|galatasaray|2026-10-30</t>
        </is>
      </c>
      <c r="B209" s="23">
        <v>46325.708333333336</v>
      </c>
      <c r="C209" s="18" t="inlineStr">
        <is>
          <t>Super Lig</t>
        </is>
      </c>
      <c r="D209" s="18" t="inlineStr">
        <is>
          <t>Torku Konyaspor vs Galatasaray</t>
        </is>
      </c>
      <c r="E209" s="18" t="inlineStr">
        <is>
          <t>48h-zero-tolerance-ev05-no-loss75-corners-v26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04e55dde9bbe885fb80dc3c1a84f550621a793c2</t>
        </is>
      </c>
      <c r="P209" s="18"/>
      <c r="Q209" s="18"/>
      <c r="R209" s="18"/>
    </row>
    <row r="210" ht="36" customHeight="1">
      <c r="A210" s="18" t="inlineStr">
        <is>
          <t>Ligue 1|le havre|paris sg|2026-10-30</t>
        </is>
      </c>
      <c r="B210" s="23">
        <v>46325.75</v>
      </c>
      <c r="C210" s="18" t="inlineStr">
        <is>
          <t>Ligue 1</t>
        </is>
      </c>
      <c r="D210" s="18" t="inlineStr">
        <is>
          <t>Le Havre vs Paris Saint Germain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Ligue 1|nice|rennes|2026-10-30</t>
        </is>
      </c>
      <c r="B211" s="23">
        <v>46325.75</v>
      </c>
      <c r="C211" s="18" t="inlineStr">
        <is>
          <t>Ligue 1</t>
        </is>
      </c>
      <c r="D211" s="18" t="inlineStr">
        <is>
          <t>Nice vs Rennes</t>
        </is>
      </c>
      <c r="E211" s="18" t="inlineStr">
        <is>
          <t>48h-zero-tolerance-ev05-no-loss75-corners-v26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04e55dde9bbe885fb80dc3c1a84f550621a793c2</t>
        </is>
      </c>
      <c r="P211" s="18"/>
      <c r="Q211" s="18"/>
      <c r="R211" s="18"/>
    </row>
    <row r="212" ht="36" customHeight="1">
      <c r="A212" s="18" t="inlineStr">
        <is>
          <t>Bundesliga|07 elversberg|1 fsv mainz|2026-10-30</t>
        </is>
      </c>
      <c r="B212" s="23">
        <v>46325.8125</v>
      </c>
      <c r="C212" s="18" t="inlineStr">
        <is>
          <t>Bundesliga</t>
        </is>
      </c>
      <c r="D212" s="18" t="inlineStr">
        <is>
          <t>SV 07 Elversberg vs 1. FSV Mainz 05</t>
        </is>
      </c>
      <c r="E212" s="18" t="inlineStr">
        <is>
          <t>48h-zero-tolerance-ev05-no-loss75-corners-v26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026e1ab4c40e3e64dd34bad82c62ace7981ad77e</t>
        </is>
      </c>
      <c r="P212" s="18"/>
      <c r="Q212" s="18"/>
      <c r="R212" s="18"/>
    </row>
    <row r="213" ht="36" customHeight="1">
      <c r="A213" s="18" t="inlineStr">
        <is>
          <t>Bundesliga|elversberg|fsv mainz|2026-10-30</t>
        </is>
      </c>
      <c r="B213" s="23">
        <v>46325.8125</v>
      </c>
      <c r="C213" s="18" t="inlineStr">
        <is>
          <t>Bundesliga</t>
        </is>
      </c>
      <c r="D213" s="18" t="inlineStr">
        <is>
          <t>Elversberg vs FSV Mainz 05</t>
        </is>
      </c>
      <c r="E213" s="18" t="inlineStr">
        <is>
          <t>48h-top-twelve-probability-ev-no-under35-v15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4c569effb9e7261783c7d1cc1a5b93cb0f40d309</t>
        </is>
      </c>
      <c r="P213" s="18"/>
      <c r="Q213" s="18"/>
      <c r="R213" s="18"/>
    </row>
    <row r="214" ht="36" customHeight="1">
      <c r="A214" s="18" t="inlineStr">
        <is>
          <t>La Liga|villarreal|espanyol|2026-10-30</t>
        </is>
      </c>
      <c r="B214" s="23">
        <v>46325.833333333336</v>
      </c>
      <c r="C214" s="18" t="inlineStr">
        <is>
          <t>La Liga</t>
        </is>
      </c>
      <c r="D214" s="18" t="inlineStr">
        <is>
          <t>Villarreal vs Espanyol</t>
        </is>
      </c>
      <c r="E214" s="18" t="inlineStr">
        <is>
          <t>48h-top-twelve-probability-ev-no-under35-v15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4c569effb9e7261783c7d1cc1a5b93cb0f40d309</t>
        </is>
      </c>
      <c r="P214" s="18"/>
      <c r="Q214" s="18"/>
      <c r="R214" s="18"/>
    </row>
    <row r="215" ht="36" customHeight="1">
      <c r="A215" s="18" t="inlineStr">
        <is>
          <t>La Liga|villarreal|rcd espanyol barcelona|2026-10-30</t>
        </is>
      </c>
      <c r="B215" s="23">
        <v>46325.833333333336</v>
      </c>
      <c r="C215" s="18" t="inlineStr">
        <is>
          <t>La Liga</t>
        </is>
      </c>
      <c r="D215" s="18" t="inlineStr">
        <is>
          <t>Villarreal CF vs RCD Espanyol de Barcelona</t>
        </is>
      </c>
      <c r="E215" s="18" t="inlineStr">
        <is>
          <t>48h-zero-tolerance-ev05-no-loss75-corners-v26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026e1ab4c40e3e64dd34bad82c62ace7981ad77e</t>
        </is>
      </c>
      <c r="P215" s="18"/>
      <c r="Q215" s="18"/>
      <c r="R215" s="18"/>
    </row>
    <row r="216" ht="36" customHeight="1">
      <c r="A216" s="18" t="inlineStr">
        <is>
          <t>Ligue 1|lille osc|racing lens|2026-10-30</t>
        </is>
      </c>
      <c r="B216" s="23">
        <v>46325.836805555555</v>
      </c>
      <c r="C216" s="18" t="inlineStr">
        <is>
          <t>Ligue 1</t>
        </is>
      </c>
      <c r="D216" s="18" t="inlineStr">
        <is>
          <t>Lille OSC vs Racing Club de Lens</t>
        </is>
      </c>
      <c r="E216" s="18" t="inlineStr">
        <is>
          <t>48h-zero-tolerance-ev05-no-loss75-corners-v26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026e1ab4c40e3e64dd34bad82c62ace7981ad77e</t>
        </is>
      </c>
      <c r="P216" s="18"/>
      <c r="Q216" s="18"/>
      <c r="R216" s="18"/>
    </row>
    <row r="217" ht="36" customHeight="1">
      <c r="A217" s="18" t="inlineStr">
        <is>
          <t>Ligue 1|lille|rc lens|2026-10-30</t>
        </is>
      </c>
      <c r="B217" s="23">
        <v>46325.836805555555</v>
      </c>
      <c r="C217" s="18" t="inlineStr">
        <is>
          <t>Ligue 1</t>
        </is>
      </c>
      <c r="D217" s="18" t="inlineStr">
        <is>
          <t>Lille vs RC Lens</t>
        </is>
      </c>
      <c r="E217" s="18" t="inlineStr">
        <is>
          <t>48h-top-twelve-probability-ev-no-under35-v15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4c569effb9e7261783c7d1cc1a5b93cb0f40d309</t>
        </is>
      </c>
      <c r="P217" s="18"/>
      <c r="Q217" s="18"/>
      <c r="R217" s="18"/>
    </row>
    <row r="218" ht="36" customHeight="1">
      <c r="A218" s="18" t="inlineStr">
        <is>
          <t>Primeira Liga|casa pia|sporting cp|2026-10-30</t>
        </is>
      </c>
      <c r="B218" s="23">
        <v>46325.84375</v>
      </c>
      <c r="C218" s="18" t="inlineStr">
        <is>
          <t>Primeira Liga</t>
        </is>
      </c>
      <c r="D218" s="18" t="inlineStr">
        <is>
          <t>Casa Pia AC vs Sporting Clube de Portugal</t>
        </is>
      </c>
      <c r="E218" s="18" t="inlineStr">
        <is>
          <t>48h-zero-tolerance-ev05-no-loss75-corners-v26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026e1ab4c40e3e64dd34bad82c62ace7981ad77e</t>
        </is>
      </c>
      <c r="P218" s="18"/>
      <c r="Q218" s="18"/>
      <c r="R218" s="18"/>
    </row>
    <row r="219" ht="36" customHeight="1">
      <c r="A219" s="18" t="inlineStr">
        <is>
          <t>Super Lig|erzurum bb|corum fk|2026-10-31</t>
        </is>
      </c>
      <c r="B219" s="23">
        <v>46326.4375</v>
      </c>
      <c r="C219" s="18" t="inlineStr">
        <is>
          <t>Super Lig</t>
        </is>
      </c>
      <c r="D219" s="18" t="inlineStr">
        <is>
          <t>Erzurum BB vs Çorum FK</t>
        </is>
      </c>
      <c r="E219" s="18" t="inlineStr">
        <is>
          <t>48h-zero-tolerance-ev05-no-loss75-corners-v26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04e55dde9bbe885fb80dc3c1a84f550621a793c2</t>
        </is>
      </c>
      <c r="P219" s="18"/>
      <c r="Q219" s="18"/>
      <c r="R219" s="18"/>
    </row>
    <row r="220" ht="36" customHeight="1">
      <c r="A220" s="18" t="inlineStr">
        <is>
          <t>Premier League|chelsea|man united|2026-10-31</t>
        </is>
      </c>
      <c r="B220" s="23">
        <v>46326.520833333336</v>
      </c>
      <c r="C220" s="18" t="inlineStr">
        <is>
          <t>Premier League</t>
        </is>
      </c>
      <c r="D220" s="18" t="inlineStr">
        <is>
          <t>Chelsea vs Manchester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La Liga|levante|ath madrid|2026-10-31</t>
        </is>
      </c>
      <c r="B221" s="23">
        <v>46326.541666666664</v>
      </c>
      <c r="C221" s="18" t="inlineStr">
        <is>
          <t>La Liga</t>
        </is>
      </c>
      <c r="D221" s="18" t="inlineStr">
        <is>
          <t>Levante vs Atlético Madrid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Super Lig|kocaelispor|caykur rizespor|2026-10-31</t>
        </is>
      </c>
      <c r="B222" s="23">
        <v>46326.541666666664</v>
      </c>
      <c r="C222" s="18" t="inlineStr">
        <is>
          <t>Super Lig</t>
        </is>
      </c>
      <c r="D222" s="18" t="inlineStr">
        <is>
          <t>Kocaelispor vs Çaykur Rizespor</t>
        </is>
      </c>
      <c r="E222" s="18" t="inlineStr">
        <is>
          <t>48h-zero-tolerance-ev05-no-loss75-corners-v26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fd052ff5e9f0163b18958342eaa037bbf5f0e16e</t>
        </is>
      </c>
      <c r="P222" s="18"/>
      <c r="Q222" s="18"/>
      <c r="R222" s="18"/>
    </row>
    <row r="223" ht="36" customHeight="1">
      <c r="A223" s="18" t="inlineStr">
        <is>
          <t>Serie A|bologna|monza|2026-10-31</t>
        </is>
      </c>
      <c r="B223" s="23">
        <v>46326.583333333336</v>
      </c>
      <c r="C223" s="18" t="inlineStr">
        <is>
          <t>Serie A</t>
        </is>
      </c>
      <c r="D223" s="18" t="inlineStr">
        <is>
          <t>Bologna vs Monza</t>
        </is>
      </c>
      <c r="E223" s="18" t="inlineStr">
        <is>
          <t>48h-zero-tolerance-ev05-no-loss75-corners-v26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fd052ff5e9f0163b18958342eaa037bbf5f0e16e</t>
        </is>
      </c>
      <c r="P223" s="18"/>
      <c r="Q223" s="18"/>
      <c r="R223" s="18"/>
    </row>
    <row r="224" ht="36" customHeight="1">
      <c r="A224" s="18" t="inlineStr">
        <is>
          <t>Bundesliga|augsburg|freiburg|2026-10-31</t>
        </is>
      </c>
      <c r="B224" s="23">
        <v>46326.604166666664</v>
      </c>
      <c r="C224" s="18" t="inlineStr">
        <is>
          <t>Bundesliga</t>
        </is>
      </c>
      <c r="D224" s="18" t="inlineStr">
        <is>
          <t>Augsburg vs SC Freiburg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Bundesliga|bayer leverkusen|vfb stuttgart|2026-10-31</t>
        </is>
      </c>
      <c r="B225" s="23">
        <v>46326.604166666664</v>
      </c>
      <c r="C225" s="18" t="inlineStr">
        <is>
          <t>Bundesliga</t>
        </is>
      </c>
      <c r="D225" s="18" t="inlineStr">
        <is>
          <t>Bayer Leverkusen vs VfB Stuttgart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Bundesliga|m gladbach|paderborn|2026-10-31</t>
        </is>
      </c>
      <c r="B226" s="23">
        <v>46326.604166666664</v>
      </c>
      <c r="C226" s="18" t="inlineStr">
        <is>
          <t>Bundesliga</t>
        </is>
      </c>
      <c r="D226" s="18" t="inlineStr">
        <is>
          <t>Borussia Monchengladbach vs SC Paderborn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Bundesliga|schalke|rb leipzig|2026-10-31</t>
        </is>
      </c>
      <c r="B227" s="23">
        <v>46326.604166666664</v>
      </c>
      <c r="C227" s="18" t="inlineStr">
        <is>
          <t>Bundesliga</t>
        </is>
      </c>
      <c r="D227" s="18" t="inlineStr">
        <is>
          <t>FC Schalke 04 vs RB Leipzig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Bundesliga|werder bremen|tsg hoffenheim|2026-10-31</t>
        </is>
      </c>
      <c r="B228" s="23">
        <v>46326.604166666664</v>
      </c>
      <c r="C228" s="18" t="inlineStr">
        <is>
          <t>Bundesliga</t>
        </is>
      </c>
      <c r="D228" s="18" t="inlineStr">
        <is>
          <t>Werder Bremen vs TSG Hoffenheim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Premier League|bournemouth|leeds|2026-10-31</t>
        </is>
      </c>
      <c r="B229" s="23">
        <v>46326.625</v>
      </c>
      <c r="C229" s="18" t="inlineStr">
        <is>
          <t>Premier League</t>
        </is>
      </c>
      <c r="D229" s="18" t="inlineStr">
        <is>
          <t>Bournemouth vs Leeds United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Premier League|brentford|nott m forest|2026-10-31</t>
        </is>
      </c>
      <c r="B230" s="23">
        <v>46326.625</v>
      </c>
      <c r="C230" s="18" t="inlineStr">
        <is>
          <t>Premier League</t>
        </is>
      </c>
      <c r="D230" s="18" t="inlineStr">
        <is>
          <t>Brentford vs Nottingham Forest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Premier League|coventry city|sunderland|2026-10-31</t>
        </is>
      </c>
      <c r="B231" s="23">
        <v>46326.625</v>
      </c>
      <c r="C231" s="18" t="inlineStr">
        <is>
          <t>Premier League</t>
        </is>
      </c>
      <c r="D231" s="18" t="inlineStr">
        <is>
          <t>Coventry City vs Sunderland</t>
        </is>
      </c>
      <c r="E231" s="18" t="inlineStr">
        <is>
          <t>48h-risk-band-ev1-asian-handicap-1x2-over15-v20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d737a7a239cba647c6a18877351a8ec1e81a6350</t>
        </is>
      </c>
      <c r="P231" s="18"/>
      <c r="Q231" s="18"/>
      <c r="R231" s="18"/>
    </row>
    <row r="232" ht="36" customHeight="1">
      <c r="A232" s="18" t="inlineStr">
        <is>
          <t>Premier League|hull city|ipswich town|2026-10-31</t>
        </is>
      </c>
      <c r="B232" s="23">
        <v>46326.625</v>
      </c>
      <c r="C232" s="18" t="inlineStr">
        <is>
          <t>Premier League</t>
        </is>
      </c>
      <c r="D232" s="18" t="inlineStr">
        <is>
          <t>Hull City vs Ipswich Town</t>
        </is>
      </c>
      <c r="E232" s="18" t="inlineStr">
        <is>
          <t>48h-risk-band-ev1-asian-handicap-1x2-over15-v20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d737a7a239cba647c6a18877351a8ec1e81a6350</t>
        </is>
      </c>
      <c r="P232" s="18"/>
      <c r="Q232" s="18"/>
      <c r="R232" s="18"/>
    </row>
    <row r="233" ht="36" customHeight="1">
      <c r="A233" s="18" t="inlineStr">
        <is>
          <t>Premier League|man city|brighton|2026-10-31</t>
        </is>
      </c>
      <c r="B233" s="23">
        <v>46326.625</v>
      </c>
      <c r="C233" s="18" t="inlineStr">
        <is>
          <t>Premier League</t>
        </is>
      </c>
      <c r="D233" s="18" t="inlineStr">
        <is>
          <t>Manchester City vs Brighton and Hove Albion</t>
        </is>
      </c>
      <c r="E233" s="18" t="inlineStr">
        <is>
          <t>48h-risk-band-ev1-asian-handicap-1x2-over15-v20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d737a7a239cba647c6a18877351a8ec1e81a6350</t>
        </is>
      </c>
      <c r="P233" s="18"/>
      <c r="Q233" s="18"/>
      <c r="R233" s="18"/>
    </row>
    <row r="234" ht="36" customHeight="1">
      <c r="A234" s="18" t="inlineStr">
        <is>
          <t>La Liga|rayo vallecano|celta vigo|2026-10-31</t>
        </is>
      </c>
      <c r="B234" s="23">
        <v>46326.635416666664</v>
      </c>
      <c r="C234" s="18" t="inlineStr">
        <is>
          <t>La Liga</t>
        </is>
      </c>
      <c r="D234" s="18" t="inlineStr">
        <is>
          <t>Rayo Vallecano vs Celta Vigo</t>
        </is>
      </c>
      <c r="E234" s="18" t="inlineStr">
        <is>
          <t>48h-risk-band-ev1-asian-handicap-1x2-over15-v20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d737a7a239cba647c6a18877351a8ec1e81a6350</t>
        </is>
      </c>
      <c r="P234" s="18"/>
      <c r="Q234" s="18"/>
      <c r="R234" s="18"/>
    </row>
    <row r="235" ht="36" customHeight="1">
      <c r="A235" s="18" t="inlineStr">
        <is>
          <t>Eredivisie|feyenoord|fortuna sittard|2026-10-31</t>
        </is>
      </c>
      <c r="B235" s="23">
        <v>46326.645833333336</v>
      </c>
      <c r="C235" s="18" t="inlineStr">
        <is>
          <t>Eredivisie</t>
        </is>
      </c>
      <c r="D235" s="18" t="inlineStr">
        <is>
          <t>Feyenoord Rotterdam vs Fortuna Sittard</t>
        </is>
      </c>
      <c r="E235" s="18" t="inlineStr">
        <is>
          <t>48h-zero-tolerance-ev05-no-loss75-corners-v26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04e55dde9bbe885fb80dc3c1a84f550621a793c2</t>
        </is>
      </c>
      <c r="P235" s="18"/>
      <c r="Q235" s="18"/>
      <c r="R235" s="18"/>
    </row>
    <row r="236" ht="36" customHeight="1">
      <c r="A236" s="18" t="inlineStr">
        <is>
          <t>Primeira Liga|moreirense|estrela|2026-10-31</t>
        </is>
      </c>
      <c r="B236" s="23">
        <v>46326.645833333336</v>
      </c>
      <c r="C236" s="18" t="inlineStr">
        <is>
          <t>Primeira Liga</t>
        </is>
      </c>
      <c r="D236" s="18" t="inlineStr">
        <is>
          <t>Moreirense FC vs CF Estrela</t>
        </is>
      </c>
      <c r="E236" s="18" t="inlineStr">
        <is>
          <t>48h-zero-tolerance-ev05-no-loss75-corners-v26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fd052ff5e9f0163b18958342eaa037bbf5f0e16e</t>
        </is>
      </c>
      <c r="P236" s="18"/>
      <c r="Q236" s="18"/>
      <c r="R236" s="18"/>
    </row>
    <row r="237" ht="36" customHeight="1">
      <c r="A237" s="18" t="inlineStr">
        <is>
          <t>Super Lig|fenerbahce|goztepe|2026-10-31</t>
        </is>
      </c>
      <c r="B237" s="23">
        <v>46326.666666666664</v>
      </c>
      <c r="C237" s="18" t="inlineStr">
        <is>
          <t>Super Lig</t>
        </is>
      </c>
      <c r="D237" s="18" t="inlineStr">
        <is>
          <t>Fenerbahce vs Goztepe</t>
        </is>
      </c>
      <c r="E237" s="18" t="inlineStr">
        <is>
          <t>48h-zero-tolerance-ev05-no-loss75-corners-v26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fd052ff5e9f0163b18958342eaa037bbf5f0e16e</t>
        </is>
      </c>
      <c r="P237" s="18"/>
      <c r="Q237" s="18"/>
      <c r="R237" s="18"/>
    </row>
    <row r="238" ht="36" customHeight="1">
      <c r="A238" s="18" t="inlineStr">
        <is>
          <t>Ligue 1|nice|rennes|2026-10-31</t>
        </is>
      </c>
      <c r="B238" s="23">
        <v>46326.677083333336</v>
      </c>
      <c r="C238" s="18" t="inlineStr">
        <is>
          <t>Ligue 1</t>
        </is>
      </c>
      <c r="D238" s="18" t="inlineStr">
        <is>
          <t>Nice vs Rennes</t>
        </is>
      </c>
      <c r="E238" s="18" t="inlineStr">
        <is>
          <t>48h-risk-band-ev1-asian-handicap-1x2-over15-v20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d737a7a239cba647c6a18877351a8ec1e81a6350</t>
        </is>
      </c>
      <c r="P238" s="18"/>
      <c r="Q238" s="18"/>
      <c r="R238" s="18"/>
    </row>
    <row r="239" ht="36" customHeight="1">
      <c r="A239" s="18" t="inlineStr">
        <is>
          <t>Serie A|udinese|as roma|2026-10-31</t>
        </is>
      </c>
      <c r="B239" s="23">
        <v>46326.708333333336</v>
      </c>
      <c r="C239" s="18" t="inlineStr">
        <is>
          <t>Serie A</t>
        </is>
      </c>
      <c r="D239" s="18" t="inlineStr">
        <is>
          <t>Udinese vs AS Roma</t>
        </is>
      </c>
      <c r="E239" s="18" t="inlineStr">
        <is>
          <t>48h-zero-tolerance-ev05-no-loss75-corners-v26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c75d4ab52706e716a3a14117d34c979609102533</t>
        </is>
      </c>
      <c r="P239" s="18"/>
      <c r="Q239" s="18"/>
      <c r="R239" s="18"/>
    </row>
    <row r="240" ht="36" customHeight="1">
      <c r="A240" s="18" t="inlineStr">
        <is>
          <t>Bundesliga|bayern munich|borussia dortmund|2026-10-31</t>
        </is>
      </c>
      <c r="B240" s="23">
        <v>46326.729166666664</v>
      </c>
      <c r="C240" s="18" t="inlineStr">
        <is>
          <t>Bundesliga</t>
        </is>
      </c>
      <c r="D240" s="18" t="inlineStr">
        <is>
          <t>Bayern Munich vs Borussia Dortmund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La Liga|real betis|malaga|2026-10-31</t>
        </is>
      </c>
      <c r="B241" s="23">
        <v>46326.729166666664</v>
      </c>
      <c r="C241" s="18" t="inlineStr">
        <is>
          <t>La Liga</t>
        </is>
      </c>
      <c r="D241" s="18" t="inlineStr">
        <is>
          <t>Real Betis vs Málaga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Premier League|tottenham|crystal palace|2026-10-31</t>
        </is>
      </c>
      <c r="B242" s="23">
        <v>46326.729166666664</v>
      </c>
      <c r="C242" s="18" t="inlineStr">
        <is>
          <t>Premier League</t>
        </is>
      </c>
      <c r="D242" s="18" t="inlineStr">
        <is>
          <t>Tottenham Hotspur vs Crystal Palace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0117b0e0fe09a0266deb28e532f2ad9e4f4da47a</t>
        </is>
      </c>
      <c r="P242" s="18"/>
      <c r="Q242" s="18"/>
      <c r="R242" s="18"/>
    </row>
    <row r="243" ht="36" customHeight="1">
      <c r="A243" s="18" t="inlineStr">
        <is>
          <t>Eredivisie|heerenveen|nec nijmegen|2026-10-31</t>
        </is>
      </c>
      <c r="B243" s="23">
        <v>46326.739583333336</v>
      </c>
      <c r="C243" s="18" t="inlineStr">
        <is>
          <t>Eredivisie</t>
        </is>
      </c>
      <c r="D243" s="18" t="inlineStr">
        <is>
          <t>Heerenveen vs NEC Nijmegen</t>
        </is>
      </c>
      <c r="E243" s="18" t="inlineStr">
        <is>
          <t>48h-zero-tolerance-ev05-no-loss75-corners-v26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c75d4ab52706e716a3a14117d34c979609102533</t>
        </is>
      </c>
      <c r="P243" s="18"/>
      <c r="Q243" s="18"/>
      <c r="R243" s="18"/>
    </row>
    <row r="244" ht="36" customHeight="1">
      <c r="A244" s="18" t="inlineStr">
        <is>
          <t>Eredivisie|heerenveen|nec|2026-10-31</t>
        </is>
      </c>
      <c r="B244" s="23">
        <v>46326.739583333336</v>
      </c>
      <c r="C244" s="18" t="inlineStr">
        <is>
          <t>Eredivisie</t>
        </is>
      </c>
      <c r="D244" s="18" t="inlineStr">
        <is>
          <t>SC Heerenveen vs NEC</t>
        </is>
      </c>
      <c r="E244" s="18" t="inlineStr">
        <is>
          <t>48h-zero-tolerance-ev05-no-loss75-corners-v26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04e55dde9bbe885fb80dc3c1a84f550621a793c2</t>
        </is>
      </c>
      <c r="P244" s="18"/>
      <c r="Q244" s="18"/>
      <c r="R244" s="18"/>
    </row>
    <row r="245" ht="36" customHeight="1">
      <c r="A245" s="18" t="inlineStr">
        <is>
          <t>Eredivisie|psv|willem ii tilburg|2026-10-31</t>
        </is>
      </c>
      <c r="B245" s="23">
        <v>46326.739583333336</v>
      </c>
      <c r="C245" s="18" t="inlineStr">
        <is>
          <t>Eredivisie</t>
        </is>
      </c>
      <c r="D245" s="18" t="inlineStr">
        <is>
          <t>PSV vs Willem II Tilburg</t>
        </is>
      </c>
      <c r="E245" s="18" t="inlineStr">
        <is>
          <t>48h-zero-tolerance-ev05-no-loss75-corners-v26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04e55dde9bbe885fb80dc3c1a84f550621a793c2</t>
        </is>
      </c>
      <c r="P245" s="18"/>
      <c r="Q245" s="18"/>
      <c r="R245" s="18"/>
    </row>
    <row r="246" ht="36" customHeight="1">
      <c r="A246" s="18" t="inlineStr">
        <is>
          <t>Eredivisie|psv|willem ii|2026-10-31</t>
        </is>
      </c>
      <c r="B246" s="23">
        <v>46326.739583333336</v>
      </c>
      <c r="C246" s="18" t="inlineStr">
        <is>
          <t>Eredivisie</t>
        </is>
      </c>
      <c r="D246" s="18" t="inlineStr">
        <is>
          <t>PSV Eindhoven vs Willem II</t>
        </is>
      </c>
      <c r="E246" s="18" t="inlineStr">
        <is>
          <t>48h-zero-tolerance-ev05-no-loss75-corners-v26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c75d4ab52706e716a3a14117d34c979609102533</t>
        </is>
      </c>
      <c r="P246" s="18"/>
      <c r="Q246" s="18"/>
      <c r="R246" s="18"/>
    </row>
    <row r="247" ht="36" customHeight="1">
      <c r="A247" s="18" t="inlineStr">
        <is>
          <t>Ligue 1|lorient|brest|2026-10-31</t>
        </is>
      </c>
      <c r="B247" s="23">
        <v>46326.822916666664</v>
      </c>
      <c r="C247" s="18" t="inlineStr">
        <is>
          <t>Ligue 1</t>
        </is>
      </c>
      <c r="D247" s="18" t="inlineStr">
        <is>
          <t>Lorient vs Brest</t>
        </is>
      </c>
      <c r="E247" s="18" t="inlineStr">
        <is>
          <t>48h-zero-tolerance-ev1-common-no-loss75-v22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0117b0e0fe09a0266deb28e532f2ad9e4f4da47a</t>
        </is>
      </c>
      <c r="P247" s="18"/>
      <c r="Q247" s="18"/>
      <c r="R247" s="18"/>
    </row>
    <row r="248" ht="36" customHeight="1">
      <c r="A248" s="18" t="inlineStr">
        <is>
          <t>Ligue 1|lyon|angers|2026-10-31</t>
        </is>
      </c>
      <c r="B248" s="23">
        <v>46326.822916666664</v>
      </c>
      <c r="C248" s="18" t="inlineStr">
        <is>
          <t>Ligue 1</t>
        </is>
      </c>
      <c r="D248" s="18" t="inlineStr">
        <is>
          <t>Lyon vs Angers</t>
        </is>
      </c>
      <c r="E248" s="18" t="inlineStr">
        <is>
          <t>48h-zero-tolerance-ev1-common-no-loss75-v22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0117b0e0fe09a0266deb28e532f2ad9e4f4da47a</t>
        </is>
      </c>
      <c r="P248" s="18"/>
      <c r="Q248" s="18"/>
      <c r="R248" s="18"/>
    </row>
    <row r="249" ht="36" customHeight="1">
      <c r="A249" s="18" t="inlineStr">
        <is>
          <t>Ligue 1|troyes|le mans|2026-10-31</t>
        </is>
      </c>
      <c r="B249" s="23">
        <v>46326.822916666664</v>
      </c>
      <c r="C249" s="18" t="inlineStr">
        <is>
          <t>Ligue 1</t>
        </is>
      </c>
      <c r="D249" s="18" t="inlineStr">
        <is>
          <t>Troyes vs Le Mans FC</t>
        </is>
      </c>
      <c r="E249" s="18" t="inlineStr">
        <is>
          <t>48h-zero-tolerance-ev1-common-no-loss75-v22</t>
        </is>
      </c>
      <c r="F249" s="18" t="inlineStr">
        <is>
          <t>PENDING_KICKOFF_OR_FINAL_SCORE</t>
        </is>
      </c>
      <c r="G249" s="18"/>
      <c r="H249" s="18"/>
      <c r="I249" s="21"/>
      <c r="J249" s="18"/>
      <c r="K249" s="18"/>
      <c r="L249" s="18"/>
      <c r="M249" s="18"/>
      <c r="N249" s="18" t="inlineStr">
        <is>
          <t>2026-W44</t>
        </is>
      </c>
      <c r="O249" s="18" t="inlineStr">
        <is>
          <t>0117b0e0fe09a0266deb28e532f2ad9e4f4da47a</t>
        </is>
      </c>
      <c r="P249" s="18"/>
      <c r="Q249" s="18"/>
      <c r="R249" s="18"/>
    </row>
    <row r="250" ht="36" customHeight="1">
      <c r="A250" s="18" t="inlineStr">
        <is>
          <t>Serie A|milan|inter|2026-10-31</t>
        </is>
      </c>
      <c r="B250" s="23">
        <v>46326.822916666664</v>
      </c>
      <c r="C250" s="18" t="inlineStr">
        <is>
          <t>Serie A</t>
        </is>
      </c>
      <c r="D250" s="18" t="inlineStr">
        <is>
          <t>AC Milan vs Inter Milan</t>
        </is>
      </c>
      <c r="E250" s="18" t="inlineStr">
        <is>
          <t>48h-zero-tolerance-ev05-no-loss75-corners-v26</t>
        </is>
      </c>
      <c r="F250" s="18" t="inlineStr">
        <is>
          <t>PENDING_KICKOFF_OR_FINAL_SCORE</t>
        </is>
      </c>
      <c r="G250" s="18"/>
      <c r="H250" s="18"/>
      <c r="I250" s="21"/>
      <c r="J250" s="18"/>
      <c r="K250" s="18"/>
      <c r="L250" s="18"/>
      <c r="M250" s="18"/>
      <c r="N250" s="18" t="inlineStr">
        <is>
          <t>2026-W44</t>
        </is>
      </c>
      <c r="O250" s="18" t="inlineStr">
        <is>
          <t>c75d4ab52706e716a3a14117d34c979609102533</t>
        </is>
      </c>
      <c r="P250" s="18"/>
      <c r="Q250" s="18"/>
      <c r="R250" s="18"/>
    </row>
    <row r="251" ht="36" customHeight="1">
      <c r="A251" s="18" t="inlineStr">
        <is>
          <t>Eredivisie|ajax|az alkmaar|2026-10-31</t>
        </is>
      </c>
      <c r="B251" s="23">
        <v>46326.833333333336</v>
      </c>
      <c r="C251" s="18" t="inlineStr">
        <is>
          <t>Eredivisie</t>
        </is>
      </c>
      <c r="D251" s="18" t="inlineStr">
        <is>
          <t>Ajax vs AZ Alkmaar</t>
        </is>
      </c>
      <c r="E251" s="18" t="inlineStr">
        <is>
          <t>48h-zero-tolerance-ev05-no-loss75-corners-v26</t>
        </is>
      </c>
      <c r="F251" s="18" t="inlineStr">
        <is>
          <t>PENDING_KICKOFF_OR_FINAL_SCORE</t>
        </is>
      </c>
      <c r="G251" s="18"/>
      <c r="H251" s="18"/>
      <c r="I251" s="21"/>
      <c r="J251" s="18"/>
      <c r="K251" s="18"/>
      <c r="L251" s="18"/>
      <c r="M251" s="18"/>
      <c r="N251" s="18" t="inlineStr">
        <is>
          <t>2026-W44</t>
        </is>
      </c>
      <c r="O251" s="18" t="inlineStr">
        <is>
          <t>c75d4ab52706e716a3a14117d34c979609102533</t>
        </is>
      </c>
      <c r="P251" s="18"/>
      <c r="Q251" s="18"/>
      <c r="R251" s="18"/>
    </row>
    <row r="252" ht="36" customHeight="1">
      <c r="A252" s="18" t="inlineStr">
        <is>
          <t>Eredivisie|ajax|az|2026-10-31</t>
        </is>
      </c>
      <c r="B252" s="23">
        <v>46326.833333333336</v>
      </c>
      <c r="C252" s="18" t="inlineStr">
        <is>
          <t>Eredivisie</t>
        </is>
      </c>
      <c r="D252" s="18" t="inlineStr">
        <is>
          <t>AFC Ajax vs AZ</t>
        </is>
      </c>
      <c r="E252" s="18" t="inlineStr">
        <is>
          <t>48h-zero-tolerance-ev05-no-loss75-corners-v26</t>
        </is>
      </c>
      <c r="F252" s="18" t="inlineStr">
        <is>
          <t>PENDING_KICKOFF_OR_FINAL_SCORE</t>
        </is>
      </c>
      <c r="G252" s="18"/>
      <c r="H252" s="18"/>
      <c r="I252" s="21"/>
      <c r="J252" s="18"/>
      <c r="K252" s="18"/>
      <c r="L252" s="18"/>
      <c r="M252" s="18"/>
      <c r="N252" s="18" t="inlineStr">
        <is>
          <t>2026-W44</t>
        </is>
      </c>
      <c r="O252" s="18" t="inlineStr">
        <is>
          <t>04e55dde9bbe885fb80dc3c1a84f550621a793c2</t>
        </is>
      </c>
      <c r="P252" s="18"/>
      <c r="Q252" s="18"/>
      <c r="R252" s="18"/>
    </row>
    <row r="253" ht="36" customHeight="1">
      <c r="A253" s="18" t="inlineStr">
        <is>
          <t>Eredivisie|cambuur leeuwarden|go ahead eagles|2026-10-31</t>
        </is>
      </c>
      <c r="B253" s="23">
        <v>46326.833333333336</v>
      </c>
      <c r="C253" s="18" t="inlineStr">
        <is>
          <t>Eredivisie</t>
        </is>
      </c>
      <c r="D253" s="18" t="inlineStr">
        <is>
          <t>SC Cambuur-Leeuwarden vs Go Ahead Eagles</t>
        </is>
      </c>
      <c r="E253" s="18" t="inlineStr">
        <is>
          <t>48h-zero-tolerance-ev05-no-loss75-corners-v26</t>
        </is>
      </c>
      <c r="F253" s="18" t="inlineStr">
        <is>
          <t>PENDING_KICKOFF_OR_FINAL_SCORE</t>
        </is>
      </c>
      <c r="G253" s="18"/>
      <c r="H253" s="18"/>
      <c r="I253" s="21"/>
      <c r="J253" s="18"/>
      <c r="K253" s="18"/>
      <c r="L253" s="18"/>
      <c r="M253" s="18"/>
      <c r="N253" s="18" t="inlineStr">
        <is>
          <t>2026-W44</t>
        </is>
      </c>
      <c r="O253" s="18" t="inlineStr">
        <is>
          <t>04e55dde9bbe885fb80dc3c1a84f550621a793c2</t>
        </is>
      </c>
      <c r="P253" s="18"/>
      <c r="Q253" s="18"/>
      <c r="R253" s="18"/>
    </row>
    <row r="254" ht="36" customHeight="1">
      <c r="A254" s="18" t="inlineStr">
        <is>
          <t>Eredivisie|cambuur|go ahead eagles|2026-10-31</t>
        </is>
      </c>
      <c r="B254" s="23">
        <v>46326.833333333336</v>
      </c>
      <c r="C254" s="18" t="inlineStr">
        <is>
          <t>Eredivisie</t>
        </is>
      </c>
      <c r="D254" s="18" t="inlineStr">
        <is>
          <t>SC Cambuur vs Go Ahead Eagles</t>
        </is>
      </c>
      <c r="E254" s="18" t="inlineStr">
        <is>
          <t>48h-zero-tolerance-ev05-no-loss75-corners-v26</t>
        </is>
      </c>
      <c r="F254" s="18" t="inlineStr">
        <is>
          <t>PENDING_KICKOFF_OR_FINAL_SCORE</t>
        </is>
      </c>
      <c r="G254" s="18"/>
      <c r="H254" s="18"/>
      <c r="I254" s="21"/>
      <c r="J254" s="18"/>
      <c r="K254" s="18"/>
      <c r="L254" s="18"/>
      <c r="M254" s="18"/>
      <c r="N254" s="18" t="inlineStr">
        <is>
          <t>2026-W44</t>
        </is>
      </c>
      <c r="O254" s="18" t="inlineStr">
        <is>
          <t>c75d4ab52706e716a3a14117d34c979609102533</t>
        </is>
      </c>
      <c r="P254" s="18"/>
      <c r="Q254" s="18"/>
      <c r="R254" s="18"/>
    </row>
    <row r="255" ht="36" customHeight="1">
      <c r="A255" s="18" t="inlineStr">
        <is>
          <t>La Liga|barcelona|alaves|2026-10-31</t>
        </is>
      </c>
      <c r="B255" s="23">
        <v>46326.833333333336</v>
      </c>
      <c r="C255" s="18" t="inlineStr">
        <is>
          <t>La Liga</t>
        </is>
      </c>
      <c r="D255" s="18" t="inlineStr">
        <is>
          <t>Barcelona vs Alavés</t>
        </is>
      </c>
      <c r="E255" s="18" t="inlineStr">
        <is>
          <t>48h-zero-tolerance-ev1-common-no-loss75-v22</t>
        </is>
      </c>
      <c r="F255" s="18" t="inlineStr">
        <is>
          <t>PENDING_KICKOFF_OR_FINAL_SCORE</t>
        </is>
      </c>
      <c r="G255" s="18"/>
      <c r="H255" s="18"/>
      <c r="I255" s="21"/>
      <c r="J255" s="18"/>
      <c r="K255" s="18"/>
      <c r="L255" s="18"/>
      <c r="M255" s="18"/>
      <c r="N255" s="18" t="inlineStr">
        <is>
          <t>2026-W44</t>
        </is>
      </c>
      <c r="O255" s="18" t="inlineStr">
        <is>
          <t>0117b0e0fe09a0266deb28e532f2ad9e4f4da47a</t>
        </is>
      </c>
      <c r="P255" s="18"/>
      <c r="Q255" s="18"/>
      <c r="R255" s="18"/>
    </row>
    <row r="256" ht="36" customHeight="1">
      <c r="A256" s="18" t="inlineStr">
        <is>
          <t>Premier League|aston villa|fulham|2026-10-31</t>
        </is>
      </c>
      <c r="B256" s="23">
        <v>46326.833333333336</v>
      </c>
      <c r="C256" s="18" t="inlineStr">
        <is>
          <t>Premier League</t>
        </is>
      </c>
      <c r="D256" s="18" t="inlineStr">
        <is>
          <t>Aston Villa vs Fulham</t>
        </is>
      </c>
      <c r="E256" s="18" t="inlineStr">
        <is>
          <t>48h-zero-tolerance-ev1-common-no-loss75-v22</t>
        </is>
      </c>
      <c r="F256" s="18" t="inlineStr">
        <is>
          <t>PENDING_KICKOFF_OR_FINAL_SCORE</t>
        </is>
      </c>
      <c r="G256" s="18"/>
      <c r="H256" s="18"/>
      <c r="I256" s="21"/>
      <c r="J256" s="18"/>
      <c r="K256" s="18"/>
      <c r="L256" s="18"/>
      <c r="M256" s="18"/>
      <c r="N256" s="18" t="inlineStr">
        <is>
          <t>2026-W44</t>
        </is>
      </c>
      <c r="O256" s="18" t="inlineStr">
        <is>
          <t>0117b0e0fe09a0266deb28e532f2ad9e4f4da47a</t>
        </is>
      </c>
      <c r="P256" s="18"/>
      <c r="Q256" s="18"/>
      <c r="R256" s="18"/>
    </row>
    <row r="257" ht="36" customHeight="1">
      <c r="A257" s="18" t="inlineStr">
        <is>
          <t>Primeira Liga|porto|estoril|2026-10-31</t>
        </is>
      </c>
      <c r="B257" s="23">
        <v>46326.854166666664</v>
      </c>
      <c r="C257" s="18" t="inlineStr">
        <is>
          <t>Primeira Liga</t>
        </is>
      </c>
      <c r="D257" s="18" t="inlineStr">
        <is>
          <t>FC Porto vs Estoril</t>
        </is>
      </c>
      <c r="E257" s="18" t="inlineStr">
        <is>
          <t>48h-zero-tolerance-ev05-no-loss75-corners-v26</t>
        </is>
      </c>
      <c r="F257" s="18" t="inlineStr">
        <is>
          <t>PENDING_KICKOFF_OR_FINAL_SCORE</t>
        </is>
      </c>
      <c r="G257" s="18"/>
      <c r="H257" s="18"/>
      <c r="I257" s="21"/>
      <c r="J257" s="18"/>
      <c r="K257" s="18"/>
      <c r="L257" s="18"/>
      <c r="M257" s="18"/>
      <c r="N257" s="18" t="inlineStr">
        <is>
          <t>2026-W44</t>
        </is>
      </c>
      <c r="O257" s="18" t="inlineStr">
        <is>
          <t>c75d4ab52706e716a3a14117d34c979609102533</t>
        </is>
      </c>
      <c r="P257" s="18"/>
      <c r="Q257" s="18"/>
      <c r="R257" s="18"/>
    </row>
    <row r="258" ht="36" customHeight="1">
      <c r="A258" s="18" t="inlineStr">
        <is>
          <t>Super Lig|amed sk|eyupspor|2026-11-01</t>
        </is>
      </c>
      <c r="B258" s="23">
        <v>46327.4375</v>
      </c>
      <c r="C258" s="18" t="inlineStr">
        <is>
          <t>Super Lig</t>
        </is>
      </c>
      <c r="D258" s="18" t="inlineStr">
        <is>
          <t>Amed SK vs Eyüpspor</t>
        </is>
      </c>
      <c r="E258" s="18" t="inlineStr">
        <is>
          <t>48h-zero-tolerance-ev05-no-loss75-corners-v26</t>
        </is>
      </c>
      <c r="F258" s="18" t="inlineStr">
        <is>
          <t>PENDING_KICKOFF_OR_FINAL_SCORE</t>
        </is>
      </c>
      <c r="G258" s="18"/>
      <c r="H258" s="18"/>
      <c r="I258" s="21"/>
      <c r="J258" s="18"/>
      <c r="K258" s="18"/>
      <c r="L258" s="18"/>
      <c r="M258" s="18"/>
      <c r="N258" s="18" t="inlineStr">
        <is>
          <t>2026-W44</t>
        </is>
      </c>
      <c r="O258" s="18" t="inlineStr">
        <is>
          <t>c75d4ab52706e716a3a14117d34c979609102533</t>
        </is>
      </c>
      <c r="P258" s="18"/>
      <c r="Q258" s="18"/>
      <c r="R258" s="18"/>
    </row>
    <row r="259" ht="36" customHeight="1">
      <c r="A259" s="18" t="inlineStr">
        <is>
          <t>Eredivisie|zwolle|ado den haag|2026-11-01</t>
        </is>
      </c>
      <c r="B259" s="23">
        <v>46327.46875</v>
      </c>
      <c r="C259" s="18" t="inlineStr">
        <is>
          <t>Eredivisie</t>
        </is>
      </c>
      <c r="D259" s="18" t="inlineStr">
        <is>
          <t>FC Zwolle vs ADO Den Haag</t>
        </is>
      </c>
      <c r="E259" s="18" t="inlineStr">
        <is>
          <t>48h-zero-tolerance-ev05-no-loss75-corners-v26</t>
        </is>
      </c>
      <c r="F259" s="18" t="inlineStr">
        <is>
          <t>PENDING_KICKOFF_OR_FINAL_SCORE</t>
        </is>
      </c>
      <c r="G259" s="18"/>
      <c r="H259" s="18"/>
      <c r="I259" s="21"/>
      <c r="J259" s="18"/>
      <c r="K259" s="18"/>
      <c r="L259" s="18"/>
      <c r="M259" s="18"/>
      <c r="N259" s="18" t="inlineStr">
        <is>
          <t>2026-W44</t>
        </is>
      </c>
      <c r="O259" s="18" t="inlineStr">
        <is>
          <t>c75d4ab52706e716a3a14117d34c979609102533</t>
        </is>
      </c>
      <c r="P259" s="18"/>
      <c r="Q259" s="18"/>
      <c r="R259" s="18"/>
    </row>
    <row r="260" ht="36" customHeight="1">
      <c r="A260" s="18" t="inlineStr">
        <is>
          <t>Serie A|como|venezia|2026-11-01</t>
        </is>
      </c>
      <c r="B260" s="23">
        <v>46327.479166666664</v>
      </c>
      <c r="C260" s="18" t="inlineStr">
        <is>
          <t>Serie A</t>
        </is>
      </c>
      <c r="D260" s="18" t="inlineStr">
        <is>
          <t>Como vs Venezia</t>
        </is>
      </c>
      <c r="E260" s="18" t="inlineStr">
        <is>
          <t>48h-zero-tolerance-ev05-no-loss75-corners-v26</t>
        </is>
      </c>
      <c r="F260" s="18" t="inlineStr">
        <is>
          <t>PENDING_KICKOFF_OR_FINAL_SCORE</t>
        </is>
      </c>
      <c r="G260" s="18"/>
      <c r="H260" s="18"/>
      <c r="I260" s="21"/>
      <c r="J260" s="18"/>
      <c r="K260" s="18"/>
      <c r="L260" s="18"/>
      <c r="M260" s="18"/>
      <c r="N260" s="18" t="inlineStr">
        <is>
          <t>2026-W44</t>
        </is>
      </c>
      <c r="O260" s="18" t="inlineStr">
        <is>
          <t>c75d4ab52706e716a3a14117d34c979609102533</t>
        </is>
      </c>
      <c r="P260" s="18"/>
      <c r="Q260" s="18"/>
      <c r="R260" s="18"/>
    </row>
    <row r="261" ht="36" customHeight="1">
      <c r="A261" s="18" t="inlineStr">
        <is>
          <t>La Liga|getafe|sevilla|2026-11-01</t>
        </is>
      </c>
      <c r="B261" s="23">
        <v>46327.541666666664</v>
      </c>
      <c r="C261" s="18" t="inlineStr">
        <is>
          <t>La Liga</t>
        </is>
      </c>
      <c r="D261" s="18" t="inlineStr">
        <is>
          <t>Getafe vs Sevilla</t>
        </is>
      </c>
      <c r="E261" s="18" t="inlineStr">
        <is>
          <t>48h-zero-tolerance-ev1-common-no-loss75-v22</t>
        </is>
      </c>
      <c r="F261" s="18" t="inlineStr">
        <is>
          <t>PENDING_KICKOFF_OR_FINAL_SCORE</t>
        </is>
      </c>
      <c r="G261" s="18"/>
      <c r="H261" s="18"/>
      <c r="I261" s="21"/>
      <c r="J261" s="18"/>
      <c r="K261" s="18"/>
      <c r="L261" s="18"/>
      <c r="M261" s="18"/>
      <c r="N261" s="18" t="inlineStr">
        <is>
          <t>2026-W44</t>
        </is>
      </c>
      <c r="O261" s="18" t="inlineStr">
        <is>
          <t>0117b0e0fe09a0266deb28e532f2ad9e4f4da47a</t>
        </is>
      </c>
      <c r="P261" s="18"/>
      <c r="Q261" s="18"/>
      <c r="R261" s="18"/>
    </row>
    <row r="262" ht="36" customHeight="1">
      <c r="A262" s="18" t="inlineStr">
        <is>
          <t>Ligue 1|strasbourg|auxerre|2026-11-01</t>
        </is>
      </c>
      <c r="B262" s="23">
        <v>46327.583333333336</v>
      </c>
      <c r="C262" s="18" t="inlineStr">
        <is>
          <t>Ligue 1</t>
        </is>
      </c>
      <c r="D262" s="18" t="inlineStr">
        <is>
          <t>Strasbourg vs Auxerre</t>
        </is>
      </c>
      <c r="E262" s="18" t="inlineStr">
        <is>
          <t>48h-zero-tolerance-ev1-common-no-loss75-v22</t>
        </is>
      </c>
      <c r="F262" s="18" t="inlineStr">
        <is>
          <t>PENDING_KICKOFF_OR_FINAL_SCORE</t>
        </is>
      </c>
      <c r="G262" s="18"/>
      <c r="H262" s="18"/>
      <c r="I262" s="21"/>
      <c r="J262" s="18"/>
      <c r="K262" s="18"/>
      <c r="L262" s="18"/>
      <c r="M262" s="18"/>
      <c r="N262" s="18" t="inlineStr">
        <is>
          <t>2026-W44</t>
        </is>
      </c>
      <c r="O262" s="18" t="inlineStr">
        <is>
          <t>0117b0e0fe09a0266deb28e532f2ad9e4f4da47a</t>
        </is>
      </c>
      <c r="P262" s="18"/>
      <c r="Q262" s="18"/>
      <c r="R262" s="18"/>
    </row>
    <row r="263" ht="36" customHeight="1">
      <c r="A263" s="18" t="inlineStr">
        <is>
          <t>Bundesliga|union berlin|1 koln|2026-11-01</t>
        </is>
      </c>
      <c r="B263" s="23">
        <v>46327.604166666664</v>
      </c>
      <c r="C263" s="18" t="inlineStr">
        <is>
          <t>Bundesliga</t>
        </is>
      </c>
      <c r="D263" s="18" t="inlineStr">
        <is>
          <t>Union Berlin vs 1. FC Köln</t>
        </is>
      </c>
      <c r="E263" s="18" t="inlineStr">
        <is>
          <t>48h-zero-tolerance-ev1-common-no-loss75-v22</t>
        </is>
      </c>
      <c r="F263" s="18" t="inlineStr">
        <is>
          <t>PENDING_KICKOFF_OR_FINAL_SCORE</t>
        </is>
      </c>
      <c r="G263" s="18"/>
      <c r="H263" s="18"/>
      <c r="I263" s="21"/>
      <c r="J263" s="18"/>
      <c r="K263" s="18"/>
      <c r="L263" s="18"/>
      <c r="M263" s="18"/>
      <c r="N263" s="18" t="inlineStr">
        <is>
          <t>2026-W44</t>
        </is>
      </c>
      <c r="O263" s="18" t="inlineStr">
        <is>
          <t>0117b0e0fe09a0266deb28e532f2ad9e4f4da47a</t>
        </is>
      </c>
      <c r="P263" s="18"/>
      <c r="Q263" s="18"/>
      <c r="R263" s="18"/>
    </row>
    <row r="264" ht="36" customHeight="1">
      <c r="A264" s="18" t="inlineStr">
        <is>
          <t>La Liga|real racing santander|real madrid|2026-11-01</t>
        </is>
      </c>
      <c r="B264" s="23">
        <v>46327.635416666664</v>
      </c>
      <c r="C264" s="18" t="inlineStr">
        <is>
          <t>La Liga</t>
        </is>
      </c>
      <c r="D264" s="18" t="inlineStr">
        <is>
          <t>Real Racing Club de Santander vs Real Madrid</t>
        </is>
      </c>
      <c r="E264" s="18" t="inlineStr">
        <is>
          <t>48h-zero-tolerance-ev1-common-no-loss75-v22</t>
        </is>
      </c>
      <c r="F264" s="18" t="inlineStr">
        <is>
          <t>PENDING_KICKOFF_OR_FINAL_SCORE</t>
        </is>
      </c>
      <c r="G264" s="18"/>
      <c r="H264" s="18"/>
      <c r="I264" s="21"/>
      <c r="J264" s="18"/>
      <c r="K264" s="18"/>
      <c r="L264" s="18"/>
      <c r="M264" s="18"/>
      <c r="N264" s="18" t="inlineStr">
        <is>
          <t>2026-W44</t>
        </is>
      </c>
      <c r="O264" s="18" t="inlineStr">
        <is>
          <t>10a7df008090a45923c14f3c84ec260b147ea047</t>
        </is>
      </c>
      <c r="P264" s="18"/>
      <c r="Q264" s="18"/>
      <c r="R264" s="18"/>
    </row>
    <row r="265" ht="36" customHeight="1">
      <c r="A265" s="18" t="inlineStr">
        <is>
          <t>Ligue 1|paris|as monaco|2026-11-01</t>
        </is>
      </c>
      <c r="B265" s="23">
        <v>46327.677083333336</v>
      </c>
      <c r="C265" s="18" t="inlineStr">
        <is>
          <t>Ligue 1</t>
        </is>
      </c>
      <c r="D265" s="18" t="inlineStr">
        <is>
          <t>Paris FC vs AS Monaco</t>
        </is>
      </c>
      <c r="E265" s="18" t="inlineStr">
        <is>
          <t>48h-zero-tolerance-ev1-common-no-loss75-v22</t>
        </is>
      </c>
      <c r="F265" s="18" t="inlineStr">
        <is>
          <t>PENDING_KICKOFF_OR_FINAL_SCORE</t>
        </is>
      </c>
      <c r="G265" s="18"/>
      <c r="H265" s="18"/>
      <c r="I265" s="21"/>
      <c r="J265" s="18"/>
      <c r="K265" s="18"/>
      <c r="L265" s="18"/>
      <c r="M265" s="18"/>
      <c r="N265" s="18" t="inlineStr">
        <is>
          <t>2026-W44</t>
        </is>
      </c>
      <c r="O265" s="18" t="inlineStr">
        <is>
          <t>10a7df008090a45923c14f3c84ec260b147ea047</t>
        </is>
      </c>
      <c r="P265" s="18"/>
      <c r="Q265" s="18"/>
      <c r="R265" s="18"/>
    </row>
    <row r="266" ht="36" customHeight="1">
      <c r="A266" s="18" t="inlineStr">
        <is>
          <t>Bundesliga|eintracht frankfurt|hamburger|2026-11-01</t>
        </is>
      </c>
      <c r="B266" s="23">
        <v>46327.6875</v>
      </c>
      <c r="C266" s="18" t="inlineStr">
        <is>
          <t>Bundesliga</t>
        </is>
      </c>
      <c r="D266" s="18" t="inlineStr">
        <is>
          <t>Eintracht Frankfurt vs Hamburger SV</t>
        </is>
      </c>
      <c r="E266" s="18" t="inlineStr">
        <is>
          <t>48h-zero-tolerance-ev1-common-no-loss75-v22</t>
        </is>
      </c>
      <c r="F266" s="18" t="inlineStr">
        <is>
          <t>PENDING_KICKOFF_OR_FINAL_SCORE</t>
        </is>
      </c>
      <c r="G266" s="18"/>
      <c r="H266" s="18"/>
      <c r="I266" s="21"/>
      <c r="J266" s="18"/>
      <c r="K266" s="18"/>
      <c r="L266" s="18"/>
      <c r="M266" s="18"/>
      <c r="N266" s="18" t="inlineStr">
        <is>
          <t>2026-W44</t>
        </is>
      </c>
      <c r="O266" s="18" t="inlineStr">
        <is>
          <t>10a7df008090a45923c14f3c84ec260b147ea047</t>
        </is>
      </c>
      <c r="P266" s="18"/>
      <c r="Q266" s="18"/>
      <c r="R266" s="18"/>
    </row>
    <row r="267" ht="36" customHeight="1">
      <c r="A267" s="18" t="inlineStr">
        <is>
          <t>Premier League|liverpool|arsenal|2026-11-01</t>
        </is>
      </c>
      <c r="B267" s="23">
        <v>46327.6875</v>
      </c>
      <c r="C267" s="18" t="inlineStr">
        <is>
          <t>Premier League</t>
        </is>
      </c>
      <c r="D267" s="18" t="inlineStr">
        <is>
          <t>Liverpool vs Arsenal</t>
        </is>
      </c>
      <c r="E267" s="18" t="inlineStr">
        <is>
          <t>48h-zero-tolerance-ev1-common-no-loss75-v22</t>
        </is>
      </c>
      <c r="F267" s="18" t="inlineStr">
        <is>
          <t>PENDING_KICKOFF_OR_FINAL_SCORE</t>
        </is>
      </c>
      <c r="G267" s="18"/>
      <c r="H267" s="18"/>
      <c r="I267" s="21"/>
      <c r="J267" s="18"/>
      <c r="K267" s="18"/>
      <c r="L267" s="18"/>
      <c r="M267" s="18"/>
      <c r="N267" s="18" t="inlineStr">
        <is>
          <t>2026-W44</t>
        </is>
      </c>
      <c r="O267" s="18" t="inlineStr">
        <is>
          <t>10a7df008090a45923c14f3c84ec260b147ea047</t>
        </is>
      </c>
      <c r="P267" s="18"/>
      <c r="Q267" s="18"/>
      <c r="R267" s="18"/>
    </row>
    <row r="268" ht="36" customHeight="1">
      <c r="A268" s="18" t="inlineStr">
        <is>
          <t>La Liga|elche|valencia|2026-11-01</t>
        </is>
      </c>
      <c r="B268" s="23">
        <v>46327.729166666664</v>
      </c>
      <c r="C268" s="18" t="inlineStr">
        <is>
          <t>La Liga</t>
        </is>
      </c>
      <c r="D268" s="18" t="inlineStr">
        <is>
          <t>Elche CF vs Valencia</t>
        </is>
      </c>
      <c r="E268" s="18" t="inlineStr">
        <is>
          <t>48h-zero-tolerance-ev1-common-no-loss75-v22</t>
        </is>
      </c>
      <c r="F268" s="18" t="inlineStr">
        <is>
          <t>PENDING_KICKOFF_OR_FINAL_SCORE</t>
        </is>
      </c>
      <c r="G268" s="18"/>
      <c r="H268" s="18"/>
      <c r="I268" s="21"/>
      <c r="J268" s="18"/>
      <c r="K268" s="18"/>
      <c r="L268" s="18"/>
      <c r="M268" s="18"/>
      <c r="N268" s="18" t="inlineStr">
        <is>
          <t>2026-W44</t>
        </is>
      </c>
      <c r="O268" s="18" t="inlineStr">
        <is>
          <t>10a7df008090a45923c14f3c84ec260b147ea047</t>
        </is>
      </c>
      <c r="P268" s="18"/>
      <c r="Q268" s="18"/>
      <c r="R268" s="18"/>
    </row>
    <row r="269" ht="36" customHeight="1">
      <c r="A269" s="18" t="inlineStr">
        <is>
          <t>Ligue 1|marseille|toulouse|2026-11-01</t>
        </is>
      </c>
      <c r="B269" s="23">
        <v>46327.822916666664</v>
      </c>
      <c r="C269" s="18" t="inlineStr">
        <is>
          <t>Ligue 1</t>
        </is>
      </c>
      <c r="D269" s="18" t="inlineStr">
        <is>
          <t>Marseille vs Toulouse</t>
        </is>
      </c>
      <c r="E269" s="18" t="inlineStr">
        <is>
          <t>48h-zero-tolerance-ev1-common-no-loss75-v22</t>
        </is>
      </c>
      <c r="F269" s="18" t="inlineStr">
        <is>
          <t>PENDING_KICKOFF_OR_FINAL_SCORE</t>
        </is>
      </c>
      <c r="G269" s="18"/>
      <c r="H269" s="18"/>
      <c r="I269" s="21"/>
      <c r="J269" s="18"/>
      <c r="K269" s="18"/>
      <c r="L269" s="18"/>
      <c r="M269" s="18"/>
      <c r="N269" s="18" t="inlineStr">
        <is>
          <t>2026-W44</t>
        </is>
      </c>
      <c r="O269" s="18" t="inlineStr">
        <is>
          <t>10a7df008090a45923c14f3c84ec260b147ea047</t>
        </is>
      </c>
      <c r="P269" s="18"/>
      <c r="Q269" s="18"/>
      <c r="R269" s="18"/>
    </row>
    <row r="270" ht="36" customHeight="1">
      <c r="A270" s="18" t="inlineStr">
        <is>
          <t>La Liga|ath bilbao|real sociedad|2026-11-01</t>
        </is>
      </c>
      <c r="B270" s="23">
        <v>46327.833333333336</v>
      </c>
      <c r="C270" s="18" t="inlineStr">
        <is>
          <t>La Liga</t>
        </is>
      </c>
      <c r="D270" s="18" t="inlineStr">
        <is>
          <t>Athletic Bilbao vs Real Sociedad</t>
        </is>
      </c>
      <c r="E270" s="18" t="inlineStr">
        <is>
          <t>48h-zero-tolerance-ev1-common-no-loss75-v22</t>
        </is>
      </c>
      <c r="F270" s="18" t="inlineStr">
        <is>
          <t>PENDING_KICKOFF_OR_FINAL_SCORE</t>
        </is>
      </c>
      <c r="G270" s="18"/>
      <c r="H270" s="18"/>
      <c r="I270" s="21"/>
      <c r="J270" s="18"/>
      <c r="K270" s="18"/>
      <c r="L270" s="18"/>
      <c r="M270" s="18"/>
      <c r="N270" s="18" t="inlineStr">
        <is>
          <t>2026-W44</t>
        </is>
      </c>
      <c r="O270" s="18" t="inlineStr">
        <is>
          <t>10a7df008090a45923c14f3c84ec260b147ea047</t>
        </is>
      </c>
      <c r="P270" s="18"/>
      <c r="Q270" s="18"/>
      <c r="R270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16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12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16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12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274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15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13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15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13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90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0.9782608695652174</v>
      </c>
      <c r="H10" s="18" t="inlineStr">
        <is>
          <t>Approval review</t>
        </is>
      </c>
      <c r="I10" s="18" t="inlineStr">
        <is>
          <t>210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0.13043478260869565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90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0.9782608695652174</v>
      </c>
      <c r="H12" s="18" t="inlineStr">
        <is>
          <t>Approval review</t>
        </is>
      </c>
      <c r="I12" s="18" t="inlineStr">
        <is>
          <t>210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0.9021739130434783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Breakdowns!B46</f>
        <v>2026-W41</v>
      </c>
      <c r="B6" s="19">
        <f>Breakdowns!D46</f>
        <v>4.0</v>
      </c>
      <c r="C6" s="19">
        <f>COUNTIFS(Selections!$P$6:$P$79,A6,Selections!$M$6:$M$79,"&gt;0")</f>
        <v>4.0</v>
      </c>
      <c r="D6" s="22">
        <f>IF(C6=0,"n.a.",Breakdowns!J46)</f>
        <v>-1.48</v>
      </c>
      <c r="E6" s="22">
        <f>IF(SUM($C$6:C6)=0,"n.a.",SUM($D$6:D6))</f>
        <v>-1.48</v>
      </c>
      <c r="F6" s="20">
        <f>Breakdowns!H46</f>
        <v>0.5</v>
      </c>
    </row>
    <row r="7" ht="26" customHeight="1">
      <c r="A7" s="18" t="str">
        <f>Breakdowns!B47</f>
        <v>2026-W42</v>
      </c>
      <c r="B7" s="19">
        <f>Breakdowns!D47</f>
        <v>22.0</v>
      </c>
      <c r="C7" s="19">
        <f>COUNTIFS(Selections!$P$6:$P$79,A7,Selections!$M$6:$M$79,"&gt;0")</f>
        <v>22.0</v>
      </c>
      <c r="D7" s="22">
        <f>IF(C7=0,"n.a.",Breakdowns!J47)</f>
        <v>4.289999999999999</v>
      </c>
      <c r="E7" s="22">
        <f>IF(SUM($C$6:C7)=0,"n.a.",SUM($D$6:D7))</f>
        <v>2.809999999999999</v>
      </c>
      <c r="F7" s="20">
        <f>Breakdowns!H47</f>
        <v>0.8636363636363636</v>
      </c>
    </row>
    <row r="8" ht="26" customHeight="1">
      <c r="A8" s="18" t="str">
        <f>Breakdowns!B48</f>
        <v>2026-W43</v>
      </c>
      <c r="B8" s="19">
        <f>Breakdowns!D48</f>
        <v>34.0</v>
      </c>
      <c r="C8" s="19">
        <f>COUNTIFS(Selections!$P$6:$P$79,A8,Selections!$M$6:$M$79,"&gt;0")</f>
        <v>34.0</v>
      </c>
      <c r="D8" s="22">
        <f>IF(C8=0,"n.a.",Breakdowns!J48)</f>
        <v>1.0699999999999994</v>
      </c>
      <c r="E8" s="22">
        <f>IF(SUM($C$6:C8)=0,"n.a.",SUM($D$6:D8))</f>
        <v>3.8799999999999986</v>
      </c>
      <c r="F8" s="20">
        <f>Breakdowns!H48</f>
        <v>0.7352941176470589</v>
      </c>
    </row>
    <row r="9" ht="26" customHeight="1">
      <c r="A9" s="18" t="str">
        <f>Breakdowns!B49</f>
        <v>2026-W44</v>
      </c>
      <c r="B9" s="19">
        <f>Breakdowns!D49</f>
        <v>1.0</v>
      </c>
      <c r="C9" s="19">
        <f>COUNTIFS(Selections!$P$6:$P$79,A9,Selections!$M$6:$M$79,"&gt;0")</f>
        <v>1.0</v>
      </c>
      <c r="D9" s="22">
        <f>IF(C9=0,"n.a.",Breakdowns!J49)</f>
        <v>0.0</v>
      </c>
      <c r="E9" s="22">
        <f>IF(SUM($C$6:C9)=0,"n.a.",SUM($D$6:D9))</f>
        <v>3.8799999999999986</v>
      </c>
      <c r="F9" s="20">
        <f>Breakdowns!H49</f>
        <v>0.0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74</v>
      </c>
      <c r="B8" s="19">
        <v>61</v>
      </c>
      <c r="C8" s="19">
        <v>46</v>
      </c>
      <c r="D8" s="19">
        <v>14</v>
      </c>
      <c r="E8" s="19">
        <v>13</v>
      </c>
      <c r="F8" s="20">
        <v>0.754098</v>
      </c>
      <c r="G8" s="20">
        <v>0.063607</v>
      </c>
      <c r="H8" s="19">
        <v>3.88</v>
      </c>
      <c r="I8" s="19">
        <v>48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1</v>
      </c>
      <c r="E55" s="19">
        <v>0</v>
      </c>
      <c r="F55" s="20">
        <v>0.0</v>
      </c>
      <c r="G55" s="20">
        <v>0.0</v>
      </c>
      <c r="H55" s="19">
        <v>0.0</v>
      </c>
      <c r="I55" s="19">
        <v>1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7" ht="30" customHeight="1">
      <c r="A57" s="18" t="inlineStr">
        <is>
          <t>2026-10-28T12:13:37.819395+00:00</t>
        </is>
      </c>
      <c r="B57" s="18" t="inlineStr">
        <is>
          <t>04e55dde9bbe885fb80dc3c1a84f550621a793c2</t>
        </is>
      </c>
      <c r="C57" s="19">
        <v>1</v>
      </c>
      <c r="D57" s="19">
        <v>0</v>
      </c>
      <c r="E57" s="19">
        <v>0</v>
      </c>
      <c r="F57" s="20"/>
      <c r="G57" s="20"/>
      <c r="H57" s="18"/>
      <c r="I57" s="19">
        <v>1</v>
      </c>
    </row>
    <row r="58" ht="30" customHeight="1">
      <c r="A58" s="18" t="inlineStr">
        <is>
          <t>2026-10-28T16:16:05.061508+00:00</t>
        </is>
      </c>
      <c r="B58" s="18" t="inlineStr">
        <is>
          <t>fd052ff5e9f0163b18958342eaa037bbf5f0e16e</t>
        </is>
      </c>
      <c r="C58" s="19">
        <v>1</v>
      </c>
      <c r="D58" s="19">
        <v>0</v>
      </c>
      <c r="E58" s="19">
        <v>0</v>
      </c>
      <c r="F58" s="20"/>
      <c r="G58" s="20"/>
      <c r="H58" s="18"/>
      <c r="I58" s="19">
        <v>1</v>
      </c>
    </row>
    <row r="59" ht="30" customHeight="1">
      <c r="A59" s="18" t="inlineStr">
        <is>
          <t>2026-10-29T12:08:22.532184+00:00</t>
        </is>
      </c>
      <c r="B59" s="18" t="inlineStr">
        <is>
          <t>c75d4ab52706e716a3a14117d34c979609102533</t>
        </is>
      </c>
      <c r="C59" s="19">
        <v>1</v>
      </c>
      <c r="D59" s="19">
        <v>0</v>
      </c>
      <c r="E59" s="19">
        <v>0</v>
      </c>
      <c r="F59" s="20"/>
      <c r="G59" s="20"/>
      <c r="H59" s="18"/>
      <c r="I59" s="19">
        <v>1</v>
      </c>
    </row>
    <row r="62">
      <c r="A62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6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2026-10-29T15:21:03.058201+00:00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4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4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2026-10-26</t>
        </is>
      </c>
      <c r="C12" s="19">
        <v>1999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2026-10-26</t>
        </is>
      </c>
      <c r="C13" s="19">
        <v>1752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3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2026-10-28</t>
        </is>
      </c>
      <c r="C15" s="19">
        <v>1988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3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8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7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55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166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89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118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144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52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39</v>
      </c>
      <c r="D37" s="19">
        <v>1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73</v>
      </c>
      <c r="D38" s="19">
        <v>1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47</v>
      </c>
      <c r="C39" s="19">
        <v>26</v>
      </c>
      <c r="D39" s="19">
        <v>1</v>
      </c>
      <c r="E39" s="20">
        <v>-0.030666655948099794</v>
      </c>
      <c r="F39" s="20">
        <v>0.029113893915454298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Selected quotes</t>
        </is>
      </c>
      <c r="B46" s="19">
        <v>1</v>
      </c>
    </row>
    <row r="47" ht="44" customHeight="1">
      <c r="A47" s="18" t="inlineStr">
        <is>
          <t>Exchange quotes</t>
        </is>
      </c>
      <c r="B47" s="19">
        <v>0</v>
      </c>
    </row>
    <row r="48" ht="44" customHeight="1">
      <c r="A48" s="18" t="inlineStr">
        <is>
          <t>Missing quote age</t>
        </is>
      </c>
      <c r="B48" s="19">
        <v>0</v>
      </c>
    </row>
    <row r="49" ht="44" customHeight="1">
      <c r="A49" s="18" t="inlineStr">
        <is>
          <t>Quote age over 24h</t>
        </is>
      </c>
      <c r="B49" s="19">
        <v>0</v>
      </c>
    </row>
    <row r="50" ht="44" customHeight="1">
      <c r="A50" s="18" t="inlineStr">
        <is>
          <t>Costs recorded</t>
        </is>
      </c>
      <c r="B50" s="19">
        <v>1</v>
      </c>
    </row>
    <row r="51" ht="44" customHeight="1">
      <c r="A51" s="18" t="inlineStr">
        <is>
          <t>Bookmakers: Pinnacle</t>
        </is>
      </c>
      <c r="B51" s="19">
        <v>1</v>
      </c>
    </row>
    <row r="52" ht="44" customHeight="1">
      <c r="A52" s="18" t="inlineStr">
        <is>
          <t>Account availability</t>
        </is>
      </c>
      <c r="B52" s="18" t="inlineStr">
        <is>
          <t>Not verified with bookmaker accounts</t>
        </is>
      </c>
    </row>
    <row r="53" ht="44" customHeight="1">
      <c r="A53" s="18" t="inlineStr">
        <is>
          <t>Past kickoff count</t>
        </is>
      </c>
      <c r="B53" s="19">
        <v>0</v>
      </c>
    </row>
    <row r="54" ht="44" customHeight="1">
      <c r="A54" s="18" t="inlineStr">
        <is>
          <t>Upcoming kickoff count</t>
        </is>
      </c>
      <c r="B54" s="19">
        <v>1</v>
      </c>
    </row>
    <row r="55" ht="44" customHeight="1">
      <c r="A55" s="18" t="inlineStr">
        <is>
          <t>Unknown kickoff count</t>
        </is>
      </c>
      <c r="B55" s="19">
        <v>0</v>
      </c>
    </row>
    <row r="58">
      <c r="A58" s="26" t="inlineStr">
        <is>
          <t>Forecast capture coverage</t>
        </is>
      </c>
    </row>
    <row r="59" ht="34" customHeight="1">
      <c r="A59" s="24" t="inlineStr">
        <is>
          <t>Experiment</t>
        </is>
      </c>
      <c r="B59" s="24" t="inlineStr">
        <is>
          <t>Capture state</t>
        </is>
      </c>
      <c r="C59" s="24" t="inlineStr">
        <is>
          <t>Snapshot count</t>
        </is>
      </c>
    </row>
    <row r="60" ht="44" customHeight="1">
      <c r="A60" s="18" t="inlineStr">
        <is>
          <t>Goal-market blend</t>
        </is>
      </c>
      <c r="B60" s="18" t="inlineStr">
        <is>
          <t>Captured</t>
        </is>
      </c>
      <c r="C60" s="19">
        <v>44</v>
      </c>
    </row>
    <row r="61" ht="44" customHeight="1">
      <c r="A61" s="18" t="inlineStr">
        <is>
          <t>Goal-market blend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Market-led forecasts</t>
        </is>
      </c>
      <c r="B62" s="18" t="inlineStr">
        <is>
          <t>Captured</t>
        </is>
      </c>
      <c r="C62" s="19">
        <v>44</v>
      </c>
    </row>
    <row r="63" ht="44" customHeight="1">
      <c r="A63" s="18" t="inlineStr">
        <is>
          <t>Market-led forecasts</t>
        </is>
      </c>
      <c r="B63" s="18" t="inlineStr">
        <is>
          <t>Legacy not recorded</t>
        </is>
      </c>
      <c r="C63" s="19">
        <v>14</v>
      </c>
    </row>
    <row r="64" ht="44" customHeight="1">
      <c r="A64" s="18" t="inlineStr">
        <is>
          <t>Recency comparison</t>
        </is>
      </c>
      <c r="B64" s="18" t="inlineStr">
        <is>
          <t>Captured</t>
        </is>
      </c>
      <c r="C64" s="19">
        <v>40</v>
      </c>
    </row>
    <row r="65" ht="44" customHeight="1">
      <c r="A65" s="18" t="inlineStr">
        <is>
          <t>Recency comparison</t>
        </is>
      </c>
      <c r="B65" s="18" t="inlineStr">
        <is>
          <t>Legacy not recorded</t>
        </is>
      </c>
      <c r="C65" s="19">
        <v>18</v>
      </c>
    </row>
    <row r="66" ht="44" customHeight="1">
      <c r="A66" s="18" t="inlineStr">
        <is>
          <t>EV filter sensitivity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EV filter sensitivity</t>
        </is>
      </c>
      <c r="B67" s="18" t="inlineStr">
        <is>
          <t>Legacy not recorded</t>
        </is>
      </c>
      <c r="C67" s="19">
        <v>19</v>
      </c>
    </row>
    <row r="68" ht="44" customHeight="1">
      <c r="A68" s="18" t="inlineStr">
        <is>
          <t>EV filter sensitivity</t>
        </is>
      </c>
      <c r="B68" s="18" t="inlineStr">
        <is>
          <t>Not generated</t>
        </is>
      </c>
      <c r="C68" s="19">
        <v>16</v>
      </c>
    </row>
    <row r="69" ht="44" customHeight="1">
      <c r="A69" s="18" t="inlineStr">
        <is>
          <t>85% market weight</t>
        </is>
      </c>
      <c r="B69" s="18" t="inlineStr">
        <is>
          <t>Captured</t>
        </is>
      </c>
      <c r="C69" s="19">
        <v>37</v>
      </c>
    </row>
    <row r="70" ht="44" customHeight="1">
      <c r="A70" s="18" t="inlineStr">
        <is>
          <t>85% market weight</t>
        </is>
      </c>
      <c r="B70" s="18" t="inlineStr">
        <is>
          <t>Legacy not recorded</t>
        </is>
      </c>
      <c r="C70" s="19">
        <v>20</v>
      </c>
    </row>
    <row r="71" ht="44" customHeight="1">
      <c r="A71" s="18" t="inlineStr">
        <is>
          <t>85% market weight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Pinnacle totals anchor</t>
        </is>
      </c>
      <c r="B72" s="18" t="inlineStr">
        <is>
          <t>Captured</t>
        </is>
      </c>
      <c r="C72" s="19">
        <v>37</v>
      </c>
    </row>
    <row r="73" ht="44" customHeight="1">
      <c r="A73" s="18" t="inlineStr">
        <is>
          <t>Pinnacle totals anchor</t>
        </is>
      </c>
      <c r="B73" s="18" t="inlineStr">
        <is>
          <t>Legacy not recorded</t>
        </is>
      </c>
      <c r="C73" s="19">
        <v>21</v>
      </c>
    </row>
    <row r="74" ht="44" customHeight="1">
      <c r="A74" s="18" t="inlineStr">
        <is>
          <t>Stronger regularisation (L2=3)</t>
        </is>
      </c>
      <c r="B74" s="18" t="inlineStr">
        <is>
          <t>Legacy not recorded</t>
        </is>
      </c>
      <c r="C74" s="19">
        <v>58</v>
      </c>
    </row>
    <row r="75" ht="44" customHeight="1">
      <c r="A75" s="18" t="inlineStr">
        <is>
          <t>Fixed half-life (480 days)</t>
        </is>
      </c>
      <c r="B75" s="18" t="inlineStr">
        <is>
          <t>Legacy not recorded</t>
        </is>
      </c>
      <c r="C75" s="19">
        <v>58</v>
      </c>
    </row>
    <row r="76" ht="44" customHeight="1">
      <c r="A76" s="18" t="inlineStr">
        <is>
          <t>Probability / calibration policy</t>
        </is>
      </c>
      <c r="B76" s="18" t="inlineStr">
        <is>
          <t>Captured</t>
        </is>
      </c>
      <c r="C76" s="19">
        <v>15</v>
      </c>
    </row>
    <row r="77" ht="44" customHeight="1">
      <c r="A77" s="18" t="inlineStr">
        <is>
          <t>Probability / calibration policy</t>
        </is>
      </c>
      <c r="B77" s="18" t="inlineStr">
        <is>
          <t>Legacy not recorded</t>
        </is>
      </c>
      <c r="C77" s="19">
        <v>26</v>
      </c>
    </row>
    <row r="78" ht="44" customHeight="1">
      <c r="A78" s="18" t="inlineStr">
        <is>
          <t>Probability / calibration policy</t>
        </is>
      </c>
      <c r="B78" s="18" t="inlineStr">
        <is>
          <t>Not generated</t>
        </is>
      </c>
      <c r="C78" s="19">
        <v>16</v>
      </c>
    </row>
    <row r="79" ht="44" customHeight="1">
      <c r="A79" s="18" t="inlineStr">
        <is>
          <t>Probability / calibration policy</t>
        </is>
      </c>
      <c r="B79" s="18" t="inlineStr">
        <is>
          <t>Present but rejected</t>
        </is>
      </c>
      <c r="C79" s="19">
        <v>1</v>
      </c>
    </row>
    <row r="80" ht="44" customHeight="1">
      <c r="A80" s="18" t="inlineStr">
        <is>
          <t>Shortlist probability / EV weights</t>
        </is>
      </c>
      <c r="B80" s="18" t="inlineStr">
        <is>
          <t>Captured</t>
        </is>
      </c>
      <c r="C80" s="19">
        <v>7</v>
      </c>
    </row>
    <row r="81" ht="44" customHeight="1">
      <c r="A81" s="18" t="inlineStr">
        <is>
          <t>Shortlist probability / EV weights</t>
        </is>
      </c>
      <c r="B81" s="18" t="inlineStr">
        <is>
          <t>Legacy not recorded</t>
        </is>
      </c>
      <c r="C81" s="19">
        <v>35</v>
      </c>
    </row>
    <row r="82" ht="44" customHeight="1">
      <c r="A82" s="18" t="inlineStr">
        <is>
          <t>Shortlist probability / EV weights</t>
        </is>
      </c>
      <c r="B82" s="18" t="inlineStr">
        <is>
          <t>Not generated</t>
        </is>
      </c>
      <c r="C82" s="19">
        <v>16</v>
      </c>
    </row>
    <row r="85">
      <c r="A85" s="26" t="inlineStr">
        <is>
          <t>EV sensitivity results</t>
        </is>
      </c>
    </row>
    <row r="86" ht="34" customHeight="1">
      <c r="A86" s="24" t="inlineStr">
        <is>
          <t>EV floor</t>
        </is>
      </c>
      <c r="B86" s="24" t="inlineStr">
        <is>
          <t>Tier</t>
        </is>
      </c>
      <c r="C86" s="24" t="inlineStr">
        <is>
          <t>Selected</t>
        </is>
      </c>
      <c r="D86" s="24" t="inlineStr">
        <is>
          <t>Settled</t>
        </is>
      </c>
      <c r="E86" s="24" t="inlineStr">
        <is>
          <t>Simulated ROI</t>
        </is>
      </c>
      <c r="F86" s="24" t="inlineStr">
        <is>
          <t>Drawdown (units)</t>
        </is>
      </c>
    </row>
    <row r="87" ht="44" customHeight="1">
      <c r="A87" s="20">
        <v>0.015</v>
      </c>
      <c r="B87" s="18" t="inlineStr">
        <is>
          <t>ALL</t>
        </is>
      </c>
      <c r="C87" s="19">
        <v>9</v>
      </c>
      <c r="D87" s="19">
        <v>8</v>
      </c>
      <c r="E87" s="20">
        <v>0.1725</v>
      </c>
      <c r="F87" s="22">
        <v>1.0</v>
      </c>
    </row>
    <row r="88" ht="44" customHeight="1">
      <c r="A88" s="20">
        <v>0.015</v>
      </c>
      <c r="B88" s="18" t="inlineStr">
        <is>
          <t>STRICT</t>
        </is>
      </c>
      <c r="C88" s="19">
        <v>7</v>
      </c>
      <c r="D88" s="19">
        <v>6</v>
      </c>
      <c r="E88" s="20">
        <v>0.09833333333333331</v>
      </c>
      <c r="F88" s="22">
        <v>1.0</v>
      </c>
    </row>
    <row r="89" ht="44" customHeight="1">
      <c r="A89" s="20">
        <v>0.015</v>
      </c>
      <c r="B89" s="18" t="inlineStr">
        <is>
          <t>PROVISIONAL</t>
        </is>
      </c>
      <c r="C89" s="19">
        <v>2</v>
      </c>
      <c r="D89" s="19">
        <v>2</v>
      </c>
      <c r="E89" s="20">
        <v>0.395</v>
      </c>
      <c r="F89" s="22">
        <v>0.0</v>
      </c>
    </row>
    <row r="90" ht="44" customHeight="1">
      <c r="A90" s="20">
        <v>0.03</v>
      </c>
      <c r="B90" s="18" t="inlineStr">
        <is>
          <t>ALL</t>
        </is>
      </c>
      <c r="C90" s="19">
        <v>8</v>
      </c>
      <c r="D90" s="19">
        <v>7</v>
      </c>
      <c r="E90" s="20">
        <v>0.16285714285714284</v>
      </c>
      <c r="F90" s="22">
        <v>1.0</v>
      </c>
    </row>
    <row r="91" ht="44" customHeight="1">
      <c r="A91" s="20">
        <v>0.03</v>
      </c>
      <c r="B91" s="18" t="inlineStr">
        <is>
          <t>STRICT</t>
        </is>
      </c>
      <c r="C91" s="19">
        <v>6</v>
      </c>
      <c r="D91" s="19">
        <v>5</v>
      </c>
      <c r="E91" s="20">
        <v>0.06999999999999998</v>
      </c>
      <c r="F91" s="22">
        <v>1.0</v>
      </c>
    </row>
    <row r="92" ht="44" customHeight="1">
      <c r="A92" s="20">
        <v>0.03</v>
      </c>
      <c r="B92" s="18" t="inlineStr">
        <is>
          <t>PROVISIONAL</t>
        </is>
      </c>
      <c r="C92" s="19">
        <v>2</v>
      </c>
      <c r="D92" s="19">
        <v>2</v>
      </c>
      <c r="E92" s="20">
        <v>0.395</v>
      </c>
      <c r="F92" s="22">
        <v>0.0</v>
      </c>
    </row>
    <row r="93" ht="44" customHeight="1">
      <c r="A93" s="20">
        <v>0.05</v>
      </c>
      <c r="B93" s="18" t="inlineStr">
        <is>
          <t>ALL</t>
        </is>
      </c>
      <c r="C93" s="19">
        <v>7</v>
      </c>
      <c r="D93" s="19">
        <v>6</v>
      </c>
      <c r="E93" s="20">
        <v>0.14666666666666664</v>
      </c>
      <c r="F93" s="22">
        <v>1.0</v>
      </c>
    </row>
    <row r="94" ht="44" customHeight="1">
      <c r="A94" s="20">
        <v>0.05</v>
      </c>
      <c r="B94" s="18" t="inlineStr">
        <is>
          <t>STRICT</t>
        </is>
      </c>
      <c r="C94" s="19">
        <v>5</v>
      </c>
      <c r="D94" s="19">
        <v>5</v>
      </c>
      <c r="E94" s="20">
        <v>0.06999999999999998</v>
      </c>
      <c r="F94" s="22">
        <v>1.0</v>
      </c>
    </row>
    <row r="95" ht="44" customHeight="1">
      <c r="A95" s="20">
        <v>0.05</v>
      </c>
      <c r="B95" s="18" t="inlineStr">
        <is>
          <t>PROVISIONAL</t>
        </is>
      </c>
      <c r="C95" s="19">
        <v>2</v>
      </c>
      <c r="D95" s="19">
        <v>1</v>
      </c>
      <c r="E95" s="20">
        <v>0.53</v>
      </c>
      <c r="F95" s="22">
        <v>0.0</v>
      </c>
    </row>
    <row r="98">
      <c r="A98" s="26" t="inlineStr">
        <is>
          <t>Daily review observations</t>
        </is>
      </c>
    </row>
    <row r="99" ht="34" customHeight="1">
      <c r="A99" s="24" t="inlineStr">
        <is>
          <t>Review date</t>
        </is>
      </c>
      <c r="B99" s="24" t="inlineStr">
        <is>
          <t>Graded</t>
        </is>
      </c>
      <c r="C99" s="24" t="inlineStr">
        <is>
          <t>Win rate</t>
        </is>
      </c>
      <c r="D99" s="24" t="inlineStr">
        <is>
          <t>Simulated ROI</t>
        </is>
      </c>
      <c r="E99" s="24" t="inlineStr">
        <is>
          <t>Brier</t>
        </is>
      </c>
    </row>
    <row r="100" ht="44" customHeight="1">
      <c r="A100" s="18" t="inlineStr">
        <is>
          <t>2026-10-13</t>
        </is>
      </c>
      <c r="B100" s="19">
        <v>9</v>
      </c>
      <c r="C100" s="20">
        <v>0.666667</v>
      </c>
      <c r="D100" s="20">
        <v>-0.096667</v>
      </c>
      <c r="E100" s="21">
        <v>0.250532</v>
      </c>
    </row>
    <row r="101" ht="44" customHeight="1">
      <c r="A101" s="18" t="inlineStr">
        <is>
          <t>2026-10-14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2026-10-15</t>
        </is>
      </c>
      <c r="B102" s="19">
        <v>11</v>
      </c>
      <c r="C102" s="20">
        <v>0.727273</v>
      </c>
      <c r="D102" s="20">
        <v>0.01</v>
      </c>
      <c r="E102" s="21">
        <v>0.215932</v>
      </c>
    </row>
    <row r="103" ht="44" customHeight="1">
      <c r="A103" s="18" t="inlineStr">
        <is>
          <t>2026-10-16</t>
        </is>
      </c>
      <c r="B103" s="19">
        <v>12</v>
      </c>
      <c r="C103" s="20">
        <v>0.75</v>
      </c>
      <c r="D103" s="20">
        <v>0.031667</v>
      </c>
      <c r="E103" s="21">
        <v>0.199836</v>
      </c>
    </row>
    <row r="104" ht="44" customHeight="1">
      <c r="A104" s="18" t="inlineStr">
        <is>
          <t>2026-10-17</t>
        </is>
      </c>
      <c r="B104" s="19">
        <v>17</v>
      </c>
      <c r="C104" s="20">
        <v>0.764706</v>
      </c>
      <c r="D104" s="20">
        <v>0.044706</v>
      </c>
      <c r="E104" s="21">
        <v>0.178798</v>
      </c>
    </row>
    <row r="105" ht="44" customHeight="1">
      <c r="A105" s="18" t="inlineStr">
        <is>
          <t>2026-10-18</t>
        </is>
      </c>
      <c r="B105" s="19">
        <v>26</v>
      </c>
      <c r="C105" s="20">
        <v>0.807692</v>
      </c>
      <c r="D105" s="20">
        <v>0.108077</v>
      </c>
      <c r="E105" s="21">
        <v>0.161003</v>
      </c>
    </row>
    <row r="106" ht="44" customHeight="1">
      <c r="A106" s="18" t="inlineStr">
        <is>
          <t>2026-10-19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2026-10-20</t>
        </is>
      </c>
      <c r="B107" s="19">
        <v>30</v>
      </c>
      <c r="C107" s="20">
        <v>0.733333</v>
      </c>
      <c r="D107" s="20">
        <v>0.011333</v>
      </c>
      <c r="E107" s="21">
        <v>0.175695</v>
      </c>
    </row>
    <row r="108" ht="44" customHeight="1">
      <c r="A108" s="18" t="inlineStr">
        <is>
          <t>2026-10-21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2026-10-22</t>
        </is>
      </c>
      <c r="B109" s="19">
        <v>38</v>
      </c>
      <c r="C109" s="20">
        <v>0.736842</v>
      </c>
      <c r="D109" s="20">
        <v>0.011316</v>
      </c>
      <c r="E109" s="21">
        <v>0.176926</v>
      </c>
    </row>
    <row r="110" ht="44" customHeight="1">
      <c r="A110" s="18" t="inlineStr">
        <is>
          <t>2026-10-23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2026-10-24</t>
        </is>
      </c>
      <c r="B111" s="19">
        <v>40</v>
      </c>
      <c r="C111" s="20">
        <v>0.75</v>
      </c>
      <c r="D111" s="20">
        <v>0.03125</v>
      </c>
      <c r="E111" s="21">
        <v>0.169745</v>
      </c>
    </row>
    <row r="112" ht="44" customHeight="1">
      <c r="A112" s="18" t="inlineStr">
        <is>
          <t>2026-10-25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2026-10-26</t>
        </is>
      </c>
      <c r="B113" s="19">
        <v>59</v>
      </c>
      <c r="C113" s="20">
        <v>0.762712</v>
      </c>
      <c r="D113" s="20">
        <v>0.05678</v>
      </c>
      <c r="E113" s="21">
        <v>0.154528</v>
      </c>
    </row>
    <row r="114" ht="44" customHeight="1">
      <c r="A114" s="18" t="inlineStr">
        <is>
          <t>2026-10-27</t>
        </is>
      </c>
      <c r="B114" s="19">
        <v>60</v>
      </c>
      <c r="C114" s="20">
        <v>0.766667</v>
      </c>
      <c r="D114" s="20">
        <v>0.064667</v>
      </c>
      <c r="E114" s="21">
        <v>0.153157</v>
      </c>
    </row>
    <row r="115" ht="44" customHeight="1">
      <c r="A115" s="18" t="inlineStr">
        <is>
          <t>2026-10-28</t>
        </is>
      </c>
      <c r="B115" s="19">
        <v>61</v>
      </c>
      <c r="C115" s="20">
        <v>0.754098</v>
      </c>
      <c r="D115" s="20">
        <v>0.063607</v>
      </c>
      <c r="E115" s="21">
        <v>0.151455</v>
      </c>
    </row>
    <row r="116" ht="44" customHeight="1">
      <c r="A116" s="18" t="inlineStr">
        <is>
          <t>2026-10-29</t>
        </is>
      </c>
      <c r="B116" s="19">
        <v>61</v>
      </c>
      <c r="C116" s="20">
        <v>0.754098</v>
      </c>
      <c r="D116" s="20">
        <v>0.063607</v>
      </c>
      <c r="E116" s="21">
        <v>0.151455</v>
      </c>
    </row>
    <row r="119">
      <c r="A119" s="26" t="inlineStr">
        <is>
          <t>Dependency versions</t>
        </is>
      </c>
    </row>
    <row r="120" ht="34" customHeight="1">
      <c r="A120" s="24" t="inlineStr">
        <is>
          <t>Dependency</t>
        </is>
      </c>
      <c r="B120" s="24" t="inlineStr">
        <is>
          <t>Version</t>
        </is>
      </c>
    </row>
    <row r="121" ht="44" customHeight="1">
      <c r="A121" s="18" t="inlineStr">
        <is>
          <t>python</t>
        </is>
      </c>
      <c r="B121" s="18" t="inlineStr">
        <is>
          <t>3.12.15</t>
        </is>
      </c>
    </row>
    <row r="122" ht="44" customHeight="1">
      <c r="A122" s="18" t="inlineStr">
        <is>
          <t>numpy</t>
        </is>
      </c>
      <c r="B122" s="18" t="inlineStr">
        <is>
          <t>2.5.4</t>
        </is>
      </c>
    </row>
    <row r="123" ht="44" customHeight="1">
      <c r="A123" s="18" t="inlineStr">
        <is>
          <t>pandas</t>
        </is>
      </c>
      <c r="B123" s="18" t="inlineStr">
        <is>
          <t>3.1.0</t>
        </is>
      </c>
    </row>
    <row r="124" ht="44" customHeight="1">
      <c r="A124" s="18" t="inlineStr">
        <is>
          <t>scipy</t>
        </is>
      </c>
      <c r="B124" s="18" t="inlineStr">
        <is>
          <t>1.18.1</t>
        </is>
      </c>
    </row>
    <row r="125" ht="44" customHeight="1">
      <c r="A125" s="18" t="inlineStr">
        <is>
          <t>requests</t>
        </is>
      </c>
      <c r="B125" s="18" t="inlineStr">
        <is>
          <t>2.34.2</t>
        </is>
      </c>
    </row>
    <row r="126" ht="44" customHeight="1">
      <c r="A126" s="18" t="inlineStr">
        <is>
          <t>rapidfuzz</t>
        </is>
      </c>
      <c r="B126" s="18" t="inlineStr">
        <is>
          <t>3.14.6</t>
        </is>
      </c>
    </row>
    <row r="127" ht="44" customHeight="1">
      <c r="A127" s="18" t="inlineStr">
        <is>
          <t>python-dotenv</t>
        </is>
      </c>
      <c r="B127" s="18" t="inlineStr">
        <is>
          <t>1.2.4</t>
        </is>
      </c>
    </row>
    <row r="128" ht="44" customHeight="1">
      <c r="A128" s="18" t="inlineStr">
        <is>
          <t>coverage</t>
        </is>
      </c>
      <c r="B128" s="18" t="inlineStr">
        <is>
          <t>NOT_INSTALLED</t>
        </is>
      </c>
    </row>
    <row r="129" ht="44" customHeight="1">
      <c r="A129" s="18" t="inlineStr">
        <is>
          <t>PyYAML</t>
        </is>
      </c>
      <c r="B129" s="18" t="inlineStr">
        <is>
          <t>NOT_INSTALLED</t>
        </is>
      </c>
    </row>
    <row r="132">
      <c r="A132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8:F58"/>
    <mergeCell ref="A85:F85"/>
    <mergeCell ref="A98:F98"/>
    <mergeCell ref="A119:F119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conditionalFormatting sqref="B82">
    <cfRule type="expression" priority="101" dxfId="4">
      <formula>OR(B82="Capture failed",B82="Invalid",B82="Hash mismatch")</formula>
    </cfRule>
    <cfRule type="expression" priority="102" dxfId="3">
      <formula>OR(B82="Legacy not recorded",B82="Missing",B82="Not captured")</formula>
    </cfRule>
  </conditionalFormatting>
  <hyperlinks>
    <hyperlink ref="A132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  <row r="60" ht="56" customHeight="1">
      <c r="A60" s="18" t="inlineStr">
        <is>
          <t>d414de1a572b09b2e2e902bd2da96a1ecf41906a</t>
        </is>
      </c>
      <c r="B60" s="18" t="inlineStr">
        <is>
          <t>2026-10-27T11:35:21Z</t>
        </is>
      </c>
      <c r="C60" s="18" t="inlineStr">
        <is>
          <t>CAPTURED</t>
        </is>
      </c>
      <c r="D60" s="18" t="inlineStr">
        <is>
          <t>CAPTURED</t>
        </is>
      </c>
      <c r="E60" s="18" t="inlineStr">
        <is>
          <t>CAPTURED</t>
        </is>
      </c>
      <c r="F60" s="18" t="inlineStr">
        <is>
          <t>NOT_GENERATED</t>
        </is>
      </c>
      <c r="G60" s="18" t="inlineStr">
        <is>
          <t>CAPTURED</t>
        </is>
      </c>
      <c r="H60" s="18" t="inlineStr">
        <is>
          <t>CAPTURED</t>
        </is>
      </c>
      <c r="I60" s="18" t="inlineStr">
        <is>
          <t>LEGACY_NOT_RECORDED</t>
        </is>
      </c>
      <c r="J60" s="18" t="inlineStr">
        <is>
          <t>LEGACY_NOT_RECORDED</t>
        </is>
      </c>
      <c r="K60" s="18" t="inlineStr">
        <is>
          <t>NOT_GENERATED</t>
        </is>
      </c>
      <c r="L60" s="18" t="inlineStr">
        <is>
          <t>NOT_GENERATED</t>
        </is>
      </c>
    </row>
    <row r="61" ht="56" customHeight="1">
      <c r="A61" s="18" t="inlineStr">
        <is>
          <t>04e55dde9bbe885fb80dc3c1a84f550621a793c2</t>
        </is>
      </c>
      <c r="B61" s="18" t="inlineStr">
        <is>
          <t>2026-10-28T12:13:49Z</t>
        </is>
      </c>
      <c r="C61" s="18" t="inlineStr">
        <is>
          <t>CAPTURED</t>
        </is>
      </c>
      <c r="D61" s="18" t="inlineStr">
        <is>
          <t>CAPTURED</t>
        </is>
      </c>
      <c r="E61" s="18" t="inlineStr">
        <is>
          <t>CAPTURED</t>
        </is>
      </c>
      <c r="F61" s="18" t="inlineStr">
        <is>
          <t>NOT_GENERATED</t>
        </is>
      </c>
      <c r="G61" s="18" t="inlineStr">
        <is>
          <t>CAPTURED</t>
        </is>
      </c>
      <c r="H61" s="18" t="inlineStr">
        <is>
          <t>CAPTURED</t>
        </is>
      </c>
      <c r="I61" s="18" t="inlineStr">
        <is>
          <t>LEGACY_NOT_RECORDED</t>
        </is>
      </c>
      <c r="J61" s="18" t="inlineStr">
        <is>
          <t>LEGACY_NOT_RECORDED</t>
        </is>
      </c>
      <c r="K61" s="18" t="inlineStr">
        <is>
          <t>NOT_GENERATED</t>
        </is>
      </c>
      <c r="L61" s="18" t="inlineStr">
        <is>
          <t>NOT_GENERATED</t>
        </is>
      </c>
    </row>
    <row r="62" ht="56" customHeight="1">
      <c r="A62" s="18" t="inlineStr">
        <is>
          <t>fd052ff5e9f0163b18958342eaa037bbf5f0e16e</t>
        </is>
      </c>
      <c r="B62" s="18" t="inlineStr">
        <is>
          <t>2026-10-28T17:36:15Z</t>
        </is>
      </c>
      <c r="C62" s="18" t="inlineStr">
        <is>
          <t>CAPTURED</t>
        </is>
      </c>
      <c r="D62" s="18" t="inlineStr">
        <is>
          <t>CAPTURED</t>
        </is>
      </c>
      <c r="E62" s="18" t="inlineStr">
        <is>
          <t>CAPTURED</t>
        </is>
      </c>
      <c r="F62" s="18" t="inlineStr">
        <is>
          <t>NOT_GENERATED</t>
        </is>
      </c>
      <c r="G62" s="18" t="inlineStr">
        <is>
          <t>CAPTURED</t>
        </is>
      </c>
      <c r="H62" s="18" t="inlineStr">
        <is>
          <t>CAPTURED</t>
        </is>
      </c>
      <c r="I62" s="18" t="inlineStr">
        <is>
          <t>LEGACY_NOT_RECORDED</t>
        </is>
      </c>
      <c r="J62" s="18" t="inlineStr">
        <is>
          <t>LEGACY_NOT_RECORDED</t>
        </is>
      </c>
      <c r="K62" s="18" t="inlineStr">
        <is>
          <t>NOT_GENERATED</t>
        </is>
      </c>
      <c r="L62" s="18" t="inlineStr">
        <is>
          <t>NOT_GENERATED</t>
        </is>
      </c>
    </row>
    <row r="63" ht="56" customHeight="1">
      <c r="A63" s="18" t="inlineStr">
        <is>
          <t>c75d4ab52706e716a3a14117d34c979609102533</t>
        </is>
      </c>
      <c r="B63" s="18" t="inlineStr">
        <is>
          <t>2026-10-29T12:08:32Z</t>
        </is>
      </c>
      <c r="C63" s="18" t="inlineStr">
        <is>
          <t>CAPTURED</t>
        </is>
      </c>
      <c r="D63" s="18" t="inlineStr">
        <is>
          <t>CAPTURED</t>
        </is>
      </c>
      <c r="E63" s="18" t="inlineStr">
        <is>
          <t>CAPTURED</t>
        </is>
      </c>
      <c r="F63" s="18" t="inlineStr">
        <is>
          <t>NOT_GENERATED</t>
        </is>
      </c>
      <c r="G63" s="18" t="inlineStr">
        <is>
          <t>CAPTURED</t>
        </is>
      </c>
      <c r="H63" s="18" t="inlineStr">
        <is>
          <t>CAPTURED</t>
        </is>
      </c>
      <c r="I63" s="18" t="inlineStr">
        <is>
          <t>LEGACY_NOT_RECORDED</t>
        </is>
      </c>
      <c r="J63" s="18" t="inlineStr">
        <is>
          <t>LEGACY_NOT_RECORDED</t>
        </is>
      </c>
      <c r="K63" s="18" t="inlineStr">
        <is>
          <t>NOT_GENERATED</t>
        </is>
      </c>
      <c r="L63" s="18" t="inlineStr">
        <is>
          <t>NOT_GENERATED</t>
        </is>
      </c>
    </row>
  </sheetData>
  <autoFilter ref="A5:H63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2026-10-29T15:21:03.058201+00:00; 1468 candidates on 141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1468</v>
      </c>
      <c r="D9" s="19">
        <v>141</v>
      </c>
      <c r="E9" s="20">
        <v>-0.03256003728109431</v>
      </c>
      <c r="F9" s="20">
        <v>0.28133514986376024</v>
      </c>
      <c r="G9" s="22">
        <v>-12.184678837163986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64</v>
      </c>
      <c r="D10" s="19">
        <v>52</v>
      </c>
      <c r="E10" s="20">
        <v>-0.028089299446986342</v>
      </c>
      <c r="F10" s="20">
        <v>0.234375</v>
      </c>
      <c r="G10" s="22">
        <v>-3.2155349002498825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887</v>
      </c>
      <c r="D11" s="19">
        <v>135</v>
      </c>
      <c r="E11" s="20">
        <v>0.008019271112234478</v>
      </c>
      <c r="F11" s="20">
        <v>0.5287485907553551</v>
      </c>
      <c r="G11" s="22">
        <v>3.094519614086412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141</v>
      </c>
      <c r="D15" s="18"/>
      <c r="E15" s="21">
        <v>-0.08533465674812053</v>
      </c>
      <c r="F15" s="20">
        <v>0.6170212765957447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328</v>
      </c>
      <c r="D20" s="19">
        <v>18</v>
      </c>
      <c r="E20" s="20">
        <v>-0.03938739634815748</v>
      </c>
      <c r="F20" s="20">
        <v>0.25609756097560976</v>
      </c>
      <c r="G20" s="22">
        <v>-18.086965127556986</v>
      </c>
      <c r="H20" s="20">
        <v>0.00040504496400254724</v>
      </c>
      <c r="I20" s="19">
        <v>328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261</v>
      </c>
      <c r="D21" s="19">
        <v>107</v>
      </c>
      <c r="E21" s="20">
        <v>-0.022431692990782792</v>
      </c>
      <c r="F21" s="20">
        <v>0.41379310344827586</v>
      </c>
      <c r="G21" s="22">
        <v>-5.969485952086429</v>
      </c>
      <c r="H21" s="20">
        <v>0.030458159183724687</v>
      </c>
      <c r="I21" s="19">
        <v>199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239</v>
      </c>
      <c r="D22" s="19">
        <v>98</v>
      </c>
      <c r="E22" s="20">
        <v>-0.03962369718145825</v>
      </c>
      <c r="F22" s="20">
        <v>0.28870292887029286</v>
      </c>
      <c r="G22" s="22">
        <v>-9.161664563375497</v>
      </c>
      <c r="H22" s="20">
        <v>0.0003506101164706041</v>
      </c>
      <c r="I22" s="19">
        <v>239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229</v>
      </c>
      <c r="D23" s="19">
        <v>87</v>
      </c>
      <c r="E23" s="20">
        <v>-0.030994034117515834</v>
      </c>
      <c r="F23" s="20">
        <v>0.13537117903930132</v>
      </c>
      <c r="G23" s="22">
        <v>-14.414139448214879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82</v>
      </c>
      <c r="D25" s="19">
        <v>17</v>
      </c>
      <c r="E25" s="20">
        <v>-0.05628574959703182</v>
      </c>
      <c r="F25" s="20">
        <v>0.2682926829268293</v>
      </c>
      <c r="G25" s="22">
        <v>-7.0982512834798746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734</v>
      </c>
      <c r="D48" s="19">
        <v>109</v>
      </c>
      <c r="E48" s="20">
        <v>-0.03680210298894767</v>
      </c>
      <c r="F48" s="20">
        <v>0.23841961852861035</v>
      </c>
      <c r="G48" s="22">
        <v>-16.37431967537291</v>
      </c>
      <c r="H48" s="20">
        <v>0.005932602436400771</v>
      </c>
      <c r="I48" s="19">
        <v>468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354</v>
      </c>
      <c r="D49" s="19">
        <v>41</v>
      </c>
      <c r="E49" s="20">
        <v>-0.034499677616087326</v>
      </c>
      <c r="F49" s="20">
        <v>0.24858757062146894</v>
      </c>
      <c r="G49" s="22">
        <v>-9.33806049611644</v>
      </c>
      <c r="H49" s="20">
        <v>0.006375166040511836</v>
      </c>
      <c r="I49" s="19">
        <v>235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316</v>
      </c>
      <c r="D50" s="19">
        <v>89</v>
      </c>
      <c r="E50" s="20">
        <v>-0.019658337963236603</v>
      </c>
      <c r="F50" s="20">
        <v>0.4208860759493671</v>
      </c>
      <c r="G50" s="22">
        <v>-2.5000961599013936</v>
      </c>
      <c r="H50" s="20">
        <v>0.02309666771051209</v>
      </c>
      <c r="I50" s="19">
        <v>164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-0.03688235097314331</v>
      </c>
      <c r="F51" s="20">
        <v>0.265625</v>
      </c>
      <c r="G51" s="22">
        <v>-1.7245347997448484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1404</v>
      </c>
      <c r="D56" s="19">
        <v>141</v>
      </c>
      <c r="E56" s="20">
        <v>-0.032763831598318596</v>
      </c>
      <c r="F56" s="20">
        <v>0.28347578347578345</v>
      </c>
      <c r="G56" s="22">
        <v>-11.69068393250939</v>
      </c>
      <c r="H56" s="20">
        <v>0.008239551460897965</v>
      </c>
      <c r="I56" s="19">
        <v>836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64</v>
      </c>
      <c r="D57" s="19">
        <v>52</v>
      </c>
      <c r="E57" s="20">
        <v>-0.028089299446986342</v>
      </c>
      <c r="F57" s="20">
        <v>0.234375</v>
      </c>
      <c r="G57" s="22">
        <v>-3.2155349002498825</v>
      </c>
      <c r="H57" s="20">
        <v>0.004408401083162416</v>
      </c>
      <c r="I57" s="19">
        <v>51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Serie A</t>
        </is>
      </c>
      <c r="B63" s="18"/>
      <c r="C63" s="19">
        <v>285</v>
      </c>
      <c r="D63" s="19">
        <v>25</v>
      </c>
      <c r="E63" s="20">
        <v>-0.02773684796979569</v>
      </c>
      <c r="F63" s="20">
        <v>0.3192982456140351</v>
      </c>
      <c r="G63" s="22">
        <v>-4.109374292536526</v>
      </c>
      <c r="H63" s="20">
        <v>0.012073137180452094</v>
      </c>
      <c r="I63" s="19">
        <v>189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221</v>
      </c>
      <c r="D64" s="19">
        <v>17</v>
      </c>
      <c r="E64" s="20">
        <v>-0.033595887547028996</v>
      </c>
      <c r="F64" s="20">
        <v>0.248868778280543</v>
      </c>
      <c r="G64" s="22">
        <v>-8.03789509807613</v>
      </c>
      <c r="H64" s="20">
        <v>0.0034362920469933472</v>
      </c>
      <c r="I64" s="19">
        <v>137</v>
      </c>
      <c r="J64" s="18" t="inlineStr">
        <is>
          <t>Small sample</t>
        </is>
      </c>
    </row>
    <row r="65" ht="30" customHeight="1">
      <c r="A65" s="18" t="inlineStr">
        <is>
          <t>Bundesliga</t>
        </is>
      </c>
      <c r="B65" s="18"/>
      <c r="C65" s="19">
        <v>206</v>
      </c>
      <c r="D65" s="19">
        <v>16</v>
      </c>
      <c r="E65" s="20">
        <v>-0.03417691477215487</v>
      </c>
      <c r="F65" s="20">
        <v>0.2766990291262136</v>
      </c>
      <c r="G65" s="22">
        <v>-6.28294087592758</v>
      </c>
      <c r="H65" s="20">
        <v>0.011464541483792197</v>
      </c>
      <c r="I65" s="19">
        <v>127</v>
      </c>
      <c r="J65" s="18" t="inlineStr">
        <is>
          <t>Small sample</t>
        </is>
      </c>
    </row>
    <row r="66" ht="30" customHeight="1">
      <c r="A66" s="18" t="inlineStr">
        <is>
          <t>Premier League</t>
        </is>
      </c>
      <c r="B66" s="18"/>
      <c r="C66" s="19">
        <v>203</v>
      </c>
      <c r="D66" s="19">
        <v>18</v>
      </c>
      <c r="E66" s="20">
        <v>-0.033305555712984866</v>
      </c>
      <c r="F66" s="20">
        <v>0.22167487684729065</v>
      </c>
      <c r="G66" s="22">
        <v>-4.17600968935532</v>
      </c>
      <c r="H66" s="20">
        <v>0.0059867969616587986</v>
      </c>
      <c r="I66" s="19">
        <v>112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