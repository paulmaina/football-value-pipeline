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IF(COUNT(Predictions!H6:H115)=0,"n.a.",AVERAGE(Predictions!H6:H115))</f>
        <v>0.5925925925925926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IF(COUNT(Predictions!I6:I115)=0,"n.a.",AVERAGE(Predictions!I6:I115))</f>
        <v>0.6023758366666667</v>
      </c>
      <c r="C17" s="18"/>
      <c r="D17" s="18" t="inlineStr">
        <is>
          <t>Over 1.5</t>
        </is>
      </c>
      <c r="E17" s="18">
        <f>COUNT(Predictions!J6:J115)</f>
        <v>27</v>
      </c>
      <c r="F17" s="20">
        <f>IF(E17=0,"n.a.",AVERAGE(Predictions!J6:J115))</f>
        <v>0.9259259259259259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COUNT(Predictions!K6:K115)</f>
        <v>27</v>
      </c>
      <c r="F18" s="20">
        <f>IF(E18=0,"n.a.",AVERAGE(Predictions!K6:K115))</f>
        <v>0.5925925925925926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COUNT(Predictions!L6:L115)</f>
        <v>27</v>
      </c>
      <c r="F19" s="20">
        <f>IF(E19=0,"n.a.",AVERAGE(Predictions!L6:L115))</f>
        <v>0.5185185185185185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COUNT(Predictions!M6:M115)</f>
        <v>27</v>
      </c>
      <c r="F20" s="20">
        <f>IF(E20=0,"n.a.",AVERAGE(Predictions!M6:M115))</f>
        <v>0.5185185185185185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2026-10-14T18:20:19.338912+00:00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22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18:20:17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PENDING_KICKOFF_OR_FINAL_SCORE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PENDING_KICKOFF_OR_FINAL_SCORE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PENDING_KICKOFF_OR_FINAL_SCORE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PENDING_KICKOFF_OR_FINAL_SCORE</t>
        </is>
      </c>
      <c r="G37" s="18"/>
      <c r="H37" s="18"/>
      <c r="I37" s="21"/>
      <c r="J37" s="18"/>
      <c r="K37" s="18"/>
      <c r="L37" s="18"/>
      <c r="M37" s="18"/>
      <c r="N37" s="18" t="inlineStr">
        <is>
          <t>2026-W42</t>
        </is>
      </c>
      <c r="O37" s="18" t="inlineStr">
        <is>
          <t>2fd31d33722311d8e0155bb5eca6b3a310ac938b</t>
        </is>
      </c>
      <c r="P37" s="18"/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La Liga|levante|ath bilbao|2026-10-21</t>
        </is>
      </c>
      <c r="B93" s="23">
        <v>46316.75</v>
      </c>
      <c r="C93" s="18" t="inlineStr">
        <is>
          <t>La Liga</t>
        </is>
      </c>
      <c r="D93" s="18" t="inlineStr">
        <is>
          <t>Levante vs Athletic Bilbao</t>
        </is>
      </c>
      <c r="E93" s="18" t="inlineStr">
        <is>
          <t>72h-ucl-v3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4f7af2f470a0b5cdb7b8ae974c859f87b0236fc4</t>
        </is>
      </c>
      <c r="P93" s="18"/>
      <c r="Q93" s="18"/>
      <c r="R93" s="18"/>
    </row>
    <row r="94" ht="36" customHeight="1">
      <c r="A94" s="18" t="inlineStr">
        <is>
          <t>Bundesliga|vfb stuttgart|m gladbach|2026-10-23</t>
        </is>
      </c>
      <c r="B94" s="23">
        <v>46318.770833333336</v>
      </c>
      <c r="C94" s="18" t="inlineStr">
        <is>
          <t>Bundesliga</t>
        </is>
      </c>
      <c r="D94" s="18" t="inlineStr">
        <is>
          <t>VfB Stuttgart vs Borussia Monchengladbach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d3f12df5a2a20809c3ac84f9a31766ba965813e3</t>
        </is>
      </c>
      <c r="P94" s="18"/>
      <c r="Q94" s="18"/>
      <c r="R94" s="18"/>
    </row>
    <row r="95" ht="36" customHeight="1">
      <c r="A95" s="18" t="inlineStr">
        <is>
          <t>Ligue 1|brest|nice|2026-10-23</t>
        </is>
      </c>
      <c r="B95" s="23">
        <v>46318.78125</v>
      </c>
      <c r="C95" s="18" t="inlineStr">
        <is>
          <t>Ligue 1</t>
        </is>
      </c>
      <c r="D95" s="18" t="inlineStr">
        <is>
          <t>Brest vs Nice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d3f12df5a2a20809c3ac84f9a31766ba965813e3</t>
        </is>
      </c>
      <c r="P95" s="18"/>
      <c r="Q95" s="18"/>
      <c r="R95" s="18"/>
    </row>
    <row r="96" ht="36" customHeight="1">
      <c r="A96" s="18" t="inlineStr">
        <is>
          <t>Serie A|torino|monza|2026-10-23</t>
        </is>
      </c>
      <c r="B96" s="23">
        <v>46318.78125</v>
      </c>
      <c r="C96" s="18" t="inlineStr">
        <is>
          <t>Serie A</t>
        </is>
      </c>
      <c r="D96" s="18" t="inlineStr">
        <is>
          <t>Torino vs Monza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d3f12df5a2a20809c3ac84f9a31766ba965813e3</t>
        </is>
      </c>
      <c r="P96" s="18"/>
      <c r="Q96" s="18"/>
      <c r="R96" s="18"/>
    </row>
    <row r="97" ht="36" customHeight="1">
      <c r="A97" s="18" t="inlineStr">
        <is>
          <t>La Liga|alaves|malaga|2026-10-23</t>
        </is>
      </c>
      <c r="B97" s="23">
        <v>46318.791666666664</v>
      </c>
      <c r="C97" s="18" t="inlineStr">
        <is>
          <t>La Liga</t>
        </is>
      </c>
      <c r="D97" s="18" t="inlineStr">
        <is>
          <t>Alavés vs Málaga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d3f12df5a2a20809c3ac84f9a31766ba965813e3</t>
        </is>
      </c>
      <c r="P97" s="18"/>
      <c r="Q97" s="18"/>
      <c r="R97" s="18"/>
    </row>
    <row r="98" ht="36" customHeight="1">
      <c r="A98" s="18" t="inlineStr">
        <is>
          <t>Premier League|ipswich town|nott m forest|2026-10-23</t>
        </is>
      </c>
      <c r="B98" s="23">
        <v>46318.791666666664</v>
      </c>
      <c r="C98" s="18" t="inlineStr">
        <is>
          <t>Premier League</t>
        </is>
      </c>
      <c r="D98" s="18" t="inlineStr">
        <is>
          <t>Ipswich Town vs Nottingham Forest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d3f12df5a2a20809c3ac84f9a31766ba965813e3</t>
        </is>
      </c>
      <c r="P98" s="18"/>
      <c r="Q98" s="18"/>
      <c r="R98" s="18"/>
    </row>
    <row r="99" ht="36" customHeight="1">
      <c r="A99" s="18" t="inlineStr">
        <is>
          <t>Premier League|aston villa|man city|2026-10-24</t>
        </is>
      </c>
      <c r="B99" s="23">
        <v>46319.479166666664</v>
      </c>
      <c r="C99" s="18" t="inlineStr">
        <is>
          <t>Premier League</t>
        </is>
      </c>
      <c r="D99" s="18" t="inlineStr">
        <is>
          <t>Aston Villa vs Manchester City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54bb8a2c2c957dda77ef247b3e042f6a945bda8f</t>
        </is>
      </c>
      <c r="P99" s="18"/>
      <c r="Q99" s="18"/>
      <c r="R99" s="18"/>
    </row>
    <row r="100" ht="36" customHeight="1">
      <c r="A100" s="18" t="inlineStr">
        <is>
          <t>La Liga|rayo vallecano|elche|2026-10-24</t>
        </is>
      </c>
      <c r="B100" s="23">
        <v>46319.5</v>
      </c>
      <c r="C100" s="18" t="inlineStr">
        <is>
          <t>La Liga</t>
        </is>
      </c>
      <c r="D100" s="18" t="inlineStr">
        <is>
          <t>Rayo Vallecano vs Elche CF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54bb8a2c2c957dda77ef247b3e042f6a945bda8f</t>
        </is>
      </c>
      <c r="P100" s="18"/>
      <c r="Q100" s="18"/>
      <c r="R100" s="18"/>
    </row>
    <row r="101" ht="36" customHeight="1">
      <c r="A101" s="18" t="inlineStr">
        <is>
          <t>Serie A|cagliari|bologna|2026-10-24</t>
        </is>
      </c>
      <c r="B101" s="23">
        <v>46319.541666666664</v>
      </c>
      <c r="C101" s="18" t="inlineStr">
        <is>
          <t>Serie A</t>
        </is>
      </c>
      <c r="D101" s="18" t="inlineStr">
        <is>
          <t>Cagliari vs Bologna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54bb8a2c2c957dda77ef247b3e042f6a945bda8f</t>
        </is>
      </c>
      <c r="P101" s="18"/>
      <c r="Q101" s="18"/>
      <c r="R101" s="18"/>
    </row>
    <row r="102" ht="36" customHeight="1">
      <c r="A102" s="18" t="inlineStr">
        <is>
          <t>Serie A|como|sassuolo|2026-10-24</t>
        </is>
      </c>
      <c r="B102" s="23">
        <v>46319.541666666664</v>
      </c>
      <c r="C102" s="18" t="inlineStr">
        <is>
          <t>Serie A</t>
        </is>
      </c>
      <c r="D102" s="18" t="inlineStr">
        <is>
          <t>Como vs Sassuolo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54bb8a2c2c957dda77ef247b3e042f6a945bda8f</t>
        </is>
      </c>
      <c r="P102" s="18"/>
      <c r="Q102" s="18"/>
      <c r="R102" s="18"/>
    </row>
    <row r="103" ht="36" customHeight="1">
      <c r="A103" s="18" t="inlineStr">
        <is>
          <t>Bundesliga|1 koln|schalke|2026-10-24</t>
        </is>
      </c>
      <c r="B103" s="23">
        <v>46319.5625</v>
      </c>
      <c r="C103" s="18" t="inlineStr">
        <is>
          <t>Bundesliga</t>
        </is>
      </c>
      <c r="D103" s="18" t="inlineStr">
        <is>
          <t>1. FC Köln vs FC Schalke 04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54bb8a2c2c957dda77ef247b3e042f6a945bda8f</t>
        </is>
      </c>
      <c r="P103" s="18"/>
      <c r="Q103" s="18"/>
      <c r="R103" s="18"/>
    </row>
    <row r="104" ht="36" customHeight="1">
      <c r="A104" s="18" t="inlineStr">
        <is>
          <t>Bundesliga|augsburg|union berlin|2026-10-24</t>
        </is>
      </c>
      <c r="B104" s="23">
        <v>46319.5625</v>
      </c>
      <c r="C104" s="18" t="inlineStr">
        <is>
          <t>Bundesliga</t>
        </is>
      </c>
      <c r="D104" s="18" t="inlineStr">
        <is>
          <t>Augsburg vs Union Berlin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54bb8a2c2c957dda77ef247b3e042f6a945bda8f</t>
        </is>
      </c>
      <c r="P104" s="18"/>
      <c r="Q104" s="18"/>
      <c r="R104" s="18"/>
    </row>
    <row r="105" ht="36" customHeight="1">
      <c r="A105" s="18" t="inlineStr">
        <is>
          <t>Bundesliga|fsv mainz|werder bremen|2026-10-24</t>
        </is>
      </c>
      <c r="B105" s="23">
        <v>46319.5625</v>
      </c>
      <c r="C105" s="18" t="inlineStr">
        <is>
          <t>Bundesliga</t>
        </is>
      </c>
      <c r="D105" s="18" t="inlineStr">
        <is>
          <t>FSV Mainz 05 vs Werder Bremen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54bb8a2c2c957dda77ef247b3e042f6a945bda8f</t>
        </is>
      </c>
      <c r="P105" s="18"/>
      <c r="Q105" s="18"/>
      <c r="R105" s="18"/>
    </row>
    <row r="106" ht="36" customHeight="1">
      <c r="A106" s="18" t="inlineStr">
        <is>
          <t>Bundesliga|paderborn|hamburger|2026-10-24</t>
        </is>
      </c>
      <c r="B106" s="23">
        <v>46319.5625</v>
      </c>
      <c r="C106" s="18" t="inlineStr">
        <is>
          <t>Bundesliga</t>
        </is>
      </c>
      <c r="D106" s="18" t="inlineStr">
        <is>
          <t>SC Paderborn vs Hamburger SV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54bb8a2c2c957dda77ef247b3e042f6a945bda8f</t>
        </is>
      </c>
      <c r="P106" s="18"/>
      <c r="Q106" s="18"/>
      <c r="R106" s="18"/>
    </row>
    <row r="107" ht="36" customHeight="1">
      <c r="A107" s="18" t="inlineStr">
        <is>
          <t>Bundesliga|rb leipzig|elversberg|2026-10-24</t>
        </is>
      </c>
      <c r="B107" s="23">
        <v>46319.5625</v>
      </c>
      <c r="C107" s="18" t="inlineStr">
        <is>
          <t>Bundesliga</t>
        </is>
      </c>
      <c r="D107" s="18" t="inlineStr">
        <is>
          <t>RB Leipzig vs Elversberg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54bb8a2c2c957dda77ef247b3e042f6a945bda8f</t>
        </is>
      </c>
      <c r="P107" s="18"/>
      <c r="Q107" s="18"/>
      <c r="R107" s="18"/>
    </row>
    <row r="108" ht="36" customHeight="1">
      <c r="A108" s="18" t="inlineStr">
        <is>
          <t>Premier League|arsenal|everton|2026-10-24</t>
        </is>
      </c>
      <c r="B108" s="23">
        <v>46319.583333333336</v>
      </c>
      <c r="C108" s="18" t="inlineStr">
        <is>
          <t>Premier League</t>
        </is>
      </c>
      <c r="D108" s="18" t="inlineStr">
        <is>
          <t>Arsenal vs Everton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54bb8a2c2c957dda77ef247b3e042f6a945bda8f</t>
        </is>
      </c>
      <c r="P108" s="18"/>
      <c r="Q108" s="18"/>
      <c r="R108" s="18"/>
    </row>
    <row r="109" ht="36" customHeight="1">
      <c r="A109" s="18" t="inlineStr">
        <is>
          <t>Premier League|coventry city|fulham|2026-10-24</t>
        </is>
      </c>
      <c r="B109" s="23">
        <v>46319.583333333336</v>
      </c>
      <c r="C109" s="18" t="inlineStr">
        <is>
          <t>Premier League</t>
        </is>
      </c>
      <c r="D109" s="18" t="inlineStr">
        <is>
          <t>Coventry City vs Fulham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54bb8a2c2c957dda77ef247b3e042f6a945bda8f</t>
        </is>
      </c>
      <c r="P109" s="18"/>
      <c r="Q109" s="18"/>
      <c r="R109" s="18"/>
    </row>
    <row r="110" ht="36" customHeight="1">
      <c r="A110" s="18" t="inlineStr">
        <is>
          <t>La Liga|real racing santander|espanyol|2026-10-24</t>
        </is>
      </c>
      <c r="B110" s="23">
        <v>46319.59375</v>
      </c>
      <c r="C110" s="18" t="inlineStr">
        <is>
          <t>La Liga</t>
        </is>
      </c>
      <c r="D110" s="18" t="inlineStr">
        <is>
          <t>Real Racing Club de Santander vs Espanyol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54bb8a2c2c957dda77ef247b3e042f6a945bda8f</t>
        </is>
      </c>
      <c r="P110" s="18"/>
      <c r="Q110" s="18"/>
      <c r="R110" s="18"/>
    </row>
    <row r="111" ht="36" customHeight="1">
      <c r="A111" s="18" t="inlineStr">
        <is>
          <t>Ligue 1|toulouse|troyes|2026-10-24</t>
        </is>
      </c>
      <c r="B111" s="23">
        <v>46319.635416666664</v>
      </c>
      <c r="C111" s="18" t="inlineStr">
        <is>
          <t>Ligue 1</t>
        </is>
      </c>
      <c r="D111" s="18" t="inlineStr">
        <is>
          <t>Toulouse vs Troyes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54bb8a2c2c957dda77ef247b3e042f6a945bda8f</t>
        </is>
      </c>
      <c r="P111" s="18"/>
      <c r="Q111" s="18"/>
      <c r="R111" s="18"/>
    </row>
    <row r="112" ht="36" customHeight="1">
      <c r="A112" s="18" t="inlineStr">
        <is>
          <t>Serie A|napoli|as roma|2026-10-24</t>
        </is>
      </c>
      <c r="B112" s="23">
        <v>46319.666666666664</v>
      </c>
      <c r="C112" s="18" t="inlineStr">
        <is>
          <t>Serie A</t>
        </is>
      </c>
      <c r="D112" s="18" t="inlineStr">
        <is>
          <t>Napoli vs AS Roma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54bb8a2c2c957dda77ef247b3e042f6a945bda8f</t>
        </is>
      </c>
      <c r="P112" s="18"/>
      <c r="Q112" s="18"/>
      <c r="R112" s="18"/>
    </row>
    <row r="113" ht="36" customHeight="1">
      <c r="A113" s="18" t="inlineStr">
        <is>
          <t>Bundesliga|borussia dortmund|eintracht frankfurt|2026-10-24</t>
        </is>
      </c>
      <c r="B113" s="23">
        <v>46319.6875</v>
      </c>
      <c r="C113" s="18" t="inlineStr">
        <is>
          <t>Bundesliga</t>
        </is>
      </c>
      <c r="D113" s="18" t="inlineStr">
        <is>
          <t>Borussia Dortmund vs Eintracht Frankfurt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54bb8a2c2c957dda77ef247b3e042f6a945bda8f</t>
        </is>
      </c>
      <c r="P113" s="18"/>
      <c r="Q113" s="18"/>
      <c r="R113" s="18"/>
    </row>
    <row r="114" ht="36" customHeight="1">
      <c r="A114" s="18" t="inlineStr">
        <is>
          <t>La Liga|valencia|villarreal|2026-10-24</t>
        </is>
      </c>
      <c r="B114" s="23">
        <v>46319.6875</v>
      </c>
      <c r="C114" s="18" t="inlineStr">
        <is>
          <t>La Liga</t>
        </is>
      </c>
      <c r="D114" s="18" t="inlineStr">
        <is>
          <t>Valencia vs Villarreal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54bb8a2c2c957dda77ef247b3e042f6a945bda8f</t>
        </is>
      </c>
      <c r="P114" s="18"/>
      <c r="Q114" s="18"/>
      <c r="R114" s="18"/>
    </row>
    <row r="115" ht="36" customHeight="1">
      <c r="A115" s="18" t="inlineStr">
        <is>
          <t>Premier League|chelsea|tottenham|2026-10-24</t>
        </is>
      </c>
      <c r="B115" s="23">
        <v>46319.6875</v>
      </c>
      <c r="C115" s="18" t="inlineStr">
        <is>
          <t>Premier League</t>
        </is>
      </c>
      <c r="D115" s="18" t="inlineStr">
        <is>
          <t>Chelsea vs Tottenham Hotspur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54bb8a2c2c957dda77ef247b3e042f6a945bda8f</t>
        </is>
      </c>
      <c r="P115" s="18"/>
      <c r="Q115" s="18"/>
      <c r="R1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27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3 more observations; 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18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12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3">
      <c r="A13" s="27" t="inlineStr">
        <is>
          <t>The original four sidecars count observations, not necessarily independent fixtures. Do not add their sample counts together.</t>
        </is>
      </c>
    </row>
    <row r="14">
      <c r="A14" s="27" t="inlineStr">
        <is>
          <t>Coverage and time gates must also pass. Reaching a sample count alone does not make a candidate ready.</t>
        </is>
      </c>
    </row>
    <row r="16">
      <c r="A16" s="31" t="inlineStr">
        <is>
          <t>Back to dashboard</t>
        </is>
      </c>
    </row>
  </sheetData>
  <autoFilter ref="A5:J11"/>
  <mergeCells count="4">
    <mergeCell ref="A2:J2"/>
    <mergeCell ref="A4:J4"/>
    <mergeCell ref="A13:J13"/>
    <mergeCell ref="A14:J14"/>
  </mergeCells>
  <conditionalFormatting sqref="B6:B11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6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2026-10-14T18:20:19.338912+00:00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2026-10-13</t>
        </is>
      </c>
      <c r="C14" s="19">
        <v>530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11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0</v>
      </c>
      <c r="C20" s="19">
        <v>11</v>
      </c>
      <c r="D20" s="19">
        <v>10</v>
      </c>
      <c r="E20" s="20" t="inlineStr">
        <is>
          <t>Unavailable</t>
        </is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5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5</v>
      </c>
    </row>
    <row r="32" ht="44" customHeight="1">
      <c r="A32" s="18" t="inlineStr">
        <is>
          <t>Bookmakers: 1xBet</t>
        </is>
      </c>
      <c r="B32" s="19">
        <v>5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Pinnacle totals anchor</t>
        </is>
      </c>
      <c r="B48" s="18" t="inlineStr">
        <is>
          <t>Captured</t>
        </is>
      </c>
      <c r="C48" s="19">
        <v>2</v>
      </c>
    </row>
    <row r="49" ht="44" customHeight="1">
      <c r="A49" s="18" t="inlineStr">
        <is>
          <t>Pinnacle totals anchor</t>
        </is>
      </c>
      <c r="B49" s="18" t="inlineStr">
        <is>
          <t>Legacy not recorded</t>
        </is>
      </c>
      <c r="C49" s="19">
        <v>21</v>
      </c>
    </row>
    <row r="52">
      <c r="A52" s="26" t="inlineStr">
        <is>
          <t>EV sensitivity results</t>
        </is>
      </c>
    </row>
    <row r="53" ht="34" customHeight="1">
      <c r="A53" s="24" t="inlineStr">
        <is>
          <t>EV floor</t>
        </is>
      </c>
      <c r="B53" s="24" t="inlineStr">
        <is>
          <t>Tier</t>
        </is>
      </c>
      <c r="C53" s="24" t="inlineStr">
        <is>
          <t>Selected</t>
        </is>
      </c>
      <c r="D53" s="24" t="inlineStr">
        <is>
          <t>Settled</t>
        </is>
      </c>
      <c r="E53" s="24" t="inlineStr">
        <is>
          <t>Simulated ROI</t>
        </is>
      </c>
      <c r="F53" s="24" t="inlineStr">
        <is>
          <t>Drawdown (units)</t>
        </is>
      </c>
    </row>
    <row r="54" ht="44" customHeight="1">
      <c r="A54" s="20">
        <v>0.015</v>
      </c>
      <c r="B54" s="18" t="inlineStr">
        <is>
          <t>ALL</t>
        </is>
      </c>
      <c r="C54" s="19">
        <v>7</v>
      </c>
      <c r="D54" s="19">
        <v>1</v>
      </c>
      <c r="E54" s="20">
        <v>0.17999999999999994</v>
      </c>
      <c r="F54" s="22">
        <v>0.0</v>
      </c>
    </row>
    <row r="55" ht="44" customHeight="1">
      <c r="A55" s="20">
        <v>0.015</v>
      </c>
      <c r="B55" s="18" t="inlineStr">
        <is>
          <t>STRICT</t>
        </is>
      </c>
      <c r="C55" s="19">
        <v>6</v>
      </c>
      <c r="D55" s="19">
        <v>1</v>
      </c>
      <c r="E55" s="20">
        <v>0.17999999999999994</v>
      </c>
      <c r="F55" s="22">
        <v>0.0</v>
      </c>
    </row>
    <row r="56" ht="44" customHeight="1">
      <c r="A56" s="20">
        <v>0.015</v>
      </c>
      <c r="B56" s="18" t="inlineStr">
        <is>
          <t>PROVISIONAL</t>
        </is>
      </c>
      <c r="C56" s="19">
        <v>1</v>
      </c>
      <c r="D56" s="19">
        <v>0</v>
      </c>
      <c r="E56" s="20"/>
      <c r="F56" s="22"/>
    </row>
    <row r="57" ht="44" customHeight="1">
      <c r="A57" s="20">
        <v>0.03</v>
      </c>
      <c r="B57" s="18" t="inlineStr">
        <is>
          <t>ALL</t>
        </is>
      </c>
      <c r="C57" s="19">
        <v>7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0.03</v>
      </c>
      <c r="B58" s="18" t="inlineStr">
        <is>
          <t>STRICT</t>
        </is>
      </c>
      <c r="C58" s="19">
        <v>6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0.03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0.05</v>
      </c>
      <c r="B60" s="18" t="inlineStr">
        <is>
          <t>ALL</t>
        </is>
      </c>
      <c r="C60" s="19">
        <v>6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0.05</v>
      </c>
      <c r="B61" s="18" t="inlineStr">
        <is>
          <t>STRICT</t>
        </is>
      </c>
      <c r="C61" s="19">
        <v>5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5">
      <c r="A65" s="26" t="inlineStr">
        <is>
          <t>Daily review observations</t>
        </is>
      </c>
    </row>
    <row r="66" ht="34" customHeight="1">
      <c r="A66" s="24" t="inlineStr">
        <is>
          <t>Review date</t>
        </is>
      </c>
      <c r="B66" s="24" t="inlineStr">
        <is>
          <t>Graded</t>
        </is>
      </c>
      <c r="C66" s="24" t="inlineStr">
        <is>
          <t>Win rate</t>
        </is>
      </c>
      <c r="D66" s="24" t="inlineStr">
        <is>
          <t>Simulated ROI</t>
        </is>
      </c>
      <c r="E66" s="24" t="inlineStr">
        <is>
          <t>Brier</t>
        </is>
      </c>
    </row>
    <row r="67" ht="44" customHeight="1">
      <c r="A67" s="18" t="inlineStr">
        <is>
          <t>2026-10-13</t>
        </is>
      </c>
      <c r="B67" s="19">
        <v>9</v>
      </c>
      <c r="C67" s="20">
        <v>0.666667</v>
      </c>
      <c r="D67" s="20">
        <v>-0.096667</v>
      </c>
      <c r="E67" s="21">
        <v>0.250532</v>
      </c>
    </row>
    <row r="68" ht="44" customHeight="1">
      <c r="A68" s="18" t="inlineStr">
        <is>
          <t>2026-10-14</t>
        </is>
      </c>
      <c r="B68" s="19">
        <v>9</v>
      </c>
      <c r="C68" s="20">
        <v>0.666667</v>
      </c>
      <c r="D68" s="20">
        <v>-0.096667</v>
      </c>
      <c r="E68" s="21">
        <v>0.250532</v>
      </c>
    </row>
    <row r="71">
      <c r="A71" s="26" t="inlineStr">
        <is>
          <t>Dependency versions</t>
        </is>
      </c>
    </row>
    <row r="72" ht="34" customHeight="1">
      <c r="A72" s="24" t="inlineStr">
        <is>
          <t>Dependency</t>
        </is>
      </c>
      <c r="B72" s="24" t="inlineStr">
        <is>
          <t>Version</t>
        </is>
      </c>
    </row>
    <row r="73" ht="44" customHeight="1">
      <c r="A73" s="18" t="inlineStr">
        <is>
          <t>python</t>
        </is>
      </c>
      <c r="B73" s="18" t="inlineStr">
        <is>
          <t>3.12.15</t>
        </is>
      </c>
    </row>
    <row r="74" ht="44" customHeight="1">
      <c r="A74" s="18" t="inlineStr">
        <is>
          <t>numpy</t>
        </is>
      </c>
      <c r="B74" s="18" t="inlineStr">
        <is>
          <t>2.5.4</t>
        </is>
      </c>
    </row>
    <row r="75" ht="44" customHeight="1">
      <c r="A75" s="18" t="inlineStr">
        <is>
          <t>pandas</t>
        </is>
      </c>
      <c r="B75" s="18" t="inlineStr">
        <is>
          <t>3.0.6</t>
        </is>
      </c>
    </row>
    <row r="76" ht="44" customHeight="1">
      <c r="A76" s="18" t="inlineStr">
        <is>
          <t>scipy</t>
        </is>
      </c>
      <c r="B76" s="18" t="inlineStr">
        <is>
          <t>1.18.1</t>
        </is>
      </c>
    </row>
    <row r="77" ht="44" customHeight="1">
      <c r="A77" s="18" t="inlineStr">
        <is>
          <t>requests</t>
        </is>
      </c>
      <c r="B77" s="18" t="inlineStr">
        <is>
          <t>2.34.2</t>
        </is>
      </c>
    </row>
    <row r="78" ht="44" customHeight="1">
      <c r="A78" s="18" t="inlineStr">
        <is>
          <t>python-dotenv</t>
        </is>
      </c>
      <c r="B78" s="18" t="inlineStr">
        <is>
          <t>1.2.4</t>
        </is>
      </c>
    </row>
    <row r="79" ht="44" customHeight="1">
      <c r="A79" s="18" t="inlineStr">
        <is>
          <t>coverage</t>
        </is>
      </c>
      <c r="B79" s="18" t="inlineStr">
        <is>
          <t>7.16.2</t>
        </is>
      </c>
    </row>
    <row r="80" ht="44" customHeight="1">
      <c r="A80" s="18" t="inlineStr">
        <is>
          <t>PyYAML</t>
        </is>
      </c>
      <c r="B80" s="18" t="inlineStr">
        <is>
          <t>6.0.3</t>
        </is>
      </c>
    </row>
    <row r="83">
      <c r="A8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2:F52"/>
    <mergeCell ref="A65:F65"/>
    <mergeCell ref="A71:F7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hyperlinks>
    <hyperlink ref="A8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</row>
  </sheetData>
  <autoFilter ref="A5:H28"/>
  <mergeCells count="2">
    <mergeCell ref="A2:H2"/>
    <mergeCell ref="A4:H4"/>
  </mergeCells>
</worksheet>
</file>