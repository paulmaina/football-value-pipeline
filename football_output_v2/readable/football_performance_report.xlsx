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CLV" sheetId="13" ns1:id="rIdReadable13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Relationship Id="rIdReadable13" Type="http://schemas.openxmlformats.org/officeDocument/2006/relationships/worksheet" Target="worksheets/sheet13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Trends'!$B$6:$B$9</f>
              <numCache>
                <formatCode>0</formatCode>
                <ptCount val="4"/>
                <pt idx="0">
                  <v>4.0</v>
                </pt>
                <pt idx="1">
                  <v>22.0</v>
                </pt>
                <pt idx="2">
                  <v>34.0</v>
                </pt>
                <pt idx="3">
                  <v>1.0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Trends'!$A$6:$A$9</f>
              <strCache>
                <ptCount val="4"/>
                <pt idx="0">
                  <v>2026-W41</v>
                </pt>
                <pt idx="1">
                  <v>2026-W42</v>
                </pt>
                <pt idx="2">
                  <v>2026-W43</v>
                </pt>
                <pt idx="3">
                  <v>2026-W44</v>
                </pt>
              </strCache>
            </strRef>
          </cat>
          <val>
            <numRef>
              <f>'Weekly Trends'!$E$6:$E$9</f>
              <numCache>
                <formatCode>0.00</formatCode>
                <ptCount val="4"/>
                <pt idx="0">
                  <v>-1.48</v>
                </pt>
                <pt idx="1">
                  <v>2.809999999999999</v>
                </pt>
                <pt idx="2">
                  <v>3.8799999999999986</v>
                </pt>
                <pt idx="3">
                  <v>3.8799999999999986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0.8235294117647058</c:v>
                </c:pt>
                <c:pt idx="1">
                  <c:v>0.6666666666666666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Plan'!$A$10:$A$83</c:f>
              <c:strCache>
                <c:ptCount val="74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2026-10-19T18:45:00+00:00</c:v>
                </c:pt>
                <c:pt idx="31">
                  <c:v>2026-10-19T19:00:00+00:00</c:v>
                </c:pt>
                <c:pt idx="32">
                  <c:v>2026-10-19T19:00:00+00:00</c:v>
                </c:pt>
                <c:pt idx="33">
                  <c:v>2026-10-20T16:45:00+00:00</c:v>
                </c:pt>
                <c:pt idx="34">
                  <c:v>2026-10-20T16:45:00+00:00</c:v>
                </c:pt>
                <c:pt idx="35">
                  <c:v>2026-10-20T19:00:00+00:00</c:v>
                </c:pt>
                <c:pt idx="36">
                  <c:v>2026-10-20T19:00:00+00:00</c:v>
                </c:pt>
                <c:pt idx="37">
                  <c:v>2026-10-20T19:00:00+00:00</c:v>
                </c:pt>
                <c:pt idx="38">
                  <c:v>2026-10-20T19:00:00+00:00</c:v>
                </c:pt>
                <c:pt idx="39">
                  <c:v>2026-10-20T19:00:00+00:00</c:v>
                </c:pt>
                <c:pt idx="40">
                  <c:v>2026-10-20T19:00:00+00:00</c:v>
                </c:pt>
                <c:pt idx="41">
                  <c:v>2026-10-20T19:00:00+00:00</c:v>
                </c:pt>
                <c:pt idx="42">
                  <c:v>2026-10-23T18:30:00+00:00</c:v>
                </c:pt>
                <c:pt idx="43">
                  <c:v>2026-10-23T19:00:00+00:00</c:v>
                </c:pt>
                <c:pt idx="44">
                  <c:v>2026-10-24T11:30:00+00:00</c:v>
                </c:pt>
                <c:pt idx="45">
                  <c:v>2026-10-24T12:00:00+00:00</c:v>
                </c:pt>
                <c:pt idx="46">
                  <c:v>2026-10-24T13:00:00+00:00</c:v>
                </c:pt>
                <c:pt idx="47">
                  <c:v>2026-10-24T13:30:00+00:00</c:v>
                </c:pt>
                <c:pt idx="48">
                  <c:v>2026-10-24T13:30:00+00:00</c:v>
                </c:pt>
                <c:pt idx="49">
                  <c:v>2026-10-24T18:45:00+00:00</c:v>
                </c:pt>
                <c:pt idx="50">
                  <c:v>2026-10-25T11:30:00+00:00</c:v>
                </c:pt>
                <c:pt idx="51">
                  <c:v>2026-10-25T13:00:00+00:00</c:v>
                </c:pt>
                <c:pt idx="52">
                  <c:v>2026-10-25T13:30:00+00:00</c:v>
                </c:pt>
                <c:pt idx="53">
                  <c:v>2026-10-25T13:30:00+00:00</c:v>
                </c:pt>
                <c:pt idx="54">
                  <c:v>2026-10-25T14:00:00+00:00</c:v>
                </c:pt>
                <c:pt idx="55">
                  <c:v>2026-10-25T14:00:00+00:00</c:v>
                </c:pt>
                <c:pt idx="56">
                  <c:v>2026-10-25T14:00:00+00:00</c:v>
                </c:pt>
                <c:pt idx="57">
                  <c:v>2026-10-25T14:00:00+00:00</c:v>
                </c:pt>
                <c:pt idx="58">
                  <c:v>2026-10-25T14:30:00+00:00</c:v>
                </c:pt>
                <c:pt idx="59">
                  <c:v>2026-10-25T15:15:00+00:00</c:v>
                </c:pt>
                <c:pt idx="60">
                  <c:v>2026-10-25T15:30:00+00:00</c:v>
                </c:pt>
                <c:pt idx="61">
                  <c:v>2026-10-25T15:45:00+00:00</c:v>
                </c:pt>
                <c:pt idx="62">
                  <c:v>2026-10-25T16:15:00+00:00</c:v>
                </c:pt>
                <c:pt idx="63">
                  <c:v>2026-10-25T16:15:00+00:00</c:v>
                </c:pt>
                <c:pt idx="64">
                  <c:v>2026-10-25T16:30:00+00:00</c:v>
                </c:pt>
                <c:pt idx="65">
                  <c:v>2026-10-25T17:00:00+00:00</c:v>
                </c:pt>
                <c:pt idx="66">
                  <c:v>2026-10-25T17:30:00+00:00</c:v>
                </c:pt>
                <c:pt idx="67">
                  <c:v>2026-10-25T18:00:00+00:00</c:v>
                </c:pt>
                <c:pt idx="68">
                  <c:v>2026-10-25T18:00:00+00:00</c:v>
                </c:pt>
                <c:pt idx="69">
                  <c:v>2026-10-25T19:45:00+00:00</c:v>
                </c:pt>
                <c:pt idx="70">
                  <c:v>2026-10-26T18:45:00+00:00</c:v>
                </c:pt>
                <c:pt idx="71">
                  <c:v>2026-10-26T19:30:00+00:00</c:v>
                </c:pt>
                <c:pt idx="72">
                  <c:v>2026-10-27T19:45:00+00:00</c:v>
                </c:pt>
                <c:pt idx="73">
                  <c:v>2026-10-29T19:45:00+00:00</c:v>
                </c:pt>
              </c:strCache>
            </c:strRef>
          </c:cat>
          <c:val>
            <c:numRef>
              <c:f>'ROI Plan'!$F$10:$F$83</c:f>
              <c:numCache>
                <c:formatCode>General</c:formatCode>
                <c:ptCount val="74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2.4299999999999997</c:v>
                </c:pt>
                <c:pt idx="22">
                  <c:v>1.4299999999999997</c:v>
                </c:pt>
                <c:pt idx="23">
                  <c:v>1.6999999999999997</c:v>
                </c:pt>
                <c:pt idx="24">
                  <c:v>1.8599999999999997</c:v>
                </c:pt>
                <c:pt idx="25">
                  <c:v>2.1399999999999997</c:v>
                </c:pt>
                <c:pt idx="26">
                  <c:v>2.5199999999999996</c:v>
                </c:pt>
                <c:pt idx="27">
                  <c:v>2.5199999999999996</c:v>
                </c:pt>
                <c:pt idx="28">
                  <c:v>2.8099999999999996</c:v>
                </c:pt>
                <c:pt idx="29">
                  <c:v>1.8099999999999996</c:v>
                </c:pt>
                <c:pt idx="30">
                  <c:v>0.8099999999999996</c:v>
                </c:pt>
                <c:pt idx="31">
                  <c:v>1.3399999999999996</c:v>
                </c:pt>
                <c:pt idx="32">
                  <c:v>0.33999999999999964</c:v>
                </c:pt>
                <c:pt idx="33">
                  <c:v>1.6199999999999994</c:v>
                </c:pt>
                <c:pt idx="34">
                  <c:v>1.7699999999999994</c:v>
                </c:pt>
                <c:pt idx="35">
                  <c:v>0.7699999999999994</c:v>
                </c:pt>
                <c:pt idx="36">
                  <c:v>0.9299999999999993</c:v>
                </c:pt>
                <c:pt idx="37">
                  <c:v>0.9299999999999993</c:v>
                </c:pt>
                <c:pt idx="38">
                  <c:v>1.1599999999999993</c:v>
                </c:pt>
                <c:pt idx="39">
                  <c:v>1.1999999999999993</c:v>
                </c:pt>
                <c:pt idx="40">
                  <c:v>1.4299999999999993</c:v>
                </c:pt>
                <c:pt idx="41">
                  <c:v>0.42999999999999927</c:v>
                </c:pt>
                <c:pt idx="42">
                  <c:v>1.0499999999999994</c:v>
                </c:pt>
                <c:pt idx="43">
                  <c:v>1.2499999999999993</c:v>
                </c:pt>
                <c:pt idx="44">
                  <c:v>1.5099999999999993</c:v>
                </c:pt>
                <c:pt idx="45">
                  <c:v>2.0899999999999994</c:v>
                </c:pt>
                <c:pt idx="46">
                  <c:v>2.0899999999999994</c:v>
                </c:pt>
                <c:pt idx="47">
                  <c:v>2.2499999999999996</c:v>
                </c:pt>
                <c:pt idx="48">
                  <c:v>2.4099999999999997</c:v>
                </c:pt>
                <c:pt idx="49">
                  <c:v>2.8</c:v>
                </c:pt>
                <c:pt idx="50">
                  <c:v>2.9</c:v>
                </c:pt>
                <c:pt idx="51">
                  <c:v>2.9</c:v>
                </c:pt>
                <c:pt idx="52">
                  <c:v>2.9</c:v>
                </c:pt>
                <c:pt idx="53">
                  <c:v>1.9</c:v>
                </c:pt>
                <c:pt idx="54">
                  <c:v>2.15</c:v>
                </c:pt>
                <c:pt idx="55">
                  <c:v>3.52</c:v>
                </c:pt>
                <c:pt idx="56">
                  <c:v>4.12</c:v>
                </c:pt>
                <c:pt idx="57">
                  <c:v>3.12</c:v>
                </c:pt>
                <c:pt idx="58">
                  <c:v>2.12</c:v>
                </c:pt>
                <c:pt idx="59">
                  <c:v>2.12</c:v>
                </c:pt>
                <c:pt idx="60">
                  <c:v>2.12</c:v>
                </c:pt>
                <c:pt idx="61">
                  <c:v>2.47</c:v>
                </c:pt>
                <c:pt idx="62">
                  <c:v>2.63</c:v>
                </c:pt>
                <c:pt idx="63">
                  <c:v>1.63</c:v>
                </c:pt>
                <c:pt idx="64">
                  <c:v>1.8099999999999998</c:v>
                </c:pt>
                <c:pt idx="65">
                  <c:v>2.34</c:v>
                </c:pt>
                <c:pt idx="66">
                  <c:v>2.5599999999999996</c:v>
                </c:pt>
                <c:pt idx="67">
                  <c:v>2.5599999999999996</c:v>
                </c:pt>
                <c:pt idx="68">
                  <c:v>3.6499999999999995</c:v>
                </c:pt>
                <c:pt idx="69">
                  <c:v>3.8799999999999994</c:v>
                </c:pt>
                <c:pt idx="70">
                  <c:v>3.8799999999999994</c:v>
                </c:pt>
                <c:pt idx="71">
                  <c:v>3.8799999999999994</c:v>
                </c:pt>
                <c:pt idx="72">
                  <c:v>3.8799999999999994</c:v>
                </c:pt>
                <c:pt idx="73">
                  <c:v>3.8799999999999994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0">
                  <c:v>0.44746011527469004</c:v>
                </c:pt>
                <c:pt idx="1">
                  <c:v>0.566643476006385</c:v>
                </c:pt>
                <c:pt idx="2">
                  <c:v>0.6435167729572643</c:v>
                </c:pt>
                <c:pt idx="3">
                  <c:v>0.7615160521306804</c:v>
                </c:pt>
                <c:pt idx="4">
                  <c:v>0.8395330613191175</c:v>
                </c:pt>
                <c:pt idx="5">
                  <c:v>0.9276650422976989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0">
                  <c:v>0.4</c:v>
                </c:pt>
                <c:pt idx="1">
                  <c:v>0.5</c:v>
                </c:pt>
                <c:pt idx="2">
                  <c:v>0.5555555555555556</c:v>
                </c:pt>
                <c:pt idx="3">
                  <c:v>0.8181818181818182</c:v>
                </c:pt>
                <c:pt idx="4">
                  <c:v>0.8947368421052632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13</row>
      <rowOff>0</rowOff>
    </from>
    <to>
      <col>8</col>
      <colOff>0</colOff>
      <row>29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31</row>
      <rowOff>0</rowOff>
    </from>
    <to>
      <col>8</col>
      <colOff>0</colOff>
      <row>47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83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49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79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256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74</v>
      </c>
      <c r="C7" s="18"/>
      <c r="D7" s="18" t="str">
        <v>STRICT</v>
      </c>
      <c r="E7" s="18">
        <f>Breakdowns!D7</f>
        <v>34</v>
      </c>
      <c r="F7" s="20">
        <f>Breakdowns!H7</f>
        <v>0.8235294117647058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61</v>
      </c>
      <c r="C8" s="18"/>
      <c r="D8" s="18" t="str">
        <v>PROVISIONAL</v>
      </c>
      <c r="E8" s="18">
        <f>Breakdowns!D8</f>
        <v>27</v>
      </c>
      <c r="F8" s="20">
        <f>Breakdowns!H8</f>
        <v>0.6666666666666666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46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14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13</v>
      </c>
      <c r="C11" s="18"/>
      <c r="D11" s="28" t="str">
        <f>IF(B8=0,"Awaiting verified results",IF(B8&lt;30,"Early sample: continue forward testing","Review calibration and ROI by segment"))</f>
        <v>Review calibration and ROI by segment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0.7540983606557377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0.06360655737704916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3.879999999999999</v>
      </c>
      <c r="C14" s="18"/>
      <c r="D14" s="18" t="inlineStr">
        <is>
          <t>61 settled; 13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0.1514546029633793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IF(COUNT(Predictions!H6:H256)=0,"n.a.",AVERAGE(Predictions!H6:H256))</f>
        <v>0.5739644970414202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IF(COUNT(Predictions!I6:I256)=0,"n.a.",AVERAGE(Predictions!I6:I256))</f>
        <v>0.5699782327810651</v>
      </c>
      <c r="C17" s="18"/>
      <c r="D17" s="18" t="inlineStr">
        <is>
          <t>Over 1.5</t>
        </is>
      </c>
      <c r="E17" s="18">
        <f>COUNT(Predictions!J6:J256)</f>
        <v>169</v>
      </c>
      <c r="F17" s="20">
        <f>IF(E17=0,"n.a.",AVERAGE(Predictions!J6:J256))</f>
        <v>0.8047337278106509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0.6331533709421812</v>
      </c>
      <c r="C18" s="18"/>
      <c r="D18" s="18" t="inlineStr">
        <is>
          <t>Under 3.5</t>
        </is>
      </c>
      <c r="E18" s="18">
        <f>COUNT(Predictions!K6:K256)</f>
        <v>169</v>
      </c>
      <c r="F18" s="20">
        <f>IF(E18=0,"n.a.",AVERAGE(Predictions!K6:K256))</f>
        <v>0.621301775147929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0.8449347700043716</v>
      </c>
      <c r="C19" s="18"/>
      <c r="D19" s="18" t="inlineStr">
        <is>
          <t>BTTS Yes</t>
        </is>
      </c>
      <c r="E19" s="18">
        <f>COUNT(Predictions!L6:L256)</f>
        <v>169</v>
      </c>
      <c r="F19" s="20">
        <f>IF(E19=0,"n.a.",AVERAGE(Predictions!L6:L256))</f>
        <v>0.5621301775147929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COUNT(Predictions!M6:M256)</f>
        <v>169</v>
      </c>
      <c r="F20" s="20">
        <f>IF(E20=0,"n.a.",AVERAGE(Predictions!M6:M256))</f>
        <v>0.5621301775147929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46 wins from 61 settled selections. Compare calibration and simulated ROI across policies before any manual change.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2026-10-28T15:16:00.190157+00:00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Asian: 1 refunds, 1 half-wins, 0 half-losses. Refunds are settled, not wins. Calibration uses each forecast's frozen event: v23/v24 profit, legacy no loss.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138</v>
      </c>
      <c r="C37" s="18"/>
      <c r="D37" s="18" t="inlineStr">
        <is>
          <t>Check cloud collection; latest-selection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2026-10-28 12:13:49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WON</t>
        </is>
      </c>
      <c r="D31" s="22">
        <f>IF(ISNUMBER(Selections!M27),Selections!M27,"")</f>
        <v>1</v>
      </c>
      <c r="E31" s="22">
        <f>IF(ISNUMBER(Selections!N27),Selections!N27,"")</f>
        <v>0.6699999999999999</v>
      </c>
      <c r="F31" s="22">
        <f>SUM($E$10:E31)</f>
        <v>2.4299999999999997</v>
      </c>
      <c r="G31" s="22">
        <f>$B$4+F31</f>
        <v>102.43</v>
      </c>
      <c r="H31" s="22">
        <f>MAX($B$4,$G$10:G31)</f>
        <v>102.43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LOST</t>
        </is>
      </c>
      <c r="D32" s="22">
        <f>IF(ISNUMBER(Selections!M28),Selections!M28,"")</f>
        <v>1</v>
      </c>
      <c r="E32" s="22">
        <f>IF(ISNUMBER(Selections!N28),Selections!N28,"")</f>
        <v>-1.0</v>
      </c>
      <c r="F32" s="22">
        <f>SUM($E$10:E32)</f>
        <v>1.4299999999999997</v>
      </c>
      <c r="G32" s="22">
        <f>$B$4+F32</f>
        <v>101.43</v>
      </c>
      <c r="H32" s="22">
        <f>MAX($B$4,$G$10:G32)</f>
        <v>102.43</v>
      </c>
      <c r="I32" s="22">
        <f>H32-G32</f>
        <v>1.0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WON</t>
        </is>
      </c>
      <c r="D33" s="22">
        <f>IF(ISNUMBER(Selections!M29),Selections!M29,"")</f>
        <v>1</v>
      </c>
      <c r="E33" s="22">
        <f>IF(ISNUMBER(Selections!N29),Selections!N29,"")</f>
        <v>0.27</v>
      </c>
      <c r="F33" s="22">
        <f>SUM($E$10:E33)</f>
        <v>1.6999999999999997</v>
      </c>
      <c r="G33" s="22">
        <f>$B$4+F33</f>
        <v>101.7</v>
      </c>
      <c r="H33" s="22">
        <f>MAX($B$4,$G$10:G33)</f>
        <v>102.43</v>
      </c>
      <c r="I33" s="22">
        <f>H33-G33</f>
        <v>0.730000000000004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WON</t>
        </is>
      </c>
      <c r="D34" s="22">
        <f>IF(ISNUMBER(Selections!M30),Selections!M30,"")</f>
        <v>1</v>
      </c>
      <c r="E34" s="22">
        <f>IF(ISNUMBER(Selections!N30),Selections!N30,"")</f>
        <v>0.15999999999999992</v>
      </c>
      <c r="F34" s="22">
        <f>SUM($E$10:E34)</f>
        <v>1.8599999999999997</v>
      </c>
      <c r="G34" s="22">
        <f>$B$4+F34</f>
        <v>101.86</v>
      </c>
      <c r="H34" s="22">
        <f>MAX($B$4,$G$10:G34)</f>
        <v>102.43</v>
      </c>
      <c r="I34" s="22">
        <f>H34-G34</f>
        <v>0.5700000000000074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WON</t>
        </is>
      </c>
      <c r="D35" s="22">
        <f>IF(ISNUMBER(Selections!M31),Selections!M31,"")</f>
        <v>1</v>
      </c>
      <c r="E35" s="22">
        <f>IF(ISNUMBER(Selections!N31),Selections!N31,"")</f>
        <v>0.28</v>
      </c>
      <c r="F35" s="22">
        <f>SUM($E$10:E35)</f>
        <v>2.1399999999999997</v>
      </c>
      <c r="G35" s="22">
        <f>$B$4+F35</f>
        <v>102.14</v>
      </c>
      <c r="H35" s="22">
        <f>MAX($B$4,$G$10:G35)</f>
        <v>102.43</v>
      </c>
      <c r="I35" s="22">
        <f>H35-G35</f>
        <v>0.29000000000000625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WON</t>
        </is>
      </c>
      <c r="D36" s="22">
        <f>IF(ISNUMBER(Selections!M32),Selections!M32,"")</f>
        <v>1</v>
      </c>
      <c r="E36" s="22">
        <f>IF(ISNUMBER(Selections!N32),Selections!N32,"")</f>
        <v>0.3799999999999999</v>
      </c>
      <c r="F36" s="22">
        <f>SUM($E$10:E36)</f>
        <v>2.5199999999999996</v>
      </c>
      <c r="G36" s="22">
        <f>$B$4+F36</f>
        <v>102.52</v>
      </c>
      <c r="H36" s="22">
        <f>MAX($B$4,$G$10:G36)</f>
        <v>102.52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UNVERIFIED_FIXTURE_OR_RESULT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2.5199999999999996</v>
      </c>
      <c r="G37" s="22">
        <f>$B$4+F37</f>
        <v>102.52</v>
      </c>
      <c r="H37" s="22">
        <f>MAX($B$4,$G$10:G37)</f>
        <v>102.52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WON</t>
        </is>
      </c>
      <c r="D38" s="22">
        <f>IF(ISNUMBER(Selections!M34),Selections!M34,"")</f>
        <v>1</v>
      </c>
      <c r="E38" s="22">
        <f>IF(ISNUMBER(Selections!N34),Selections!N34,"")</f>
        <v>0.29000000000000004</v>
      </c>
      <c r="F38" s="22">
        <f>SUM($E$10:E38)</f>
        <v>2.8099999999999996</v>
      </c>
      <c r="G38" s="22">
        <f>$B$4+F38</f>
        <v>102.81</v>
      </c>
      <c r="H38" s="22">
        <f>MAX($B$4,$G$10:G38)</f>
        <v>102.81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LOST</t>
        </is>
      </c>
      <c r="D39" s="22">
        <f>IF(ISNUMBER(Selections!M35),Selections!M35,"")</f>
        <v>1</v>
      </c>
      <c r="E39" s="22">
        <f>IF(ISNUMBER(Selections!N35),Selections!N35,"")</f>
        <v>-1.0</v>
      </c>
      <c r="F39" s="22">
        <f>SUM($E$10:E39)</f>
        <v>1.8099999999999996</v>
      </c>
      <c r="G39" s="22">
        <f>$B$4+F39</f>
        <v>101.81</v>
      </c>
      <c r="H39" s="22">
        <f>MAX($B$4,$G$10:G39)</f>
        <v>102.81</v>
      </c>
      <c r="I39" s="22">
        <f>H39-G39</f>
        <v>1.0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2026-10-19T18:45:00+00:00</t>
        </is>
      </c>
      <c r="B40" s="18" t="inlineStr">
        <is>
          <t>Parma vs Torino</t>
        </is>
      </c>
      <c r="C40" s="18" t="inlineStr">
        <is>
          <t>LOST</t>
        </is>
      </c>
      <c r="D40" s="22">
        <f>IF(ISNUMBER(Selections!M36),Selections!M36,"")</f>
        <v>1</v>
      </c>
      <c r="E40" s="22">
        <f>IF(ISNUMBER(Selections!N36),Selections!N36,"")</f>
        <v>-1.0</v>
      </c>
      <c r="F40" s="22">
        <f>SUM($E$10:E40)</f>
        <v>0.8099999999999996</v>
      </c>
      <c r="G40" s="22">
        <f>$B$4+F40</f>
        <v>100.81</v>
      </c>
      <c r="H40" s="22">
        <f>MAX($B$4,$G$10:G40)</f>
        <v>102.81</v>
      </c>
      <c r="I40" s="22">
        <f>H40-G40</f>
        <v>2.0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Getafe vs Rayo Vallecano</t>
        </is>
      </c>
      <c r="C41" s="18" t="inlineStr">
        <is>
          <t>WON</t>
        </is>
      </c>
      <c r="D41" s="22">
        <f>IF(ISNUMBER(Selections!M37),Selections!M37,"")</f>
        <v>1</v>
      </c>
      <c r="E41" s="22">
        <f>IF(ISNUMBER(Selections!N37),Selections!N37,"")</f>
        <v>0.53</v>
      </c>
      <c r="F41" s="22">
        <f>SUM($E$10:E41)</f>
        <v>1.3399999999999996</v>
      </c>
      <c r="G41" s="22">
        <f>$B$4+F41</f>
        <v>101.34</v>
      </c>
      <c r="H41" s="22">
        <f>MAX($B$4,$G$10:G41)</f>
        <v>102.81</v>
      </c>
      <c r="I41" s="22">
        <f>H41-G41</f>
        <v>1.4699999999999989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2026-10-19T19:00:00+00:00</t>
        </is>
      </c>
      <c r="B42" s="18" t="inlineStr">
        <is>
          <t>Tottenham Hotspur vs Coventry City</t>
        </is>
      </c>
      <c r="C42" s="18" t="inlineStr">
        <is>
          <t>LOST</t>
        </is>
      </c>
      <c r="D42" s="22">
        <f>IF(ISNUMBER(Selections!M38),Selections!M38,"")</f>
        <v>1</v>
      </c>
      <c r="E42" s="22">
        <f>IF(ISNUMBER(Selections!N38),Selections!N38,"")</f>
        <v>-1.0</v>
      </c>
      <c r="F42" s="22">
        <f>SUM($E$10:E42)</f>
        <v>0.33999999999999964</v>
      </c>
      <c r="G42" s="22">
        <f>$B$4+F42</f>
        <v>100.34</v>
      </c>
      <c r="H42" s="22">
        <f>MAX($B$4,$G$10:G42)</f>
        <v>102.81</v>
      </c>
      <c r="I42" s="22">
        <f>H42-G42</f>
        <v>2.469999999999999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  <row r="43" ht="36" customHeight="1">
      <c r="A43" s="18" t="inlineStr">
        <is>
          <t>2026-10-20T16:45:00+00:00</t>
        </is>
      </c>
      <c r="B43" s="18" t="inlineStr">
        <is>
          <t>Fenerbahce vs Slavia Praha</t>
        </is>
      </c>
      <c r="C43" s="18" t="inlineStr">
        <is>
          <t>WON</t>
        </is>
      </c>
      <c r="D43" s="22">
        <f>IF(ISNUMBER(Selections!M39),Selections!M39,"")</f>
        <v>1</v>
      </c>
      <c r="E43" s="22">
        <f>IF(ISNUMBER(Selections!N39),Selections!N39,"")</f>
        <v>1.2799999999999998</v>
      </c>
      <c r="F43" s="22">
        <f>SUM($E$10:E43)</f>
        <v>1.6199999999999994</v>
      </c>
      <c r="G43" s="22">
        <f>$B$4+F43</f>
        <v>101.62</v>
      </c>
      <c r="H43" s="22">
        <f>MAX($B$4,$G$10:G43)</f>
        <v>102.81</v>
      </c>
      <c r="I43" s="22">
        <f>H43-G43</f>
        <v>1.1899999999999977</v>
      </c>
      <c r="J43" s="18" t="inlineStr">
        <is>
          <t>2026-W43</t>
        </is>
      </c>
      <c r="K43" s="18"/>
      <c r="L43" s="18"/>
      <c r="M43" s="18"/>
      <c r="N43" s="18"/>
      <c r="O43" s="18"/>
      <c r="P43" s="18"/>
      <c r="Q43" s="18"/>
      <c r="R43" s="18"/>
    </row>
    <row r="44" ht="36" customHeight="1">
      <c r="A44" s="18" t="inlineStr">
        <is>
          <t>2026-10-20T16:45:00+00:00</t>
        </is>
      </c>
      <c r="B44" s="18" t="inlineStr">
        <is>
          <t>Sabah FK vs Borussia Dortmund</t>
        </is>
      </c>
      <c r="C44" s="18" t="inlineStr">
        <is>
          <t>WON</t>
        </is>
      </c>
      <c r="D44" s="22">
        <f>IF(ISNUMBER(Selections!M40),Selections!M40,"")</f>
        <v>1</v>
      </c>
      <c r="E44" s="22">
        <f>IF(ISNUMBER(Selections!N40),Selections!N40,"")</f>
        <v>0.1499999999999999</v>
      </c>
      <c r="F44" s="22">
        <f>SUM($E$10:E44)</f>
        <v>1.7699999999999994</v>
      </c>
      <c r="G44" s="22">
        <f>$B$4+F44</f>
        <v>101.77</v>
      </c>
      <c r="H44" s="22">
        <f>MAX($B$4,$G$10:G44)</f>
        <v>102.81</v>
      </c>
      <c r="I44" s="22">
        <f>H44-G44</f>
        <v>1.0400000000000063</v>
      </c>
      <c r="J44" s="18" t="inlineStr">
        <is>
          <t>2026-W43</t>
        </is>
      </c>
      <c r="K44" s="18"/>
      <c r="L44" s="18"/>
      <c r="M44" s="18"/>
      <c r="N44" s="18"/>
      <c r="O44" s="18"/>
      <c r="P44" s="18"/>
      <c r="Q44" s="18"/>
      <c r="R44" s="18"/>
    </row>
    <row r="45" ht="36" customHeight="1">
      <c r="A45" s="18" t="inlineStr">
        <is>
          <t>2026-10-20T19:00:00+00:00</t>
        </is>
      </c>
      <c r="B45" s="18" t="inlineStr">
        <is>
          <t>AS Roma vs ŠK Slovan Bratislava</t>
        </is>
      </c>
      <c r="C45" s="18" t="inlineStr">
        <is>
          <t>LOST</t>
        </is>
      </c>
      <c r="D45" s="22">
        <f>IF(ISNUMBER(Selections!M41),Selections!M41,"")</f>
        <v>1</v>
      </c>
      <c r="E45" s="22">
        <f>IF(ISNUMBER(Selections!N41),Selections!N41,"")</f>
        <v>-1.0</v>
      </c>
      <c r="F45" s="22">
        <f>SUM($E$10:E45)</f>
        <v>0.7699999999999994</v>
      </c>
      <c r="G45" s="22">
        <f>$B$4+F45</f>
        <v>100.77</v>
      </c>
      <c r="H45" s="22">
        <f>MAX($B$4,$G$10:G45)</f>
        <v>102.81</v>
      </c>
      <c r="I45" s="22">
        <f>H45-G45</f>
        <v>2.0400000000000063</v>
      </c>
      <c r="J45" s="18" t="inlineStr">
        <is>
          <t>2026-W43</t>
        </is>
      </c>
      <c r="K45" s="18"/>
      <c r="L45" s="18"/>
      <c r="M45" s="18"/>
      <c r="N45" s="18"/>
      <c r="O45" s="18"/>
      <c r="P45" s="18"/>
      <c r="Q45" s="18"/>
      <c r="R45" s="18"/>
    </row>
    <row r="46" ht="36" customHeight="1">
      <c r="A46" s="18" t="inlineStr">
        <is>
          <t>2026-10-20T19:00:00+00:00</t>
        </is>
      </c>
      <c r="B46" s="18" t="inlineStr">
        <is>
          <t>Liverpool vs Villarreal</t>
        </is>
      </c>
      <c r="C46" s="18" t="inlineStr">
        <is>
          <t>WON</t>
        </is>
      </c>
      <c r="D46" s="22">
        <f>IF(ISNUMBER(Selections!M42),Selections!M42,"")</f>
        <v>1</v>
      </c>
      <c r="E46" s="22">
        <f>IF(ISNUMBER(Selections!N42),Selections!N42,"")</f>
        <v>0.15999999999999992</v>
      </c>
      <c r="F46" s="22">
        <f>SUM($E$10:E46)</f>
        <v>0.9299999999999993</v>
      </c>
      <c r="G46" s="22">
        <f>$B$4+F46</f>
        <v>100.92999999999999</v>
      </c>
      <c r="H46" s="22">
        <f>MAX($B$4,$G$10:G46)</f>
        <v>102.81</v>
      </c>
      <c r="I46" s="22">
        <f>H46-G46</f>
        <v>1.8800000000000097</v>
      </c>
      <c r="J46" s="18" t="inlineStr">
        <is>
          <t>2026-W43</t>
        </is>
      </c>
      <c r="K46" s="18"/>
      <c r="L46" s="18"/>
      <c r="M46" s="18"/>
      <c r="N46" s="18"/>
      <c r="O46" s="18"/>
      <c r="P46" s="18"/>
      <c r="Q46" s="18"/>
      <c r="R46" s="18"/>
    </row>
    <row r="47" ht="36" customHeight="1">
      <c r="A47" s="18" t="inlineStr">
        <is>
          <t>2026-10-20T19:00:00+00:00</t>
        </is>
      </c>
      <c r="B47" s="18" t="inlineStr">
        <is>
          <t>Manchester City vs AEK Athens</t>
        </is>
      </c>
      <c r="C47" s="18" t="inlineStr">
        <is>
          <t>UNVERIFIED_FIXTURE_OR_RESULT</t>
        </is>
      </c>
      <c r="D47" s="22" t="str">
        <f>IF(ISNUMBER(Selections!M43),Selections!M43,"")</f>
        <v/>
      </c>
      <c r="E47" s="22" t="str">
        <f>IF(ISNUMBER(Selections!N43),Selections!N43,"")</f>
        <v/>
      </c>
      <c r="F47" s="22">
        <f>SUM($E$10:E47)</f>
        <v>0.9299999999999993</v>
      </c>
      <c r="G47" s="22">
        <f>$B$4+F47</f>
        <v>100.92999999999999</v>
      </c>
      <c r="H47" s="22">
        <f>MAX($B$4,$G$10:G47)</f>
        <v>102.81</v>
      </c>
      <c r="I47" s="22">
        <f>H47-G47</f>
        <v>1.8800000000000097</v>
      </c>
      <c r="J47" s="18" t="inlineStr">
        <is>
          <t>2026-W43</t>
        </is>
      </c>
      <c r="K47" s="18"/>
      <c r="L47" s="18"/>
      <c r="M47" s="18"/>
      <c r="N47" s="18"/>
      <c r="O47" s="18"/>
      <c r="P47" s="18"/>
      <c r="Q47" s="18"/>
      <c r="R47" s="18"/>
    </row>
    <row r="48" ht="36" customHeight="1">
      <c r="A48" s="18" t="inlineStr">
        <is>
          <t>2026-10-20T19:00:00+00:00</t>
        </is>
      </c>
      <c r="B48" s="18" t="inlineStr">
        <is>
          <t>Napoli vs Bodø/Glimt</t>
        </is>
      </c>
      <c r="C48" s="18" t="inlineStr">
        <is>
          <t>WON</t>
        </is>
      </c>
      <c r="D48" s="22">
        <f>IF(ISNUMBER(Selections!M44),Selections!M44,"")</f>
        <v>1</v>
      </c>
      <c r="E48" s="22">
        <f>IF(ISNUMBER(Selections!N44),Selections!N44,"")</f>
        <v>0.22999999999999998</v>
      </c>
      <c r="F48" s="22">
        <f>SUM($E$10:E48)</f>
        <v>1.1599999999999993</v>
      </c>
      <c r="G48" s="22">
        <f>$B$4+F48</f>
        <v>101.16</v>
      </c>
      <c r="H48" s="22">
        <f>MAX($B$4,$G$10:G48)</f>
        <v>102.81</v>
      </c>
      <c r="I48" s="22">
        <f>H48-G48</f>
        <v>1.6500000000000057</v>
      </c>
      <c r="J48" s="18" t="inlineStr">
        <is>
          <t>2026-W43</t>
        </is>
      </c>
      <c r="K48" s="18"/>
      <c r="L48" s="18"/>
      <c r="M48" s="18"/>
      <c r="N48" s="18"/>
      <c r="O48" s="18"/>
      <c r="P48" s="18"/>
      <c r="Q48" s="18"/>
      <c r="R48" s="18"/>
    </row>
    <row r="49" ht="36" customHeight="1">
      <c r="A49" s="18" t="inlineStr">
        <is>
          <t>2026-10-20T19:00:00+00:00</t>
        </is>
      </c>
      <c r="B49" s="18" t="inlineStr">
        <is>
          <t>Paris Saint Germain vs Barcelona</t>
        </is>
      </c>
      <c r="C49" s="18" t="inlineStr">
        <is>
          <t>WON</t>
        </is>
      </c>
      <c r="D49" s="22">
        <f>IF(ISNUMBER(Selections!M45),Selections!M45,"")</f>
        <v>1</v>
      </c>
      <c r="E49" s="22">
        <f>IF(ISNUMBER(Selections!N45),Selections!N45,"")</f>
        <v>0.040000000000000036</v>
      </c>
      <c r="F49" s="22">
        <f>SUM($E$10:E49)</f>
        <v>1.1999999999999993</v>
      </c>
      <c r="G49" s="22">
        <f>$B$4+F49</f>
        <v>101.2</v>
      </c>
      <c r="H49" s="22">
        <f>MAX($B$4,$G$10:G49)</f>
        <v>102.81</v>
      </c>
      <c r="I49" s="22">
        <f>H49-G49</f>
        <v>1.6099999999999994</v>
      </c>
      <c r="J49" s="18" t="inlineStr">
        <is>
          <t>2026-W43</t>
        </is>
      </c>
      <c r="K49" s="18"/>
      <c r="L49" s="18"/>
      <c r="M49" s="18"/>
      <c r="N49" s="18"/>
      <c r="O49" s="18"/>
      <c r="P49" s="18"/>
      <c r="Q49" s="18"/>
      <c r="R49" s="18"/>
    </row>
    <row r="50" ht="36" customHeight="1">
      <c r="A50" s="18" t="inlineStr">
        <is>
          <t>2026-10-20T19:00:00+00:00</t>
        </is>
      </c>
      <c r="B50" s="18" t="inlineStr">
        <is>
          <t>Porto vs PSV Eindhoven</t>
        </is>
      </c>
      <c r="C50" s="18" t="inlineStr">
        <is>
          <t>WON</t>
        </is>
      </c>
      <c r="D50" s="22">
        <f>IF(ISNUMBER(Selections!M46),Selections!M46,"")</f>
        <v>1</v>
      </c>
      <c r="E50" s="22">
        <f>IF(ISNUMBER(Selections!N46),Selections!N46,"")</f>
        <v>0.22999999999999998</v>
      </c>
      <c r="F50" s="22">
        <f>SUM($E$10:E50)</f>
        <v>1.4299999999999993</v>
      </c>
      <c r="G50" s="22">
        <f>$B$4+F50</f>
        <v>101.42999999999999</v>
      </c>
      <c r="H50" s="22">
        <f>MAX($B$4,$G$10:G50)</f>
        <v>102.81</v>
      </c>
      <c r="I50" s="22">
        <f>H50-G50</f>
        <v>1.3800000000000097</v>
      </c>
      <c r="J50" s="18" t="inlineStr">
        <is>
          <t>2026-W43</t>
        </is>
      </c>
      <c r="K50" s="18"/>
      <c r="L50" s="18"/>
      <c r="M50" s="18"/>
      <c r="N50" s="18"/>
      <c r="O50" s="18"/>
      <c r="P50" s="18"/>
      <c r="Q50" s="18"/>
      <c r="R50" s="18"/>
    </row>
    <row r="51" ht="36" customHeight="1">
      <c r="A51" s="18" t="inlineStr">
        <is>
          <t>2026-10-20T19:00:00+00:00</t>
        </is>
      </c>
      <c r="B51" s="18" t="inlineStr">
        <is>
          <t>VfB Stuttgart vs Atlético Madrid</t>
        </is>
      </c>
      <c r="C51" s="18" t="inlineStr">
        <is>
          <t>LOST</t>
        </is>
      </c>
      <c r="D51" s="22">
        <f>IF(ISNUMBER(Selections!M47),Selections!M47,"")</f>
        <v>1</v>
      </c>
      <c r="E51" s="22">
        <f>IF(ISNUMBER(Selections!N47),Selections!N47,"")</f>
        <v>-1.0</v>
      </c>
      <c r="F51" s="22">
        <f>SUM($E$10:E51)</f>
        <v>0.42999999999999927</v>
      </c>
      <c r="G51" s="22">
        <f>$B$4+F51</f>
        <v>100.42999999999999</v>
      </c>
      <c r="H51" s="22">
        <f>MAX($B$4,$G$10:G51)</f>
        <v>102.81</v>
      </c>
      <c r="I51" s="22">
        <f>H51-G51</f>
        <v>2.3800000000000097</v>
      </c>
      <c r="J51" s="18" t="inlineStr">
        <is>
          <t>2026-W43</t>
        </is>
      </c>
      <c r="K51" s="18"/>
      <c r="L51" s="18"/>
      <c r="M51" s="18"/>
      <c r="N51" s="18"/>
      <c r="O51" s="18"/>
      <c r="P51" s="18"/>
      <c r="Q51" s="18"/>
      <c r="R51" s="18"/>
    </row>
    <row r="52" ht="36" customHeight="1">
      <c r="A52" s="18" t="inlineStr">
        <is>
          <t>2026-10-23T18:30:00+00:00</t>
        </is>
      </c>
      <c r="B52" s="18" t="inlineStr">
        <is>
          <t>VfB Stuttgart vs Borussia Monchengladbach</t>
        </is>
      </c>
      <c r="C52" s="18" t="inlineStr">
        <is>
          <t>WON</t>
        </is>
      </c>
      <c r="D52" s="22">
        <f>IF(ISNUMBER(Selections!M48),Selections!M48,"")</f>
        <v>1</v>
      </c>
      <c r="E52" s="22">
        <f>IF(ISNUMBER(Selections!N48),Selections!N48,"")</f>
        <v>0.62</v>
      </c>
      <c r="F52" s="22">
        <f>SUM($E$10:E52)</f>
        <v>1.0499999999999994</v>
      </c>
      <c r="G52" s="22">
        <f>$B$4+F52</f>
        <v>101.05</v>
      </c>
      <c r="H52" s="22">
        <f>MAX($B$4,$G$10:G52)</f>
        <v>102.81</v>
      </c>
      <c r="I52" s="22">
        <f>H52-G52</f>
        <v>1.7600000000000051</v>
      </c>
      <c r="J52" s="18" t="inlineStr">
        <is>
          <t>2026-W43</t>
        </is>
      </c>
      <c r="K52" s="18"/>
      <c r="L52" s="18"/>
      <c r="M52" s="18"/>
      <c r="N52" s="18"/>
      <c r="O52" s="18"/>
      <c r="P52" s="18"/>
      <c r="Q52" s="18"/>
      <c r="R52" s="18"/>
    </row>
    <row r="53" ht="36" customHeight="1">
      <c r="A53" s="18" t="inlineStr">
        <is>
          <t>2026-10-23T19:00:00+00:00</t>
        </is>
      </c>
      <c r="B53" s="18" t="inlineStr">
        <is>
          <t>Alavés vs Málaga</t>
        </is>
      </c>
      <c r="C53" s="18" t="inlineStr">
        <is>
          <t>WON</t>
        </is>
      </c>
      <c r="D53" s="22">
        <f>IF(ISNUMBER(Selections!M49),Selections!M49,"")</f>
        <v>1</v>
      </c>
      <c r="E53" s="22">
        <f>IF(ISNUMBER(Selections!N49),Selections!N49,"")</f>
        <v>0.19999999999999996</v>
      </c>
      <c r="F53" s="22">
        <f>SUM($E$10:E53)</f>
        <v>1.2499999999999993</v>
      </c>
      <c r="G53" s="22">
        <f>$B$4+F53</f>
        <v>101.25</v>
      </c>
      <c r="H53" s="22">
        <f>MAX($B$4,$G$10:G53)</f>
        <v>102.81</v>
      </c>
      <c r="I53" s="22">
        <f>H53-G53</f>
        <v>1.5600000000000023</v>
      </c>
      <c r="J53" s="18" t="inlineStr">
        <is>
          <t>2026-W43</t>
        </is>
      </c>
      <c r="K53" s="18"/>
      <c r="L53" s="18"/>
      <c r="M53" s="18"/>
      <c r="N53" s="18"/>
      <c r="O53" s="18"/>
      <c r="P53" s="18"/>
      <c r="Q53" s="18"/>
      <c r="R53" s="18"/>
    </row>
    <row r="54" ht="36" customHeight="1">
      <c r="A54" s="18" t="inlineStr">
        <is>
          <t>2026-10-24T11:30:00+00:00</t>
        </is>
      </c>
      <c r="B54" s="18" t="inlineStr">
        <is>
          <t>Aston Villa vs Manchester City</t>
        </is>
      </c>
      <c r="C54" s="18" t="inlineStr">
        <is>
          <t>WON</t>
        </is>
      </c>
      <c r="D54" s="22">
        <f>IF(ISNUMBER(Selections!M50),Selections!M50,"")</f>
        <v>1</v>
      </c>
      <c r="E54" s="22">
        <f>IF(ISNUMBER(Selections!N50),Selections!N50,"")</f>
        <v>0.26</v>
      </c>
      <c r="F54" s="22">
        <f>SUM($E$10:E54)</f>
        <v>1.5099999999999993</v>
      </c>
      <c r="G54" s="22">
        <f>$B$4+F54</f>
        <v>101.51</v>
      </c>
      <c r="H54" s="22">
        <f>MAX($B$4,$G$10:G54)</f>
        <v>102.81</v>
      </c>
      <c r="I54" s="22">
        <f>H54-G54</f>
        <v>1.2999999999999972</v>
      </c>
      <c r="J54" s="18" t="inlineStr">
        <is>
          <t>2026-W43</t>
        </is>
      </c>
      <c r="K54" s="18"/>
      <c r="L54" s="18"/>
      <c r="M54" s="18"/>
      <c r="N54" s="18"/>
      <c r="O54" s="18"/>
      <c r="P54" s="18"/>
      <c r="Q54" s="18"/>
      <c r="R54" s="18"/>
    </row>
    <row r="55" ht="36" customHeight="1">
      <c r="A55" s="18" t="inlineStr">
        <is>
          <t>2026-10-24T12:00:00+00:00</t>
        </is>
      </c>
      <c r="B55" s="18" t="inlineStr">
        <is>
          <t>Rayo Vallecano vs Elche CF</t>
        </is>
      </c>
      <c r="C55" s="18" t="inlineStr">
        <is>
          <t>WON</t>
        </is>
      </c>
      <c r="D55" s="22">
        <f>IF(ISNUMBER(Selections!M51),Selections!M51,"")</f>
        <v>1</v>
      </c>
      <c r="E55" s="22">
        <f>IF(ISNUMBER(Selections!N51),Selections!N51,"")</f>
        <v>0.58</v>
      </c>
      <c r="F55" s="22">
        <f>SUM($E$10:E55)</f>
        <v>2.0899999999999994</v>
      </c>
      <c r="G55" s="22">
        <f>$B$4+F55</f>
        <v>102.09</v>
      </c>
      <c r="H55" s="22">
        <f>MAX($B$4,$G$10:G55)</f>
        <v>102.81</v>
      </c>
      <c r="I55" s="22">
        <f>H55-G55</f>
        <v>0.7199999999999989</v>
      </c>
      <c r="J55" s="18" t="inlineStr">
        <is>
          <t>2026-W43</t>
        </is>
      </c>
      <c r="K55" s="18"/>
      <c r="L55" s="18"/>
      <c r="M55" s="18"/>
      <c r="N55" s="18"/>
      <c r="O55" s="18"/>
      <c r="P55" s="18"/>
      <c r="Q55" s="18"/>
      <c r="R55" s="18"/>
    </row>
    <row r="56" ht="36" customHeight="1">
      <c r="A56" s="18" t="inlineStr">
        <is>
          <t>2026-10-24T13:00:00+00:00</t>
        </is>
      </c>
      <c r="B56" s="18" t="inlineStr">
        <is>
          <t>Como vs Sassuolo</t>
        </is>
      </c>
      <c r="C56" s="18" t="inlineStr">
        <is>
          <t>UNVERIFIED_FIXTURE_OR_RESULT</t>
        </is>
      </c>
      <c r="D56" s="22" t="str">
        <f>IF(ISNUMBER(Selections!M52),Selections!M52,"")</f>
        <v/>
      </c>
      <c r="E56" s="22" t="str">
        <f>IF(ISNUMBER(Selections!N52),Selections!N52,"")</f>
        <v/>
      </c>
      <c r="F56" s="22">
        <f>SUM($E$10:E56)</f>
        <v>2.0899999999999994</v>
      </c>
      <c r="G56" s="22">
        <f>$B$4+F56</f>
        <v>102.09</v>
      </c>
      <c r="H56" s="22">
        <f>MAX($B$4,$G$10:G56)</f>
        <v>102.81</v>
      </c>
      <c r="I56" s="22">
        <f>H56-G56</f>
        <v>0.7199999999999989</v>
      </c>
      <c r="J56" s="18" t="inlineStr">
        <is>
          <t>2026-W43</t>
        </is>
      </c>
      <c r="K56" s="18"/>
      <c r="L56" s="18"/>
      <c r="M56" s="18"/>
      <c r="N56" s="18"/>
      <c r="O56" s="18"/>
      <c r="P56" s="18"/>
      <c r="Q56" s="18"/>
      <c r="R56" s="18"/>
    </row>
    <row r="57" ht="36" customHeight="1">
      <c r="A57" s="18" t="inlineStr">
        <is>
          <t>2026-10-24T13:30:00+00:00</t>
        </is>
      </c>
      <c r="B57" s="18" t="inlineStr">
        <is>
          <t>Augsburg vs Union Berlin</t>
        </is>
      </c>
      <c r="C57" s="18" t="inlineStr">
        <is>
          <t>WON</t>
        </is>
      </c>
      <c r="D57" s="22">
        <f>IF(ISNUMBER(Selections!M53),Selections!M53,"")</f>
        <v>1</v>
      </c>
      <c r="E57" s="22">
        <f>IF(ISNUMBER(Selections!N53),Selections!N53,"")</f>
        <v>0.16</v>
      </c>
      <c r="F57" s="22">
        <f>SUM($E$10:E57)</f>
        <v>2.2499999999999996</v>
      </c>
      <c r="G57" s="22">
        <f>$B$4+F57</f>
        <v>102.25</v>
      </c>
      <c r="H57" s="22">
        <f>MAX($B$4,$G$10:G57)</f>
        <v>102.81</v>
      </c>
      <c r="I57" s="22">
        <f>H57-G57</f>
        <v>0.5600000000000023</v>
      </c>
      <c r="J57" s="18" t="inlineStr">
        <is>
          <t>2026-W43</t>
        </is>
      </c>
      <c r="K57" s="18"/>
      <c r="L57" s="18"/>
      <c r="M57" s="18"/>
      <c r="N57" s="18"/>
      <c r="O57" s="18"/>
      <c r="P57" s="18"/>
      <c r="Q57" s="18"/>
      <c r="R57" s="18"/>
    </row>
    <row r="58" ht="36" customHeight="1">
      <c r="A58" s="18" t="inlineStr">
        <is>
          <t>2026-10-24T13:30:00+00:00</t>
        </is>
      </c>
      <c r="B58" s="18" t="inlineStr">
        <is>
          <t>SC Paderborn vs Hamburger SV</t>
        </is>
      </c>
      <c r="C58" s="18" t="inlineStr">
        <is>
          <t>HALF_WON</t>
        </is>
      </c>
      <c r="D58" s="22">
        <f>IF(ISNUMBER(Selections!M54),Selections!M54,"")</f>
        <v>1</v>
      </c>
      <c r="E58" s="22">
        <f>IF(ISNUMBER(Selections!N54),Selections!N54,"")</f>
        <v>0.16</v>
      </c>
      <c r="F58" s="22">
        <f>SUM($E$10:E58)</f>
        <v>2.4099999999999997</v>
      </c>
      <c r="G58" s="22">
        <f>$B$4+F58</f>
        <v>102.41</v>
      </c>
      <c r="H58" s="22">
        <f>MAX($B$4,$G$10:G58)</f>
        <v>102.81</v>
      </c>
      <c r="I58" s="22">
        <f>H58-G58</f>
        <v>0.4000000000000057</v>
      </c>
      <c r="J58" s="18" t="inlineStr">
        <is>
          <t>2026-W43</t>
        </is>
      </c>
      <c r="K58" s="18"/>
      <c r="L58" s="18"/>
      <c r="M58" s="18"/>
      <c r="N58" s="18"/>
      <c r="O58" s="18"/>
      <c r="P58" s="18"/>
      <c r="Q58" s="18"/>
      <c r="R58" s="18"/>
    </row>
    <row r="59" ht="36" customHeight="1">
      <c r="A59" s="18" t="inlineStr">
        <is>
          <t>2026-10-24T18:45:00+00:00</t>
        </is>
      </c>
      <c r="B59" s="18" t="inlineStr">
        <is>
          <t>Lazio vs Parma</t>
        </is>
      </c>
      <c r="C59" s="18" t="inlineStr">
        <is>
          <t>WON</t>
        </is>
      </c>
      <c r="D59" s="22">
        <f>IF(ISNUMBER(Selections!M55),Selections!M55,"")</f>
        <v>1</v>
      </c>
      <c r="E59" s="22">
        <f>IF(ISNUMBER(Selections!N55),Selections!N55,"")</f>
        <v>0.39</v>
      </c>
      <c r="F59" s="22">
        <f>SUM($E$10:E59)</f>
        <v>2.8</v>
      </c>
      <c r="G59" s="22">
        <f>$B$4+F59</f>
        <v>102.8</v>
      </c>
      <c r="H59" s="22">
        <f>MAX($B$4,$G$10:G59)</f>
        <v>102.81</v>
      </c>
      <c r="I59" s="22">
        <f>H59-G59</f>
        <v>0.010000000000005116</v>
      </c>
      <c r="J59" s="18" t="inlineStr">
        <is>
          <t>2026-W43</t>
        </is>
      </c>
      <c r="K59" s="18"/>
      <c r="L59" s="18"/>
      <c r="M59" s="18"/>
      <c r="N59" s="18"/>
      <c r="O59" s="18"/>
      <c r="P59" s="18"/>
      <c r="Q59" s="18"/>
      <c r="R59" s="18"/>
    </row>
    <row r="60" ht="36" customHeight="1">
      <c r="A60" s="18" t="inlineStr">
        <is>
          <t>2026-10-25T11:30:00+00:00</t>
        </is>
      </c>
      <c r="B60" s="18" t="inlineStr">
        <is>
          <t>Inter Milan vs Fiorentina</t>
        </is>
      </c>
      <c r="C60" s="18" t="inlineStr">
        <is>
          <t>WON</t>
        </is>
      </c>
      <c r="D60" s="22">
        <f>IF(ISNUMBER(Selections!M56),Selections!M56,"")</f>
        <v>1</v>
      </c>
      <c r="E60" s="22">
        <f>IF(ISNUMBER(Selections!N56),Selections!N56,"")</f>
        <v>0.10000000000000009</v>
      </c>
      <c r="F60" s="22">
        <f>SUM($E$10:E60)</f>
        <v>2.9</v>
      </c>
      <c r="G60" s="22">
        <f>$B$4+F60</f>
        <v>102.9</v>
      </c>
      <c r="H60" s="22">
        <f>MAX($B$4,$G$10:G60)</f>
        <v>102.9</v>
      </c>
      <c r="I60" s="22">
        <f>H60-G60</f>
        <v>0.0</v>
      </c>
      <c r="J60" s="18" t="inlineStr">
        <is>
          <t>2026-W43</t>
        </is>
      </c>
      <c r="K60" s="18"/>
      <c r="L60" s="18"/>
      <c r="M60" s="18"/>
      <c r="N60" s="18"/>
      <c r="O60" s="18"/>
      <c r="P60" s="18"/>
      <c r="Q60" s="18"/>
      <c r="R60" s="18"/>
    </row>
    <row r="61" ht="36" customHeight="1">
      <c r="A61" s="18" t="inlineStr">
        <is>
          <t>2026-10-25T13:00:00+00:00</t>
        </is>
      </c>
      <c r="B61" s="18" t="inlineStr">
        <is>
          <t>Athletic Bilbao vs Getafe</t>
        </is>
      </c>
      <c r="C61" s="18" t="inlineStr">
        <is>
          <t>UNVERIFIED_FIXTURE_OR_RESULT</t>
        </is>
      </c>
      <c r="D61" s="22" t="str">
        <f>IF(ISNUMBER(Selections!M57),Selections!M57,"")</f>
        <v/>
      </c>
      <c r="E61" s="22" t="str">
        <f>IF(ISNUMBER(Selections!N57),Selections!N57,"")</f>
        <v/>
      </c>
      <c r="F61" s="22">
        <f>SUM($E$10:E61)</f>
        <v>2.9</v>
      </c>
      <c r="G61" s="22">
        <f>$B$4+F61</f>
        <v>102.9</v>
      </c>
      <c r="H61" s="22">
        <f>MAX($B$4,$G$10:G61)</f>
        <v>102.9</v>
      </c>
      <c r="I61" s="22">
        <f>H61-G61</f>
        <v>0.0</v>
      </c>
      <c r="J61" s="18" t="inlineStr">
        <is>
          <t>2026-W43</t>
        </is>
      </c>
      <c r="K61" s="18"/>
      <c r="L61" s="18"/>
      <c r="M61" s="18"/>
      <c r="N61" s="18"/>
      <c r="O61" s="18"/>
      <c r="P61" s="18"/>
      <c r="Q61" s="18"/>
      <c r="R61" s="18"/>
    </row>
    <row r="62" ht="36" customHeight="1">
      <c r="A62" s="18" t="inlineStr">
        <is>
          <t>2026-10-25T13:30:00+00:00</t>
        </is>
      </c>
      <c r="B62" s="18" t="inlineStr">
        <is>
          <t>NEC Nijmegen vs Groningen</t>
        </is>
      </c>
      <c r="C62" s="18" t="inlineStr">
        <is>
          <t>UNVERIFIED_FIXTURE_OR_RESULT</t>
        </is>
      </c>
      <c r="D62" s="22" t="str">
        <f>IF(ISNUMBER(Selections!M58),Selections!M58,"")</f>
        <v/>
      </c>
      <c r="E62" s="22" t="str">
        <f>IF(ISNUMBER(Selections!N58),Selections!N58,"")</f>
        <v/>
      </c>
      <c r="F62" s="22">
        <f>SUM($E$10:E62)</f>
        <v>2.9</v>
      </c>
      <c r="G62" s="22">
        <f>$B$4+F62</f>
        <v>102.9</v>
      </c>
      <c r="H62" s="22">
        <f>MAX($B$4,$G$10:G62)</f>
        <v>102.9</v>
      </c>
      <c r="I62" s="22">
        <f>H62-G62</f>
        <v>0.0</v>
      </c>
      <c r="J62" s="18" t="inlineStr">
        <is>
          <t>2026-W43</t>
        </is>
      </c>
      <c r="K62" s="18"/>
      <c r="L62" s="18"/>
      <c r="M62" s="18"/>
      <c r="N62" s="18"/>
      <c r="O62" s="18"/>
      <c r="P62" s="18"/>
      <c r="Q62" s="18"/>
      <c r="R62" s="18"/>
    </row>
    <row r="63" ht="36" customHeight="1">
      <c r="A63" s="18" t="inlineStr">
        <is>
          <t>2026-10-25T13:30:00+00:00</t>
        </is>
      </c>
      <c r="B63" s="18" t="inlineStr">
        <is>
          <t>PSV Eindhoven vs Feyenoord</t>
        </is>
      </c>
      <c r="C63" s="18" t="inlineStr">
        <is>
          <t>LOST</t>
        </is>
      </c>
      <c r="D63" s="22">
        <f>IF(ISNUMBER(Selections!M59),Selections!M59,"")</f>
        <v>1</v>
      </c>
      <c r="E63" s="22">
        <f>IF(ISNUMBER(Selections!N59),Selections!N59,"")</f>
        <v>-1.0</v>
      </c>
      <c r="F63" s="22">
        <f>SUM($E$10:E63)</f>
        <v>1.9</v>
      </c>
      <c r="G63" s="22">
        <f>$B$4+F63</f>
        <v>101.9</v>
      </c>
      <c r="H63" s="22">
        <f>MAX($B$4,$G$10:G63)</f>
        <v>102.9</v>
      </c>
      <c r="I63" s="22">
        <f>H63-G63</f>
        <v>1.0</v>
      </c>
      <c r="J63" s="18" t="inlineStr">
        <is>
          <t>2026-W43</t>
        </is>
      </c>
      <c r="K63" s="18"/>
      <c r="L63" s="18"/>
      <c r="M63" s="18"/>
      <c r="N63" s="18"/>
      <c r="O63" s="18"/>
      <c r="P63" s="18"/>
      <c r="Q63" s="18"/>
      <c r="R63" s="18"/>
    </row>
    <row r="64" ht="36" customHeight="1">
      <c r="A64" s="18" t="inlineStr">
        <is>
          <t>2026-10-25T14:00:00+00:00</t>
        </is>
      </c>
      <c r="B64" s="18" t="inlineStr">
        <is>
          <t>AS Monaco vs Lille</t>
        </is>
      </c>
      <c r="C64" s="18" t="inlineStr">
        <is>
          <t>WON</t>
        </is>
      </c>
      <c r="D64" s="22">
        <f>IF(ISNUMBER(Selections!M60),Selections!M60,"")</f>
        <v>1</v>
      </c>
      <c r="E64" s="22">
        <f>IF(ISNUMBER(Selections!N60),Selections!N60,"")</f>
        <v>0.25</v>
      </c>
      <c r="F64" s="22">
        <f>SUM($E$10:E64)</f>
        <v>2.15</v>
      </c>
      <c r="G64" s="22">
        <f>$B$4+F64</f>
        <v>102.15</v>
      </c>
      <c r="H64" s="22">
        <f>MAX($B$4,$G$10:G64)</f>
        <v>102.9</v>
      </c>
      <c r="I64" s="22">
        <f>H64-G64</f>
        <v>0.75</v>
      </c>
      <c r="J64" s="18" t="inlineStr">
        <is>
          <t>2026-W43</t>
        </is>
      </c>
      <c r="K64" s="18"/>
      <c r="L64" s="18"/>
      <c r="M64" s="18"/>
      <c r="N64" s="18"/>
      <c r="O64" s="18"/>
      <c r="P64" s="18"/>
      <c r="Q64" s="18"/>
      <c r="R64" s="18"/>
    </row>
    <row r="65" ht="36" customHeight="1">
      <c r="A65" s="18" t="inlineStr">
        <is>
          <t>2026-10-25T14:00:00+00:00</t>
        </is>
      </c>
      <c r="B65" s="18" t="inlineStr">
        <is>
          <t>Crystal Palace vs Newcastle United</t>
        </is>
      </c>
      <c r="C65" s="18" t="inlineStr">
        <is>
          <t>WON</t>
        </is>
      </c>
      <c r="D65" s="22">
        <f>IF(ISNUMBER(Selections!M61),Selections!M61,"")</f>
        <v>1</v>
      </c>
      <c r="E65" s="22">
        <f>IF(ISNUMBER(Selections!N61),Selections!N61,"")</f>
        <v>1.37</v>
      </c>
      <c r="F65" s="22">
        <f>SUM($E$10:E65)</f>
        <v>3.52</v>
      </c>
      <c r="G65" s="22">
        <f>$B$4+F65</f>
        <v>103.52</v>
      </c>
      <c r="H65" s="22">
        <f>MAX($B$4,$G$10:G65)</f>
        <v>103.52</v>
      </c>
      <c r="I65" s="22">
        <f>H65-G65</f>
        <v>0.0</v>
      </c>
      <c r="J65" s="18" t="inlineStr">
        <is>
          <t>2026-W43</t>
        </is>
      </c>
      <c r="K65" s="18"/>
      <c r="L65" s="18"/>
      <c r="M65" s="18"/>
      <c r="N65" s="18"/>
      <c r="O65" s="18"/>
      <c r="P65" s="18"/>
      <c r="Q65" s="18"/>
      <c r="R65" s="18"/>
    </row>
    <row r="66" ht="36" customHeight="1">
      <c r="A66" s="18" t="inlineStr">
        <is>
          <t>2026-10-25T14:00:00+00:00</t>
        </is>
      </c>
      <c r="B66" s="18" t="inlineStr">
        <is>
          <t>Hull City vs Brentford</t>
        </is>
      </c>
      <c r="C66" s="18" t="inlineStr">
        <is>
          <t>WON</t>
        </is>
      </c>
      <c r="D66" s="22">
        <f>IF(ISNUMBER(Selections!M62),Selections!M62,"")</f>
        <v>1</v>
      </c>
      <c r="E66" s="22">
        <f>IF(ISNUMBER(Selections!N62),Selections!N62,"")</f>
        <v>0.6</v>
      </c>
      <c r="F66" s="22">
        <f>SUM($E$10:E66)</f>
        <v>4.12</v>
      </c>
      <c r="G66" s="22">
        <f>$B$4+F66</f>
        <v>104.12</v>
      </c>
      <c r="H66" s="22">
        <f>MAX($B$4,$G$10:G66)</f>
        <v>104.12</v>
      </c>
      <c r="I66" s="22">
        <f>H66-G66</f>
        <v>0.0</v>
      </c>
      <c r="J66" s="18" t="inlineStr">
        <is>
          <t>2026-W43</t>
        </is>
      </c>
      <c r="K66" s="18"/>
      <c r="L66" s="18"/>
      <c r="M66" s="18"/>
      <c r="N66" s="18"/>
      <c r="O66" s="18"/>
      <c r="P66" s="18"/>
      <c r="Q66" s="18"/>
      <c r="R66" s="18"/>
    </row>
    <row r="67" ht="36" customHeight="1">
      <c r="A67" s="18" t="inlineStr">
        <is>
          <t>2026-10-25T14:00:00+00:00</t>
        </is>
      </c>
      <c r="B67" s="18" t="inlineStr">
        <is>
          <t>Atalanta BC vs Frosinone</t>
        </is>
      </c>
      <c r="C67" s="18" t="inlineStr">
        <is>
          <t>LOST</t>
        </is>
      </c>
      <c r="D67" s="22">
        <f>IF(ISNUMBER(Selections!M63),Selections!M63,"")</f>
        <v>1</v>
      </c>
      <c r="E67" s="22">
        <f>IF(ISNUMBER(Selections!N63),Selections!N63,"")</f>
        <v>-1.0</v>
      </c>
      <c r="F67" s="22">
        <f>SUM($E$10:E67)</f>
        <v>3.12</v>
      </c>
      <c r="G67" s="22">
        <f>$B$4+F67</f>
        <v>103.12</v>
      </c>
      <c r="H67" s="22">
        <f>MAX($B$4,$G$10:G67)</f>
        <v>104.12</v>
      </c>
      <c r="I67" s="22">
        <f>H67-G67</f>
        <v>1.0</v>
      </c>
      <c r="J67" s="18" t="inlineStr">
        <is>
          <t>2026-W43</t>
        </is>
      </c>
      <c r="K67" s="18"/>
      <c r="L67" s="18"/>
      <c r="M67" s="18"/>
      <c r="N67" s="18"/>
      <c r="O67" s="18"/>
      <c r="P67" s="18"/>
      <c r="Q67" s="18"/>
      <c r="R67" s="18"/>
    </row>
    <row r="68" ht="36" customHeight="1">
      <c r="A68" s="18" t="inlineStr">
        <is>
          <t>2026-10-25T14:30:00+00:00</t>
        </is>
      </c>
      <c r="B68" s="18" t="inlineStr">
        <is>
          <t>TSG Hoffenheim vs Bayer Leverkusen</t>
        </is>
      </c>
      <c r="C68" s="18" t="inlineStr">
        <is>
          <t>LOST</t>
        </is>
      </c>
      <c r="D68" s="22">
        <f>IF(ISNUMBER(Selections!M64),Selections!M64,"")</f>
        <v>1</v>
      </c>
      <c r="E68" s="22">
        <f>IF(ISNUMBER(Selections!N64),Selections!N64,"")</f>
        <v>-1.0</v>
      </c>
      <c r="F68" s="22">
        <f>SUM($E$10:E68)</f>
        <v>2.12</v>
      </c>
      <c r="G68" s="22">
        <f>$B$4+F68</f>
        <v>102.12</v>
      </c>
      <c r="H68" s="22">
        <f>MAX($B$4,$G$10:G68)</f>
        <v>104.12</v>
      </c>
      <c r="I68" s="22">
        <f>H68-G68</f>
        <v>2.0</v>
      </c>
      <c r="J68" s="18" t="inlineStr">
        <is>
          <t>2026-W43</t>
        </is>
      </c>
      <c r="K68" s="18"/>
      <c r="L68" s="18"/>
      <c r="M68" s="18"/>
      <c r="N68" s="18"/>
      <c r="O68" s="18"/>
      <c r="P68" s="18"/>
      <c r="Q68" s="18"/>
      <c r="R68" s="18"/>
    </row>
    <row r="69" ht="36" customHeight="1">
      <c r="A69" s="18" t="inlineStr">
        <is>
          <t>2026-10-25T15:15:00+00:00</t>
        </is>
      </c>
      <c r="B69" s="18" t="inlineStr">
        <is>
          <t>Celta Vigo vs Real Betis</t>
        </is>
      </c>
      <c r="C69" s="18" t="inlineStr">
        <is>
          <t>UNVERIFIED_FIXTURE_OR_RESULT</t>
        </is>
      </c>
      <c r="D69" s="22" t="str">
        <f>IF(ISNUMBER(Selections!M65),Selections!M65,"")</f>
        <v/>
      </c>
      <c r="E69" s="22" t="str">
        <f>IF(ISNUMBER(Selections!N65),Selections!N65,"")</f>
        <v/>
      </c>
      <c r="F69" s="22">
        <f>SUM($E$10:E69)</f>
        <v>2.12</v>
      </c>
      <c r="G69" s="22">
        <f>$B$4+F69</f>
        <v>102.12</v>
      </c>
      <c r="H69" s="22">
        <f>MAX($B$4,$G$10:G69)</f>
        <v>104.12</v>
      </c>
      <c r="I69" s="22">
        <f>H69-G69</f>
        <v>2.0</v>
      </c>
      <c r="J69" s="18" t="inlineStr">
        <is>
          <t>2026-W43</t>
        </is>
      </c>
      <c r="K69" s="18"/>
      <c r="L69" s="18"/>
      <c r="M69" s="18"/>
      <c r="N69" s="18"/>
      <c r="O69" s="18"/>
      <c r="P69" s="18"/>
      <c r="Q69" s="18"/>
      <c r="R69" s="18"/>
    </row>
    <row r="70" ht="36" customHeight="1">
      <c r="A70" s="18" t="inlineStr">
        <is>
          <t>2026-10-25T15:30:00+00:00</t>
        </is>
      </c>
      <c r="B70" s="18" t="inlineStr">
        <is>
          <t>Estoril vs Moreirense FC</t>
        </is>
      </c>
      <c r="C70" s="18" t="inlineStr">
        <is>
          <t>UNVERIFIED_FIXTURE_OR_RESULT</t>
        </is>
      </c>
      <c r="D70" s="22" t="str">
        <f>IF(ISNUMBER(Selections!M66),Selections!M66,"")</f>
        <v/>
      </c>
      <c r="E70" s="22" t="str">
        <f>IF(ISNUMBER(Selections!N66),Selections!N66,"")</f>
        <v/>
      </c>
      <c r="F70" s="22">
        <f>SUM($E$10:E70)</f>
        <v>2.12</v>
      </c>
      <c r="G70" s="22">
        <f>$B$4+F70</f>
        <v>102.12</v>
      </c>
      <c r="H70" s="22">
        <f>MAX($B$4,$G$10:G70)</f>
        <v>104.12</v>
      </c>
      <c r="I70" s="22">
        <f>H70-G70</f>
        <v>2.0</v>
      </c>
      <c r="J70" s="18" t="inlineStr">
        <is>
          <t>2026-W43</t>
        </is>
      </c>
      <c r="K70" s="18"/>
      <c r="L70" s="18"/>
      <c r="M70" s="18"/>
      <c r="N70" s="18"/>
      <c r="O70" s="18"/>
      <c r="P70" s="18"/>
      <c r="Q70" s="18"/>
      <c r="R70" s="18"/>
    </row>
    <row r="71" ht="36" customHeight="1">
      <c r="A71" s="18" t="inlineStr">
        <is>
          <t>2026-10-25T15:45:00+00:00</t>
        </is>
      </c>
      <c r="B71" s="18" t="inlineStr">
        <is>
          <t>Sparta Rotterdam vs Ajax</t>
        </is>
      </c>
      <c r="C71" s="18" t="inlineStr">
        <is>
          <t>WON</t>
        </is>
      </c>
      <c r="D71" s="22">
        <f>IF(ISNUMBER(Selections!M67),Selections!M67,"")</f>
        <v>1</v>
      </c>
      <c r="E71" s="22">
        <f>IF(ISNUMBER(Selections!N67),Selections!N67,"")</f>
        <v>0.35</v>
      </c>
      <c r="F71" s="22">
        <f>SUM($E$10:E71)</f>
        <v>2.47</v>
      </c>
      <c r="G71" s="22">
        <f>$B$4+F71</f>
        <v>102.47</v>
      </c>
      <c r="H71" s="22">
        <f>MAX($B$4,$G$10:G71)</f>
        <v>104.12</v>
      </c>
      <c r="I71" s="22">
        <f>H71-G71</f>
        <v>1.6500000000000057</v>
      </c>
      <c r="J71" s="18" t="inlineStr">
        <is>
          <t>2026-W43</t>
        </is>
      </c>
      <c r="K71" s="18"/>
      <c r="L71" s="18"/>
      <c r="M71" s="18"/>
      <c r="N71" s="18"/>
      <c r="O71" s="18"/>
      <c r="P71" s="18"/>
      <c r="Q71" s="18"/>
      <c r="R71" s="18"/>
    </row>
    <row r="72" ht="36" customHeight="1">
      <c r="A72" s="18" t="inlineStr">
        <is>
          <t>2026-10-25T16:15:00+00:00</t>
        </is>
      </c>
      <c r="B72" s="18" t="inlineStr">
        <is>
          <t>Marseille vs Le Havre</t>
        </is>
      </c>
      <c r="C72" s="18" t="inlineStr">
        <is>
          <t>WON</t>
        </is>
      </c>
      <c r="D72" s="22">
        <f>IF(ISNUMBER(Selections!M68),Selections!M68,"")</f>
        <v>1</v>
      </c>
      <c r="E72" s="22">
        <f>IF(ISNUMBER(Selections!N68),Selections!N68,"")</f>
        <v>0.15999999999999992</v>
      </c>
      <c r="F72" s="22">
        <f>SUM($E$10:E72)</f>
        <v>2.63</v>
      </c>
      <c r="G72" s="22">
        <f>$B$4+F72</f>
        <v>102.63</v>
      </c>
      <c r="H72" s="22">
        <f>MAX($B$4,$G$10:G72)</f>
        <v>104.12</v>
      </c>
      <c r="I72" s="22">
        <f>H72-G72</f>
        <v>1.490000000000009</v>
      </c>
      <c r="J72" s="18" t="inlineStr">
        <is>
          <t>2026-W43</t>
        </is>
      </c>
      <c r="K72" s="18"/>
      <c r="L72" s="18"/>
      <c r="M72" s="18"/>
      <c r="N72" s="18"/>
      <c r="O72" s="18"/>
      <c r="P72" s="18"/>
      <c r="Q72" s="18"/>
      <c r="R72" s="18"/>
    </row>
    <row r="73" ht="36" customHeight="1">
      <c r="A73" s="18" t="inlineStr">
        <is>
          <t>2026-10-25T16:15:00+00:00</t>
        </is>
      </c>
      <c r="B73" s="18" t="inlineStr">
        <is>
          <t>Toulouse vs Troyes</t>
        </is>
      </c>
      <c r="C73" s="18" t="inlineStr">
        <is>
          <t>LOST</t>
        </is>
      </c>
      <c r="D73" s="22">
        <f>IF(ISNUMBER(Selections!M69),Selections!M69,"")</f>
        <v>1</v>
      </c>
      <c r="E73" s="22">
        <f>IF(ISNUMBER(Selections!N69),Selections!N69,"")</f>
        <v>-1.0</v>
      </c>
      <c r="F73" s="22">
        <f>SUM($E$10:E73)</f>
        <v>1.63</v>
      </c>
      <c r="G73" s="22">
        <f>$B$4+F73</f>
        <v>101.63</v>
      </c>
      <c r="H73" s="22">
        <f>MAX($B$4,$G$10:G73)</f>
        <v>104.12</v>
      </c>
      <c r="I73" s="22">
        <f>H73-G73</f>
        <v>2.490000000000009</v>
      </c>
      <c r="J73" s="18" t="inlineStr">
        <is>
          <t>2026-W43</t>
        </is>
      </c>
      <c r="K73" s="18"/>
      <c r="L73" s="18"/>
      <c r="M73" s="18"/>
      <c r="N73" s="18"/>
      <c r="O73" s="18"/>
      <c r="P73" s="18"/>
      <c r="Q73" s="18"/>
      <c r="R73" s="18"/>
    </row>
    <row r="74" ht="36" customHeight="1">
      <c r="A74" s="18" t="inlineStr">
        <is>
          <t>2026-10-25T16:30:00+00:00</t>
        </is>
      </c>
      <c r="B74" s="18" t="inlineStr">
        <is>
          <t>SC Freiburg vs Bayern Munich</t>
        </is>
      </c>
      <c r="C74" s="18" t="inlineStr">
        <is>
          <t>WON</t>
        </is>
      </c>
      <c r="D74" s="22">
        <f>IF(ISNUMBER(Selections!M70),Selections!M70,"")</f>
        <v>1</v>
      </c>
      <c r="E74" s="22">
        <f>IF(ISNUMBER(Selections!N70),Selections!N70,"")</f>
        <v>0.17999999999999994</v>
      </c>
      <c r="F74" s="22">
        <f>SUM($E$10:E74)</f>
        <v>1.8099999999999998</v>
      </c>
      <c r="G74" s="22">
        <f>$B$4+F74</f>
        <v>101.81</v>
      </c>
      <c r="H74" s="22">
        <f>MAX($B$4,$G$10:G74)</f>
        <v>104.12</v>
      </c>
      <c r="I74" s="22">
        <f>H74-G74</f>
        <v>2.3100000000000023</v>
      </c>
      <c r="J74" s="18" t="inlineStr">
        <is>
          <t>2026-W43</t>
        </is>
      </c>
      <c r="K74" s="18"/>
      <c r="L74" s="18"/>
      <c r="M74" s="18"/>
      <c r="N74" s="18"/>
      <c r="O74" s="18"/>
      <c r="P74" s="18"/>
      <c r="Q74" s="18"/>
      <c r="R74" s="18"/>
    </row>
    <row r="75" ht="36" customHeight="1">
      <c r="A75" s="18" t="inlineStr">
        <is>
          <t>2026-10-25T17:00:00+00:00</t>
        </is>
      </c>
      <c r="B75" s="18" t="inlineStr">
        <is>
          <t>Lecce vs Juventus</t>
        </is>
      </c>
      <c r="C75" s="18" t="inlineStr">
        <is>
          <t>WON</t>
        </is>
      </c>
      <c r="D75" s="22">
        <f>IF(ISNUMBER(Selections!M71),Selections!M71,"")</f>
        <v>1</v>
      </c>
      <c r="E75" s="22">
        <f>IF(ISNUMBER(Selections!N71),Selections!N71,"")</f>
        <v>0.53</v>
      </c>
      <c r="F75" s="22">
        <f>SUM($E$10:E75)</f>
        <v>2.34</v>
      </c>
      <c r="G75" s="22">
        <f>$B$4+F75</f>
        <v>102.34</v>
      </c>
      <c r="H75" s="22">
        <f>MAX($B$4,$G$10:G75)</f>
        <v>104.12</v>
      </c>
      <c r="I75" s="22">
        <f>H75-G75</f>
        <v>1.7800000000000011</v>
      </c>
      <c r="J75" s="18" t="inlineStr">
        <is>
          <t>2026-W43</t>
        </is>
      </c>
      <c r="K75" s="18"/>
      <c r="L75" s="18"/>
      <c r="M75" s="18"/>
      <c r="N75" s="18"/>
      <c r="O75" s="18"/>
      <c r="P75" s="18"/>
      <c r="Q75" s="18"/>
      <c r="R75" s="18"/>
    </row>
    <row r="76" ht="36" customHeight="1">
      <c r="A76" s="18" t="inlineStr">
        <is>
          <t>2026-10-25T17:30:00+00:00</t>
        </is>
      </c>
      <c r="B76" s="18" t="inlineStr">
        <is>
          <t>Real Sociedad vs Levante</t>
        </is>
      </c>
      <c r="C76" s="18" t="inlineStr">
        <is>
          <t>WON</t>
        </is>
      </c>
      <c r="D76" s="22">
        <f>IF(ISNUMBER(Selections!M72),Selections!M72,"")</f>
        <v>1</v>
      </c>
      <c r="E76" s="22">
        <f>IF(ISNUMBER(Selections!N72),Selections!N72,"")</f>
        <v>0.21999999999999997</v>
      </c>
      <c r="F76" s="22">
        <f>SUM($E$10:E76)</f>
        <v>2.5599999999999996</v>
      </c>
      <c r="G76" s="22">
        <f>$B$4+F76</f>
        <v>102.56</v>
      </c>
      <c r="H76" s="22">
        <f>MAX($B$4,$G$10:G76)</f>
        <v>104.12</v>
      </c>
      <c r="I76" s="22">
        <f>H76-G76</f>
        <v>1.5600000000000023</v>
      </c>
      <c r="J76" s="18" t="inlineStr">
        <is>
          <t>2026-W43</t>
        </is>
      </c>
      <c r="K76" s="18"/>
      <c r="L76" s="18"/>
      <c r="M76" s="18"/>
      <c r="N76" s="18"/>
      <c r="O76" s="18"/>
      <c r="P76" s="18"/>
      <c r="Q76" s="18"/>
      <c r="R76" s="18"/>
    </row>
    <row r="77" ht="36" customHeight="1">
      <c r="A77" s="18" t="inlineStr">
        <is>
          <t>2026-10-25T18:00:00+00:00</t>
        </is>
      </c>
      <c r="B77" s="18" t="inlineStr">
        <is>
          <t>Nacional vs Braga</t>
        </is>
      </c>
      <c r="C77" s="18" t="inlineStr">
        <is>
          <t>UNVERIFIED_FIXTURE_OR_RESULT</t>
        </is>
      </c>
      <c r="D77" s="22" t="str">
        <f>IF(ISNUMBER(Selections!M73),Selections!M73,"")</f>
        <v/>
      </c>
      <c r="E77" s="22" t="str">
        <f>IF(ISNUMBER(Selections!N73),Selections!N73,"")</f>
        <v/>
      </c>
      <c r="F77" s="22">
        <f>SUM($E$10:E77)</f>
        <v>2.5599999999999996</v>
      </c>
      <c r="G77" s="22">
        <f>$B$4+F77</f>
        <v>102.56</v>
      </c>
      <c r="H77" s="22">
        <f>MAX($B$4,$G$10:G77)</f>
        <v>104.12</v>
      </c>
      <c r="I77" s="22">
        <f>H77-G77</f>
        <v>1.5600000000000023</v>
      </c>
      <c r="J77" s="18" t="inlineStr">
        <is>
          <t>2026-W43</t>
        </is>
      </c>
      <c r="K77" s="18"/>
      <c r="L77" s="18"/>
      <c r="M77" s="18"/>
      <c r="N77" s="18"/>
      <c r="O77" s="18"/>
      <c r="P77" s="18"/>
      <c r="Q77" s="18"/>
      <c r="R77" s="18"/>
    </row>
    <row r="78" ht="36" customHeight="1">
      <c r="A78" s="18" t="inlineStr">
        <is>
          <t>2026-10-25T18:00:00+00:00</t>
        </is>
      </c>
      <c r="B78" s="18" t="inlineStr">
        <is>
          <t>Rio Ave FC vs Famalicão</t>
        </is>
      </c>
      <c r="C78" s="18" t="inlineStr">
        <is>
          <t>WON</t>
        </is>
      </c>
      <c r="D78" s="22">
        <f>IF(ISNUMBER(Selections!M74),Selections!M74,"")</f>
        <v>1</v>
      </c>
      <c r="E78" s="22">
        <f>IF(ISNUMBER(Selections!N74),Selections!N74,"")</f>
        <v>1.0899999999999999</v>
      </c>
      <c r="F78" s="22">
        <f>SUM($E$10:E78)</f>
        <v>3.6499999999999995</v>
      </c>
      <c r="G78" s="22">
        <f>$B$4+F78</f>
        <v>103.65</v>
      </c>
      <c r="H78" s="22">
        <f>MAX($B$4,$G$10:G78)</f>
        <v>104.12</v>
      </c>
      <c r="I78" s="22">
        <f>H78-G78</f>
        <v>0.46999999999999886</v>
      </c>
      <c r="J78" s="18" t="inlineStr">
        <is>
          <t>2026-W43</t>
        </is>
      </c>
      <c r="K78" s="18"/>
      <c r="L78" s="18"/>
      <c r="M78" s="18"/>
      <c r="N78" s="18"/>
      <c r="O78" s="18"/>
      <c r="P78" s="18"/>
      <c r="Q78" s="18"/>
      <c r="R78" s="18"/>
    </row>
    <row r="79" ht="36" customHeight="1">
      <c r="A79" s="18" t="inlineStr">
        <is>
          <t>2026-10-25T19:45:00+00:00</t>
        </is>
      </c>
      <c r="B79" s="18" t="inlineStr">
        <is>
          <t>Udinese vs AC Milan</t>
        </is>
      </c>
      <c r="C79" s="18" t="inlineStr">
        <is>
          <t>WON</t>
        </is>
      </c>
      <c r="D79" s="22">
        <f>IF(ISNUMBER(Selections!M75),Selections!M75,"")</f>
        <v>1</v>
      </c>
      <c r="E79" s="22">
        <f>IF(ISNUMBER(Selections!N75),Selections!N75,"")</f>
        <v>0.22999999999999998</v>
      </c>
      <c r="F79" s="22">
        <f>SUM($E$10:E79)</f>
        <v>3.8799999999999994</v>
      </c>
      <c r="G79" s="22">
        <f>$B$4+F79</f>
        <v>103.88</v>
      </c>
      <c r="H79" s="22">
        <f>MAX($B$4,$G$10:G79)</f>
        <v>104.12</v>
      </c>
      <c r="I79" s="22">
        <f>H79-G79</f>
        <v>0.2400000000000091</v>
      </c>
      <c r="J79" s="18" t="inlineStr">
        <is>
          <t>2026-W43</t>
        </is>
      </c>
      <c r="K79" s="18"/>
      <c r="L79" s="18"/>
      <c r="M79" s="18"/>
      <c r="N79" s="18"/>
      <c r="O79" s="18"/>
      <c r="P79" s="18"/>
      <c r="Q79" s="18"/>
      <c r="R79" s="18"/>
    </row>
    <row r="80" ht="36" customHeight="1">
      <c r="A80" s="18" t="inlineStr">
        <is>
          <t>2026-10-26T18:45:00+00:00</t>
        </is>
      </c>
      <c r="B80" s="18" t="inlineStr">
        <is>
          <t>Santa Clara vs Benfica</t>
        </is>
      </c>
      <c r="C80" s="18" t="inlineStr">
        <is>
          <t>UNVERIFIED_FIXTURE_OR_RESULT</t>
        </is>
      </c>
      <c r="D80" s="22" t="str">
        <f>IF(ISNUMBER(Selections!M76),Selections!M76,"")</f>
        <v/>
      </c>
      <c r="E80" s="22" t="str">
        <f>IF(ISNUMBER(Selections!N76),Selections!N76,"")</f>
        <v/>
      </c>
      <c r="F80" s="22">
        <f>SUM($E$10:E80)</f>
        <v>3.8799999999999994</v>
      </c>
      <c r="G80" s="22">
        <f>$B$4+F80</f>
        <v>103.88</v>
      </c>
      <c r="H80" s="22">
        <f>MAX($B$4,$G$10:G80)</f>
        <v>104.12</v>
      </c>
      <c r="I80" s="22">
        <f>H80-G80</f>
        <v>0.2400000000000091</v>
      </c>
      <c r="J80" s="18" t="inlineStr">
        <is>
          <t>2026-W44</t>
        </is>
      </c>
      <c r="K80" s="18"/>
      <c r="L80" s="18"/>
      <c r="M80" s="18"/>
      <c r="N80" s="18"/>
      <c r="O80" s="18"/>
      <c r="P80" s="18"/>
      <c r="Q80" s="18"/>
      <c r="R80" s="18"/>
    </row>
    <row r="81" ht="36" customHeight="1">
      <c r="A81" s="18" t="inlineStr">
        <is>
          <t>2026-10-26T19:30:00+00:00</t>
        </is>
      </c>
      <c r="B81" s="18" t="inlineStr">
        <is>
          <t>Paris Saint Germain vs Lyon</t>
        </is>
      </c>
      <c r="C81" s="18" t="inlineStr">
        <is>
          <t>UNVERIFIED_FIXTURE_OR_RESULT</t>
        </is>
      </c>
      <c r="D81" s="22" t="str">
        <f>IF(ISNUMBER(Selections!M77),Selections!M77,"")</f>
        <v/>
      </c>
      <c r="E81" s="22" t="str">
        <f>IF(ISNUMBER(Selections!N77),Selections!N77,"")</f>
        <v/>
      </c>
      <c r="F81" s="22">
        <f>SUM($E$10:E81)</f>
        <v>3.8799999999999994</v>
      </c>
      <c r="G81" s="22">
        <f>$B$4+F81</f>
        <v>103.88</v>
      </c>
      <c r="H81" s="22">
        <f>MAX($B$4,$G$10:G81)</f>
        <v>104.12</v>
      </c>
      <c r="I81" s="22">
        <f>H81-G81</f>
        <v>0.2400000000000091</v>
      </c>
      <c r="J81" s="18" t="inlineStr">
        <is>
          <t>2026-W44</t>
        </is>
      </c>
      <c r="K81" s="18"/>
      <c r="L81" s="18"/>
      <c r="M81" s="18"/>
      <c r="N81" s="18"/>
      <c r="O81" s="18"/>
      <c r="P81" s="18"/>
      <c r="Q81" s="18"/>
      <c r="R81" s="18"/>
    </row>
    <row r="82" ht="36" customHeight="1">
      <c r="A82" s="18" t="inlineStr">
        <is>
          <t>2026-10-27T19:45:00+00:00</t>
        </is>
      </c>
      <c r="B82" s="18" t="inlineStr">
        <is>
          <t>AS Roma vs Cagliari</t>
        </is>
      </c>
      <c r="C82" s="18" t="inlineStr">
        <is>
          <t>REFUNDED</t>
        </is>
      </c>
      <c r="D82" s="22">
        <f>IF(ISNUMBER(Selections!M78),Selections!M78,"")</f>
        <v>1</v>
      </c>
      <c r="E82" s="22">
        <f>IF(ISNUMBER(Selections!N78),Selections!N78,"")</f>
        <v>0.0</v>
      </c>
      <c r="F82" s="22">
        <f>SUM($E$10:E82)</f>
        <v>3.8799999999999994</v>
      </c>
      <c r="G82" s="22">
        <f>$B$4+F82</f>
        <v>103.88</v>
      </c>
      <c r="H82" s="22">
        <f>MAX($B$4,$G$10:G82)</f>
        <v>104.12</v>
      </c>
      <c r="I82" s="22">
        <f>H82-G82</f>
        <v>0.2400000000000091</v>
      </c>
      <c r="J82" s="18" t="inlineStr">
        <is>
          <t>2026-W44</t>
        </is>
      </c>
      <c r="K82" s="18"/>
      <c r="L82" s="18"/>
      <c r="M82" s="18"/>
      <c r="N82" s="18"/>
      <c r="O82" s="18"/>
      <c r="P82" s="18"/>
      <c r="Q82" s="18"/>
      <c r="R82" s="18"/>
    </row>
    <row r="83" ht="36" customHeight="1">
      <c r="A83" s="18" t="inlineStr">
        <is>
          <t>2026-10-29T19:45:00+00:00</t>
        </is>
      </c>
      <c r="B83" s="18" t="inlineStr">
        <is>
          <t>Fiorentina vs Atalanta BC</t>
        </is>
      </c>
      <c r="C83" s="18" t="inlineStr">
        <is>
          <t>PENDING_KICKOFF_OR_FINAL_SCORE</t>
        </is>
      </c>
      <c r="D83" s="22" t="str">
        <f>IF(ISNUMBER(Selections!M79),Selections!M79,"")</f>
        <v/>
      </c>
      <c r="E83" s="22" t="str">
        <f>IF(ISNUMBER(Selections!N79),Selections!N79,"")</f>
        <v/>
      </c>
      <c r="F83" s="22">
        <f>SUM($E$10:E83)</f>
        <v>3.8799999999999994</v>
      </c>
      <c r="G83" s="22">
        <f>$B$4+F83</f>
        <v>103.88</v>
      </c>
      <c r="H83" s="22">
        <f>MAX($B$4,$G$10:G83)</f>
        <v>104.12</v>
      </c>
      <c r="I83" s="22">
        <f>H83-G83</f>
        <v>0.2400000000000091</v>
      </c>
      <c r="J83" s="18" t="inlineStr">
        <is>
          <t>2026-W44</t>
        </is>
      </c>
      <c r="K83" s="18"/>
      <c r="L83" s="18"/>
      <c r="M83" s="18"/>
      <c r="N83" s="18"/>
      <c r="O83" s="18"/>
      <c r="P83" s="18"/>
      <c r="Q83" s="18"/>
      <c r="R83" s="18"/>
    </row>
  </sheetData>
  <mergeCells count="1">
    <mergeCell ref="A2:J2"/>
  </mergeCells>
  <conditionalFormatting sqref="E10:E83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COUNTA(Selections!$A$6:$A$79)</f>
        <v>74</v>
      </c>
      <c r="D6" s="19">
        <f>((COUNTIFS(Selections!$K$6:$K$79,"WON")+COUNTIFS(Selections!$K$6:$K$79,"HALF_WON"))+(COUNTIFS(Selections!$K$6:$K$79,"LOST")+COUNTIFS(Selections!$K$6:$K$79,"HALF_LOST"))+COUNTIFS(Selections!$K$6:$K$79,"REFUNDED"))</f>
        <v>61</v>
      </c>
      <c r="E6" s="19">
        <f>(COUNTIFS(Selections!$K$6:$K$79,"WON")+COUNTIFS(Selections!$K$6:$K$79,"HALF_WON"))</f>
        <v>46</v>
      </c>
      <c r="F6" s="19">
        <f>(COUNTIFS(Selections!$K$6:$K$79,"LOST")+COUNTIFS(Selections!$K$6:$K$79,"HALF_LOST"))</f>
        <v>14</v>
      </c>
      <c r="G6" s="19">
        <f>COUNTA(Selections!$A$6:$A$79)-((COUNTIFS(Selections!$K$6:$K$79,"WON")+COUNTIFS(Selections!$K$6:$K$79,"HALF_WON"))+(COUNTIFS(Selections!$K$6:$K$79,"LOST")+COUNTIFS(Selections!$K$6:$K$79,"HALF_LOST"))+COUNTIFS(Selections!$K$6:$K$79,"REFUNDED"))</f>
        <v>13</v>
      </c>
      <c r="H6" s="20">
        <f>IF(((COUNTIFS(Selections!$K$6:$K$79,"WON")+COUNTIFS(Selections!$K$6:$K$79,"HALF_WON"))+(COUNTIFS(Selections!$K$6:$K$79,"LOST")+COUNTIFS(Selections!$K$6:$K$79,"HALF_LOST"))+COUNTIFS(Selections!$K$6:$K$79,"REFUNDED"))=0,"n.a.",(COUNTIFS(Selections!$K$6:$K$79,"WON")+COUNTIFS(Selections!$K$6:$K$79,"HALF_WON"))/((COUNTIFS(Selections!$K$6:$K$79,"WON")+COUNTIFS(Selections!$K$6:$K$79,"HALF_WON"))+(COUNTIFS(Selections!$K$6:$K$79,"LOST")+COUNTIFS(Selections!$K$6:$K$79,"HALF_LOST"))+COUNTIFS(Selections!$K$6:$K$79,"REFUNDED")))</f>
        <v>0.7540983606557377</v>
      </c>
      <c r="I6" s="22">
        <f>SUM(Selections!$M$6:$M$79)</f>
        <v>61</v>
      </c>
      <c r="J6" s="22">
        <f>SUM(Selections!$N$6:$N$79)</f>
        <v>3.879999999999999</v>
      </c>
      <c r="K6" s="20">
        <f>IF(SUM(Selections!$M$6:$M$79)=0,"n.a.",SUM(Selections!$N$6:$N$79)/SUM(Selections!$M$6:$M$79))</f>
        <v>0.06360655737704916</v>
      </c>
      <c r="L6" s="21">
        <f>IF(SUM(Selections!$T$6:$T$79)=0,"n.a.",SUM(Selections!$O$6:$O$79)/SUM(Selections!$T$6:$T$79))</f>
        <v>0.1514546029633793</v>
      </c>
      <c r="M6" s="20">
        <f>IF(SUM(Selections!$T$6:$T$79)=0,"n.a.",SUM(Selections!$S$6:$S$79)/SUM(Selections!$T$6:$T$79))</f>
        <v>0.7471701633791901</v>
      </c>
      <c r="N6" s="20">
        <f>IF(SUM(Selections!$T$6:$T$79)=0,"n.a.",(SUMIFS(Selections!$L$6:$L$79,Selections!$T$6:$T$79,1))/SUM(Selections!$T$6:$T$79))</f>
        <v>0.7704918032786885</v>
      </c>
      <c r="O6" s="20">
        <f>IF(SUM(Selections!$T$6:$T$79)=0,"n.a.",(SUM(Selections!$S$6:$S$79)-(SUMIFS(Selections!$L$6:$L$79,Selections!$T$6:$T$79,1)))/SUM(Selections!$T$6:$T$79))</f>
        <v>-0.023321639899498425</v>
      </c>
      <c r="P6" s="19">
        <f>SUM(Selections!$T$6:$T$79)</f>
        <v>61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Continue forward testing. No automatic model change.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COUNTIFS(Selections!$F$6:$F$79,"STRICT")</f>
        <v>45</v>
      </c>
      <c r="D7" s="19">
        <f>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</f>
        <v>34</v>
      </c>
      <c r="E7" s="19">
        <f>(COUNTIFS(Selections!$F$6:$F$79,"STRICT",Selections!$K$6:$K$79,"WON")+COUNTIFS(Selections!$F$6:$F$79,"STRICT",Selections!$K$6:$K$79,"HALF_WON"))</f>
        <v>28</v>
      </c>
      <c r="F7" s="19">
        <f>(COUNTIFS(Selections!$F$6:$F$79,"STRICT",Selections!$K$6:$K$79,"LOST")+COUNTIFS(Selections!$F$6:$F$79,"STRICT",Selections!$K$6:$K$79,"HALF_LOST"))</f>
        <v>5</v>
      </c>
      <c r="G7" s="19">
        <f>COUNTIFS(Selections!$F$6:$F$79,"STRICT")-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</f>
        <v>11</v>
      </c>
      <c r="H7" s="20">
        <f>IF(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=0,"n.a.",(COUNTIFS(Selections!$F$6:$F$79,"STRICT",Selections!$K$6:$K$79,"WON")+COUNTIFS(Selections!$F$6:$F$79,"STRICT",Selections!$K$6:$K$79,"HALF_WON"))/((COUNTIFS(Selections!$F$6:$F$79,"STRICT",Selections!$K$6:$K$79,"WON")+COUNTIFS(Selections!$F$6:$F$79,"STRICT",Selections!$K$6:$K$79,"HALF_WON"))+(COUNTIFS(Selections!$F$6:$F$79,"STRICT",Selections!$K$6:$K$79,"LOST")+COUNTIFS(Selections!$F$6:$F$79,"STRICT",Selections!$K$6:$K$79,"HALF_LOST"))+COUNTIFS(Selections!$F$6:$F$79,"STRICT",Selections!$K$6:$K$79,"REFUNDED")))</f>
        <v>0.8235294117647058</v>
      </c>
      <c r="I7" s="22">
        <f>SUMIFS(Selections!$M$6:$M$79,Selections!$F$6:$F$79,"STRICT")</f>
        <v>34</v>
      </c>
      <c r="J7" s="22">
        <f>SUMIFS(Selections!$N$6:$N$79,Selections!$F$6:$F$79,"STRICT")</f>
        <v>6.77</v>
      </c>
      <c r="K7" s="20">
        <f>IF(SUMIFS(Selections!$M$6:$M$79,Selections!$F$6:$F$79,"STRICT")=0,"n.a.",SUMIFS(Selections!$N$6:$N$79,Selections!$F$6:$F$79,"STRICT")/SUMIFS(Selections!$M$6:$M$79,Selections!$F$6:$F$79,"STRICT"))</f>
        <v>0.1991176470588235</v>
      </c>
      <c r="L7" s="21">
        <f>IF(SUMIFS(Selections!$T$6:$T$79,Selections!$F$6:$F$79,"STRICT")=0,"n.a.",SUMIFS(Selections!$O$6:$O$79,Selections!$F$6:$F$79,"STRICT")/SUMIFS(Selections!$T$6:$T$79,Selections!$F$6:$F$79,"STRICT"))</f>
        <v>0.10511102590058027</v>
      </c>
      <c r="M7" s="20">
        <f>IF(SUMIFS(Selections!$T$6:$T$79,Selections!$F$6:$F$79,"STRICT")=0,"n.a.",SUMIFS(Selections!$S$6:$S$79,Selections!$F$6:$F$79,"STRICT")/SUMIFS(Selections!$T$6:$T$79,Selections!$F$6:$F$79,"STRICT"))</f>
        <v>0.7371029186088693</v>
      </c>
      <c r="N7" s="20">
        <f>IF(SUMIFS(Selections!$T$6:$T$79,Selections!$F$6:$F$79,"STRICT")=0,"n.a.",(SUMIFS(Selections!$L$6:$L$79,Selections!$F$6:$F$79,"STRICT",Selections!$T$6:$T$79,1))/SUMIFS(Selections!$T$6:$T$79,Selections!$F$6:$F$79,"STRICT"))</f>
        <v>0.8529411764705882</v>
      </c>
      <c r="O7" s="20">
        <f>IF(SUMIFS(Selections!$T$6:$T$79,Selections!$F$6:$F$79,"STRICT")=0,"n.a.",(SUMIFS(Selections!$S$6:$S$79,Selections!$F$6:$F$79,"STRICT")-(SUMIFS(Selections!$L$6:$L$79,Selections!$F$6:$F$79,"STRICT",Selections!$T$6:$T$79,1)))/SUMIFS(Selections!$T$6:$T$79,Selections!$F$6:$F$79,"STRICT"))</f>
        <v>-0.11583825786171886</v>
      </c>
      <c r="P7" s="19">
        <f>SUMIFS(Selections!$T$6:$T$79,Selections!$F$6:$F$79,"STRICT")</f>
        <v>34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Continue forward testing. No automatic model change.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COUNTIFS(Selections!$F$6:$F$79,"PROVISIONAL")</f>
        <v>29</v>
      </c>
      <c r="D8" s="19">
        <f>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</f>
        <v>27</v>
      </c>
      <c r="E8" s="19">
        <f>(COUNTIFS(Selections!$F$6:$F$79,"PROVISIONAL",Selections!$K$6:$K$79,"WON")+COUNTIFS(Selections!$F$6:$F$79,"PROVISIONAL",Selections!$K$6:$K$79,"HALF_WON"))</f>
        <v>18</v>
      </c>
      <c r="F8" s="19">
        <f>(COUNTIFS(Selections!$F$6:$F$79,"PROVISIONAL",Selections!$K$6:$K$79,"LOST")+COUNTIFS(Selections!$F$6:$F$79,"PROVISIONAL",Selections!$K$6:$K$79,"HALF_LOST"))</f>
        <v>9</v>
      </c>
      <c r="G8" s="19">
        <f>COUNTIFS(Selections!$F$6:$F$79,"PROVISIONAL")-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</f>
        <v>2</v>
      </c>
      <c r="H8" s="20">
        <f>IF(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=0,"n.a.",(COUNTIFS(Selections!$F$6:$F$79,"PROVISIONAL",Selections!$K$6:$K$79,"WON")+COUNTIFS(Selections!$F$6:$F$79,"PROVISIONAL",Selections!$K$6:$K$79,"HALF_WON"))/((COUNTIFS(Selections!$F$6:$F$79,"PROVISIONAL",Selections!$K$6:$K$79,"WON")+COUNTIFS(Selections!$F$6:$F$79,"PROVISIONAL",Selections!$K$6:$K$79,"HALF_WON"))+(COUNTIFS(Selections!$F$6:$F$79,"PROVISIONAL",Selections!$K$6:$K$79,"LOST")+COUNTIFS(Selections!$F$6:$F$79,"PROVISIONAL",Selections!$K$6:$K$79,"HALF_LOST"))+COUNTIFS(Selections!$F$6:$F$79,"PROVISIONAL",Selections!$K$6:$K$79,"REFUNDED")))</f>
        <v>0.6666666666666666</v>
      </c>
      <c r="I8" s="22">
        <f>SUMIFS(Selections!$M$6:$M$79,Selections!$F$6:$F$79,"PROVISIONAL")</f>
        <v>27</v>
      </c>
      <c r="J8" s="22">
        <f>SUMIFS(Selections!$N$6:$N$79,Selections!$F$6:$F$79,"PROVISIONAL")</f>
        <v>-2.8900000000000006</v>
      </c>
      <c r="K8" s="20">
        <f>IF(SUMIFS(Selections!$M$6:$M$79,Selections!$F$6:$F$79,"PROVISIONAL")=0,"n.a.",SUMIFS(Selections!$N$6:$N$79,Selections!$F$6:$F$79,"PROVISIONAL")/SUMIFS(Selections!$M$6:$M$79,Selections!$F$6:$F$79,"PROVISIONAL"))</f>
        <v>-0.10703703703703706</v>
      </c>
      <c r="L8" s="21">
        <f>IF(SUMIFS(Selections!$T$6:$T$79,Selections!$F$6:$F$79,"PROVISIONAL")=0,"n.a.",SUMIFS(Selections!$O$6:$O$79,Selections!$F$6:$F$79,"PROVISIONAL")/SUMIFS(Selections!$T$6:$T$79,Selections!$F$6:$F$79,"PROVISIONAL"))</f>
        <v>0.20981318148690395</v>
      </c>
      <c r="M8" s="20">
        <f>IF(SUMIFS(Selections!$T$6:$T$79,Selections!$F$6:$F$79,"PROVISIONAL")=0,"n.a.",SUMIFS(Selections!$S$6:$S$79,Selections!$F$6:$F$79,"PROVISIONAL")/SUMIFS(Selections!$T$6:$T$79,Selections!$F$6:$F$79,"PROVISIONAL"))</f>
        <v>0.7598474345714459</v>
      </c>
      <c r="N8" s="20">
        <f>IF(SUMIFS(Selections!$T$6:$T$79,Selections!$F$6:$F$79,"PROVISIONAL")=0,"n.a.",(SUMIFS(Selections!$L$6:$L$79,Selections!$F$6:$F$79,"PROVISIONAL",Selections!$T$6:$T$79,1))/SUMIFS(Selections!$T$6:$T$79,Selections!$F$6:$F$79,"PROVISIONAL"))</f>
        <v>0.6666666666666666</v>
      </c>
      <c r="O8" s="20">
        <f>IF(SUMIFS(Selections!$T$6:$T$79,Selections!$F$6:$F$79,"PROVISIONAL")=0,"n.a.",(SUMIFS(Selections!$S$6:$S$79,Selections!$F$6:$F$79,"PROVISIONAL")-(SUMIFS(Selections!$L$6:$L$79,Selections!$F$6:$F$79,"PROVISIONAL",Selections!$T$6:$T$79,1)))/SUMIFS(Selections!$T$6:$T$79,Selections!$F$6:$F$79,"PROVISIONAL"))</f>
        <v>0.09318076790477925</v>
      </c>
      <c r="P8" s="19">
        <f>SUMIFS(Selections!$T$6:$T$79,Selections!$F$6:$F$79,"PROVISIONAL")</f>
        <v>27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(n=27).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COUNTIFS(Selections!$C$6:$C$79,"Bundesliga")</f>
        <v>8</v>
      </c>
      <c r="D9" s="19">
        <f>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</f>
        <v>8</v>
      </c>
      <c r="E9" s="19">
        <f>(COUNTIFS(Selections!$C$6:$C$79,"Bundesliga",Selections!$K$6:$K$79,"WON")+COUNTIFS(Selections!$C$6:$C$79,"Bundesliga",Selections!$K$6:$K$79,"HALF_WON"))</f>
        <v>7</v>
      </c>
      <c r="F9" s="19">
        <f>(COUNTIFS(Selections!$C$6:$C$79,"Bundesliga",Selections!$K$6:$K$79,"LOST")+COUNTIFS(Selections!$C$6:$C$79,"Bundesliga",Selections!$K$6:$K$79,"HALF_LOST"))</f>
        <v>1</v>
      </c>
      <c r="G9" s="19">
        <f>COUNTIFS(Selections!$C$6:$C$79,"Bundesliga")-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</f>
        <v>0</v>
      </c>
      <c r="H9" s="20">
        <f>IF(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=0,"n.a.",(COUNTIFS(Selections!$C$6:$C$79,"Bundesliga",Selections!$K$6:$K$79,"WON")+COUNTIFS(Selections!$C$6:$C$79,"Bundesliga",Selections!$K$6:$K$79,"HALF_WON"))/((COUNTIFS(Selections!$C$6:$C$79,"Bundesliga",Selections!$K$6:$K$79,"WON")+COUNTIFS(Selections!$C$6:$C$79,"Bundesliga",Selections!$K$6:$K$79,"HALF_WON"))+(COUNTIFS(Selections!$C$6:$C$79,"Bundesliga",Selections!$K$6:$K$79,"LOST")+COUNTIFS(Selections!$C$6:$C$79,"Bundesliga",Selections!$K$6:$K$79,"HALF_LOST"))+COUNTIFS(Selections!$C$6:$C$79,"Bundesliga",Selections!$K$6:$K$79,"REFUNDED")))</f>
        <v>0.875</v>
      </c>
      <c r="I9" s="22">
        <f>SUMIFS(Selections!$M$6:$M$79,Selections!$C$6:$C$79,"Bundesliga")</f>
        <v>8</v>
      </c>
      <c r="J9" s="22">
        <f>SUMIFS(Selections!$N$6:$N$79,Selections!$C$6:$C$79,"Bundesliga")</f>
        <v>0.8599999999999999</v>
      </c>
      <c r="K9" s="20">
        <f>IF(SUMIFS(Selections!$M$6:$M$79,Selections!$C$6:$C$79,"Bundesliga")=0,"n.a.",SUMIFS(Selections!$N$6:$N$79,Selections!$C$6:$C$79,"Bundesliga")/SUMIFS(Selections!$M$6:$M$79,Selections!$C$6:$C$79,"Bundesliga"))</f>
        <v>0.10749999999999998</v>
      </c>
      <c r="L9" s="21">
        <f>IF(SUMIFS(Selections!$T$6:$T$79,Selections!$C$6:$C$79,"Bundesliga")=0,"n.a.",SUMIFS(Selections!$O$6:$O$79,Selections!$C$6:$C$79,"Bundesliga")/SUMIFS(Selections!$T$6:$T$79,Selections!$C$6:$C$79,"Bundesliga"))</f>
        <v>0.05476987785554626</v>
      </c>
      <c r="M9" s="20">
        <f>IF(SUMIFS(Selections!$T$6:$T$79,Selections!$C$6:$C$79,"Bundesliga")=0,"n.a.",SUMIFS(Selections!$S$6:$S$79,Selections!$C$6:$C$79,"Bundesliga")/SUMIFS(Selections!$T$6:$T$79,Selections!$C$6:$C$79,"Bundesliga"))</f>
        <v>0.7834511017749206</v>
      </c>
      <c r="N9" s="20">
        <f>IF(SUMIFS(Selections!$T$6:$T$79,Selections!$C$6:$C$79,"Bundesliga")=0,"n.a.",(SUMIFS(Selections!$L$6:$L$79,Selections!$C$6:$C$79,"Bundesliga",Selections!$T$6:$T$79,1))/SUMIFS(Selections!$T$6:$T$79,Selections!$C$6:$C$79,"Bundesliga"))</f>
        <v>0.875</v>
      </c>
      <c r="O9" s="20">
        <f>IF(SUMIFS(Selections!$T$6:$T$79,Selections!$C$6:$C$79,"Bundesliga")=0,"n.a.",(SUMIFS(Selections!$S$6:$S$79,Selections!$C$6:$C$79,"Bundesliga")-(SUMIFS(Selections!$L$6:$L$79,Selections!$C$6:$C$79,"Bundesliga",Selections!$T$6:$T$79,1)))/SUMIFS(Selections!$T$6:$T$79,Selections!$C$6:$C$79,"Bundesliga"))</f>
        <v>-0.09154889822507939</v>
      </c>
      <c r="P9" s="19">
        <f>SUMIFS(Selections!$T$6:$T$79,Selections!$C$6:$C$79,"Bundesliga")</f>
        <v>8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(n=8).</v>
      </c>
      <c r="R9" s="18"/>
    </row>
    <row r="10" ht="36" customHeight="1">
      <c r="A10" s="18" t="inlineStr">
        <is>
          <t>League</t>
        </is>
      </c>
      <c r="B10" s="18" t="inlineStr">
        <is>
          <t>Eredivisie</t>
        </is>
      </c>
      <c r="C10" s="19">
        <f>COUNTIFS(Selections!$C$6:$C$79,"Eredivisie")</f>
        <v>3</v>
      </c>
      <c r="D10" s="19">
        <f>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</f>
        <v>2</v>
      </c>
      <c r="E10" s="19">
        <f>(COUNTIFS(Selections!$C$6:$C$79,"Eredivisie",Selections!$K$6:$K$79,"WON")+COUNTIFS(Selections!$C$6:$C$79,"Eredivisie",Selections!$K$6:$K$79,"HALF_WON"))</f>
        <v>1</v>
      </c>
      <c r="F10" s="19">
        <f>(COUNTIFS(Selections!$C$6:$C$79,"Eredivisie",Selections!$K$6:$K$79,"LOST")+COUNTIFS(Selections!$C$6:$C$79,"Eredivisie",Selections!$K$6:$K$79,"HALF_LOST"))</f>
        <v>1</v>
      </c>
      <c r="G10" s="19">
        <f>COUNTIFS(Selections!$C$6:$C$79,"Eredivisie")-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</f>
        <v>1</v>
      </c>
      <c r="H10" s="20">
        <f>IF(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=0,"n.a.",(COUNTIFS(Selections!$C$6:$C$79,"Eredivisie",Selections!$K$6:$K$79,"WON")+COUNTIFS(Selections!$C$6:$C$79,"Eredivisie",Selections!$K$6:$K$79,"HALF_WON"))/((COUNTIFS(Selections!$C$6:$C$79,"Eredivisie",Selections!$K$6:$K$79,"WON")+COUNTIFS(Selections!$C$6:$C$79,"Eredivisie",Selections!$K$6:$K$79,"HALF_WON"))+(COUNTIFS(Selections!$C$6:$C$79,"Eredivisie",Selections!$K$6:$K$79,"LOST")+COUNTIFS(Selections!$C$6:$C$79,"Eredivisie",Selections!$K$6:$K$79,"HALF_LOST"))+COUNTIFS(Selections!$C$6:$C$79,"Eredivisie",Selections!$K$6:$K$79,"REFUNDED")))</f>
        <v>0.5</v>
      </c>
      <c r="I10" s="22">
        <f>SUMIFS(Selections!$M$6:$M$79,Selections!$C$6:$C$79,"Eredivisie")</f>
        <v>2</v>
      </c>
      <c r="J10" s="22">
        <f>SUMIFS(Selections!$N$6:$N$79,Selections!$C$6:$C$79,"Eredivisie")</f>
        <v>-0.65</v>
      </c>
      <c r="K10" s="20">
        <f>IF(SUMIFS(Selections!$M$6:$M$79,Selections!$C$6:$C$79,"Eredivisie")=0,"n.a.",SUMIFS(Selections!$N$6:$N$79,Selections!$C$6:$C$79,"Eredivisie")/SUMIFS(Selections!$M$6:$M$79,Selections!$C$6:$C$79,"Eredivisie"))</f>
        <v>-0.325</v>
      </c>
      <c r="L10" s="21">
        <f>IF(SUMIFS(Selections!$T$6:$T$79,Selections!$C$6:$C$79,"Eredivisie")=0,"n.a.",SUMIFS(Selections!$O$6:$O$79,Selections!$C$6:$C$79,"Eredivisie")/SUMIFS(Selections!$T$6:$T$79,Selections!$C$6:$C$79,"Eredivisie"))</f>
        <v>0.14257965392608346</v>
      </c>
      <c r="M10" s="20">
        <f>IF(SUMIFS(Selections!$T$6:$T$79,Selections!$C$6:$C$79,"Eredivisie")=0,"n.a.",SUMIFS(Selections!$S$6:$S$79,Selections!$C$6:$C$79,"Eredivisie")/SUMIFS(Selections!$T$6:$T$79,Selections!$C$6:$C$79,"Eredivisie"))</f>
        <v>0.6505937799294621</v>
      </c>
      <c r="N10" s="20">
        <f>IF(SUMIFS(Selections!$T$6:$T$79,Selections!$C$6:$C$79,"Eredivisie")=0,"n.a.",(SUMIFS(Selections!$L$6:$L$79,Selections!$C$6:$C$79,"Eredivisie",Selections!$T$6:$T$79,1))/SUMIFS(Selections!$T$6:$T$79,Selections!$C$6:$C$79,"Eredivisie"))</f>
        <v>0.5</v>
      </c>
      <c r="O10" s="20">
        <f>IF(SUMIFS(Selections!$T$6:$T$79,Selections!$C$6:$C$79,"Eredivisie")=0,"n.a.",(SUMIFS(Selections!$S$6:$S$79,Selections!$C$6:$C$79,"Eredivisie")-(SUMIFS(Selections!$L$6:$L$79,Selections!$C$6:$C$79,"Eredivisie",Selections!$T$6:$T$79,1)))/SUMIFS(Selections!$T$6:$T$79,Selections!$C$6:$C$79,"Eredivisie"))</f>
        <v>0.1505937799294621</v>
      </c>
      <c r="P10" s="19">
        <f>SUMIFS(Selections!$T$6:$T$79,Selections!$C$6:$C$79,"Eredivisie")</f>
        <v>2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(n=2).</v>
      </c>
      <c r="R10" s="18"/>
    </row>
    <row r="11" ht="36" customHeight="1">
      <c r="A11" s="18" t="inlineStr">
        <is>
          <t>League</t>
        </is>
      </c>
      <c r="B11" s="18" t="inlineStr">
        <is>
          <t>La Liga</t>
        </is>
      </c>
      <c r="C11" s="19">
        <f>COUNTIFS(Selections!$C$6:$C$79,"La Liga")</f>
        <v>13</v>
      </c>
      <c r="D11" s="19">
        <f>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</f>
        <v>10</v>
      </c>
      <c r="E11" s="19">
        <f>(COUNTIFS(Selections!$C$6:$C$79,"La Liga",Selections!$K$6:$K$79,"WON")+COUNTIFS(Selections!$C$6:$C$79,"La Liga",Selections!$K$6:$K$79,"HALF_WON"))</f>
        <v>10</v>
      </c>
      <c r="F11" s="19">
        <f>(COUNTIFS(Selections!$C$6:$C$79,"La Liga",Selections!$K$6:$K$79,"LOST")+COUNTIFS(Selections!$C$6:$C$79,"La Liga",Selections!$K$6:$K$79,"HALF_LOST"))</f>
        <v>0</v>
      </c>
      <c r="G11" s="19">
        <f>COUNTIFS(Selections!$C$6:$C$79,"La Liga")-((COUNTIFS(Selections!$C$6:$C$79,"La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</f>
        <v>3</v>
      </c>
      <c r="H11" s="20">
        <f>IF(((COUNTIFS(Selections!$C$6:$C$79,"La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Liga",Selections!$K$6:$K$79,"REFUNDED"))=0,"n.a.",(COUNTIFS(Selections!$C$6:$C$79,"La Liga",Selections!$K$6:$K$79,"WON")+COUNTIFS(Selections!$C$6:$C$79,"La Liga",Selections!$K$6:$K$79,"HALF_WON"))/((COUNTIFS(Selections!$C$6:$C$79,"La Liga",Selections!$K$6:$K$79,"WON")+COUNTIFS(Selections!$C$6:$C$79,"La Liga",Selections!$K$6:$K$79,"HALF_WON"))+(COUNTIFS(Selections!$C$6:$C$79,"La Liga",Selections!$K$6:$K$79,"LOST")+COUNTIFS(Selections!$C$6:$C$79,"La Liga",Selections!$K$6:$K$79,"HALF_LOST"))+COUNTIFS(Selections!$C$6:$C$79,"La Liga",Selections!$K$6:$K$79,"REFUNDED")))</f>
        <v>1.0</v>
      </c>
      <c r="I11" s="22">
        <f>SUMIFS(Selections!$M$6:$M$79,Selections!$C$6:$C$79,"La Liga")</f>
        <v>10</v>
      </c>
      <c r="J11" s="22">
        <f>SUMIFS(Selections!$N$6:$N$79,Selections!$C$6:$C$79,"La Liga")</f>
        <v>3.3499999999999996</v>
      </c>
      <c r="K11" s="20">
        <f>IF(SUMIFS(Selections!$M$6:$M$79,Selections!$C$6:$C$79,"La Liga")=0,"n.a.",SUMIFS(Selections!$N$6:$N$79,Selections!$C$6:$C$79,"La Liga")/SUMIFS(Selections!$M$6:$M$79,Selections!$C$6:$C$79,"La Liga"))</f>
        <v>0.33499999999999996</v>
      </c>
      <c r="L11" s="21">
        <f>IF(SUMIFS(Selections!$T$6:$T$79,Selections!$C$6:$C$79,"La Liga")=0,"n.a.",SUMIFS(Selections!$O$6:$O$79,Selections!$C$6:$C$79,"La Liga")/SUMIFS(Selections!$T$6:$T$79,Selections!$C$6:$C$79,"La Liga"))</f>
        <v>0.04486184778213071</v>
      </c>
      <c r="M11" s="20">
        <f>IF(SUMIFS(Selections!$T$6:$T$79,Selections!$C$6:$C$79,"La Liga")=0,"n.a.",SUMIFS(Selections!$S$6:$S$79,Selections!$C$6:$C$79,"La Liga")/SUMIFS(Selections!$T$6:$T$79,Selections!$C$6:$C$79,"La Liga"))</f>
        <v>0.8008348272747599</v>
      </c>
      <c r="N11" s="20">
        <f>IF(SUMIFS(Selections!$T$6:$T$79,Selections!$C$6:$C$79,"La Liga")=0,"n.a.",(SUMIFS(Selections!$L$6:$L$79,Selections!$C$6:$C$79,"La Liga",Selections!$T$6:$T$79,1))/SUMIFS(Selections!$T$6:$T$79,Selections!$C$6:$C$79,"La Liga"))</f>
        <v>1.0</v>
      </c>
      <c r="O11" s="20">
        <f>IF(SUMIFS(Selections!$T$6:$T$79,Selections!$C$6:$C$79,"La Liga")=0,"n.a.",(SUMIFS(Selections!$S$6:$S$79,Selections!$C$6:$C$79,"La Liga")-(SUMIFS(Selections!$L$6:$L$79,Selections!$C$6:$C$79,"La Liga",Selections!$T$6:$T$79,1)))/SUMIFS(Selections!$T$6:$T$79,Selections!$C$6:$C$79,"La Liga"))</f>
        <v>-0.19916517272524015</v>
      </c>
      <c r="P11" s="19">
        <f>SUMIFS(Selections!$T$6:$T$79,Selections!$C$6:$C$79,"La Liga")</f>
        <v>10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(n=10).</v>
      </c>
      <c r="R11" s="18"/>
    </row>
    <row r="12" ht="36" customHeight="1">
      <c r="A12" s="18" t="inlineStr">
        <is>
          <t>League</t>
        </is>
      </c>
      <c r="B12" s="18" t="inlineStr">
        <is>
          <t>Ligue 1</t>
        </is>
      </c>
      <c r="C12" s="19">
        <f>COUNTIFS(Selections!$C$6:$C$79,"Ligue 1")</f>
        <v>7</v>
      </c>
      <c r="D12" s="19">
        <f>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</f>
        <v>5</v>
      </c>
      <c r="E12" s="19">
        <f>(COUNTIFS(Selections!$C$6:$C$79,"Ligue 1",Selections!$K$6:$K$79,"WON")+COUNTIFS(Selections!$C$6:$C$79,"Ligue 1",Selections!$K$6:$K$79,"HALF_WON"))</f>
        <v>3</v>
      </c>
      <c r="F12" s="19">
        <f>(COUNTIFS(Selections!$C$6:$C$79,"Ligue 1",Selections!$K$6:$K$79,"LOST")+COUNTIFS(Selections!$C$6:$C$79,"Ligue 1",Selections!$K$6:$K$79,"HALF_LOST"))</f>
        <v>2</v>
      </c>
      <c r="G12" s="19">
        <f>COUNTIFS(Selections!$C$6:$C$79,"Ligue 1")-((COUNTIFS(Selections!$C$6:$C$79,"Ligue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</f>
        <v>2</v>
      </c>
      <c r="H12" s="20">
        <f>IF(((COUNTIFS(Selections!$C$6:$C$79,"Ligue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1",Selections!$K$6:$K$79,"REFUNDED"))=0,"n.a.",(COUNTIFS(Selections!$C$6:$C$79,"Ligue 1",Selections!$K$6:$K$79,"WON")+COUNTIFS(Selections!$C$6:$C$79,"Ligue 1",Selections!$K$6:$K$79,"HALF_WON"))/((COUNTIFS(Selections!$C$6:$C$79,"Ligue 1",Selections!$K$6:$K$79,"WON")+COUNTIFS(Selections!$C$6:$C$79,"Ligue 1",Selections!$K$6:$K$79,"HALF_WON"))+(COUNTIFS(Selections!$C$6:$C$79,"Ligue 1",Selections!$K$6:$K$79,"LOST")+COUNTIFS(Selections!$C$6:$C$79,"Ligue 1",Selections!$K$6:$K$79,"HALF_LOST"))+COUNTIFS(Selections!$C$6:$C$79,"Ligue 1",Selections!$K$6:$K$79,"REFUNDED")))</f>
        <v>0.6</v>
      </c>
      <c r="I12" s="22">
        <f>SUMIFS(Selections!$M$6:$M$79,Selections!$C$6:$C$79,"Ligue 1")</f>
        <v>5</v>
      </c>
      <c r="J12" s="22">
        <f>SUMIFS(Selections!$N$6:$N$79,Selections!$C$6:$C$79,"Ligue 1")</f>
        <v>-0.9200000000000002</v>
      </c>
      <c r="K12" s="20">
        <f>IF(SUMIFS(Selections!$M$6:$M$79,Selections!$C$6:$C$79,"Ligue 1")=0,"n.a.",SUMIFS(Selections!$N$6:$N$79,Selections!$C$6:$C$79,"Ligue 1")/SUMIFS(Selections!$M$6:$M$79,Selections!$C$6:$C$79,"Ligue 1"))</f>
        <v>-0.18400000000000002</v>
      </c>
      <c r="L12" s="21">
        <f>IF(SUMIFS(Selections!$T$6:$T$79,Selections!$C$6:$C$79,"Ligue 1")=0,"n.a.",SUMIFS(Selections!$O$6:$O$79,Selections!$C$6:$C$79,"Ligue 1")/SUMIFS(Selections!$T$6:$T$79,Selections!$C$6:$C$79,"Ligue 1"))</f>
        <v>0.24280020699055926</v>
      </c>
      <c r="M12" s="20">
        <f>IF(SUMIFS(Selections!$T$6:$T$79,Selections!$C$6:$C$79,"Ligue 1")=0,"n.a.",SUMIFS(Selections!$S$6:$S$79,Selections!$C$6:$C$79,"Ligue 1")/SUMIFS(Selections!$T$6:$T$79,Selections!$C$6:$C$79,"Ligue 1"))</f>
        <v>0.7165429404243758</v>
      </c>
      <c r="N12" s="20">
        <f>IF(SUMIFS(Selections!$T$6:$T$79,Selections!$C$6:$C$79,"Ligue 1")=0,"n.a.",(SUMIFS(Selections!$L$6:$L$79,Selections!$C$6:$C$79,"Ligue 1",Selections!$T$6:$T$79,1))/SUMIFS(Selections!$T$6:$T$79,Selections!$C$6:$C$79,"Ligue 1"))</f>
        <v>0.6</v>
      </c>
      <c r="O12" s="20">
        <f>IF(SUMIFS(Selections!$T$6:$T$79,Selections!$C$6:$C$79,"Ligue 1")=0,"n.a.",(SUMIFS(Selections!$S$6:$S$79,Selections!$C$6:$C$79,"Ligue 1")-(SUMIFS(Selections!$L$6:$L$79,Selections!$C$6:$C$79,"Ligue 1",Selections!$T$6:$T$79,1)))/SUMIFS(Selections!$T$6:$T$79,Selections!$C$6:$C$79,"Ligue 1"))</f>
        <v>0.11654294042437585</v>
      </c>
      <c r="P12" s="19">
        <f>SUMIFS(Selections!$T$6:$T$79,Selections!$C$6:$C$79,"Ligue 1")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Premier League</t>
        </is>
      </c>
      <c r="C13" s="19">
        <f>COUNTIFS(Selections!$C$6:$C$79,"Premier League")</f>
        <v>10</v>
      </c>
      <c r="D13" s="19">
        <f>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</f>
        <v>10</v>
      </c>
      <c r="E13" s="19">
        <f>(COUNTIFS(Selections!$C$6:$C$79,"Premier League",Selections!$K$6:$K$79,"WON")+COUNTIFS(Selections!$C$6:$C$79,"Premier League",Selections!$K$6:$K$79,"HALF_WON"))</f>
        <v>6</v>
      </c>
      <c r="F13" s="19">
        <f>(COUNTIFS(Selections!$C$6:$C$79,"Premier League",Selections!$K$6:$K$79,"LOST")+COUNTIFS(Selections!$C$6:$C$79,"Premier League",Selections!$K$6:$K$79,"HALF_LOST"))</f>
        <v>4</v>
      </c>
      <c r="G13" s="19">
        <f>COUNTIFS(Selections!$C$6:$C$79,"Premier League")-((COUNTIFS(Selections!$C$6:$C$79,"Premier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</f>
        <v>0</v>
      </c>
      <c r="H13" s="20">
        <f>IF(((COUNTIFS(Selections!$C$6:$C$79,"Premier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League",Selections!$K$6:$K$79,"REFUNDED"))=0,"n.a.",(COUNTIFS(Selections!$C$6:$C$79,"Premier League",Selections!$K$6:$K$79,"WON")+COUNTIFS(Selections!$C$6:$C$79,"Premier League",Selections!$K$6:$K$79,"HALF_WON"))/((COUNTIFS(Selections!$C$6:$C$79,"Premier League",Selections!$K$6:$K$79,"WON")+COUNTIFS(Selections!$C$6:$C$79,"Premier League",Selections!$K$6:$K$79,"HALF_WON"))+(COUNTIFS(Selections!$C$6:$C$79,"Premier League",Selections!$K$6:$K$79,"LOST")+COUNTIFS(Selections!$C$6:$C$79,"Premier League",Selections!$K$6:$K$79,"HALF_LOST"))+COUNTIFS(Selections!$C$6:$C$79,"Premier League",Selections!$K$6:$K$79,"REFUNDED")))</f>
        <v>0.6</v>
      </c>
      <c r="I13" s="22">
        <f>SUMIFS(Selections!$M$6:$M$79,Selections!$C$6:$C$79,"Premier League")</f>
        <v>10</v>
      </c>
      <c r="J13" s="22">
        <f>SUMIFS(Selections!$N$6:$N$79,Selections!$C$6:$C$79,"Premier League")</f>
        <v>-0.91</v>
      </c>
      <c r="K13" s="20">
        <f>IF(SUMIFS(Selections!$M$6:$M$79,Selections!$C$6:$C$79,"Premier League")=0,"n.a.",SUMIFS(Selections!$N$6:$N$79,Selections!$C$6:$C$79,"Premier League")/SUMIFS(Selections!$M$6:$M$79,Selections!$C$6:$C$79,"Premier League"))</f>
        <v>-0.091</v>
      </c>
      <c r="L13" s="21">
        <f>IF(SUMIFS(Selections!$T$6:$T$79,Selections!$C$6:$C$79,"Premier League")=0,"n.a.",SUMIFS(Selections!$O$6:$O$79,Selections!$C$6:$C$79,"Premier League")/SUMIFS(Selections!$T$6:$T$79,Selections!$C$6:$C$79,"Premier League"))</f>
        <v>0.2710779075766395</v>
      </c>
      <c r="M13" s="20">
        <f>IF(SUMIFS(Selections!$T$6:$T$79,Selections!$C$6:$C$79,"Premier League")=0,"n.a.",SUMIFS(Selections!$S$6:$S$79,Selections!$C$6:$C$79,"Premier League")/SUMIFS(Selections!$T$6:$T$79,Selections!$C$6:$C$79,"Premier League"))</f>
        <v>0.73688098969651</v>
      </c>
      <c r="N13" s="20">
        <f>IF(SUMIFS(Selections!$T$6:$T$79,Selections!$C$6:$C$79,"Premier League")=0,"n.a.",(SUMIFS(Selections!$L$6:$L$79,Selections!$C$6:$C$79,"Premier League",Selections!$T$6:$T$79,1))/SUMIFS(Selections!$T$6:$T$79,Selections!$C$6:$C$79,"Premier League"))</f>
        <v>0.6</v>
      </c>
      <c r="O13" s="20">
        <f>IF(SUMIFS(Selections!$T$6:$T$79,Selections!$C$6:$C$79,"Premier League")=0,"n.a.",(SUMIFS(Selections!$S$6:$S$79,Selections!$C$6:$C$79,"Premier League")-(SUMIFS(Selections!$L$6:$L$79,Selections!$C$6:$C$79,"Premier League",Selections!$T$6:$T$79,1)))/SUMIFS(Selections!$T$6:$T$79,Selections!$C$6:$C$79,"Premier League"))</f>
        <v>0.13688098969650997</v>
      </c>
      <c r="P13" s="19">
        <f>SUMIFS(Selections!$T$6:$T$79,Selections!$C$6:$C$79,"Premier League")</f>
        <v>10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(n=10).</v>
      </c>
      <c r="R13" s="18"/>
    </row>
    <row r="14" ht="36" customHeight="1">
      <c r="A14" s="18" t="inlineStr">
        <is>
          <t>League</t>
        </is>
      </c>
      <c r="B14" s="18" t="inlineStr">
        <is>
          <t>Primeira Liga</t>
        </is>
      </c>
      <c r="C14" s="19">
        <f>COUNTIFS(Selections!$C$6:$C$79,"Primeira Liga")</f>
        <v>4</v>
      </c>
      <c r="D14" s="19">
        <f>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</f>
        <v>1</v>
      </c>
      <c r="E14" s="19">
        <f>(COUNTIFS(Selections!$C$6:$C$79,"Primeira Liga",Selections!$K$6:$K$79,"WON")+COUNTIFS(Selections!$C$6:$C$79,"Primeira Liga",Selections!$K$6:$K$79,"HALF_WON"))</f>
        <v>1</v>
      </c>
      <c r="F14" s="19">
        <f>(COUNTIFS(Selections!$C$6:$C$79,"Primeira Liga",Selections!$K$6:$K$79,"LOST")+COUNTIFS(Selections!$C$6:$C$79,"Primeira Liga",Selections!$K$6:$K$79,"HALF_LOST"))</f>
        <v>0</v>
      </c>
      <c r="G14" s="19">
        <f>COUNTIFS(Selections!$C$6:$C$79,"Primeira Liga")-((COUNTIFS(Selections!$C$6:$C$79,"Primeira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</f>
        <v>3</v>
      </c>
      <c r="H14" s="20">
        <f>IF(((COUNTIFS(Selections!$C$6:$C$79,"Primeira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Liga",Selections!$K$6:$K$79,"REFUNDED"))=0,"n.a.",(COUNTIFS(Selections!$C$6:$C$79,"Primeira Liga",Selections!$K$6:$K$79,"WON")+COUNTIFS(Selections!$C$6:$C$79,"Primeira Liga",Selections!$K$6:$K$79,"HALF_WON"))/((COUNTIFS(Selections!$C$6:$C$79,"Primeira Liga",Selections!$K$6:$K$79,"WON")+COUNTIFS(Selections!$C$6:$C$79,"Primeira Liga",Selections!$K$6:$K$79,"HALF_WON"))+(COUNTIFS(Selections!$C$6:$C$79,"Primeira Liga",Selections!$K$6:$K$79,"LOST")+COUNTIFS(Selections!$C$6:$C$79,"Primeira Liga",Selections!$K$6:$K$79,"HALF_LOST"))+COUNTIFS(Selections!$C$6:$C$79,"Primeira Liga",Selections!$K$6:$K$79,"REFUNDED")))</f>
        <v>1.0</v>
      </c>
      <c r="I14" s="22">
        <f>SUMIFS(Selections!$M$6:$M$79,Selections!$C$6:$C$79,"Primeira Liga")</f>
        <v>1</v>
      </c>
      <c r="J14" s="22">
        <f>SUMIFS(Selections!$N$6:$N$79,Selections!$C$6:$C$79,"Primeira Liga")</f>
        <v>1.0899999999999999</v>
      </c>
      <c r="K14" s="20">
        <f>IF(SUMIFS(Selections!$M$6:$M$79,Selections!$C$6:$C$79,"Primeira Liga")=0,"n.a.",SUMIFS(Selections!$N$6:$N$79,Selections!$C$6:$C$79,"Primeira Liga")/SUMIFS(Selections!$M$6:$M$79,Selections!$C$6:$C$79,"Primeira Liga"))</f>
        <v>1.0899999999999999</v>
      </c>
      <c r="L14" s="21">
        <f>IF(SUMIFS(Selections!$T$6:$T$79,Selections!$C$6:$C$79,"Primeira Liga")=0,"n.a.",SUMIFS(Selections!$O$6:$O$79,Selections!$C$6:$C$79,"Primeira Liga")/SUMIFS(Selections!$T$6:$T$79,Selections!$C$6:$C$79,"Primeira Liga"))</f>
        <v>0.3218146879483473</v>
      </c>
      <c r="M14" s="20">
        <f>IF(SUMIFS(Selections!$T$6:$T$79,Selections!$C$6:$C$79,"Primeira Liga")=0,"n.a.",SUMIFS(Selections!$S$6:$S$79,Selections!$C$6:$C$79,"Primeira Liga")/SUMIFS(Selections!$T$6:$T$79,Selections!$C$6:$C$79,"Primeira Liga"))</f>
        <v>0.4327128699253373</v>
      </c>
      <c r="N14" s="20">
        <f>IF(SUMIFS(Selections!$T$6:$T$79,Selections!$C$6:$C$79,"Primeira Liga")=0,"n.a.",(SUMIFS(Selections!$L$6:$L$79,Selections!$C$6:$C$79,"Primeira Liga",Selections!$T$6:$T$79,1))/SUMIFS(Selections!$T$6:$T$79,Selections!$C$6:$C$79,"Primeira Liga"))</f>
        <v>1.0</v>
      </c>
      <c r="O14" s="20">
        <f>IF(SUMIFS(Selections!$T$6:$T$79,Selections!$C$6:$C$79,"Primeira Liga")=0,"n.a.",(SUMIFS(Selections!$S$6:$S$79,Selections!$C$6:$C$79,"Primeira Liga")-(SUMIFS(Selections!$L$6:$L$79,Selections!$C$6:$C$79,"Primeira Liga",Selections!$T$6:$T$79,1)))/SUMIFS(Selections!$T$6:$T$79,Selections!$C$6:$C$79,"Primeira Liga"))</f>
        <v>-0.5672871300746627</v>
      </c>
      <c r="P14" s="19">
        <f>SUMIFS(Selections!$T$6:$T$79,Selections!$C$6:$C$79,"Primeira Liga")</f>
        <v>1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(n=1).</v>
      </c>
      <c r="R14" s="18"/>
    </row>
    <row r="15" ht="36" customHeight="1">
      <c r="A15" s="18" t="inlineStr">
        <is>
          <t>League</t>
        </is>
      </c>
      <c r="B15" s="18" t="inlineStr">
        <is>
          <t>Serie A</t>
        </is>
      </c>
      <c r="C15" s="19">
        <f>COUNTIFS(Selections!$C$6:$C$79,"Serie A")</f>
        <v>15</v>
      </c>
      <c r="D15" s="19">
        <f>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</f>
        <v>13</v>
      </c>
      <c r="E15" s="19">
        <f>(COUNTIFS(Selections!$C$6:$C$79,"Serie A",Selections!$K$6:$K$79,"WON")+COUNTIFS(Selections!$C$6:$C$79,"Serie A",Selections!$K$6:$K$79,"HALF_WON"))</f>
        <v>8</v>
      </c>
      <c r="F15" s="19">
        <f>(COUNTIFS(Selections!$C$6:$C$79,"Serie A",Selections!$K$6:$K$79,"LOST")+COUNTIFS(Selections!$C$6:$C$79,"Serie A",Selections!$K$6:$K$79,"HALF_LOST"))</f>
        <v>4</v>
      </c>
      <c r="G15" s="19">
        <f>COUNTIFS(Selections!$C$6:$C$79,"Serie A")-((COUNTIFS(Selections!$C$6:$C$79,"Serie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</f>
        <v>2</v>
      </c>
      <c r="H15" s="20">
        <f>IF(((COUNTIFS(Selections!$C$6:$C$79,"Serie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A",Selections!$K$6:$K$79,"REFUNDED"))=0,"n.a.",(COUNTIFS(Selections!$C$6:$C$79,"Serie A",Selections!$K$6:$K$79,"WON")+COUNTIFS(Selections!$C$6:$C$79,"Serie A",Selections!$K$6:$K$79,"HALF_WON"))/((COUNTIFS(Selections!$C$6:$C$79,"Serie A",Selections!$K$6:$K$79,"WON")+COUNTIFS(Selections!$C$6:$C$79,"Serie A",Selections!$K$6:$K$79,"HALF_WON"))+(COUNTIFS(Selections!$C$6:$C$79,"Serie A",Selections!$K$6:$K$79,"LOST")+COUNTIFS(Selections!$C$6:$C$79,"Serie A",Selections!$K$6:$K$79,"HALF_LOST"))+COUNTIFS(Selections!$C$6:$C$79,"Serie A",Selections!$K$6:$K$79,"REFUNDED")))</f>
        <v>0.6153846153846154</v>
      </c>
      <c r="I15" s="22">
        <f>SUMIFS(Selections!$M$6:$M$79,Selections!$C$6:$C$79,"Serie A")</f>
        <v>13</v>
      </c>
      <c r="J15" s="22">
        <f>SUMIFS(Selections!$N$6:$N$79,Selections!$C$6:$C$79,"Serie A")</f>
        <v>-0.9499999999999998</v>
      </c>
      <c r="K15" s="20">
        <f>IF(SUMIFS(Selections!$M$6:$M$79,Selections!$C$6:$C$79,"Serie A")=0,"n.a.",SUMIFS(Selections!$N$6:$N$79,Selections!$C$6:$C$79,"Serie A")/SUMIFS(Selections!$M$6:$M$79,Selections!$C$6:$C$79,"Serie A"))</f>
        <v>-0.07307692307692307</v>
      </c>
      <c r="L15" s="21">
        <f>IF(SUMIFS(Selections!$T$6:$T$79,Selections!$C$6:$C$79,"Serie A")=0,"n.a.",SUMIFS(Selections!$O$6:$O$79,Selections!$C$6:$C$79,"Serie A")/SUMIFS(Selections!$T$6:$T$79,Selections!$C$6:$C$79,"Serie A"))</f>
        <v>0.16064971066314016</v>
      </c>
      <c r="M15" s="20">
        <f>IF(SUMIFS(Selections!$T$6:$T$79,Selections!$C$6:$C$79,"Serie A")=0,"n.a.",SUMIFS(Selections!$S$6:$S$79,Selections!$C$6:$C$79,"Serie A")/SUMIFS(Selections!$T$6:$T$79,Selections!$C$6:$C$79,"Serie A"))</f>
        <v>0.7185948616364346</v>
      </c>
      <c r="N15" s="20">
        <f>IF(SUMIFS(Selections!$T$6:$T$79,Selections!$C$6:$C$79,"Serie A")=0,"n.a.",(SUMIFS(Selections!$L$6:$L$79,Selections!$C$6:$C$79,"Serie A",Selections!$T$6:$T$79,1))/SUMIFS(Selections!$T$6:$T$79,Selections!$C$6:$C$79,"Serie A"))</f>
        <v>0.6923076923076923</v>
      </c>
      <c r="O15" s="20">
        <f>IF(SUMIFS(Selections!$T$6:$T$79,Selections!$C$6:$C$79,"Serie A")=0,"n.a.",(SUMIFS(Selections!$S$6:$S$79,Selections!$C$6:$C$79,"Serie A")-(SUMIFS(Selections!$L$6:$L$79,Selections!$C$6:$C$79,"Serie A",Selections!$T$6:$T$79,1)))/SUMIFS(Selections!$T$6:$T$79,Selections!$C$6:$C$79,"Serie A"))</f>
        <v>0.02628716932874231</v>
      </c>
      <c r="P15" s="19">
        <f>SUMIFS(Selections!$T$6:$T$79,Selections!$C$6:$C$79,"Serie A")</f>
        <v>13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(n=13).</v>
      </c>
      <c r="R15" s="18"/>
    </row>
    <row r="16" ht="36" customHeight="1">
      <c r="A16" s="18" t="inlineStr">
        <is>
          <t>League</t>
        </is>
      </c>
      <c r="B16" s="18" t="inlineStr">
        <is>
          <t>UEFA Champions League</t>
        </is>
      </c>
      <c r="C16" s="19">
        <f>COUNTIFS(Selections!$C$6:$C$79,"UEFA Champions League")</f>
        <v>14</v>
      </c>
      <c r="D16" s="19">
        <f>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</f>
        <v>12</v>
      </c>
      <c r="E16" s="19">
        <f>(COUNTIFS(Selections!$C$6:$C$79,"UEFA Champions League",Selections!$K$6:$K$79,"WON")+COUNTIFS(Selections!$C$6:$C$79,"UEFA Champions League",Selections!$K$6:$K$79,"HALF_WON"))</f>
        <v>10</v>
      </c>
      <c r="F16" s="19">
        <f>(COUNTIFS(Selections!$C$6:$C$79,"UEFA Champions League",Selections!$K$6:$K$79,"LOST")+COUNTIFS(Selections!$C$6:$C$79,"UEFA Champions League",Selections!$K$6:$K$79,"HALF_LOST"))</f>
        <v>2</v>
      </c>
      <c r="G16" s="19">
        <f>COUNTIFS(Selections!$C$6:$C$79,"UEFA Champions League")-((COUNTIFS(Selections!$C$6:$C$79,"UEFA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</f>
        <v>2</v>
      </c>
      <c r="H16" s="20">
        <f>IF(((COUNTIFS(Selections!$C$6:$C$79,"UEFA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League",Selections!$K$6:$K$79,"REFUNDED"))=0,"n.a.",(COUNTIFS(Selections!$C$6:$C$79,"UEFA Champions League",Selections!$K$6:$K$79,"WON")+COUNTIFS(Selections!$C$6:$C$79,"UEFA Champions League",Selections!$K$6:$K$79,"HALF_WON"))/((COUNTIFS(Selections!$C$6:$C$79,"UEFA Champions League",Selections!$K$6:$K$79,"WON")+COUNTIFS(Selections!$C$6:$C$79,"UEFA Champions League",Selections!$K$6:$K$79,"HALF_WON"))+(COUNTIFS(Selections!$C$6:$C$79,"UEFA Champions League",Selections!$K$6:$K$79,"LOST")+COUNTIFS(Selections!$C$6:$C$79,"UEFA Champions League",Selections!$K$6:$K$79,"HALF_LOST"))+COUNTIFS(Selections!$C$6:$C$79,"UEFA Champions League",Selections!$K$6:$K$79,"REFUNDED")))</f>
        <v>0.8333333333333334</v>
      </c>
      <c r="I16" s="22">
        <f>SUMIFS(Selections!$M$6:$M$79,Selections!$C$6:$C$79,"UEFA Champions League")</f>
        <v>12</v>
      </c>
      <c r="J16" s="22">
        <f>SUMIFS(Selections!$N$6:$N$79,Selections!$C$6:$C$79,"UEFA Champions League")</f>
        <v>2.01</v>
      </c>
      <c r="K16" s="20">
        <f>IF(SUMIFS(Selections!$M$6:$M$79,Selections!$C$6:$C$79,"UEFA Champions League")=0,"n.a.",SUMIFS(Selections!$N$6:$N$79,Selections!$C$6:$C$79,"UEFA Champions League")/SUMIFS(Selections!$M$6:$M$79,Selections!$C$6:$C$79,"UEFA Champions League"))</f>
        <v>0.16749999999999998</v>
      </c>
      <c r="L16" s="21">
        <f>IF(SUMIFS(Selections!$T$6:$T$79,Selections!$C$6:$C$79,"UEFA Champions League")=0,"n.a.",SUMIFS(Selections!$O$6:$O$79,Selections!$C$6:$C$79,"UEFA Champions League")/SUMIFS(Selections!$T$6:$T$79,Selections!$C$6:$C$79,"UEFA Champions League"))</f>
        <v>0.14431274457999424</v>
      </c>
      <c r="M16" s="20">
        <f>IF(SUMIFS(Selections!$T$6:$T$79,Selections!$C$6:$C$79,"UEFA Champions League")=0,"n.a.",SUMIFS(Selections!$S$6:$S$79,Selections!$C$6:$C$79,"UEFA Champions League")/SUMIFS(Selections!$T$6:$T$79,Selections!$C$6:$C$79,"UEFA Champions League"))</f>
        <v>0.7728553874198951</v>
      </c>
      <c r="N16" s="20">
        <f>IF(SUMIFS(Selections!$T$6:$T$79,Selections!$C$6:$C$79,"UEFA Champions League")=0,"n.a.",(SUMIFS(Selections!$L$6:$L$79,Selections!$C$6:$C$79,"UEFA Champions League",Selections!$T$6:$T$79,1))/SUMIFS(Selections!$T$6:$T$79,Selections!$C$6:$C$79,"UEFA Champions League"))</f>
        <v>0.8333333333333334</v>
      </c>
      <c r="O16" s="20">
        <f>IF(SUMIFS(Selections!$T$6:$T$79,Selections!$C$6:$C$79,"UEFA Champions League")=0,"n.a.",(SUMIFS(Selections!$S$6:$S$79,Selections!$C$6:$C$79,"UEFA Champions League")-(SUMIFS(Selections!$L$6:$L$79,Selections!$C$6:$C$79,"UEFA Champions League",Selections!$T$6:$T$79,1)))/SUMIFS(Selections!$T$6:$T$79,Selections!$C$6:$C$79,"UEFA Champions League"))</f>
        <v>-0.06047794591343825</v>
      </c>
      <c r="P16" s="19">
        <f>SUMIFS(Selections!$T$6:$T$79,Selections!$C$6:$C$79,"UEFA Champions League")</f>
        <v>12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(n=12).</v>
      </c>
      <c r="R16" s="18"/>
    </row>
    <row r="17" ht="36" customHeight="1">
      <c r="A17" s="18" t="inlineStr">
        <is>
          <t>Market</t>
        </is>
      </c>
      <c r="B17" s="18" t="inlineStr">
        <is>
          <t>Asian Handicap Away +1.00</t>
        </is>
      </c>
      <c r="C17" s="19">
        <f>COUNTIFS(Selections!$E$6:$E$79,"Asian Handicap Away +1.00")</f>
        <v>1</v>
      </c>
      <c r="D17" s="19">
        <f>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</f>
        <v>1</v>
      </c>
      <c r="E17" s="19">
        <f>(COUNTIFS(Selections!$E$6:$E$79,"Asian Handicap Away +1.00",Selections!$K$6:$K$79,"WON")+COUNTIFS(Selections!$E$6:$E$79,"Asian Handicap Away +1.00",Selections!$K$6:$K$79,"HALF_WON"))</f>
        <v>1</v>
      </c>
      <c r="F17" s="19">
        <f>(COUNTIFS(Selections!$E$6:$E$79,"Asian Handicap Away +1.00",Selections!$K$6:$K$79,"LOST")+COUNTIFS(Selections!$E$6:$E$79,"Asian Handicap Away +1.00",Selections!$K$6:$K$79,"HALF_LOST"))</f>
        <v>0</v>
      </c>
      <c r="G17" s="19">
        <f>COUNTIFS(Selections!$E$6:$E$79,"Asian Handicap Away +1.00")-((COUNTIFS(Selections!$E$6:$E$79,"Asian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</f>
        <v>0</v>
      </c>
      <c r="H17" s="20">
        <f>IF(((COUNTIFS(Selections!$E$6:$E$79,"Asian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+1.00",Selections!$K$6:$K$79,"REFUNDED"))=0,"n.a.",(COUNTIFS(Selections!$E$6:$E$79,"Asian Handicap Away +1.00",Selections!$K$6:$K$79,"WON")+COUNTIFS(Selections!$E$6:$E$79,"Asian Handicap Away +1.00",Selections!$K$6:$K$79,"HALF_WON"))/((COUNTIFS(Selections!$E$6:$E$79,"Asian Handicap Away +1.00",Selections!$K$6:$K$79,"WON")+COUNTIFS(Selections!$E$6:$E$79,"Asian Handicap Away +1.00",Selections!$K$6:$K$79,"HALF_WON"))+(COUNTIFS(Selections!$E$6:$E$79,"Asian Handicap Away +1.00",Selections!$K$6:$K$79,"LOST")+COUNTIFS(Selections!$E$6:$E$79,"Asian Handicap Away +1.00",Selections!$K$6:$K$79,"HALF_LOST"))+COUNTIFS(Selections!$E$6:$E$79,"Asian Handicap Away +1.00",Selections!$K$6:$K$79,"REFUNDED")))</f>
        <v>1.0</v>
      </c>
      <c r="I17" s="22">
        <f>SUMIFS(Selections!$M$6:$M$79,Selections!$E$6:$E$79,"Asian Handicap Away +1.00")</f>
        <v>1</v>
      </c>
      <c r="J17" s="22">
        <f>SUMIFS(Selections!$N$6:$N$79,Selections!$E$6:$E$79,"Asian Handicap Away +1.00")</f>
        <v>0.58</v>
      </c>
      <c r="K17" s="20">
        <f>IF(SUMIFS(Selections!$M$6:$M$79,Selections!$E$6:$E$79,"Asian Handicap Away +1.00")=0,"n.a.",SUMIFS(Selections!$N$6:$N$79,Selections!$E$6:$E$79,"Asian Handicap Away +1.00")/SUMIFS(Selections!$M$6:$M$79,Selections!$E$6:$E$79,"Asian Handicap Away +1.00"))</f>
        <v>0.58</v>
      </c>
      <c r="L17" s="21">
        <f>IF(SUMIFS(Selections!$T$6:$T$79,Selections!$E$6:$E$79,"Asian Handicap Away +1.00")=0,"n.a.",SUMIFS(Selections!$O$6:$O$79,Selections!$E$6:$E$79,"Asian Handicap Away +1.00")/SUMIFS(Selections!$T$6:$T$79,Selections!$E$6:$E$79,"Asian Handicap Away +1.00"))</f>
        <v>0.061763712158882544</v>
      </c>
      <c r="M17" s="20">
        <f>IF(SUMIFS(Selections!$T$6:$T$79,Selections!$E$6:$E$79,"Asian Handicap Away +1.00")=0,"n.a.",SUMIFS(Selections!$S$6:$S$79,Selections!$E$6:$E$79,"Asian Handicap Away +1.00")/SUMIFS(Selections!$T$6:$T$79,Selections!$E$6:$E$79,"Asian Handicap Away +1.00"))</f>
        <v>0.7514769383761689</v>
      </c>
      <c r="N17" s="20">
        <f>IF(SUMIFS(Selections!$T$6:$T$79,Selections!$E$6:$E$79,"Asian Handicap Away +1.00")=0,"n.a.",(SUMIFS(Selections!$L$6:$L$79,Selections!$E$6:$E$79,"Asian Handicap Away +1.00",Selections!$T$6:$T$79,1))/SUMIFS(Selections!$T$6:$T$79,Selections!$E$6:$E$79,"Asian Handicap Away +1.00"))</f>
        <v>1.0</v>
      </c>
      <c r="O17" s="20">
        <f>IF(SUMIFS(Selections!$T$6:$T$79,Selections!$E$6:$E$79,"Asian Handicap Away +1.00")=0,"n.a.",(SUMIFS(Selections!$S$6:$S$79,Selections!$E$6:$E$79,"Asian Handicap Away +1.00")-(SUMIFS(Selections!$L$6:$L$79,Selections!$E$6:$E$79,"Asian Handicap Away +1.00",Selections!$T$6:$T$79,1)))/SUMIFS(Selections!$T$6:$T$79,Selections!$E$6:$E$79,"Asian Handicap Away +1.00"))</f>
        <v>-0.2485230616238311</v>
      </c>
      <c r="P17" s="19">
        <f>SUMIFS(Selections!$T$6:$T$79,Selections!$E$6:$E$79,"Asian Handicap Away +1.00")</f>
        <v>1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(n=1).</v>
      </c>
      <c r="R17" s="18"/>
    </row>
    <row r="18" ht="36" customHeight="1">
      <c r="A18" s="18" t="inlineStr">
        <is>
          <t>Market</t>
        </is>
      </c>
      <c r="B18" s="18" t="inlineStr">
        <is>
          <t>Asian Handicap Away +1.25</t>
        </is>
      </c>
      <c r="C18" s="19">
        <f>COUNTIFS(Selections!$E$6:$E$79,"Asian Handicap Away +1.25")</f>
        <v>2</v>
      </c>
      <c r="D18" s="19">
        <f>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</f>
        <v>1</v>
      </c>
      <c r="E18" s="19">
        <f>(COUNTIFS(Selections!$E$6:$E$79,"Asian Handicap Away +1.25",Selections!$K$6:$K$79,"WON")+COUNTIFS(Selections!$E$6:$E$79,"Asian Handicap Away +1.25",Selections!$K$6:$K$79,"HALF_WON"))</f>
        <v>1</v>
      </c>
      <c r="F18" s="19">
        <f>(COUNTIFS(Selections!$E$6:$E$79,"Asian Handicap Away +1.25",Selections!$K$6:$K$79,"LOST")+COUNTIFS(Selections!$E$6:$E$79,"Asian Handicap Away +1.25",Selections!$K$6:$K$79,"HALF_LOST"))</f>
        <v>0</v>
      </c>
      <c r="G18" s="19">
        <f>COUNTIFS(Selections!$E$6:$E$79,"Asian Handicap Away +1.25")-((COUNTIFS(Selections!$E$6:$E$79,"Asian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</f>
        <v>1</v>
      </c>
      <c r="H18" s="20">
        <f>IF(((COUNTIFS(Selections!$E$6:$E$79,"Asian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+1.25",Selections!$K$6:$K$79,"REFUNDED"))=0,"n.a.",(COUNTIFS(Selections!$E$6:$E$79,"Asian Handicap Away +1.25",Selections!$K$6:$K$79,"WON")+COUNTIFS(Selections!$E$6:$E$79,"Asian Handicap Away +1.25",Selections!$K$6:$K$79,"HALF_WON"))/((COUNTIFS(Selections!$E$6:$E$79,"Asian Handicap Away +1.25",Selections!$K$6:$K$79,"WON")+COUNTIFS(Selections!$E$6:$E$79,"Asian Handicap Away +1.25",Selections!$K$6:$K$79,"HALF_WON"))+(COUNTIFS(Selections!$E$6:$E$79,"Asian Handicap Away +1.25",Selections!$K$6:$K$79,"LOST")+COUNTIFS(Selections!$E$6:$E$79,"Asian Handicap Away +1.25",Selections!$K$6:$K$79,"HALF_LOST"))+COUNTIFS(Selections!$E$6:$E$79,"Asian Handicap Away +1.25",Selections!$K$6:$K$79,"REFUNDED")))</f>
        <v>1.0</v>
      </c>
      <c r="I18" s="22">
        <f>SUMIFS(Selections!$M$6:$M$79,Selections!$E$6:$E$79,"Asian Handicap Away +1.25")</f>
        <v>1</v>
      </c>
      <c r="J18" s="22">
        <f>SUMIFS(Selections!$N$6:$N$79,Selections!$E$6:$E$79,"Asian Handicap Away +1.25")</f>
        <v>0.16</v>
      </c>
      <c r="K18" s="20">
        <f>IF(SUMIFS(Selections!$M$6:$M$79,Selections!$E$6:$E$79,"Asian Handicap Away +1.25")=0,"n.a.",SUMIFS(Selections!$N$6:$N$79,Selections!$E$6:$E$79,"Asian Handicap Away +1.25")/SUMIFS(Selections!$M$6:$M$79,Selections!$E$6:$E$79,"Asian Handicap Away +1.25"))</f>
        <v>0.16</v>
      </c>
      <c r="L18" s="21">
        <f>IF(SUMIFS(Selections!$T$6:$T$79,Selections!$E$6:$E$79,"Asian Handicap Away +1.25")=0,"n.a.",SUMIFS(Selections!$O$6:$O$79,Selections!$E$6:$E$79,"Asian Handicap Away +1.25")/SUMIFS(Selections!$T$6:$T$79,Selections!$E$6:$E$79,"Asian Handicap Away +1.25"))</f>
        <v>0.024359397046770922</v>
      </c>
      <c r="M18" s="20">
        <f>IF(SUMIFS(Selections!$T$6:$T$79,Selections!$E$6:$E$79,"Asian Handicap Away +1.25")=0,"n.a.",SUMIFS(Selections!$S$6:$S$79,Selections!$E$6:$E$79,"Asian Handicap Away +1.25")/SUMIFS(Selections!$T$6:$T$79,Selections!$E$6:$E$79,"Asian Handicap Away +1.25"))</f>
        <v>0.8439250274811143</v>
      </c>
      <c r="N18" s="20">
        <f>IF(SUMIFS(Selections!$T$6:$T$79,Selections!$E$6:$E$79,"Asian Handicap Away +1.25")=0,"n.a.",(SUMIFS(Selections!$L$6:$L$79,Selections!$E$6:$E$79,"Asian Handicap Away +1.25",Selections!$T$6:$T$79,1))/SUMIFS(Selections!$T$6:$T$79,Selections!$E$6:$E$79,"Asian Handicap Away +1.25"))</f>
        <v>1.0</v>
      </c>
      <c r="O18" s="20">
        <f>IF(SUMIFS(Selections!$T$6:$T$79,Selections!$E$6:$E$79,"Asian Handicap Away +1.25")=0,"n.a.",(SUMIFS(Selections!$S$6:$S$79,Selections!$E$6:$E$79,"Asian Handicap Away +1.25")-(SUMIFS(Selections!$L$6:$L$79,Selections!$E$6:$E$79,"Asian Handicap Away +1.25",Selections!$T$6:$T$79,1)))/SUMIFS(Selections!$T$6:$T$79,Selections!$E$6:$E$79,"Asian Handicap Away +1.25"))</f>
        <v>-0.1560749725188857</v>
      </c>
      <c r="P18" s="19">
        <f>SUMIFS(Selections!$T$6:$T$79,Selections!$E$6:$E$79,"Asian Handicap Away +1.25")</f>
        <v>1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(n=1).</v>
      </c>
      <c r="R18" s="18"/>
    </row>
    <row r="19" ht="36" customHeight="1">
      <c r="A19" s="18" t="inlineStr">
        <is>
          <t>Market</t>
        </is>
      </c>
      <c r="B19" s="18" t="inlineStr">
        <is>
          <t>Asian Handicap Away +2.00</t>
        </is>
      </c>
      <c r="C19" s="19">
        <f>COUNTIFS(Selections!$E$6:$E$79,"Asian Handicap Away +2.00")</f>
        <v>4</v>
      </c>
      <c r="D19" s="19">
        <f>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</f>
        <v>4</v>
      </c>
      <c r="E19" s="19">
        <f>(COUNTIFS(Selections!$E$6:$E$79,"Asian Handicap Away +2.00",Selections!$K$6:$K$79,"WON")+COUNTIFS(Selections!$E$6:$E$79,"Asian Handicap Away +2.00",Selections!$K$6:$K$79,"HALF_WON"))</f>
        <v>3</v>
      </c>
      <c r="F19" s="19">
        <f>(COUNTIFS(Selections!$E$6:$E$79,"Asian Handicap Away +2.00",Selections!$K$6:$K$79,"LOST")+COUNTIFS(Selections!$E$6:$E$79,"Asian Handicap Away +2.00",Selections!$K$6:$K$79,"HALF_LOST"))</f>
        <v>0</v>
      </c>
      <c r="G19" s="19">
        <f>COUNTIFS(Selections!$E$6:$E$79,"Asian Handicap Away +2.00")-((COUNTIFS(Selections!$E$6:$E$79,"Asian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</f>
        <v>0</v>
      </c>
      <c r="H19" s="20">
        <f>IF(((COUNTIFS(Selections!$E$6:$E$79,"Asian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+2.00",Selections!$K$6:$K$79,"REFUNDED"))=0,"n.a.",(COUNTIFS(Selections!$E$6:$E$79,"Asian Handicap Away +2.00",Selections!$K$6:$K$79,"WON")+COUNTIFS(Selections!$E$6:$E$79,"Asian Handicap Away +2.00",Selections!$K$6:$K$79,"HALF_WON"))/((COUNTIFS(Selections!$E$6:$E$79,"Asian Handicap Away +2.00",Selections!$K$6:$K$79,"WON")+COUNTIFS(Selections!$E$6:$E$79,"Asian Handicap Away +2.00",Selections!$K$6:$K$79,"HALF_WON"))+(COUNTIFS(Selections!$E$6:$E$79,"Asian Handicap Away +2.00",Selections!$K$6:$K$79,"LOST")+COUNTIFS(Selections!$E$6:$E$79,"Asian Handicap Away +2.00",Selections!$K$6:$K$79,"HALF_LOST"))+COUNTIFS(Selections!$E$6:$E$79,"Asian Handicap Away +2.00",Selections!$K$6:$K$79,"REFUNDED")))</f>
        <v>0.75</v>
      </c>
      <c r="I19" s="22">
        <f>SUMIFS(Selections!$M$6:$M$79,Selections!$E$6:$E$79,"Asian Handicap Away +2.00")</f>
        <v>4</v>
      </c>
      <c r="J19" s="22">
        <f>SUMIFS(Selections!$N$6:$N$79,Selections!$E$6:$E$79,"Asian Handicap Away +2.00")</f>
        <v>1.17</v>
      </c>
      <c r="K19" s="20">
        <f>IF(SUMIFS(Selections!$M$6:$M$79,Selections!$E$6:$E$79,"Asian Handicap Away +2.00")=0,"n.a.",SUMIFS(Selections!$N$6:$N$79,Selections!$E$6:$E$79,"Asian Handicap Away +2.00")/SUMIFS(Selections!$M$6:$M$79,Selections!$E$6:$E$79,"Asian Handicap Away +2.00"))</f>
        <v>0.2925</v>
      </c>
      <c r="L19" s="21">
        <f>IF(SUMIFS(Selections!$T$6:$T$79,Selections!$E$6:$E$79,"Asian Handicap Away +2.00")=0,"n.a.",SUMIFS(Selections!$O$6:$O$79,Selections!$E$6:$E$79,"Asian Handicap Away +2.00")/SUMIFS(Selections!$T$6:$T$79,Selections!$E$6:$E$79,"Asian Handicap Away +2.00"))</f>
        <v>0.030287940809718607</v>
      </c>
      <c r="M19" s="20">
        <f>IF(SUMIFS(Selections!$T$6:$T$79,Selections!$E$6:$E$79,"Asian Handicap Away +2.00")=0,"n.a.",SUMIFS(Selections!$S$6:$S$79,Selections!$E$6:$E$79,"Asian Handicap Away +2.00")/SUMIFS(Selections!$T$6:$T$79,Selections!$E$6:$E$79,"Asian Handicap Away +2.00"))</f>
        <v>0.8352097137017651</v>
      </c>
      <c r="N19" s="20">
        <f>IF(SUMIFS(Selections!$T$6:$T$79,Selections!$E$6:$E$79,"Asian Handicap Away +2.00")=0,"n.a.",(SUMIFS(Selections!$L$6:$L$79,Selections!$E$6:$E$79,"Asian Handicap Away +2.00",Selections!$T$6:$T$79,1))/SUMIFS(Selections!$T$6:$T$79,Selections!$E$6:$E$79,"Asian Handicap Away +2.00"))</f>
        <v>1.0</v>
      </c>
      <c r="O19" s="20">
        <f>IF(SUMIFS(Selections!$T$6:$T$79,Selections!$E$6:$E$79,"Asian Handicap Away +2.00")=0,"n.a.",(SUMIFS(Selections!$S$6:$S$79,Selections!$E$6:$E$79,"Asian Handicap Away +2.00")-(SUMIFS(Selections!$L$6:$L$79,Selections!$E$6:$E$79,"Asian Handicap Away +2.00",Selections!$T$6:$T$79,1)))/SUMIFS(Selections!$T$6:$T$79,Selections!$E$6:$E$79,"Asian Handicap Away +2.00"))</f>
        <v>-0.1647902862982349</v>
      </c>
      <c r="P19" s="19">
        <f>SUMIFS(Selections!$T$6:$T$79,Selections!$E$6:$E$79,"Asian Handicap Away +2.00")</f>
        <v>4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(n=4).</v>
      </c>
      <c r="R19" s="18"/>
    </row>
    <row r="20" ht="36" customHeight="1">
      <c r="A20" s="18" t="inlineStr">
        <is>
          <t>Market</t>
        </is>
      </c>
      <c r="B20" s="18" t="inlineStr">
        <is>
          <t>Asian Handicap Away +2.25</t>
        </is>
      </c>
      <c r="C20" s="19">
        <f>COUNTIFS(Selections!$E$6:$E$79,"Asian Handicap Away +2.25")</f>
        <v>1</v>
      </c>
      <c r="D20" s="19">
        <f>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</f>
        <v>0</v>
      </c>
      <c r="E20" s="19">
        <f>(COUNTIFS(Selections!$E$6:$E$79,"Asian Handicap Away +2.25",Selections!$K$6:$K$79,"WON")+COUNTIFS(Selections!$E$6:$E$79,"Asian Handicap Away +2.25",Selections!$K$6:$K$79,"HALF_WON"))</f>
        <v>0</v>
      </c>
      <c r="F20" s="19">
        <f>(COUNTIFS(Selections!$E$6:$E$79,"Asian Handicap Away +2.25",Selections!$K$6:$K$79,"LOST")+COUNTIFS(Selections!$E$6:$E$79,"Asian Handicap Away +2.25",Selections!$K$6:$K$79,"HALF_LOST"))</f>
        <v>0</v>
      </c>
      <c r="G20" s="19">
        <f>COUNTIFS(Selections!$E$6:$E$79,"Asian Handicap Away +2.25")-((COUNTIFS(Selections!$E$6:$E$79,"Asian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</f>
        <v>1</v>
      </c>
      <c r="H20" s="20" t="str">
        <f>IF(((COUNTIFS(Selections!$E$6:$E$79,"Asian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+2.25",Selections!$K$6:$K$79,"REFUNDED"))=0,"n.a.",(COUNTIFS(Selections!$E$6:$E$79,"Asian Handicap Away +2.25",Selections!$K$6:$K$79,"WON")+COUNTIFS(Selections!$E$6:$E$79,"Asian Handicap Away +2.25",Selections!$K$6:$K$79,"HALF_WON"))/((COUNTIFS(Selections!$E$6:$E$79,"Asian Handicap Away +2.25",Selections!$K$6:$K$79,"WON")+COUNTIFS(Selections!$E$6:$E$79,"Asian Handicap Away +2.25",Selections!$K$6:$K$79,"HALF_WON"))+(COUNTIFS(Selections!$E$6:$E$79,"Asian Handicap Away +2.25",Selections!$K$6:$K$79,"LOST")+COUNTIFS(Selections!$E$6:$E$79,"Asian Handicap Away +2.25",Selections!$K$6:$K$79,"HALF_LOST"))+COUNTIFS(Selections!$E$6:$E$79,"Asian Handicap Away +2.25",Selections!$K$6:$K$79,"REFUNDED")))</f>
        <v>n.a.</v>
      </c>
      <c r="I20" s="22">
        <f>SUMIFS(Selections!$M$6:$M$79,Selections!$E$6:$E$79,"Asian Handicap Away +2.25")</f>
        <v>0</v>
      </c>
      <c r="J20" s="22">
        <f>SUMIFS(Selections!$N$6:$N$79,Selections!$E$6:$E$79,"Asian Handicap Away +2.25")</f>
        <v>0</v>
      </c>
      <c r="K20" s="20" t="str">
        <f>IF(SUMIFS(Selections!$M$6:$M$79,Selections!$E$6:$E$79,"Asian Handicap Away +2.25")=0,"n.a.",SUMIFS(Selections!$N$6:$N$79,Selections!$E$6:$E$79,"Asian Handicap Away +2.25")/SUMIFS(Selections!$M$6:$M$79,Selections!$E$6:$E$79,"Asian Handicap Away +2.25"))</f>
        <v>n.a.</v>
      </c>
      <c r="L20" s="21" t="str">
        <f>IF(SUMIFS(Selections!$T$6:$T$79,Selections!$E$6:$E$79,"Asian Handicap Away +2.25")=0,"n.a.",SUMIFS(Selections!$O$6:$O$79,Selections!$E$6:$E$79,"Asian Handicap Away +2.25")/SUMIFS(Selections!$T$6:$T$79,Selections!$E$6:$E$79,"Asian Handicap Away +2.25"))</f>
        <v>n.a.</v>
      </c>
      <c r="M20" s="20" t="str">
        <f>IF(SUMIFS(Selections!$T$6:$T$79,Selections!$E$6:$E$79,"Asian Handicap Away +2.25")=0,"n.a.",SUMIFS(Selections!$S$6:$S$79,Selections!$E$6:$E$79,"Asian Handicap Away +2.25")/SUMIFS(Selections!$T$6:$T$79,Selections!$E$6:$E$79,"Asian Handicap Away +2.25"))</f>
        <v>n.a.</v>
      </c>
      <c r="N20" s="20" t="str">
        <f>IF(SUMIFS(Selections!$T$6:$T$79,Selections!$E$6:$E$79,"Asian Handicap Away +2.25")=0,"n.a.",(SUMIFS(Selections!$L$6:$L$79,Selections!$E$6:$E$79,"Asian Handicap Away +2.25",Selections!$T$6:$T$79,1))/SUMIFS(Selections!$T$6:$T$79,Selections!$E$6:$E$79,"Asian Handicap Away +2.25"))</f>
        <v>n.a.</v>
      </c>
      <c r="O20" s="20" t="str">
        <f>IF(SUMIFS(Selections!$T$6:$T$79,Selections!$E$6:$E$79,"Asian Handicap Away +2.25")=0,"n.a.",(SUMIFS(Selections!$S$6:$S$79,Selections!$E$6:$E$79,"Asian Handicap Away +2.25")-(SUMIFS(Selections!$L$6:$L$79,Selections!$E$6:$E$79,"Asian Handicap Away +2.25",Selections!$T$6:$T$79,1)))/SUMIFS(Selections!$T$6:$T$79,Selections!$E$6:$E$79,"Asian Handicap Away +2.25"))</f>
        <v>n.a.</v>
      </c>
      <c r="P20" s="19">
        <f>SUMIFS(Selections!$T$6:$T$79,Selections!$E$6:$E$79,"Asian Handicap Away +2.25")</f>
        <v>0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(n=0).</v>
      </c>
      <c r="R20" s="18"/>
    </row>
    <row r="21" ht="36" customHeight="1">
      <c r="A21" s="18" t="inlineStr">
        <is>
          <t>Market</t>
        </is>
      </c>
      <c r="B21" s="18" t="inlineStr">
        <is>
          <t>Asian Handicap Home +1.25</t>
        </is>
      </c>
      <c r="C21" s="19">
        <f>COUNTIFS(Selections!$E$6:$E$79,"Asian Handicap Home +1.25")</f>
        <v>1</v>
      </c>
      <c r="D21" s="19">
        <f>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</f>
        <v>1</v>
      </c>
      <c r="E21" s="19">
        <f>(COUNTIFS(Selections!$E$6:$E$79,"Asian Handicap Home +1.25",Selections!$K$6:$K$79,"WON")+COUNTIFS(Selections!$E$6:$E$79,"Asian Handicap Home +1.25",Selections!$K$6:$K$79,"HALF_WON"))</f>
        <v>1</v>
      </c>
      <c r="F21" s="19">
        <f>(COUNTIFS(Selections!$E$6:$E$79,"Asian Handicap Home +1.25",Selections!$K$6:$K$79,"LOST")+COUNTIFS(Selections!$E$6:$E$79,"Asian Handicap Home +1.25",Selections!$K$6:$K$79,"HALF_LOST"))</f>
        <v>0</v>
      </c>
      <c r="G21" s="19">
        <f>COUNTIFS(Selections!$E$6:$E$79,"Asian Handicap Home +1.25")-((COUNTIFS(Selections!$E$6:$E$79,"Asian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</f>
        <v>0</v>
      </c>
      <c r="H21" s="20">
        <f>IF(((COUNTIFS(Selections!$E$6:$E$79,"Asian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+1.25",Selections!$K$6:$K$79,"REFUNDED"))=0,"n.a.",(COUNTIFS(Selections!$E$6:$E$79,"Asian Handicap Home +1.25",Selections!$K$6:$K$79,"WON")+COUNTIFS(Selections!$E$6:$E$79,"Asian Handicap Home +1.25",Selections!$K$6:$K$79,"HALF_WON"))/((COUNTIFS(Selections!$E$6:$E$79,"Asian Handicap Home +1.25",Selections!$K$6:$K$79,"WON")+COUNTIFS(Selections!$E$6:$E$79,"Asian Handicap Home +1.25",Selections!$K$6:$K$79,"HALF_WON"))+(COUNTIFS(Selections!$E$6:$E$79,"Asian Handicap Home +1.25",Selections!$K$6:$K$79,"LOST")+COUNTIFS(Selections!$E$6:$E$79,"Asian Handicap Home +1.25",Selections!$K$6:$K$79,"HALF_LOST"))+COUNTIFS(Selections!$E$6:$E$79,"Asian Handicap Home +1.25",Selections!$K$6:$K$79,"REFUNDED")))</f>
        <v>1.0</v>
      </c>
      <c r="I21" s="22">
        <f>SUMIFS(Selections!$M$6:$M$79,Selections!$E$6:$E$79,"Asian Handicap Home +1.25")</f>
        <v>1</v>
      </c>
      <c r="J21" s="22">
        <f>SUMIFS(Selections!$N$6:$N$79,Selections!$E$6:$E$79,"Asian Handicap Home +1.25")</f>
        <v>0.6</v>
      </c>
      <c r="K21" s="20">
        <f>IF(SUMIFS(Selections!$M$6:$M$79,Selections!$E$6:$E$79,"Asian Handicap Home +1.25")=0,"n.a.",SUMIFS(Selections!$N$6:$N$79,Selections!$E$6:$E$79,"Asian Handicap Home +1.25")/SUMIFS(Selections!$M$6:$M$79,Selections!$E$6:$E$79,"Asian Handicap Home +1.25"))</f>
        <v>0.6</v>
      </c>
      <c r="L21" s="21">
        <f>IF(SUMIFS(Selections!$T$6:$T$79,Selections!$E$6:$E$79,"Asian Handicap Home +1.25")=0,"n.a.",SUMIFS(Selections!$O$6:$O$79,Selections!$E$6:$E$79,"Asian Handicap Home +1.25")/SUMIFS(Selections!$T$6:$T$79,Selections!$E$6:$E$79,"Asian Handicap Home +1.25"))</f>
        <v>0.040902088882518665</v>
      </c>
      <c r="M21" s="20">
        <f>IF(SUMIFS(Selections!$T$6:$T$79,Selections!$E$6:$E$79,"Asian Handicap Home +1.25")=0,"n.a.",SUMIFS(Selections!$S$6:$S$79,Selections!$E$6:$E$79,"Asian Handicap Home +1.25")/SUMIFS(Selections!$T$6:$T$79,Selections!$E$6:$E$79,"Asian Handicap Home +1.25"))</f>
        <v>0.7977573514747232</v>
      </c>
      <c r="N21" s="20">
        <f>IF(SUMIFS(Selections!$T$6:$T$79,Selections!$E$6:$E$79,"Asian Handicap Home +1.25")=0,"n.a.",(SUMIFS(Selections!$L$6:$L$79,Selections!$E$6:$E$79,"Asian Handicap Home +1.25",Selections!$T$6:$T$79,1))/SUMIFS(Selections!$T$6:$T$79,Selections!$E$6:$E$79,"Asian Handicap Home +1.25"))</f>
        <v>1.0</v>
      </c>
      <c r="O21" s="20">
        <f>IF(SUMIFS(Selections!$T$6:$T$79,Selections!$E$6:$E$79,"Asian Handicap Home +1.25")=0,"n.a.",(SUMIFS(Selections!$S$6:$S$79,Selections!$E$6:$E$79,"Asian Handicap Home +1.25")-(SUMIFS(Selections!$L$6:$L$79,Selections!$E$6:$E$79,"Asian Handicap Home +1.25",Selections!$T$6:$T$79,1)))/SUMIFS(Selections!$T$6:$T$79,Selections!$E$6:$E$79,"Asian Handicap Home +1.25"))</f>
        <v>-0.20224264852527685</v>
      </c>
      <c r="P21" s="19">
        <f>SUMIFS(Selections!$T$6:$T$79,Selections!$E$6:$E$79,"Asian Handicap Home +1.25")</f>
        <v>1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(n=1).</v>
      </c>
      <c r="R21" s="18"/>
    </row>
    <row r="22" ht="36" customHeight="1">
      <c r="A22" s="18" t="inlineStr">
        <is>
          <t>Market</t>
        </is>
      </c>
      <c r="B22" s="18" t="inlineStr">
        <is>
          <t>Asian Handicap Home +2.00</t>
        </is>
      </c>
      <c r="C22" s="19">
        <f>COUNTIFS(Selections!$E$6:$E$79,"Asian Handicap Home +2.00")</f>
        <v>2</v>
      </c>
      <c r="D22" s="19">
        <f>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</f>
        <v>1</v>
      </c>
      <c r="E22" s="19">
        <f>(COUNTIFS(Selections!$E$6:$E$79,"Asian Handicap Home +2.00",Selections!$K$6:$K$79,"WON")+COUNTIFS(Selections!$E$6:$E$79,"Asian Handicap Home +2.00",Selections!$K$6:$K$79,"HALF_WON"))</f>
        <v>1</v>
      </c>
      <c r="F22" s="19">
        <f>(COUNTIFS(Selections!$E$6:$E$79,"Asian Handicap Home +2.00",Selections!$K$6:$K$79,"LOST")+COUNTIFS(Selections!$E$6:$E$79,"Asian Handicap Home +2.00",Selections!$K$6:$K$79,"HALF_LOST"))</f>
        <v>0</v>
      </c>
      <c r="G22" s="19">
        <f>COUNTIFS(Selections!$E$6:$E$79,"Asian Handicap Home +2.00")-((COUNTIFS(Selections!$E$6:$E$79,"Asian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</f>
        <v>1</v>
      </c>
      <c r="H22" s="20">
        <f>IF(((COUNTIFS(Selections!$E$6:$E$79,"Asian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+2.00",Selections!$K$6:$K$79,"REFUNDED"))=0,"n.a.",(COUNTIFS(Selections!$E$6:$E$79,"Asian Handicap Home +2.00",Selections!$K$6:$K$79,"WON")+COUNTIFS(Selections!$E$6:$E$79,"Asian Handicap Home +2.00",Selections!$K$6:$K$79,"HALF_WON"))/((COUNTIFS(Selections!$E$6:$E$79,"Asian Handicap Home +2.00",Selections!$K$6:$K$79,"WON")+COUNTIFS(Selections!$E$6:$E$79,"Asian Handicap Home +2.00",Selections!$K$6:$K$79,"HALF_WON"))+(COUNTIFS(Selections!$E$6:$E$79,"Asian Handicap Home +2.00",Selections!$K$6:$K$79,"LOST")+COUNTIFS(Selections!$E$6:$E$79,"Asian Handicap Home +2.00",Selections!$K$6:$K$79,"HALF_LOST"))+COUNTIFS(Selections!$E$6:$E$79,"Asian Handicap Home +2.00",Selections!$K$6:$K$79,"REFUNDED")))</f>
        <v>1.0</v>
      </c>
      <c r="I22" s="22">
        <f>SUMIFS(Selections!$M$6:$M$79,Selections!$E$6:$E$79,"Asian Handicap Home +2.00")</f>
        <v>1</v>
      </c>
      <c r="J22" s="22">
        <f>SUMIFS(Selections!$N$6:$N$79,Selections!$E$6:$E$79,"Asian Handicap Home +2.00")</f>
        <v>0.26</v>
      </c>
      <c r="K22" s="20">
        <f>IF(SUMIFS(Selections!$M$6:$M$79,Selections!$E$6:$E$79,"Asian Handicap Home +2.00")=0,"n.a.",SUMIFS(Selections!$N$6:$N$79,Selections!$E$6:$E$79,"Asian Handicap Home +2.00")/SUMIFS(Selections!$M$6:$M$79,Selections!$E$6:$E$79,"Asian Handicap Home +2.00"))</f>
        <v>0.26</v>
      </c>
      <c r="L22" s="21">
        <f>IF(SUMIFS(Selections!$T$6:$T$79,Selections!$E$6:$E$79,"Asian Handicap Home +2.00")=0,"n.a.",SUMIFS(Selections!$O$6:$O$79,Selections!$E$6:$E$79,"Asian Handicap Home +2.00")/SUMIFS(Selections!$T$6:$T$79,Selections!$E$6:$E$79,"Asian Handicap Home +2.00"))</f>
        <v>0.022096178165030404</v>
      </c>
      <c r="M22" s="20">
        <f>IF(SUMIFS(Selections!$T$6:$T$79,Selections!$E$6:$E$79,"Asian Handicap Home +2.00")=0,"n.a.",SUMIFS(Selections!$S$6:$S$79,Selections!$E$6:$E$79,"Asian Handicap Home +2.00")/SUMIFS(Selections!$T$6:$T$79,Selections!$E$6:$E$79,"Asian Handicap Home +2.00"))</f>
        <v>0.851352167304631</v>
      </c>
      <c r="N22" s="20">
        <f>IF(SUMIFS(Selections!$T$6:$T$79,Selections!$E$6:$E$79,"Asian Handicap Home +2.00")=0,"n.a.",(SUMIFS(Selections!$L$6:$L$79,Selections!$E$6:$E$79,"Asian Handicap Home +2.00",Selections!$T$6:$T$79,1))/SUMIFS(Selections!$T$6:$T$79,Selections!$E$6:$E$79,"Asian Handicap Home +2.00"))</f>
        <v>1.0</v>
      </c>
      <c r="O22" s="20">
        <f>IF(SUMIFS(Selections!$T$6:$T$79,Selections!$E$6:$E$79,"Asian Handicap Home +2.00")=0,"n.a.",(SUMIFS(Selections!$S$6:$S$79,Selections!$E$6:$E$79,"Asian Handicap Home +2.00")-(SUMIFS(Selections!$L$6:$L$79,Selections!$E$6:$E$79,"Asian Handicap Home +2.00",Selections!$T$6:$T$79,1)))/SUMIFS(Selections!$T$6:$T$79,Selections!$E$6:$E$79,"Asian Handicap Home +2.00"))</f>
        <v>-0.14864783269536896</v>
      </c>
      <c r="P22" s="19">
        <f>SUMIFS(Selections!$T$6:$T$79,Selections!$E$6:$E$79,"Asian Handicap Home +2.00")</f>
        <v>1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(n=1).</v>
      </c>
      <c r="R22" s="18"/>
    </row>
    <row r="23" ht="36" customHeight="1">
      <c r="A23" s="18" t="inlineStr">
        <is>
          <t>Market</t>
        </is>
      </c>
      <c r="B23" s="18" t="inlineStr">
        <is>
          <t>Asian Handicap Home +2.25</t>
        </is>
      </c>
      <c r="C23" s="19">
        <f>COUNTIFS(Selections!$E$6:$E$79,"Asian Handicap Home +2.25")</f>
        <v>1</v>
      </c>
      <c r="D23" s="19">
        <f>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</f>
        <v>1</v>
      </c>
      <c r="E23" s="19">
        <f>(COUNTIFS(Selections!$E$6:$E$79,"Asian Handicap Home +2.25",Selections!$K$6:$K$79,"WON")+COUNTIFS(Selections!$E$6:$E$79,"Asian Handicap Home +2.25",Selections!$K$6:$K$79,"HALF_WON"))</f>
        <v>1</v>
      </c>
      <c r="F23" s="19">
        <f>(COUNTIFS(Selections!$E$6:$E$79,"Asian Handicap Home +2.25",Selections!$K$6:$K$79,"LOST")+COUNTIFS(Selections!$E$6:$E$79,"Asian Handicap Home +2.25",Selections!$K$6:$K$79,"HALF_LOST"))</f>
        <v>0</v>
      </c>
      <c r="G23" s="19">
        <f>COUNTIFS(Selections!$E$6:$E$79,"Asian Handicap Home +2.25")-((COUNTIFS(Selections!$E$6:$E$79,"Asian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</f>
        <v>0</v>
      </c>
      <c r="H23" s="20">
        <f>IF(((COUNTIFS(Selections!$E$6:$E$79,"Asian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+2.25",Selections!$K$6:$K$79,"REFUNDED"))=0,"n.a.",(COUNTIFS(Selections!$E$6:$E$79,"Asian Handicap Home +2.25",Selections!$K$6:$K$79,"WON")+COUNTIFS(Selections!$E$6:$E$79,"Asian Handicap Home +2.25",Selections!$K$6:$K$79,"HALF_WON"))/((COUNTIFS(Selections!$E$6:$E$79,"Asian Handicap Home +2.25",Selections!$K$6:$K$79,"WON")+COUNTIFS(Selections!$E$6:$E$79,"Asian Handicap Home +2.25",Selections!$K$6:$K$79,"HALF_WON"))+(COUNTIFS(Selections!$E$6:$E$79,"Asian Handicap Home +2.25",Selections!$K$6:$K$79,"LOST")+COUNTIFS(Selections!$E$6:$E$79,"Asian Handicap Home +2.25",Selections!$K$6:$K$79,"HALF_LOST"))+COUNTIFS(Selections!$E$6:$E$79,"Asian Handicap Home +2.25",Selections!$K$6:$K$79,"REFUNDED")))</f>
        <v>1.0</v>
      </c>
      <c r="I23" s="22">
        <f>SUMIFS(Selections!$M$6:$M$79,Selections!$E$6:$E$79,"Asian Handicap Home +2.25")</f>
        <v>1</v>
      </c>
      <c r="J23" s="22">
        <f>SUMIFS(Selections!$N$6:$N$79,Selections!$E$6:$E$79,"Asian Handicap Home +2.25")</f>
        <v>0.35</v>
      </c>
      <c r="K23" s="20">
        <f>IF(SUMIFS(Selections!$M$6:$M$79,Selections!$E$6:$E$79,"Asian Handicap Home +2.25")=0,"n.a.",SUMIFS(Selections!$N$6:$N$79,Selections!$E$6:$E$79,"Asian Handicap Home +2.25")/SUMIFS(Selections!$M$6:$M$79,Selections!$E$6:$E$79,"Asian Handicap Home +2.25"))</f>
        <v>0.35</v>
      </c>
      <c r="L23" s="21">
        <f>IF(SUMIFS(Selections!$T$6:$T$79,Selections!$E$6:$E$79,"Asian Handicap Home +2.25")=0,"n.a.",SUMIFS(Selections!$O$6:$O$79,Selections!$E$6:$E$79,"Asian Handicap Home +2.25")/SUMIFS(Selections!$T$6:$T$79,Selections!$E$6:$E$79,"Asian Handicap Home +2.25"))</f>
        <v>0.03828819671116923</v>
      </c>
      <c r="M23" s="20">
        <f>IF(SUMIFS(Selections!$T$6:$T$79,Selections!$E$6:$E$79,"Asian Handicap Home +2.25")=0,"n.a.",SUMIFS(Selections!$S$6:$S$79,Selections!$E$6:$E$79,"Asian Handicap Home +2.25")/SUMIFS(Selections!$T$6:$T$79,Selections!$E$6:$E$79,"Asian Handicap Home +2.25"))</f>
        <v>0.8043263004101746</v>
      </c>
      <c r="N23" s="20">
        <f>IF(SUMIFS(Selections!$T$6:$T$79,Selections!$E$6:$E$79,"Asian Handicap Home +2.25")=0,"n.a.",(SUMIFS(Selections!$L$6:$L$79,Selections!$E$6:$E$79,"Asian Handicap Home +2.25",Selections!$T$6:$T$79,1))/SUMIFS(Selections!$T$6:$T$79,Selections!$E$6:$E$79,"Asian Handicap Home +2.25"))</f>
        <v>1.0</v>
      </c>
      <c r="O23" s="20">
        <f>IF(SUMIFS(Selections!$T$6:$T$79,Selections!$E$6:$E$79,"Asian Handicap Home +2.25")=0,"n.a.",(SUMIFS(Selections!$S$6:$S$79,Selections!$E$6:$E$79,"Asian Handicap Home +2.25")-(SUMIFS(Selections!$L$6:$L$79,Selections!$E$6:$E$79,"Asian Handicap Home +2.25",Selections!$T$6:$T$79,1)))/SUMIFS(Selections!$T$6:$T$79,Selections!$E$6:$E$79,"Asian Handicap Home +2.25"))</f>
        <v>-0.1956736995898254</v>
      </c>
      <c r="P23" s="19">
        <f>SUMIFS(Selections!$T$6:$T$79,Selections!$E$6:$E$79,"Asian Handicap Home +2.25")</f>
        <v>1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(n=1).</v>
      </c>
      <c r="R23" s="18"/>
    </row>
    <row r="24" ht="36" customHeight="1">
      <c r="A24" s="18" t="inlineStr">
        <is>
          <t>Market</t>
        </is>
      </c>
      <c r="B24" s="18" t="inlineStr">
        <is>
          <t>Away win</t>
        </is>
      </c>
      <c r="C24" s="19">
        <f>COUNTIFS(Selections!$E$6:$E$79,"Away win")</f>
        <v>4</v>
      </c>
      <c r="D24" s="19">
        <f>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</f>
        <v>4</v>
      </c>
      <c r="E24" s="19">
        <f>(COUNTIFS(Selections!$E$6:$E$79,"Away win",Selections!$K$6:$K$79,"WON")+COUNTIFS(Selections!$E$6:$E$79,"Away win",Selections!$K$6:$K$79,"HALF_WON"))</f>
        <v>2</v>
      </c>
      <c r="F24" s="19">
        <f>(COUNTIFS(Selections!$E$6:$E$79,"Away win",Selections!$K$6:$K$79,"LOST")+COUNTIFS(Selections!$E$6:$E$79,"Away win",Selections!$K$6:$K$79,"HALF_LOST"))</f>
        <v>2</v>
      </c>
      <c r="G24" s="19">
        <f>COUNTIFS(Selections!$E$6:$E$79,"Away win")-((COUNTIFS(Selections!$E$6:$E$79,"Away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</f>
        <v>0</v>
      </c>
      <c r="H24" s="20">
        <f>IF(((COUNTIFS(Selections!$E$6:$E$79,"Away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win",Selections!$K$6:$K$79,"REFUNDED"))=0,"n.a.",(COUNTIFS(Selections!$E$6:$E$79,"Away win",Selections!$K$6:$K$79,"WON")+COUNTIFS(Selections!$E$6:$E$79,"Away win",Selections!$K$6:$K$79,"HALF_WON"))/((COUNTIFS(Selections!$E$6:$E$79,"Away win",Selections!$K$6:$K$79,"WON")+COUNTIFS(Selections!$E$6:$E$79,"Away win",Selections!$K$6:$K$79,"HALF_WON"))+(COUNTIFS(Selections!$E$6:$E$79,"Away win",Selections!$K$6:$K$79,"LOST")+COUNTIFS(Selections!$E$6:$E$79,"Away win",Selections!$K$6:$K$79,"HALF_LOST"))+COUNTIFS(Selections!$E$6:$E$79,"Away win",Selections!$K$6:$K$79,"REFUNDED")))</f>
        <v>0.5</v>
      </c>
      <c r="I24" s="22">
        <f>SUMIFS(Selections!$M$6:$M$79,Selections!$E$6:$E$79,"Away win")</f>
        <v>4</v>
      </c>
      <c r="J24" s="22">
        <f>SUMIFS(Selections!$N$6:$N$79,Selections!$E$6:$E$79,"Away win")</f>
        <v>0.45999999999999996</v>
      </c>
      <c r="K24" s="20">
        <f>IF(SUMIFS(Selections!$M$6:$M$79,Selections!$E$6:$E$79,"Away win")=0,"n.a.",SUMIFS(Selections!$N$6:$N$79,Selections!$E$6:$E$79,"Away win")/SUMIFS(Selections!$M$6:$M$79,Selections!$E$6:$E$79,"Away win"))</f>
        <v>0.11499999999999999</v>
      </c>
      <c r="L24" s="21">
        <f>IF(SUMIFS(Selections!$T$6:$T$79,Selections!$E$6:$E$79,"Away win")=0,"n.a.",SUMIFS(Selections!$O$6:$O$79,Selections!$E$6:$E$79,"Away win")/SUMIFS(Selections!$T$6:$T$79,Selections!$E$6:$E$79,"Away win"))</f>
        <v>0.33482070932030694</v>
      </c>
      <c r="M24" s="20">
        <f>IF(SUMIFS(Selections!$T$6:$T$79,Selections!$E$6:$E$79,"Away win")=0,"n.a.",SUMIFS(Selections!$S$6:$S$79,Selections!$E$6:$E$79,"Away win")/SUMIFS(Selections!$T$6:$T$79,Selections!$E$6:$E$79,"Away win"))</f>
        <v>0.4847194437283757</v>
      </c>
      <c r="N24" s="20">
        <f>IF(SUMIFS(Selections!$T$6:$T$79,Selections!$E$6:$E$79,"Away win")=0,"n.a.",(SUMIFS(Selections!$L$6:$L$79,Selections!$E$6:$E$79,"Away win",Selections!$T$6:$T$79,1))/SUMIFS(Selections!$T$6:$T$79,Selections!$E$6:$E$79,"Away win"))</f>
        <v>0.5</v>
      </c>
      <c r="O24" s="20">
        <f>IF(SUMIFS(Selections!$T$6:$T$79,Selections!$E$6:$E$79,"Away win")=0,"n.a.",(SUMIFS(Selections!$S$6:$S$79,Selections!$E$6:$E$79,"Away win")-(SUMIFS(Selections!$L$6:$L$79,Selections!$E$6:$E$79,"Away win",Selections!$T$6:$T$79,1)))/SUMIFS(Selections!$T$6:$T$79,Selections!$E$6:$E$79,"Away win"))</f>
        <v>-0.01528055627162428</v>
      </c>
      <c r="P24" s="19">
        <f>SUMIFS(Selections!$T$6:$T$79,Selections!$E$6:$E$79,"Away win")</f>
        <v>4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(n=4).</v>
      </c>
      <c r="R24" s="18"/>
    </row>
    <row r="25" ht="36" customHeight="1">
      <c r="A25" s="18" t="inlineStr">
        <is>
          <t>Market</t>
        </is>
      </c>
      <c r="B25" s="18" t="inlineStr">
        <is>
          <t>Both Teams to Score - Yes</t>
        </is>
      </c>
      <c r="C25" s="19">
        <f>COUNTIFS(Selections!$E$6:$E$79,"Both Teams to Score - Yes")</f>
        <v>3</v>
      </c>
      <c r="D25" s="19">
        <f>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</f>
        <v>3</v>
      </c>
      <c r="E25" s="19">
        <f>(COUNTIFS(Selections!$E$6:$E$79,"Both Teams to Score - Yes",Selections!$K$6:$K$79,"WON")+COUNTIFS(Selections!$E$6:$E$79,"Both Teams to Score - Yes",Selections!$K$6:$K$79,"HALF_WON"))</f>
        <v>2</v>
      </c>
      <c r="F25" s="19">
        <f>(COUNTIFS(Selections!$E$6:$E$79,"Both Teams to Score - Yes",Selections!$K$6:$K$79,"LOST")+COUNTIFS(Selections!$E$6:$E$79,"Both Teams to Score - Yes",Selections!$K$6:$K$79,"HALF_LOST"))</f>
        <v>1</v>
      </c>
      <c r="G25" s="19">
        <f>COUNTIFS(Selections!$E$6:$E$79,"Both Teams to Score - Yes")-((COUNTIFS(Selections!$E$6:$E$79,"Both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</f>
        <v>0</v>
      </c>
      <c r="H25" s="20">
        <f>IF(((COUNTIFS(Selections!$E$6:$E$79,"Both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Yes",Selections!$K$6:$K$79,"REFUNDED"))=0,"n.a.",(COUNTIFS(Selections!$E$6:$E$79,"Both Teams to Score - Yes",Selections!$K$6:$K$79,"WON")+COUNTIFS(Selections!$E$6:$E$79,"Both Teams to Score - Yes",Selections!$K$6:$K$79,"HALF_WON"))/((COUNTIFS(Selections!$E$6:$E$79,"Both Teams to Score - Yes",Selections!$K$6:$K$79,"WON")+COUNTIFS(Selections!$E$6:$E$79,"Both Teams to Score - Yes",Selections!$K$6:$K$79,"HALF_WON"))+(COUNTIFS(Selections!$E$6:$E$79,"Both Teams to Score - Yes",Selections!$K$6:$K$79,"LOST")+COUNTIFS(Selections!$E$6:$E$79,"Both Teams to Score - Yes",Selections!$K$6:$K$79,"HALF_LOST"))+COUNTIFS(Selections!$E$6:$E$79,"Both Teams to Score - Yes",Selections!$K$6:$K$79,"REFUNDED")))</f>
        <v>0.6666666666666666</v>
      </c>
      <c r="I25" s="22">
        <f>SUMIFS(Selections!$M$6:$M$79,Selections!$E$6:$E$79,"Both Teams to Score - Yes")</f>
        <v>3</v>
      </c>
      <c r="J25" s="22">
        <f>SUMIFS(Selections!$N$6:$N$79,Selections!$E$6:$E$79,"Both Teams to Score - Yes")</f>
        <v>0.020000000000000018</v>
      </c>
      <c r="K25" s="20">
        <f>IF(SUMIFS(Selections!$M$6:$M$79,Selections!$E$6:$E$79,"Both Teams to Score - Yes")=0,"n.a.",SUMIFS(Selections!$N$6:$N$79,Selections!$E$6:$E$79,"Both Teams to Score - Yes")/SUMIFS(Selections!$M$6:$M$79,Selections!$E$6:$E$79,"Both Teams to Score - Yes"))</f>
        <v>0.006666666666666672</v>
      </c>
      <c r="L25" s="21">
        <f>IF(SUMIFS(Selections!$T$6:$T$79,Selections!$E$6:$E$79,"Both Teams to Score - Yes")=0,"n.a.",SUMIFS(Selections!$O$6:$O$79,Selections!$E$6:$E$79,"Both Teams to Score - Yes")/SUMIFS(Selections!$T$6:$T$79,Selections!$E$6:$E$79,"Both Teams to Score - Yes"))</f>
        <v>0.2227178753914428</v>
      </c>
      <c r="M25" s="20">
        <f>IF(SUMIFS(Selections!$T$6:$T$79,Selections!$E$6:$E$79,"Both Teams to Score - Yes")=0,"n.a.",SUMIFS(Selections!$S$6:$S$79,Selections!$E$6:$E$79,"Both Teams to Score - Yes")/SUMIFS(Selections!$T$6:$T$79,Selections!$E$6:$E$79,"Both Teams to Score - Yes"))</f>
        <v>0.7130523653970714</v>
      </c>
      <c r="N25" s="20">
        <f>IF(SUMIFS(Selections!$T$6:$T$79,Selections!$E$6:$E$79,"Both Teams to Score - Yes")=0,"n.a.",(SUMIFS(Selections!$L$6:$L$79,Selections!$E$6:$E$79,"Both Teams to Score - Yes",Selections!$T$6:$T$79,1))/SUMIFS(Selections!$T$6:$T$79,Selections!$E$6:$E$79,"Both Teams to Score - Yes"))</f>
        <v>0.6666666666666666</v>
      </c>
      <c r="O25" s="20">
        <f>IF(SUMIFS(Selections!$T$6:$T$79,Selections!$E$6:$E$79,"Both Teams to Score - Yes")=0,"n.a.",(SUMIFS(Selections!$S$6:$S$79,Selections!$E$6:$E$79,"Both Teams to Score - Yes")-(SUMIFS(Selections!$L$6:$L$79,Selections!$E$6:$E$79,"Both Teams to Score - Yes",Selections!$T$6:$T$79,1)))/SUMIFS(Selections!$T$6:$T$79,Selections!$E$6:$E$79,"Both Teams to Score - Yes"))</f>
        <v>0.04638569873040477</v>
      </c>
      <c r="P25" s="19">
        <f>SUMIFS(Selections!$T$6:$T$79,Selections!$E$6:$E$79,"Both Teams to Score - Yes")</f>
        <v>3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(n=3).</v>
      </c>
      <c r="R25" s="18"/>
    </row>
    <row r="26" ht="36" customHeight="1">
      <c r="A26" s="18" t="inlineStr">
        <is>
          <t>Market</t>
        </is>
      </c>
      <c r="B26" s="18" t="inlineStr">
        <is>
          <t>Corners Under 10.5</t>
        </is>
      </c>
      <c r="C26" s="19">
        <f>COUNTIFS(Selections!$E$6:$E$79,"Corners Under 10.5")</f>
        <v>2</v>
      </c>
      <c r="D26" s="19">
        <f>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</f>
        <v>1</v>
      </c>
      <c r="E26" s="19">
        <f>(COUNTIFS(Selections!$E$6:$E$79,"Corners Under 10.5",Selections!$K$6:$K$79,"WON")+COUNTIFS(Selections!$E$6:$E$79,"Corners Under 10.5",Selections!$K$6:$K$79,"HALF_WON"))</f>
        <v>1</v>
      </c>
      <c r="F26" s="19">
        <f>(COUNTIFS(Selections!$E$6:$E$79,"Corners Under 10.5",Selections!$K$6:$K$79,"LOST")+COUNTIFS(Selections!$E$6:$E$79,"Corners Under 10.5",Selections!$K$6:$K$79,"HALF_LOST"))</f>
        <v>0</v>
      </c>
      <c r="G26" s="19">
        <f>COUNTIFS(Selections!$E$6:$E$79,"Corners Under 10.5")-((COUNTIFS(Selections!$E$6:$E$79,"Corners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</f>
        <v>1</v>
      </c>
      <c r="H26" s="20">
        <f>IF(((COUNTIFS(Selections!$E$6:$E$79,"Corners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10.5",Selections!$K$6:$K$79,"REFUNDED"))=0,"n.a.",(COUNTIFS(Selections!$E$6:$E$79,"Corners Under 10.5",Selections!$K$6:$K$79,"WON")+COUNTIFS(Selections!$E$6:$E$79,"Corners Under 10.5",Selections!$K$6:$K$79,"HALF_WON"))/((COUNTIFS(Selections!$E$6:$E$79,"Corners Under 10.5",Selections!$K$6:$K$79,"WON")+COUNTIFS(Selections!$E$6:$E$79,"Corners Under 10.5",Selections!$K$6:$K$79,"HALF_WON"))+(COUNTIFS(Selections!$E$6:$E$79,"Corners Under 10.5",Selections!$K$6:$K$79,"LOST")+COUNTIFS(Selections!$E$6:$E$79,"Corners Under 10.5",Selections!$K$6:$K$79,"HALF_LOST"))+COUNTIFS(Selections!$E$6:$E$79,"Corners Under 10.5",Selections!$K$6:$K$79,"REFUNDED")))</f>
        <v>1.0</v>
      </c>
      <c r="I26" s="22">
        <f>SUMIFS(Selections!$M$6:$M$79,Selections!$E$6:$E$79,"Corners Under 10.5")</f>
        <v>1</v>
      </c>
      <c r="J26" s="22">
        <f>SUMIFS(Selections!$N$6:$N$79,Selections!$E$6:$E$79,"Corners Under 10.5")</f>
        <v>0.53</v>
      </c>
      <c r="K26" s="20">
        <f>IF(SUMIFS(Selections!$M$6:$M$79,Selections!$E$6:$E$79,"Corners Under 10.5")=0,"n.a.",SUMIFS(Selections!$N$6:$N$79,Selections!$E$6:$E$79,"Corners Under 10.5")/SUMIFS(Selections!$M$6:$M$79,Selections!$E$6:$E$79,"Corners Under 10.5"))</f>
        <v>0.53</v>
      </c>
      <c r="L26" s="21">
        <f>IF(SUMIFS(Selections!$T$6:$T$79,Selections!$E$6:$E$79,"Corners Under 10.5")=0,"n.a.",SUMIFS(Selections!$O$6:$O$79,Selections!$E$6:$E$79,"Corners Under 10.5")/SUMIFS(Selections!$T$6:$T$79,Selections!$E$6:$E$79,"Corners Under 10.5"))</f>
        <v>0.07225612473142058</v>
      </c>
      <c r="M26" s="20">
        <f>IF(SUMIFS(Selections!$T$6:$T$79,Selections!$E$6:$E$79,"Corners Under 10.5")=0,"n.a.",SUMIFS(Selections!$S$6:$S$79,Selections!$E$6:$E$79,"Corners Under 10.5")/SUMIFS(Selections!$T$6:$T$79,Selections!$E$6:$E$79,"Corners Under 10.5"))</f>
        <v>0.7311950061263359</v>
      </c>
      <c r="N26" s="20">
        <f>IF(SUMIFS(Selections!$T$6:$T$79,Selections!$E$6:$E$79,"Corners Under 10.5")=0,"n.a.",(SUMIFS(Selections!$L$6:$L$79,Selections!$E$6:$E$79,"Corners Under 10.5",Selections!$T$6:$T$79,1))/SUMIFS(Selections!$T$6:$T$79,Selections!$E$6:$E$79,"Corners Under 10.5"))</f>
        <v>1.0</v>
      </c>
      <c r="O26" s="20">
        <f>IF(SUMIFS(Selections!$T$6:$T$79,Selections!$E$6:$E$79,"Corners Under 10.5")=0,"n.a.",(SUMIFS(Selections!$S$6:$S$79,Selections!$E$6:$E$79,"Corners Under 10.5")-(SUMIFS(Selections!$L$6:$L$79,Selections!$E$6:$E$79,"Corners Under 10.5",Selections!$T$6:$T$79,1)))/SUMIFS(Selections!$T$6:$T$79,Selections!$E$6:$E$79,"Corners Under 10.5"))</f>
        <v>-0.2688049938736641</v>
      </c>
      <c r="P26" s="19">
        <f>SUMIFS(Selections!$T$6:$T$79,Selections!$E$6:$E$79,"Corners Under 10.5")</f>
        <v>1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(n=1).</v>
      </c>
      <c r="R26" s="18"/>
    </row>
    <row r="27" ht="36" customHeight="1">
      <c r="A27" s="18" t="inlineStr">
        <is>
          <t>Market</t>
        </is>
      </c>
      <c r="B27" s="18" t="inlineStr">
        <is>
          <t>Double Chance 12</t>
        </is>
      </c>
      <c r="C27" s="19">
        <f>COUNTIFS(Selections!$E$6:$E$79,"Double Chance 12")</f>
        <v>8</v>
      </c>
      <c r="D27" s="19">
        <f>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</f>
        <v>7</v>
      </c>
      <c r="E27" s="19">
        <f>(COUNTIFS(Selections!$E$6:$E$79,"Double Chance 12",Selections!$K$6:$K$79,"WON")+COUNTIFS(Selections!$E$6:$E$79,"Double Chance 12",Selections!$K$6:$K$79,"HALF_WON"))</f>
        <v>6</v>
      </c>
      <c r="F27" s="19">
        <f>(COUNTIFS(Selections!$E$6:$E$79,"Double Chance 12",Selections!$K$6:$K$79,"LOST")+COUNTIFS(Selections!$E$6:$E$79,"Double Chance 12",Selections!$K$6:$K$79,"HALF_LOST"))</f>
        <v>1</v>
      </c>
      <c r="G27" s="19">
        <f>COUNTIFS(Selections!$E$6:$E$79,"Double Chance 12")-((COUNTIFS(Selections!$E$6:$E$79,"Double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</f>
        <v>1</v>
      </c>
      <c r="H27" s="20">
        <f>IF(((COUNTIFS(Selections!$E$6:$E$79,"Double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12",Selections!$K$6:$K$79,"REFUNDED"))=0,"n.a.",(COUNTIFS(Selections!$E$6:$E$79,"Double Chance 12",Selections!$K$6:$K$79,"WON")+COUNTIFS(Selections!$E$6:$E$79,"Double Chance 12",Selections!$K$6:$K$79,"HALF_WON"))/((COUNTIFS(Selections!$E$6:$E$79,"Double Chance 12",Selections!$K$6:$K$79,"WON")+COUNTIFS(Selections!$E$6:$E$79,"Double Chance 12",Selections!$K$6:$K$79,"HALF_WON"))+(COUNTIFS(Selections!$E$6:$E$79,"Double Chance 12",Selections!$K$6:$K$79,"LOST")+COUNTIFS(Selections!$E$6:$E$79,"Double Chance 12",Selections!$K$6:$K$79,"HALF_LOST"))+COUNTIFS(Selections!$E$6:$E$79,"Double Chance 12",Selections!$K$6:$K$79,"REFUNDED")))</f>
        <v>0.8571428571428571</v>
      </c>
      <c r="I27" s="22">
        <f>SUMIFS(Selections!$M$6:$M$79,Selections!$E$6:$E$79,"Double Chance 12")</f>
        <v>7</v>
      </c>
      <c r="J27" s="22">
        <f>SUMIFS(Selections!$N$6:$N$79,Selections!$E$6:$E$79,"Double Chance 12")</f>
        <v>0.3799999999999999</v>
      </c>
      <c r="K27" s="20">
        <f>IF(SUMIFS(Selections!$M$6:$M$79,Selections!$E$6:$E$79,"Double Chance 12")=0,"n.a.",SUMIFS(Selections!$N$6:$N$79,Selections!$E$6:$E$79,"Double Chance 12")/SUMIFS(Selections!$M$6:$M$79,Selections!$E$6:$E$79,"Double Chance 12"))</f>
        <v>0.05428571428571427</v>
      </c>
      <c r="L27" s="21">
        <f>IF(SUMIFS(Selections!$T$6:$T$79,Selections!$E$6:$E$79,"Double Chance 12")=0,"n.a.",SUMIFS(Selections!$O$6:$O$79,Selections!$E$6:$E$79,"Double Chance 12")/SUMIFS(Selections!$T$6:$T$79,Selections!$E$6:$E$79,"Double Chance 12"))</f>
        <v>0.1271285110309219</v>
      </c>
      <c r="M27" s="20">
        <f>IF(SUMIFS(Selections!$T$6:$T$79,Selections!$E$6:$E$79,"Double Chance 12")=0,"n.a.",SUMIFS(Selections!$S$6:$S$79,Selections!$E$6:$E$79,"Double Chance 12")/SUMIFS(Selections!$T$6:$T$79,Selections!$E$6:$E$79,"Double Chance 12"))</f>
        <v>0.7824061665594064</v>
      </c>
      <c r="N27" s="20">
        <f>IF(SUMIFS(Selections!$T$6:$T$79,Selections!$E$6:$E$79,"Double Chance 12")=0,"n.a.",(SUMIFS(Selections!$L$6:$L$79,Selections!$E$6:$E$79,"Double Chance 12",Selections!$T$6:$T$79,1))/SUMIFS(Selections!$T$6:$T$79,Selections!$E$6:$E$79,"Double Chance 12"))</f>
        <v>0.8571428571428571</v>
      </c>
      <c r="O27" s="20">
        <f>IF(SUMIFS(Selections!$T$6:$T$79,Selections!$E$6:$E$79,"Double Chance 12")=0,"n.a.",(SUMIFS(Selections!$S$6:$S$79,Selections!$E$6:$E$79,"Double Chance 12")-(SUMIFS(Selections!$L$6:$L$79,Selections!$E$6:$E$79,"Double Chance 12",Selections!$T$6:$T$79,1)))/SUMIFS(Selections!$T$6:$T$79,Selections!$E$6:$E$79,"Double Chance 12"))</f>
        <v>-0.07473669058345067</v>
      </c>
      <c r="P27" s="19">
        <f>SUMIFS(Selections!$T$6:$T$79,Selections!$E$6:$E$79,"Double Chance 12")</f>
        <v>7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(n=7).</v>
      </c>
      <c r="R27" s="18"/>
    </row>
    <row r="28" ht="36" customHeight="1">
      <c r="A28" s="18" t="inlineStr">
        <is>
          <t>Market</t>
        </is>
      </c>
      <c r="B28" s="18" t="inlineStr">
        <is>
          <t>Double Chance 1X</t>
        </is>
      </c>
      <c r="C28" s="19">
        <f>COUNTIFS(Selections!$E$6:$E$79,"Double Chance 1X")</f>
        <v>11</v>
      </c>
      <c r="D28" s="19">
        <f>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</f>
        <v>8</v>
      </c>
      <c r="E28" s="19">
        <f>(COUNTIFS(Selections!$E$6:$E$79,"Double Chance 1X",Selections!$K$6:$K$79,"WON")+COUNTIFS(Selections!$E$6:$E$79,"Double Chance 1X",Selections!$K$6:$K$79,"HALF_WON"))</f>
        <v>7</v>
      </c>
      <c r="F28" s="19">
        <f>(COUNTIFS(Selections!$E$6:$E$79,"Double Chance 1X",Selections!$K$6:$K$79,"LOST")+COUNTIFS(Selections!$E$6:$E$79,"Double Chance 1X",Selections!$K$6:$K$79,"HALF_LOST"))</f>
        <v>1</v>
      </c>
      <c r="G28" s="19">
        <f>COUNTIFS(Selections!$E$6:$E$79,"Double Chance 1X")-((COUNTIFS(Selections!$E$6:$E$79,"Double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</f>
        <v>3</v>
      </c>
      <c r="H28" s="20">
        <f>IF(((COUNTIFS(Selections!$E$6:$E$79,"Double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1X",Selections!$K$6:$K$79,"REFUNDED"))=0,"n.a.",(COUNTIFS(Selections!$E$6:$E$79,"Double Chance 1X",Selections!$K$6:$K$79,"WON")+COUNTIFS(Selections!$E$6:$E$79,"Double Chance 1X",Selections!$K$6:$K$79,"HALF_WON"))/((COUNTIFS(Selections!$E$6:$E$79,"Double Chance 1X",Selections!$K$6:$K$79,"WON")+COUNTIFS(Selections!$E$6:$E$79,"Double Chance 1X",Selections!$K$6:$K$79,"HALF_WON"))+(COUNTIFS(Selections!$E$6:$E$79,"Double Chance 1X",Selections!$K$6:$K$79,"LOST")+COUNTIFS(Selections!$E$6:$E$79,"Double Chance 1X",Selections!$K$6:$K$79,"HALF_LOST"))+COUNTIFS(Selections!$E$6:$E$79,"Double Chance 1X",Selections!$K$6:$K$79,"REFUNDED")))</f>
        <v>0.875</v>
      </c>
      <c r="I28" s="22">
        <f>SUMIFS(Selections!$M$6:$M$79,Selections!$E$6:$E$79,"Double Chance 1X")</f>
        <v>8</v>
      </c>
      <c r="J28" s="22">
        <f>SUMIFS(Selections!$N$6:$N$79,Selections!$E$6:$E$79,"Double Chance 1X")</f>
        <v>0.6199999999999999</v>
      </c>
      <c r="K28" s="20">
        <f>IF(SUMIFS(Selections!$M$6:$M$79,Selections!$E$6:$E$79,"Double Chance 1X")=0,"n.a.",SUMIFS(Selections!$N$6:$N$79,Selections!$E$6:$E$79,"Double Chance 1X")/SUMIFS(Selections!$M$6:$M$79,Selections!$E$6:$E$79,"Double Chance 1X"))</f>
        <v>0.07749999999999999</v>
      </c>
      <c r="L28" s="21">
        <f>IF(SUMIFS(Selections!$T$6:$T$79,Selections!$E$6:$E$79,"Double Chance 1X")=0,"n.a.",SUMIFS(Selections!$O$6:$O$79,Selections!$E$6:$E$79,"Double Chance 1X")/SUMIFS(Selections!$T$6:$T$79,Selections!$E$6:$E$79,"Double Chance 1X"))</f>
        <v>0.07791461736616206</v>
      </c>
      <c r="M28" s="20">
        <f>IF(SUMIFS(Selections!$T$6:$T$79,Selections!$E$6:$E$79,"Double Chance 1X")=0,"n.a.",SUMIFS(Selections!$S$6:$S$79,Selections!$E$6:$E$79,"Double Chance 1X")/SUMIFS(Selections!$T$6:$T$79,Selections!$E$6:$E$79,"Double Chance 1X"))</f>
        <v>0.79596299912058</v>
      </c>
      <c r="N28" s="20">
        <f>IF(SUMIFS(Selections!$T$6:$T$79,Selections!$E$6:$E$79,"Double Chance 1X")=0,"n.a.",(SUMIFS(Selections!$L$6:$L$79,Selections!$E$6:$E$79,"Double Chance 1X",Selections!$T$6:$T$79,1))/SUMIFS(Selections!$T$6:$T$79,Selections!$E$6:$E$79,"Double Chance 1X"))</f>
        <v>0.875</v>
      </c>
      <c r="O28" s="20">
        <f>IF(SUMIFS(Selections!$T$6:$T$79,Selections!$E$6:$E$79,"Double Chance 1X")=0,"n.a.",(SUMIFS(Selections!$S$6:$S$79,Selections!$E$6:$E$79,"Double Chance 1X")-(SUMIFS(Selections!$L$6:$L$79,Selections!$E$6:$E$79,"Double Chance 1X",Selections!$T$6:$T$79,1)))/SUMIFS(Selections!$T$6:$T$79,Selections!$E$6:$E$79,"Double Chance 1X"))</f>
        <v>-0.07903700087942</v>
      </c>
      <c r="P28" s="19">
        <f>SUMIFS(Selections!$T$6:$T$79,Selections!$E$6:$E$79,"Double Chance 1X")</f>
        <v>8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(n=8).</v>
      </c>
      <c r="R28" s="18"/>
    </row>
    <row r="29" ht="36" customHeight="1">
      <c r="A29" s="18" t="inlineStr">
        <is>
          <t>Market</t>
        </is>
      </c>
      <c r="B29" s="18" t="inlineStr">
        <is>
          <t>Double Chance X2</t>
        </is>
      </c>
      <c r="C29" s="19">
        <f>COUNTIFS(Selections!$E$6:$E$79,"Double Chance X2")</f>
        <v>8</v>
      </c>
      <c r="D29" s="19">
        <f>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</f>
        <v>8</v>
      </c>
      <c r="E29" s="19">
        <f>(COUNTIFS(Selections!$E$6:$E$79,"Double Chance X2",Selections!$K$6:$K$79,"WON")+COUNTIFS(Selections!$E$6:$E$79,"Double Chance X2",Selections!$K$6:$K$79,"HALF_WON"))</f>
        <v>6</v>
      </c>
      <c r="F29" s="19">
        <f>(COUNTIFS(Selections!$E$6:$E$79,"Double Chance X2",Selections!$K$6:$K$79,"LOST")+COUNTIFS(Selections!$E$6:$E$79,"Double Chance X2",Selections!$K$6:$K$79,"HALF_LOST"))</f>
        <v>2</v>
      </c>
      <c r="G29" s="19">
        <f>COUNTIFS(Selections!$E$6:$E$79,"Double Chance X2")-((COUNTIFS(Selections!$E$6:$E$79,"Double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</f>
        <v>0</v>
      </c>
      <c r="H29" s="20">
        <f>IF(((COUNTIFS(Selections!$E$6:$E$79,"Double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X2",Selections!$K$6:$K$79,"REFUNDED"))=0,"n.a.",(COUNTIFS(Selections!$E$6:$E$79,"Double Chance X2",Selections!$K$6:$K$79,"WON")+COUNTIFS(Selections!$E$6:$E$79,"Double Chance X2",Selections!$K$6:$K$79,"HALF_WON"))/((COUNTIFS(Selections!$E$6:$E$79,"Double Chance X2",Selections!$K$6:$K$79,"WON")+COUNTIFS(Selections!$E$6:$E$79,"Double Chance X2",Selections!$K$6:$K$79,"HALF_WON"))+(COUNTIFS(Selections!$E$6:$E$79,"Double Chance X2",Selections!$K$6:$K$79,"LOST")+COUNTIFS(Selections!$E$6:$E$79,"Double Chance X2",Selections!$K$6:$K$79,"HALF_LOST"))+COUNTIFS(Selections!$E$6:$E$79,"Double Chance X2",Selections!$K$6:$K$79,"REFUNDED")))</f>
        <v>0.75</v>
      </c>
      <c r="I29" s="22">
        <f>SUMIFS(Selections!$M$6:$M$79,Selections!$E$6:$E$79,"Double Chance X2")</f>
        <v>8</v>
      </c>
      <c r="J29" s="22">
        <f>SUMIFS(Selections!$N$6:$N$79,Selections!$E$6:$E$79,"Double Chance X2")</f>
        <v>0.8999999999999995</v>
      </c>
      <c r="K29" s="20">
        <f>IF(SUMIFS(Selections!$M$6:$M$79,Selections!$E$6:$E$79,"Double Chance X2")=0,"n.a.",SUMIFS(Selections!$N$6:$N$79,Selections!$E$6:$E$79,"Double Chance X2")/SUMIFS(Selections!$M$6:$M$79,Selections!$E$6:$E$79,"Double Chance X2"))</f>
        <v>0.11249999999999993</v>
      </c>
      <c r="L29" s="21">
        <f>IF(SUMIFS(Selections!$T$6:$T$79,Selections!$E$6:$E$79,"Double Chance X2")=0,"n.a.",SUMIFS(Selections!$O$6:$O$79,Selections!$E$6:$E$79,"Double Chance X2")/SUMIFS(Selections!$T$6:$T$79,Selections!$E$6:$E$79,"Double Chance X2"))</f>
        <v>0.14280778054839663</v>
      </c>
      <c r="M29" s="20">
        <f>IF(SUMIFS(Selections!$T$6:$T$79,Selections!$E$6:$E$79,"Double Chance X2")=0,"n.a.",SUMIFS(Selections!$S$6:$S$79,Selections!$E$6:$E$79,"Double Chance X2")/SUMIFS(Selections!$T$6:$T$79,Selections!$E$6:$E$79,"Double Chance X2"))</f>
        <v>0.6766958022298177</v>
      </c>
      <c r="N29" s="20">
        <f>IF(SUMIFS(Selections!$T$6:$T$79,Selections!$E$6:$E$79,"Double Chance X2")=0,"n.a.",(SUMIFS(Selections!$L$6:$L$79,Selections!$E$6:$E$79,"Double Chance X2",Selections!$T$6:$T$79,1))/SUMIFS(Selections!$T$6:$T$79,Selections!$E$6:$E$79,"Double Chance X2"))</f>
        <v>0.75</v>
      </c>
      <c r="O29" s="20">
        <f>IF(SUMIFS(Selections!$T$6:$T$79,Selections!$E$6:$E$79,"Double Chance X2")=0,"n.a.",(SUMIFS(Selections!$S$6:$S$79,Selections!$E$6:$E$79,"Double Chance X2")-(SUMIFS(Selections!$L$6:$L$79,Selections!$E$6:$E$79,"Double Chance X2",Selections!$T$6:$T$79,1)))/SUMIFS(Selections!$T$6:$T$79,Selections!$E$6:$E$79,"Double Chance X2"))</f>
        <v>-0.07330419777018227</v>
      </c>
      <c r="P29" s="19">
        <f>SUMIFS(Selections!$T$6:$T$79,Selections!$E$6:$E$79,"Double Chance X2")</f>
        <v>8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(n=8).</v>
      </c>
      <c r="R29" s="18"/>
    </row>
    <row r="30" ht="36" customHeight="1">
      <c r="A30" s="18" t="inlineStr">
        <is>
          <t>Market</t>
        </is>
      </c>
      <c r="B30" s="18" t="inlineStr">
        <is>
          <t>Home win</t>
        </is>
      </c>
      <c r="C30" s="19">
        <f>COUNTIFS(Selections!$E$6:$E$79,"Home win")</f>
        <v>9</v>
      </c>
      <c r="D30" s="19">
        <f>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</f>
        <v>8</v>
      </c>
      <c r="E30" s="19">
        <f>(COUNTIFS(Selections!$E$6:$E$79,"Home win",Selections!$K$6:$K$79,"WON")+COUNTIFS(Selections!$E$6:$E$79,"Home win",Selections!$K$6:$K$79,"HALF_WON"))</f>
        <v>5</v>
      </c>
      <c r="F30" s="19">
        <f>(COUNTIFS(Selections!$E$6:$E$79,"Home win",Selections!$K$6:$K$79,"LOST")+COUNTIFS(Selections!$E$6:$E$79,"Home win",Selections!$K$6:$K$79,"HALF_LOST"))</f>
        <v>3</v>
      </c>
      <c r="G30" s="19">
        <f>COUNTIFS(Selections!$E$6:$E$79,"Home win")-((COUNTIFS(Selections!$E$6:$E$79,"Home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</f>
        <v>1</v>
      </c>
      <c r="H30" s="20">
        <f>IF(((COUNTIFS(Selections!$E$6:$E$79,"Home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win",Selections!$K$6:$K$79,"REFUNDED"))=0,"n.a.",(COUNTIFS(Selections!$E$6:$E$79,"Home win",Selections!$K$6:$K$79,"WON")+COUNTIFS(Selections!$E$6:$E$79,"Home win",Selections!$K$6:$K$79,"HALF_WON"))/((COUNTIFS(Selections!$E$6:$E$79,"Home win",Selections!$K$6:$K$79,"WON")+COUNTIFS(Selections!$E$6:$E$79,"Home win",Selections!$K$6:$K$79,"HALF_WON"))+(COUNTIFS(Selections!$E$6:$E$79,"Home win",Selections!$K$6:$K$79,"LOST")+COUNTIFS(Selections!$E$6:$E$79,"Home win",Selections!$K$6:$K$79,"HALF_LOST"))+COUNTIFS(Selections!$E$6:$E$79,"Home win",Selections!$K$6:$K$79,"REFUNDED")))</f>
        <v>0.625</v>
      </c>
      <c r="I30" s="22">
        <f>SUMIFS(Selections!$M$6:$M$79,Selections!$E$6:$E$79,"Home win")</f>
        <v>8</v>
      </c>
      <c r="J30" s="22">
        <f>SUMIFS(Selections!$N$6:$N$79,Selections!$E$6:$E$79,"Home win")</f>
        <v>-0.47</v>
      </c>
      <c r="K30" s="20">
        <f>IF(SUMIFS(Selections!$M$6:$M$79,Selections!$E$6:$E$79,"Home win")=0,"n.a.",SUMIFS(Selections!$N$6:$N$79,Selections!$E$6:$E$79,"Home win")/SUMIFS(Selections!$M$6:$M$79,Selections!$E$6:$E$79,"Home win"))</f>
        <v>-0.05875</v>
      </c>
      <c r="L30" s="21">
        <f>IF(SUMIFS(Selections!$T$6:$T$79,Selections!$E$6:$E$79,"Home win")=0,"n.a.",SUMIFS(Selections!$O$6:$O$79,Selections!$E$6:$E$79,"Home win")/SUMIFS(Selections!$T$6:$T$79,Selections!$E$6:$E$79,"Home win"))</f>
        <v>0.17119356220977308</v>
      </c>
      <c r="M30" s="20">
        <f>IF(SUMIFS(Selections!$T$6:$T$79,Selections!$E$6:$E$79,"Home win")=0,"n.a.",SUMIFS(Selections!$S$6:$S$79,Selections!$E$6:$E$79,"Home win")/SUMIFS(Selections!$T$6:$T$79,Selections!$E$6:$E$79,"Home win"))</f>
        <v>0.6586625192942568</v>
      </c>
      <c r="N30" s="20">
        <f>IF(SUMIFS(Selections!$T$6:$T$79,Selections!$E$6:$E$79,"Home win")=0,"n.a.",(SUMIFS(Selections!$L$6:$L$79,Selections!$E$6:$E$79,"Home win",Selections!$T$6:$T$79,1))/SUMIFS(Selections!$T$6:$T$79,Selections!$E$6:$E$79,"Home win"))</f>
        <v>0.625</v>
      </c>
      <c r="O30" s="20">
        <f>IF(SUMIFS(Selections!$T$6:$T$79,Selections!$E$6:$E$79,"Home win")=0,"n.a.",(SUMIFS(Selections!$S$6:$S$79,Selections!$E$6:$E$79,"Home win")-(SUMIFS(Selections!$L$6:$L$79,Selections!$E$6:$E$79,"Home win",Selections!$T$6:$T$79,1)))/SUMIFS(Selections!$T$6:$T$79,Selections!$E$6:$E$79,"Home win"))</f>
        <v>0.03366251929425679</v>
      </c>
      <c r="P30" s="19">
        <f>SUMIFS(Selections!$T$6:$T$79,Selections!$E$6:$E$79,"Home win")</f>
        <v>8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(n=8).</v>
      </c>
      <c r="R30" s="18"/>
    </row>
    <row r="31" ht="36" customHeight="1">
      <c r="A31" s="18" t="inlineStr">
        <is>
          <t>Market</t>
        </is>
      </c>
      <c r="B31" s="18" t="inlineStr">
        <is>
          <t>Over 1.5</t>
        </is>
      </c>
      <c r="C31" s="19">
        <f>COUNTIFS(Selections!$E$6:$E$79,"Over 1.5")</f>
        <v>12</v>
      </c>
      <c r="D31" s="19">
        <f>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</f>
        <v>8</v>
      </c>
      <c r="E31" s="19">
        <f>(COUNTIFS(Selections!$E$6:$E$79,"Over 1.5",Selections!$K$6:$K$79,"WON")+COUNTIFS(Selections!$E$6:$E$79,"Over 1.5",Selections!$K$6:$K$79,"HALF_WON"))</f>
        <v>7</v>
      </c>
      <c r="F31" s="19">
        <f>(COUNTIFS(Selections!$E$6:$E$79,"Over 1.5",Selections!$K$6:$K$79,"LOST")+COUNTIFS(Selections!$E$6:$E$79,"Over 1.5",Selections!$K$6:$K$79,"HALF_LOST"))</f>
        <v>1</v>
      </c>
      <c r="G31" s="19">
        <f>COUNTIFS(Selections!$E$6:$E$79,"Over 1.5")-((COUNTIFS(Selections!$E$6:$E$79,"Over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</f>
        <v>4</v>
      </c>
      <c r="H31" s="20">
        <f>IF(((COUNTIFS(Selections!$E$6:$E$79,"Over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1.5",Selections!$K$6:$K$79,"REFUNDED"))=0,"n.a.",(COUNTIFS(Selections!$E$6:$E$79,"Over 1.5",Selections!$K$6:$K$79,"WON")+COUNTIFS(Selections!$E$6:$E$79,"Over 1.5",Selections!$K$6:$K$79,"HALF_WON"))/((COUNTIFS(Selections!$E$6:$E$79,"Over 1.5",Selections!$K$6:$K$79,"WON")+COUNTIFS(Selections!$E$6:$E$79,"Over 1.5",Selections!$K$6:$K$79,"HALF_WON"))+(COUNTIFS(Selections!$E$6:$E$79,"Over 1.5",Selections!$K$6:$K$79,"LOST")+COUNTIFS(Selections!$E$6:$E$79,"Over 1.5",Selections!$K$6:$K$79,"HALF_LOST"))+COUNTIFS(Selections!$E$6:$E$79,"Over 1.5",Selections!$K$6:$K$79,"REFUNDED")))</f>
        <v>0.875</v>
      </c>
      <c r="I31" s="22">
        <f>SUMIFS(Selections!$M$6:$M$79,Selections!$E$6:$E$79,"Over 1.5")</f>
        <v>8</v>
      </c>
      <c r="J31" s="22">
        <f>SUMIFS(Selections!$N$6:$N$79,Selections!$E$6:$E$79,"Over 1.5")</f>
        <v>0.6199999999999999</v>
      </c>
      <c r="K31" s="20">
        <f>IF(SUMIFS(Selections!$M$6:$M$79,Selections!$E$6:$E$79,"Over 1.5")=0,"n.a.",SUMIFS(Selections!$N$6:$N$79,Selections!$E$6:$E$79,"Over 1.5")/SUMIFS(Selections!$M$6:$M$79,Selections!$E$6:$E$79,"Over 1.5"))</f>
        <v>0.07749999999999999</v>
      </c>
      <c r="L31" s="21">
        <f>IF(SUMIFS(Selections!$T$6:$T$79,Selections!$E$6:$E$79,"Over 1.5")=0,"n.a.",SUMIFS(Selections!$O$6:$O$79,Selections!$E$6:$E$79,"Over 1.5")/SUMIFS(Selections!$T$6:$T$79,Selections!$E$6:$E$79,"Over 1.5"))</f>
        <v>0.09729999767437307</v>
      </c>
      <c r="M31" s="20">
        <f>IF(SUMIFS(Selections!$T$6:$T$79,Selections!$E$6:$E$79,"Over 1.5")=0,"n.a.",SUMIFS(Selections!$S$6:$S$79,Selections!$E$6:$E$79,"Over 1.5")/SUMIFS(Selections!$T$6:$T$79,Selections!$E$6:$E$79,"Over 1.5"))</f>
        <v>0.8532929638063016</v>
      </c>
      <c r="N31" s="20">
        <f>IF(SUMIFS(Selections!$T$6:$T$79,Selections!$E$6:$E$79,"Over 1.5")=0,"n.a.",(SUMIFS(Selections!$L$6:$L$79,Selections!$E$6:$E$79,"Over 1.5",Selections!$T$6:$T$79,1))/SUMIFS(Selections!$T$6:$T$79,Selections!$E$6:$E$79,"Over 1.5"))</f>
        <v>0.875</v>
      </c>
      <c r="O31" s="20">
        <f>IF(SUMIFS(Selections!$T$6:$T$79,Selections!$E$6:$E$79,"Over 1.5")=0,"n.a.",(SUMIFS(Selections!$S$6:$S$79,Selections!$E$6:$E$79,"Over 1.5")-(SUMIFS(Selections!$L$6:$L$79,Selections!$E$6:$E$79,"Over 1.5",Selections!$T$6:$T$79,1)))/SUMIFS(Selections!$T$6:$T$79,Selections!$E$6:$E$79,"Over 1.5"))</f>
        <v>-0.021707036193698404</v>
      </c>
      <c r="P31" s="19">
        <f>SUMIFS(Selections!$T$6:$T$79,Selections!$E$6:$E$79,"Over 1.5")</f>
        <v>8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(n=8).</v>
      </c>
      <c r="R31" s="18"/>
    </row>
    <row r="32" ht="36" customHeight="1">
      <c r="A32" s="18" t="inlineStr">
        <is>
          <t>Market</t>
        </is>
      </c>
      <c r="B32" s="18" t="inlineStr">
        <is>
          <t>Under 3.5</t>
        </is>
      </c>
      <c r="C32" s="19">
        <f>COUNTIFS(Selections!$E$6:$E$79,"Under 3.5")</f>
        <v>5</v>
      </c>
      <c r="D32" s="19">
        <f>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</f>
        <v>5</v>
      </c>
      <c r="E32" s="19">
        <f>(COUNTIFS(Selections!$E$6:$E$79,"Under 3.5",Selections!$K$6:$K$79,"WON")+COUNTIFS(Selections!$E$6:$E$79,"Under 3.5",Selections!$K$6:$K$79,"HALF_WON"))</f>
        <v>2</v>
      </c>
      <c r="F32" s="19">
        <f>(COUNTIFS(Selections!$E$6:$E$79,"Under 3.5",Selections!$K$6:$K$79,"LOST")+COUNTIFS(Selections!$E$6:$E$79,"Under 3.5",Selections!$K$6:$K$79,"HALF_LOST"))</f>
        <v>3</v>
      </c>
      <c r="G32" s="19">
        <f>COUNTIFS(Selections!$E$6:$E$79,"Under 3.5")-((COUNTIFS(Selections!$E$6:$E$79,"Under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</f>
        <v>0</v>
      </c>
      <c r="H32" s="20">
        <f>IF(((COUNTIFS(Selections!$E$6:$E$79,"Under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3.5",Selections!$K$6:$K$79,"REFUNDED"))=0,"n.a.",(COUNTIFS(Selections!$E$6:$E$79,"Under 3.5",Selections!$K$6:$K$79,"WON")+COUNTIFS(Selections!$E$6:$E$79,"Under 3.5",Selections!$K$6:$K$79,"HALF_WON"))/((COUNTIFS(Selections!$E$6:$E$79,"Under 3.5",Selections!$K$6:$K$79,"WON")+COUNTIFS(Selections!$E$6:$E$79,"Under 3.5",Selections!$K$6:$K$79,"HALF_WON"))+(COUNTIFS(Selections!$E$6:$E$79,"Under 3.5",Selections!$K$6:$K$79,"LOST")+COUNTIFS(Selections!$E$6:$E$79,"Under 3.5",Selections!$K$6:$K$79,"HALF_LOST"))+COUNTIFS(Selections!$E$6:$E$79,"Under 3.5",Selections!$K$6:$K$79,"REFUNDED")))</f>
        <v>0.4</v>
      </c>
      <c r="I32" s="22">
        <f>SUMIFS(Selections!$M$6:$M$79,Selections!$E$6:$E$79,"Under 3.5")</f>
        <v>5</v>
      </c>
      <c r="J32" s="22">
        <f>SUMIFS(Selections!$N$6:$N$79,Selections!$E$6:$E$79,"Under 3.5")</f>
        <v>-2.3</v>
      </c>
      <c r="K32" s="20">
        <f>IF(SUMIFS(Selections!$M$6:$M$79,Selections!$E$6:$E$79,"Under 3.5")=0,"n.a.",SUMIFS(Selections!$N$6:$N$79,Selections!$E$6:$E$79,"Under 3.5")/SUMIFS(Selections!$M$6:$M$79,Selections!$E$6:$E$79,"Under 3.5"))</f>
        <v>-0.45999999999999996</v>
      </c>
      <c r="L32" s="21">
        <f>IF(SUMIFS(Selections!$T$6:$T$79,Selections!$E$6:$E$79,"Under 3.5")=0,"n.a.",SUMIFS(Selections!$O$6:$O$79,Selections!$E$6:$E$79,"Under 3.5")/SUMIFS(Selections!$T$6:$T$79,Selections!$E$6:$E$79,"Under 3.5"))</f>
        <v>0.4093699233539641</v>
      </c>
      <c r="M32" s="20">
        <f>IF(SUMIFS(Selections!$T$6:$T$79,Selections!$E$6:$E$79,"Under 3.5")=0,"n.a.",SUMIFS(Selections!$S$6:$S$79,Selections!$E$6:$E$79,"Under 3.5")/SUMIFS(Selections!$T$6:$T$79,Selections!$E$6:$E$79,"Under 3.5"))</f>
        <v>0.8049432015044351</v>
      </c>
      <c r="N32" s="20">
        <f>IF(SUMIFS(Selections!$T$6:$T$79,Selections!$E$6:$E$79,"Under 3.5")=0,"n.a.",(SUMIFS(Selections!$L$6:$L$79,Selections!$E$6:$E$79,"Under 3.5",Selections!$T$6:$T$79,1))/SUMIFS(Selections!$T$6:$T$79,Selections!$E$6:$E$79,"Under 3.5"))</f>
        <v>0.4</v>
      </c>
      <c r="O32" s="20">
        <f>IF(SUMIFS(Selections!$T$6:$T$79,Selections!$E$6:$E$79,"Under 3.5")=0,"n.a.",(SUMIFS(Selections!$S$6:$S$79,Selections!$E$6:$E$79,"Under 3.5")-(SUMIFS(Selections!$L$6:$L$79,Selections!$E$6:$E$79,"Under 3.5",Selections!$T$6:$T$79,1)))/SUMIFS(Selections!$T$6:$T$79,Selections!$E$6:$E$79,"Under 3.5"))</f>
        <v>0.4049432015044351</v>
      </c>
      <c r="P32" s="19">
        <f>SUMIFS(Selections!$T$6:$T$79,Selections!$E$6:$E$79,"Under 3.5")</f>
        <v>5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(n=5).</v>
      </c>
      <c r="R32" s="18"/>
    </row>
    <row r="33" ht="36" customHeight="1">
      <c r="A33" s="18" t="inlineStr">
        <is>
          <t>Policy</t>
        </is>
      </c>
      <c r="B33" s="18" t="inlineStr">
        <is>
          <t>48h-top-ten-probability-ev-no-under35-v14</t>
        </is>
      </c>
      <c r="C33" s="19">
        <f>COUNTIFS(Selections!$G$6:$G$79,"48h-top-ten-probability-ev-no-under35-v14")</f>
        <v>9</v>
      </c>
      <c r="D33" s="19">
        <f>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</f>
        <v>8</v>
      </c>
      <c r="E33" s="19">
        <f>(COUNTIFS(Selections!$G$6:$G$79,"48h-top-ten-probability-ev-no-under35-v14",Selections!$K$6:$K$79,"WON")+COUNTIFS(Selections!$G$6:$G$79,"48h-top-ten-probability-ev-no-under35-v14",Selections!$K$6:$K$79,"HALF_WON"))</f>
        <v>6</v>
      </c>
      <c r="F33" s="19">
        <f>(COUNTIFS(Selections!$G$6:$G$79,"48h-top-ten-probability-ev-no-under35-v14",Selections!$K$6:$K$79,"LOST")+COUNTIFS(Selections!$G$6:$G$79,"48h-top-ten-probability-ev-no-under35-v14",Selections!$K$6:$K$79,"HALF_LOST"))</f>
        <v>2</v>
      </c>
      <c r="G33" s="19">
        <f>COUNTIFS(Selections!$G$6:$G$79,"48h-top-ten-probability-ev-no-under35-v14")-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</f>
        <v>1</v>
      </c>
      <c r="H33" s="20">
        <f>IF(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=0,"n.a.",(COUNTIFS(Selections!$G$6:$G$79,"48h-top-ten-probability-ev-no-under35-v14",Selections!$K$6:$K$79,"WON")+COUNTIFS(Selections!$G$6:$G$79,"48h-top-ten-probability-ev-no-under35-v14",Selections!$K$6:$K$79,"HALF_WON"))/((COUNTIFS(Selections!$G$6:$G$79,"48h-top-ten-probability-ev-no-under35-v14",Selections!$K$6:$K$79,"WON")+COUNTIFS(Selections!$G$6:$G$79,"48h-top-ten-probability-ev-no-under35-v14",Selections!$K$6:$K$79,"HALF_WON"))+(COUNTIFS(Selections!$G$6:$G$79,"48h-top-ten-probability-ev-no-under35-v14",Selections!$K$6:$K$79,"LOST")+COUNTIFS(Selections!$G$6:$G$79,"48h-top-ten-probability-ev-no-under35-v14",Selections!$K$6:$K$79,"HALF_LOST"))+COUNTIFS(Selections!$G$6:$G$79,"48h-top-ten-probability-ev-no-under35-v14",Selections!$K$6:$K$79,"REFUNDED")))</f>
        <v>0.75</v>
      </c>
      <c r="I33" s="22">
        <f>SUMIFS(Selections!$M$6:$M$79,Selections!$G$6:$G$79,"48h-top-ten-probability-ev-no-under35-v14")</f>
        <v>8</v>
      </c>
      <c r="J33" s="22">
        <f>SUMIFS(Selections!$N$6:$N$79,Selections!$G$6:$G$79,"48h-top-ten-probability-ev-no-under35-v14")</f>
        <v>0.04999999999999982</v>
      </c>
      <c r="K33" s="20">
        <f>IF(SUMIFS(Selections!$M$6:$M$79,Selections!$G$6:$G$79,"48h-top-ten-probability-ev-no-under35-v14")=0,"n.a.",SUMIFS(Selections!$N$6:$N$79,Selections!$G$6:$G$79,"48h-top-ten-probability-ev-no-under35-v14")/SUMIFS(Selections!$M$6:$M$79,Selections!$G$6:$G$79,"48h-top-ten-probability-ev-no-under35-v14"))</f>
        <v>0.006249999999999978</v>
      </c>
      <c r="L33" s="21">
        <f>IF(SUMIFS(Selections!$T$6:$T$79,Selections!$G$6:$G$79,"48h-top-ten-probability-ev-no-under35-v14")=0,"n.a.",SUMIFS(Selections!$O$6:$O$79,Selections!$G$6:$G$79,"48h-top-ten-probability-ev-no-under35-v14")/SUMIFS(Selections!$T$6:$T$79,Selections!$G$6:$G$79,"48h-top-ten-probability-ev-no-under35-v14"))</f>
        <v>0.17867353798981395</v>
      </c>
      <c r="M33" s="20">
        <f>IF(SUMIFS(Selections!$T$6:$T$79,Selections!$G$6:$G$79,"48h-top-ten-probability-ev-no-under35-v14")=0,"n.a.",SUMIFS(Selections!$S$6:$S$79,Selections!$G$6:$G$79,"48h-top-ten-probability-ev-no-under35-v14")/SUMIFS(Selections!$T$6:$T$79,Selections!$G$6:$G$79,"48h-top-ten-probability-ev-no-under35-v14"))</f>
        <v>0.7347857301737204</v>
      </c>
      <c r="N33" s="20">
        <f>IF(SUMIFS(Selections!$T$6:$T$79,Selections!$G$6:$G$79,"48h-top-ten-probability-ev-no-under35-v14")=0,"n.a.",(SUMIFS(Selections!$L$6:$L$79,Selections!$G$6:$G$79,"48h-top-ten-probability-ev-no-under35-v14",Selections!$T$6:$T$79,1))/SUMIFS(Selections!$T$6:$T$79,Selections!$G$6:$G$79,"48h-top-ten-probability-ev-no-under35-v14"))</f>
        <v>0.75</v>
      </c>
      <c r="O33" s="20">
        <f>IF(SUMIFS(Selections!$T$6:$T$79,Selections!$G$6:$G$79,"48h-top-ten-probability-ev-no-under35-v14")=0,"n.a.",(SUMIFS(Selections!$S$6:$S$79,Selections!$G$6:$G$79,"48h-top-ten-probability-ev-no-under35-v14")-(SUMIFS(Selections!$L$6:$L$79,Selections!$G$6:$G$79,"48h-top-ten-probability-ev-no-under35-v14",Selections!$T$6:$T$79,1)))/SUMIFS(Selections!$T$6:$T$79,Selections!$G$6:$G$79,"48h-top-ten-probability-ev-no-under35-v14"))</f>
        <v>-0.015214269826279603</v>
      </c>
      <c r="P33" s="19">
        <f>SUMIFS(Selections!$T$6:$T$79,Selections!$G$6:$G$79,"48h-top-ten-probability-ev-no-under35-v14")</f>
        <v>8</v>
      </c>
      <c r="Q33" s="18" t="str">
        <f>IF(P33&lt;30,"Collect more scored forecasts (n="&amp;P33&amp;").",IF(O33&gt;0.1,"Review overconfidence on a future holdout.",IF(K33&lt;0,"Review prices and EV on a future holdout.","Continue forward testing. No automatic model change.")))</f>
        <v>Collect more scored forecasts (n=8).</v>
      </c>
      <c r="R33" s="18"/>
    </row>
    <row r="34" ht="36" customHeight="1">
      <c r="A34" s="18" t="inlineStr">
        <is>
          <t>Policy</t>
        </is>
      </c>
      <c r="B34" s="18" t="inlineStr">
        <is>
          <t>48h-top-twelve-probability-ev-no-under35-v15</t>
        </is>
      </c>
      <c r="C34" s="19">
        <f>COUNTIFS(Selections!$G$6:$G$79,"48h-top-twelve-probability-ev-no-under35-v15")</f>
        <v>12</v>
      </c>
      <c r="D34" s="19">
        <f>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</f>
        <v>11</v>
      </c>
      <c r="E34" s="19">
        <f>(COUNTIFS(Selections!$G$6:$G$79,"48h-top-twelve-probability-ev-no-under35-v15",Selections!$K$6:$K$79,"WON")+COUNTIFS(Selections!$G$6:$G$79,"48h-top-twelve-probability-ev-no-under35-v15",Selections!$K$6:$K$79,"HALF_WON"))</f>
        <v>7</v>
      </c>
      <c r="F34" s="19">
        <f>(COUNTIFS(Selections!$G$6:$G$79,"48h-top-twelve-probability-ev-no-under35-v15",Selections!$K$6:$K$79,"LOST")+COUNTIFS(Selections!$G$6:$G$79,"48h-top-twelve-probability-ev-no-under35-v15",Selections!$K$6:$K$79,"HALF_LOST"))</f>
        <v>4</v>
      </c>
      <c r="G34" s="19">
        <f>COUNTIFS(Selections!$G$6:$G$79,"48h-top-twelve-probability-ev-no-under35-v15")-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</f>
        <v>1</v>
      </c>
      <c r="H34" s="20">
        <f>IF(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=0,"n.a.",(COUNTIFS(Selections!$G$6:$G$79,"48h-top-twelve-probability-ev-no-under35-v15",Selections!$K$6:$K$79,"WON")+COUNTIFS(Selections!$G$6:$G$79,"48h-top-twelve-probability-ev-no-under35-v15",Selections!$K$6:$K$79,"HALF_WON"))/((COUNTIFS(Selections!$G$6:$G$79,"48h-top-twelve-probability-ev-no-under35-v15",Selections!$K$6:$K$79,"WON")+COUNTIFS(Selections!$G$6:$G$79,"48h-top-twelve-probability-ev-no-under35-v15",Selections!$K$6:$K$79,"HALF_WON"))+(COUNTIFS(Selections!$G$6:$G$79,"48h-top-twelve-probability-ev-no-under35-v15",Selections!$K$6:$K$79,"LOST")+COUNTIFS(Selections!$G$6:$G$79,"48h-top-twelve-probability-ev-no-under35-v15",Selections!$K$6:$K$79,"HALF_LOST"))+COUNTIFS(Selections!$G$6:$G$79,"48h-top-twelve-probability-ev-no-under35-v15",Selections!$K$6:$K$79,"REFUNDED")))</f>
        <v>0.6363636363636364</v>
      </c>
      <c r="I34" s="22">
        <f>SUMIFS(Selections!$M$6:$M$79,Selections!$G$6:$G$79,"48h-top-twelve-probability-ev-no-under35-v15")</f>
        <v>11</v>
      </c>
      <c r="J34" s="22">
        <f>SUMIFS(Selections!$N$6:$N$79,Selections!$G$6:$G$79,"48h-top-twelve-probability-ev-no-under35-v15")</f>
        <v>-1.3800000000000003</v>
      </c>
      <c r="K34" s="20">
        <f>IF(SUMIFS(Selections!$M$6:$M$79,Selections!$G$6:$G$79,"48h-top-twelve-probability-ev-no-under35-v15")=0,"n.a.",SUMIFS(Selections!$N$6:$N$79,Selections!$G$6:$G$79,"48h-top-twelve-probability-ev-no-under35-v15")/SUMIFS(Selections!$M$6:$M$79,Selections!$G$6:$G$79,"48h-top-twelve-probability-ev-no-under35-v15"))</f>
        <v>-0.12545454545454549</v>
      </c>
      <c r="L34" s="21">
        <f>IF(SUMIFS(Selections!$T$6:$T$79,Selections!$G$6:$G$79,"48h-top-twelve-probability-ev-no-under35-v15")=0,"n.a.",SUMIFS(Selections!$O$6:$O$79,Selections!$G$6:$G$79,"48h-top-twelve-probability-ev-no-under35-v15")/SUMIFS(Selections!$T$6:$T$79,Selections!$G$6:$G$79,"48h-top-twelve-probability-ev-no-under35-v15"))</f>
        <v>0.19421744781096573</v>
      </c>
      <c r="M34" s="20">
        <f>IF(SUMIFS(Selections!$T$6:$T$79,Selections!$G$6:$G$79,"48h-top-twelve-probability-ev-no-under35-v15")=0,"n.a.",SUMIFS(Selections!$S$6:$S$79,Selections!$G$6:$G$79,"48h-top-twelve-probability-ev-no-under35-v15")/SUMIFS(Selections!$T$6:$T$79,Selections!$G$6:$G$79,"48h-top-twelve-probability-ev-no-under35-v15"))</f>
        <v>0.7256811914176179</v>
      </c>
      <c r="N34" s="20">
        <f>IF(SUMIFS(Selections!$T$6:$T$79,Selections!$G$6:$G$79,"48h-top-twelve-probability-ev-no-under35-v15")=0,"n.a.",(SUMIFS(Selections!$L$6:$L$79,Selections!$G$6:$G$79,"48h-top-twelve-probability-ev-no-under35-v15",Selections!$T$6:$T$79,1))/SUMIFS(Selections!$T$6:$T$79,Selections!$G$6:$G$79,"48h-top-twelve-probability-ev-no-under35-v15"))</f>
        <v>0.6363636363636364</v>
      </c>
      <c r="O34" s="20">
        <f>IF(SUMIFS(Selections!$T$6:$T$79,Selections!$G$6:$G$79,"48h-top-twelve-probability-ev-no-under35-v15")=0,"n.a.",(SUMIFS(Selections!$S$6:$S$79,Selections!$G$6:$G$79,"48h-top-twelve-probability-ev-no-under35-v15")-(SUMIFS(Selections!$L$6:$L$79,Selections!$G$6:$G$79,"48h-top-twelve-probability-ev-no-under35-v15",Selections!$T$6:$T$79,1)))/SUMIFS(Selections!$T$6:$T$79,Selections!$G$6:$G$79,"48h-top-twelve-probability-ev-no-under35-v15"))</f>
        <v>0.08931755505398153</v>
      </c>
      <c r="P34" s="19">
        <f>SUMIFS(Selections!$T$6:$T$79,Selections!$G$6:$G$79,"48h-top-twelve-probability-ev-no-under35-v15")</f>
        <v>11</v>
      </c>
      <c r="Q34" s="18" t="str">
        <f>IF(P34&lt;30,"Collect more scored forecasts (n="&amp;P34&amp;").",IF(O34&gt;0.1,"Review overconfidence on a future holdout.",IF(K34&lt;0,"Review prices and EV on a future holdout.","Continue forward testing. No automatic model change.")))</f>
        <v>Collect more scored forecasts (n=11).</v>
      </c>
      <c r="R34" s="18"/>
    </row>
    <row r="35" ht="36" customHeight="1">
      <c r="A35" s="18" t="inlineStr">
        <is>
          <t>Policy</t>
        </is>
      </c>
      <c r="B35" s="18" t="inlineStr">
        <is>
          <t>48h-top-twelve-profitable-win-probability-v23</t>
        </is>
      </c>
      <c r="C35" s="19">
        <f>COUNTIFS(Selections!$G$6:$G$79,"48h-top-twelve-profitable-win-probability-v23")</f>
        <v>1</v>
      </c>
      <c r="D35" s="19">
        <f>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</f>
        <v>0</v>
      </c>
      <c r="E35" s="19">
        <f>(COUNTIFS(Selections!$G$6:$G$79,"48h-top-twelve-profitable-win-probability-v23",Selections!$K$6:$K$79,"WON")+COUNTIFS(Selections!$G$6:$G$79,"48h-top-twelve-profitable-win-probability-v23",Selections!$K$6:$K$79,"HALF_WON"))</f>
        <v>0</v>
      </c>
      <c r="F35" s="19">
        <f>(COUNTIFS(Selections!$G$6:$G$79,"48h-top-twelve-profitable-win-probability-v23",Selections!$K$6:$K$79,"LOST")+COUNTIFS(Selections!$G$6:$G$79,"48h-top-twelve-profitable-win-probability-v23",Selections!$K$6:$K$79,"HALF_LOST"))</f>
        <v>0</v>
      </c>
      <c r="G35" s="19">
        <f>COUNTIFS(Selections!$G$6:$G$79,"48h-top-twelve-profitable-win-probability-v23")-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</f>
        <v>1</v>
      </c>
      <c r="H35" s="20" t="str">
        <f>IF(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=0,"n.a.",(COUNTIFS(Selections!$G$6:$G$79,"48h-top-twelve-profitable-win-probability-v23",Selections!$K$6:$K$79,"WON")+COUNTIFS(Selections!$G$6:$G$79,"48h-top-twelve-profitable-win-probability-v23",Selections!$K$6:$K$79,"HALF_WON"))/((COUNTIFS(Selections!$G$6:$G$79,"48h-top-twelve-profitable-win-probability-v23",Selections!$K$6:$K$79,"WON")+COUNTIFS(Selections!$G$6:$G$79,"48h-top-twelve-profitable-win-probability-v23",Selections!$K$6:$K$79,"HALF_WON"))+(COUNTIFS(Selections!$G$6:$G$79,"48h-top-twelve-profitable-win-probability-v23",Selections!$K$6:$K$79,"LOST")+COUNTIFS(Selections!$G$6:$G$79,"48h-top-twelve-profitable-win-probability-v23",Selections!$K$6:$K$79,"HALF_LOST"))+COUNTIFS(Selections!$G$6:$G$79,"48h-top-twelve-profitable-win-probability-v23",Selections!$K$6:$K$79,"REFUNDED")))</f>
        <v>n.a.</v>
      </c>
      <c r="I35" s="22">
        <f>SUMIFS(Selections!$M$6:$M$79,Selections!$G$6:$G$79,"48h-top-twelve-profitable-win-probability-v23")</f>
        <v>0</v>
      </c>
      <c r="J35" s="22">
        <f>SUMIFS(Selections!$N$6:$N$79,Selections!$G$6:$G$79,"48h-top-twelve-profitable-win-probability-v23")</f>
        <v>0</v>
      </c>
      <c r="K35" s="20" t="str">
        <f>IF(SUMIFS(Selections!$M$6:$M$79,Selections!$G$6:$G$79,"48h-top-twelve-profitable-win-probability-v23")=0,"n.a.",SUMIFS(Selections!$N$6:$N$79,Selections!$G$6:$G$79,"48h-top-twelve-profitable-win-probability-v23")/SUMIFS(Selections!$M$6:$M$79,Selections!$G$6:$G$79,"48h-top-twelve-profitable-win-probability-v23"))</f>
        <v>n.a.</v>
      </c>
      <c r="L35" s="21" t="str">
        <f>IF(SUMIFS(Selections!$T$6:$T$79,Selections!$G$6:$G$79,"48h-top-twelve-profitable-win-probability-v23")=0,"n.a.",SUMIFS(Selections!$O$6:$O$79,Selections!$G$6:$G$79,"48h-top-twelve-profitable-win-probability-v23")/SUMIFS(Selections!$T$6:$T$79,Selections!$G$6:$G$79,"48h-top-twelve-profitable-win-probability-v23"))</f>
        <v>n.a.</v>
      </c>
      <c r="M35" s="20" t="str">
        <f>IF(SUMIFS(Selections!$T$6:$T$79,Selections!$G$6:$G$79,"48h-top-twelve-profitable-win-probability-v23")=0,"n.a.",SUMIFS(Selections!$S$6:$S$79,Selections!$G$6:$G$79,"48h-top-twelve-profitable-win-probability-v23")/SUMIFS(Selections!$T$6:$T$79,Selections!$G$6:$G$79,"48h-top-twelve-profitable-win-probability-v23"))</f>
        <v>n.a.</v>
      </c>
      <c r="N35" s="20" t="str">
        <f>IF(SUMIFS(Selections!$T$6:$T$79,Selections!$G$6:$G$79,"48h-top-twelve-profitable-win-probability-v23")=0,"n.a.",(SUMIFS(Selections!$L$6:$L$79,Selections!$G$6:$G$79,"48h-top-twelve-profitable-win-probability-v23",Selections!$T$6:$T$79,1))/SUMIFS(Selections!$T$6:$T$79,Selections!$G$6:$G$79,"48h-top-twelve-profitable-win-probability-v23"))</f>
        <v>n.a.</v>
      </c>
      <c r="O35" s="20" t="str">
        <f>IF(SUMIFS(Selections!$T$6:$T$79,Selections!$G$6:$G$79,"48h-top-twelve-profitable-win-probability-v23")=0,"n.a.",(SUMIFS(Selections!$S$6:$S$79,Selections!$G$6:$G$79,"48h-top-twelve-profitable-win-probability-v23")-(SUMIFS(Selections!$L$6:$L$79,Selections!$G$6:$G$79,"48h-top-twelve-profitable-win-probability-v23",Selections!$T$6:$T$79,1)))/SUMIFS(Selections!$T$6:$T$79,Selections!$G$6:$G$79,"48h-top-twelve-profitable-win-probability-v23"))</f>
        <v>n.a.</v>
      </c>
      <c r="P35" s="19">
        <f>SUMIFS(Selections!$T$6:$T$79,Selections!$G$6:$G$79,"48h-top-twelve-profitable-win-probability-v23")</f>
        <v>0</v>
      </c>
      <c r="Q35" s="18" t="str">
        <f>IF(P35&lt;30,"Collect more scored forecasts (n="&amp;P35&amp;").",IF(O35&gt;0.1,"Review overconfidence on a future holdout.",IF(K35&lt;0,"Review prices and EV on a future holdout.","Continue forward testing. No automatic model change.")))</f>
        <v>Collect more scored forecasts (n=0).</v>
      </c>
      <c r="R35" s="18"/>
    </row>
    <row r="36" ht="36" customHeight="1">
      <c r="A36" s="18" t="inlineStr">
        <is>
          <t>Policy</t>
        </is>
      </c>
      <c r="B36" s="18" t="inlineStr">
        <is>
          <t>48h-two-per-market-group-probability-ev-corners-cards-v25</t>
        </is>
      </c>
      <c r="C36" s="19">
        <f>COUNTIFS(Selections!$G$6:$G$79,"48h-two-per-market-group-probability-ev-corners-cards-v25")</f>
        <v>16</v>
      </c>
      <c r="D36" s="19">
        <f>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</f>
        <v>12</v>
      </c>
      <c r="E36" s="19">
        <f>(COUNTIFS(Selections!$G$6:$G$79,"48h-two-per-market-group-probability-ev-corners-cards-v25",Selections!$K$6:$K$79,"WON")+COUNTIFS(Selections!$G$6:$G$79,"48h-two-per-market-group-probability-ev-corners-cards-v25",Selections!$K$6:$K$79,"HALF_WON"))</f>
        <v>9</v>
      </c>
      <c r="F36" s="19">
        <f>(COUNTIFS(Selections!$G$6:$G$79,"48h-two-per-market-group-probability-ev-corners-cards-v25",Selections!$K$6:$K$79,"LOST")+COUNTIFS(Selections!$G$6:$G$79,"48h-two-per-market-group-probability-ev-corners-cards-v25",Selections!$K$6:$K$79,"HALF_LOST"))</f>
        <v>3</v>
      </c>
      <c r="G36" s="19">
        <f>COUNTIFS(Selections!$G$6:$G$79,"48h-two-per-market-group-probability-ev-corners-cards-v25")-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</f>
        <v>4</v>
      </c>
      <c r="H36" s="20">
        <f>IF(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=0,"n.a.",(COUNTIFS(Selections!$G$6:$G$79,"48h-two-per-market-group-probability-ev-corners-cards-v25",Selections!$K$6:$K$79,"WON")+COUNTIFS(Selections!$G$6:$G$79,"48h-two-per-market-group-probability-ev-corners-cards-v25",Selections!$K$6:$K$79,"HALF_WON"))/((COUNTIFS(Selections!$G$6:$G$79,"48h-two-per-market-group-probability-ev-corners-cards-v25",Selections!$K$6:$K$79,"WON")+COUNTIFS(Selections!$G$6:$G$79,"48h-two-per-market-group-probability-ev-corners-cards-v25",Selections!$K$6:$K$79,"HALF_WON"))+(COUNTIFS(Selections!$G$6:$G$79,"48h-two-per-market-group-probability-ev-corners-cards-v25",Selections!$K$6:$K$79,"LOST")+COUNTIFS(Selections!$G$6:$G$79,"48h-two-per-market-group-probability-ev-corners-cards-v25",Selections!$K$6:$K$79,"HALF_LOST"))+COUNTIFS(Selections!$G$6:$G$79,"48h-two-per-market-group-probability-ev-corners-cards-v25",Selections!$K$6:$K$79,"REFUNDED")))</f>
        <v>0.75</v>
      </c>
      <c r="I36" s="22">
        <f>SUMIFS(Selections!$M$6:$M$79,Selections!$G$6:$G$79,"48h-two-per-market-group-probability-ev-corners-cards-v25")</f>
        <v>12</v>
      </c>
      <c r="J36" s="22">
        <f>SUMIFS(Selections!$N$6:$N$79,Selections!$G$6:$G$79,"48h-two-per-market-group-probability-ev-corners-cards-v25")</f>
        <v>0.45999999999999974</v>
      </c>
      <c r="K36" s="20">
        <f>IF(SUMIFS(Selections!$M$6:$M$79,Selections!$G$6:$G$79,"48h-two-per-market-group-probability-ev-corners-cards-v25")=0,"n.a.",SUMIFS(Selections!$N$6:$N$79,Selections!$G$6:$G$79,"48h-two-per-market-group-probability-ev-corners-cards-v25")/SUMIFS(Selections!$M$6:$M$79,Selections!$G$6:$G$79,"48h-two-per-market-group-probability-ev-corners-cards-v25"))</f>
        <v>0.03833333333333331</v>
      </c>
      <c r="L36" s="21">
        <f>IF(SUMIFS(Selections!$T$6:$T$79,Selections!$G$6:$G$79,"48h-two-per-market-group-probability-ev-corners-cards-v25")=0,"n.a.",SUMIFS(Selections!$O$6:$O$79,Selections!$G$6:$G$79,"48h-two-per-market-group-probability-ev-corners-cards-v25")/SUMIFS(Selections!$T$6:$T$79,Selections!$G$6:$G$79,"48h-two-per-market-group-probability-ev-corners-cards-v25"))</f>
        <v>0.13045944850654306</v>
      </c>
      <c r="M36" s="20">
        <f>IF(SUMIFS(Selections!$T$6:$T$79,Selections!$G$6:$G$79,"48h-two-per-market-group-probability-ev-corners-cards-v25")=0,"n.a.",SUMIFS(Selections!$S$6:$S$79,Selections!$G$6:$G$79,"48h-two-per-market-group-probability-ev-corners-cards-v25")/SUMIFS(Selections!$T$6:$T$79,Selections!$G$6:$G$79,"48h-two-per-market-group-probability-ev-corners-cards-v25"))</f>
        <v>0.7093136666437047</v>
      </c>
      <c r="N36" s="20">
        <f>IF(SUMIFS(Selections!$T$6:$T$79,Selections!$G$6:$G$79,"48h-two-per-market-group-probability-ev-corners-cards-v25")=0,"n.a.",(SUMIFS(Selections!$L$6:$L$79,Selections!$G$6:$G$79,"48h-two-per-market-group-probability-ev-corners-cards-v25",Selections!$T$6:$T$79,1))/SUMIFS(Selections!$T$6:$T$79,Selections!$G$6:$G$79,"48h-two-per-market-group-probability-ev-corners-cards-v25"))</f>
        <v>0.75</v>
      </c>
      <c r="O36" s="20">
        <f>IF(SUMIFS(Selections!$T$6:$T$79,Selections!$G$6:$G$79,"48h-two-per-market-group-probability-ev-corners-cards-v25")=0,"n.a.",(SUMIFS(Selections!$S$6:$S$79,Selections!$G$6:$G$79,"48h-two-per-market-group-probability-ev-corners-cards-v25")-(SUMIFS(Selections!$L$6:$L$79,Selections!$G$6:$G$79,"48h-two-per-market-group-probability-ev-corners-cards-v25",Selections!$T$6:$T$79,1)))/SUMIFS(Selections!$T$6:$T$79,Selections!$G$6:$G$79,"48h-two-per-market-group-probability-ev-corners-cards-v25"))</f>
        <v>-0.040686333356295346</v>
      </c>
      <c r="P36" s="19">
        <f>SUMIFS(Selections!$T$6:$T$79,Selections!$G$6:$G$79,"48h-two-per-market-group-probability-ev-corners-cards-v25")</f>
        <v>12</v>
      </c>
      <c r="Q36" s="18" t="str">
        <f>IF(P36&lt;30,"Collect more scored forecasts (n="&amp;P36&amp;").",IF(O36&gt;0.1,"Review overconfidence on a future holdout.",IF(K36&lt;0,"Review prices and EV on a future holdout.","Continue forward testing. No automatic model change.")))</f>
        <v>Collect more scored forecasts (n=12).</v>
      </c>
      <c r="R36" s="18"/>
    </row>
    <row r="37" ht="36" customHeight="1">
      <c r="A37" s="18" t="inlineStr">
        <is>
          <t>Policy</t>
        </is>
      </c>
      <c r="B37" s="18" t="inlineStr">
        <is>
          <t>48h-two-per-market-group-probability-ev-v24</t>
        </is>
      </c>
      <c r="C37" s="19">
        <f>COUNTIFS(Selections!$G$6:$G$79,"48h-two-per-market-group-probability-ev-v24")</f>
        <v>4</v>
      </c>
      <c r="D37" s="19">
        <f>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</f>
        <v>3</v>
      </c>
      <c r="E37" s="19">
        <f>(COUNTIFS(Selections!$G$6:$G$79,"48h-two-per-market-group-probability-ev-v24",Selections!$K$6:$K$79,"WON")+COUNTIFS(Selections!$G$6:$G$79,"48h-two-per-market-group-probability-ev-v24",Selections!$K$6:$K$79,"HALF_WON"))</f>
        <v>2</v>
      </c>
      <c r="F37" s="19">
        <f>(COUNTIFS(Selections!$G$6:$G$79,"48h-two-per-market-group-probability-ev-v24",Selections!$K$6:$K$79,"LOST")+COUNTIFS(Selections!$G$6:$G$79,"48h-two-per-market-group-probability-ev-v24",Selections!$K$6:$K$79,"HALF_LOST"))</f>
        <v>1</v>
      </c>
      <c r="G37" s="19">
        <f>COUNTIFS(Selections!$G$6:$G$79,"48h-two-per-market-group-probability-ev-v24")-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</f>
        <v>1</v>
      </c>
      <c r="H37" s="20">
        <f>IF(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=0,"n.a.",(COUNTIFS(Selections!$G$6:$G$79,"48h-two-per-market-group-probability-ev-v24",Selections!$K$6:$K$79,"WON")+COUNTIFS(Selections!$G$6:$G$79,"48h-two-per-market-group-probability-ev-v24",Selections!$K$6:$K$79,"HALF_WON"))/((COUNTIFS(Selections!$G$6:$G$79,"48h-two-per-market-group-probability-ev-v24",Selections!$K$6:$K$79,"WON")+COUNTIFS(Selections!$G$6:$G$79,"48h-two-per-market-group-probability-ev-v24",Selections!$K$6:$K$79,"HALF_WON"))+(COUNTIFS(Selections!$G$6:$G$79,"48h-two-per-market-group-probability-ev-v24",Selections!$K$6:$K$79,"LOST")+COUNTIFS(Selections!$G$6:$G$79,"48h-two-per-market-group-probability-ev-v24",Selections!$K$6:$K$79,"HALF_LOST"))+COUNTIFS(Selections!$G$6:$G$79,"48h-two-per-market-group-probability-ev-v24",Selections!$K$6:$K$79,"REFUNDED")))</f>
        <v>0.6666666666666666</v>
      </c>
      <c r="I37" s="22">
        <f>SUMIFS(Selections!$M$6:$M$79,Selections!$G$6:$G$79,"48h-two-per-market-group-probability-ev-v24")</f>
        <v>3</v>
      </c>
      <c r="J37" s="22">
        <f>SUMIFS(Selections!$N$6:$N$79,Selections!$G$6:$G$79,"48h-two-per-market-group-probability-ev-v24")</f>
        <v>0.6200000000000001</v>
      </c>
      <c r="K37" s="20">
        <f>IF(SUMIFS(Selections!$M$6:$M$79,Selections!$G$6:$G$79,"48h-two-per-market-group-probability-ev-v24")=0,"n.a.",SUMIFS(Selections!$N$6:$N$79,Selections!$G$6:$G$79,"48h-two-per-market-group-probability-ev-v24")/SUMIFS(Selections!$M$6:$M$79,Selections!$G$6:$G$79,"48h-two-per-market-group-probability-ev-v24"))</f>
        <v>0.2066666666666667</v>
      </c>
      <c r="L37" s="21">
        <f>IF(SUMIFS(Selections!$T$6:$T$79,Selections!$G$6:$G$79,"48h-two-per-market-group-probability-ev-v24")=0,"n.a.",SUMIFS(Selections!$O$6:$O$79,Selections!$G$6:$G$79,"48h-two-per-market-group-probability-ev-v24")/SUMIFS(Selections!$T$6:$T$79,Selections!$G$6:$G$79,"48h-two-per-market-group-probability-ev-v24"))</f>
        <v>0.23207082865311845</v>
      </c>
      <c r="M37" s="20">
        <f>IF(SUMIFS(Selections!$T$6:$T$79,Selections!$G$6:$G$79,"48h-two-per-market-group-probability-ev-v24")=0,"n.a.",SUMIFS(Selections!$S$6:$S$79,Selections!$G$6:$G$79,"48h-two-per-market-group-probability-ev-v24")/SUMIFS(Selections!$T$6:$T$79,Selections!$G$6:$G$79,"48h-two-per-market-group-probability-ev-v24"))</f>
        <v>0.5372089614736306</v>
      </c>
      <c r="N37" s="20">
        <f>IF(SUMIFS(Selections!$T$6:$T$79,Selections!$G$6:$G$79,"48h-two-per-market-group-probability-ev-v24")=0,"n.a.",(SUMIFS(Selections!$L$6:$L$79,Selections!$G$6:$G$79,"48h-two-per-market-group-probability-ev-v24",Selections!$T$6:$T$79,1))/SUMIFS(Selections!$T$6:$T$79,Selections!$G$6:$G$79,"48h-two-per-market-group-probability-ev-v24"))</f>
        <v>0.6666666666666666</v>
      </c>
      <c r="O37" s="20">
        <f>IF(SUMIFS(Selections!$T$6:$T$79,Selections!$G$6:$G$79,"48h-two-per-market-group-probability-ev-v24")=0,"n.a.",(SUMIFS(Selections!$S$6:$S$79,Selections!$G$6:$G$79,"48h-two-per-market-group-probability-ev-v24")-(SUMIFS(Selections!$L$6:$L$79,Selections!$G$6:$G$79,"48h-two-per-market-group-probability-ev-v24",Selections!$T$6:$T$79,1)))/SUMIFS(Selections!$T$6:$T$79,Selections!$G$6:$G$79,"48h-two-per-market-group-probability-ev-v24"))</f>
        <v>-0.129457705193036</v>
      </c>
      <c r="P37" s="19">
        <f>SUMIFS(Selections!$T$6:$T$79,Selections!$G$6:$G$79,"48h-two-per-market-group-probability-ev-v24")</f>
        <v>3</v>
      </c>
      <c r="Q37" s="18" t="str">
        <f>IF(P37&lt;30,"Collect more scored forecasts (n="&amp;P37&amp;").",IF(O37&gt;0.1,"Review overconfidence on a future holdout.",IF(K37&lt;0,"Review prices and EV on a future holdout.","Continue forward testing. No automatic model change.")))</f>
        <v>Collect more scored forecasts (n=3).</v>
      </c>
      <c r="R37" s="18"/>
    </row>
    <row r="38" ht="36" customHeight="1">
      <c r="A38" s="18" t="inlineStr">
        <is>
          <t>Policy</t>
        </is>
      </c>
      <c r="B38" s="18" t="inlineStr">
        <is>
          <t>48h-zero-tolerance-ev05-no-loss75-corners-v26</t>
        </is>
      </c>
      <c r="C38" s="19">
        <f>COUNTIFS(Selections!$G$6:$G$79,"48h-zero-tolerance-ev05-no-loss75-corners-v26")</f>
        <v>3</v>
      </c>
      <c r="D38" s="19">
        <f>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</f>
        <v>1</v>
      </c>
      <c r="E38" s="19">
        <f>(COUNTIFS(Selections!$G$6:$G$79,"48h-zero-tolerance-ev05-no-loss75-corners-v26",Selections!$K$6:$K$79,"WON")+COUNTIFS(Selections!$G$6:$G$79,"48h-zero-tolerance-ev05-no-loss75-corners-v26",Selections!$K$6:$K$79,"HALF_WON"))</f>
        <v>0</v>
      </c>
      <c r="F38" s="19">
        <f>(COUNTIFS(Selections!$G$6:$G$79,"48h-zero-tolerance-ev05-no-loss75-corners-v26",Selections!$K$6:$K$79,"LOST")+COUNTIFS(Selections!$G$6:$G$79,"48h-zero-tolerance-ev05-no-loss75-corners-v26",Selections!$K$6:$K$79,"HALF_LOST"))</f>
        <v>0</v>
      </c>
      <c r="G38" s="19">
        <f>COUNTIFS(Selections!$G$6:$G$79,"48h-zero-tolerance-ev05-no-loss75-corners-v26")-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</f>
        <v>2</v>
      </c>
      <c r="H38" s="20">
        <f>IF(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=0,"n.a.",(COUNTIFS(Selections!$G$6:$G$79,"48h-zero-tolerance-ev05-no-loss75-corners-v26",Selections!$K$6:$K$79,"WON")+COUNTIFS(Selections!$G$6:$G$79,"48h-zero-tolerance-ev05-no-loss75-corners-v26",Selections!$K$6:$K$79,"HALF_WON"))/((COUNTIFS(Selections!$G$6:$G$79,"48h-zero-tolerance-ev05-no-loss75-corners-v26",Selections!$K$6:$K$79,"WON")+COUNTIFS(Selections!$G$6:$G$79,"48h-zero-tolerance-ev05-no-loss75-corners-v26",Selections!$K$6:$K$79,"HALF_WON"))+(COUNTIFS(Selections!$G$6:$G$79,"48h-zero-tolerance-ev05-no-loss75-corners-v26",Selections!$K$6:$K$79,"LOST")+COUNTIFS(Selections!$G$6:$G$79,"48h-zero-tolerance-ev05-no-loss75-corners-v26",Selections!$K$6:$K$79,"HALF_LOST"))+COUNTIFS(Selections!$G$6:$G$79,"48h-zero-tolerance-ev05-no-loss75-corners-v26",Selections!$K$6:$K$79,"REFUNDED")))</f>
        <v>0.0</v>
      </c>
      <c r="I38" s="22">
        <f>SUMIFS(Selections!$M$6:$M$79,Selections!$G$6:$G$79,"48h-zero-tolerance-ev05-no-loss75-corners-v26")</f>
        <v>1</v>
      </c>
      <c r="J38" s="22">
        <f>SUMIFS(Selections!$N$6:$N$79,Selections!$G$6:$G$79,"48h-zero-tolerance-ev05-no-loss75-corners-v26")</f>
        <v>0.0</v>
      </c>
      <c r="K38" s="20">
        <f>IF(SUMIFS(Selections!$M$6:$M$79,Selections!$G$6:$G$79,"48h-zero-tolerance-ev05-no-loss75-corners-v26")=0,"n.a.",SUMIFS(Selections!$N$6:$N$79,Selections!$G$6:$G$79,"48h-zero-tolerance-ev05-no-loss75-corners-v26")/SUMIFS(Selections!$M$6:$M$79,Selections!$G$6:$G$79,"48h-zero-tolerance-ev05-no-loss75-corners-v26"))</f>
        <v>0.0</v>
      </c>
      <c r="L38" s="21">
        <f>IF(SUMIFS(Selections!$T$6:$T$79,Selections!$G$6:$G$79,"48h-zero-tolerance-ev05-no-loss75-corners-v26")=0,"n.a.",SUMIFS(Selections!$O$6:$O$79,Selections!$G$6:$G$79,"48h-zero-tolerance-ev05-no-loss75-corners-v26")/SUMIFS(Selections!$T$6:$T$79,Selections!$G$6:$G$79,"48h-zero-tolerance-ev05-no-loss75-corners-v26"))</f>
        <v>0.04930986683311443</v>
      </c>
      <c r="M38" s="20">
        <f>IF(SUMIFS(Selections!$T$6:$T$79,Selections!$G$6:$G$79,"48h-zero-tolerance-ev05-no-loss75-corners-v26")=0,"n.a.",SUMIFS(Selections!$S$6:$S$79,Selections!$G$6:$G$79,"48h-zero-tolerance-ev05-no-loss75-corners-v26")/SUMIFS(Selections!$T$6:$T$79,Selections!$G$6:$G$79,"48h-zero-tolerance-ev05-no-loss75-corners-v26"))</f>
        <v>0.777941749009152</v>
      </c>
      <c r="N38" s="20">
        <f>IF(SUMIFS(Selections!$T$6:$T$79,Selections!$G$6:$G$79,"48h-zero-tolerance-ev05-no-loss75-corners-v26")=0,"n.a.",(SUMIFS(Selections!$L$6:$L$79,Selections!$G$6:$G$79,"48h-zero-tolerance-ev05-no-loss75-corners-v26",Selections!$T$6:$T$79,1))/SUMIFS(Selections!$T$6:$T$79,Selections!$G$6:$G$79,"48h-zero-tolerance-ev05-no-loss75-corners-v26"))</f>
        <v>1.0</v>
      </c>
      <c r="O38" s="20">
        <f>IF(SUMIFS(Selections!$T$6:$T$79,Selections!$G$6:$G$79,"48h-zero-tolerance-ev05-no-loss75-corners-v26")=0,"n.a.",(SUMIFS(Selections!$S$6:$S$79,Selections!$G$6:$G$79,"48h-zero-tolerance-ev05-no-loss75-corners-v26")-(SUMIFS(Selections!$L$6:$L$79,Selections!$G$6:$G$79,"48h-zero-tolerance-ev05-no-loss75-corners-v26",Selections!$T$6:$T$79,1)))/SUMIFS(Selections!$T$6:$T$79,Selections!$G$6:$G$79,"48h-zero-tolerance-ev05-no-loss75-corners-v26"))</f>
        <v>-0.22205825099084797</v>
      </c>
      <c r="P38" s="19">
        <f>SUMIFS(Selections!$T$6:$T$79,Selections!$G$6:$G$79,"48h-zero-tolerance-ev05-no-loss75-corners-v26")</f>
        <v>1</v>
      </c>
      <c r="Q38" s="18" t="str">
        <f>IF(P38&lt;30,"Collect more scored forecasts (n="&amp;P38&amp;").",IF(O38&gt;0.1,"Review overconfidence on a future holdout.",IF(K38&lt;0,"Review prices and EV on a future holdout.","Continue forward testing. No automatic model change.")))</f>
        <v>Collect more scored forecasts (n=1).</v>
      </c>
      <c r="R38" s="18"/>
    </row>
    <row r="39" ht="36" customHeight="1">
      <c r="A39" s="18" t="inlineStr">
        <is>
          <t>Policy</t>
        </is>
      </c>
      <c r="B39" s="18" t="inlineStr">
        <is>
          <t>48h-zero-tolerance-ev1-common-no-loss75-v22</t>
        </is>
      </c>
      <c r="C39" s="19">
        <f>COUNTIFS(Selections!$G$6:$G$79,"48h-zero-tolerance-ev1-common-no-loss75-v22")</f>
        <v>8</v>
      </c>
      <c r="D39" s="19">
        <f>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</f>
        <v>7</v>
      </c>
      <c r="E39" s="19">
        <f>(COUNTIFS(Selections!$G$6:$G$79,"48h-zero-tolerance-ev1-common-no-loss75-v22",Selections!$K$6:$K$79,"WON")+COUNTIFS(Selections!$G$6:$G$79,"48h-zero-tolerance-ev1-common-no-loss75-v22",Selections!$K$6:$K$79,"HALF_WON"))</f>
        <v>7</v>
      </c>
      <c r="F39" s="19">
        <f>(COUNTIFS(Selections!$G$6:$G$79,"48h-zero-tolerance-ev1-common-no-loss75-v22",Selections!$K$6:$K$79,"LOST")+COUNTIFS(Selections!$G$6:$G$79,"48h-zero-tolerance-ev1-common-no-loss75-v22",Selections!$K$6:$K$79,"HALF_LOST"))</f>
        <v>0</v>
      </c>
      <c r="G39" s="19">
        <f>COUNTIFS(Selections!$G$6:$G$79,"48h-zero-tolerance-ev1-common-no-loss75-v22")-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</f>
        <v>1</v>
      </c>
      <c r="H39" s="20">
        <f>IF(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=0,"n.a.",(COUNTIFS(Selections!$G$6:$G$79,"48h-zero-tolerance-ev1-common-no-loss75-v22",Selections!$K$6:$K$79,"WON")+COUNTIFS(Selections!$G$6:$G$79,"48h-zero-tolerance-ev1-common-no-loss75-v22",Selections!$K$6:$K$79,"HALF_WON"))/((COUNTIFS(Selections!$G$6:$G$79,"48h-zero-tolerance-ev1-common-no-loss75-v22",Selections!$K$6:$K$79,"WON")+COUNTIFS(Selections!$G$6:$G$79,"48h-zero-tolerance-ev1-common-no-loss75-v22",Selections!$K$6:$K$79,"HALF_WON"))+(COUNTIFS(Selections!$G$6:$G$79,"48h-zero-tolerance-ev1-common-no-loss75-v22",Selections!$K$6:$K$79,"LOST")+COUNTIFS(Selections!$G$6:$G$79,"48h-zero-tolerance-ev1-common-no-loss75-v22",Selections!$K$6:$K$79,"HALF_LOST"))+COUNTIFS(Selections!$G$6:$G$79,"48h-zero-tolerance-ev1-common-no-loss75-v22",Selections!$K$6:$K$79,"REFUNDED")))</f>
        <v>1.0</v>
      </c>
      <c r="I39" s="22">
        <f>SUMIFS(Selections!$M$6:$M$79,Selections!$G$6:$G$79,"48h-zero-tolerance-ev1-common-no-loss75-v22")</f>
        <v>7</v>
      </c>
      <c r="J39" s="22">
        <f>SUMIFS(Selections!$N$6:$N$79,Selections!$G$6:$G$79,"48h-zero-tolerance-ev1-common-no-loss75-v22")</f>
        <v>2.37</v>
      </c>
      <c r="K39" s="20">
        <f>IF(SUMIFS(Selections!$M$6:$M$79,Selections!$G$6:$G$79,"48h-zero-tolerance-ev1-common-no-loss75-v22")=0,"n.a.",SUMIFS(Selections!$N$6:$N$79,Selections!$G$6:$G$79,"48h-zero-tolerance-ev1-common-no-loss75-v22")/SUMIFS(Selections!$M$6:$M$79,Selections!$G$6:$G$79,"48h-zero-tolerance-ev1-common-no-loss75-v22"))</f>
        <v>0.3385714285714286</v>
      </c>
      <c r="L39" s="21">
        <f>IF(SUMIFS(Selections!$T$6:$T$79,Selections!$G$6:$G$79,"48h-zero-tolerance-ev1-common-no-loss75-v22")=0,"n.a.",SUMIFS(Selections!$O$6:$O$79,Selections!$G$6:$G$79,"48h-zero-tolerance-ev1-common-no-loss75-v22")/SUMIFS(Selections!$T$6:$T$79,Selections!$G$6:$G$79,"48h-zero-tolerance-ev1-common-no-loss75-v22"))</f>
        <v>0.029217671084275306</v>
      </c>
      <c r="M39" s="20">
        <f>IF(SUMIFS(Selections!$T$6:$T$79,Selections!$G$6:$G$79,"48h-zero-tolerance-ev1-common-no-loss75-v22")=0,"n.a.",SUMIFS(Selections!$S$6:$S$79,Selections!$G$6:$G$79,"48h-zero-tolerance-ev1-common-no-loss75-v22")/SUMIFS(Selections!$T$6:$T$79,Selections!$G$6:$G$79,"48h-zero-tolerance-ev1-common-no-loss75-v22"))</f>
        <v>0.8361780388006138</v>
      </c>
      <c r="N39" s="20">
        <f>IF(SUMIFS(Selections!$T$6:$T$79,Selections!$G$6:$G$79,"48h-zero-tolerance-ev1-common-no-loss75-v22")=0,"n.a.",(SUMIFS(Selections!$L$6:$L$79,Selections!$G$6:$G$79,"48h-zero-tolerance-ev1-common-no-loss75-v22",Selections!$T$6:$T$79,1))/SUMIFS(Selections!$T$6:$T$79,Selections!$G$6:$G$79,"48h-zero-tolerance-ev1-common-no-loss75-v22"))</f>
        <v>1.0</v>
      </c>
      <c r="O39" s="20">
        <f>IF(SUMIFS(Selections!$T$6:$T$79,Selections!$G$6:$G$79,"48h-zero-tolerance-ev1-common-no-loss75-v22")=0,"n.a.",(SUMIFS(Selections!$S$6:$S$79,Selections!$G$6:$G$79,"48h-zero-tolerance-ev1-common-no-loss75-v22")-(SUMIFS(Selections!$L$6:$L$79,Selections!$G$6:$G$79,"48h-zero-tolerance-ev1-common-no-loss75-v22",Selections!$T$6:$T$79,1)))/SUMIFS(Selections!$T$6:$T$79,Selections!$G$6:$G$79,"48h-zero-tolerance-ev1-common-no-loss75-v22"))</f>
        <v>-0.1638219611993862</v>
      </c>
      <c r="P39" s="19">
        <f>SUMIFS(Selections!$T$6:$T$79,Selections!$G$6:$G$79,"48h-zero-tolerance-ev1-common-no-loss75-v22")</f>
        <v>7</v>
      </c>
      <c r="Q39" s="18" t="str">
        <f>IF(P39&lt;30,"Collect more scored forecasts (n="&amp;P39&amp;").",IF(O39&gt;0.1,"Review overconfidence on a future holdout.",IF(K39&lt;0,"Review prices and EV on a future holdout.","Continue forward testing. No automatic model change.")))</f>
        <v>Collect more scored forecasts (n=7).</v>
      </c>
      <c r="R39" s="18"/>
    </row>
    <row r="40" ht="36" customHeight="1">
      <c r="A40" s="18" t="inlineStr">
        <is>
          <t>Policy</t>
        </is>
      </c>
      <c r="B40" s="18" t="inlineStr">
        <is>
          <t>72h-all-markets-ev15-one-book-v6</t>
        </is>
      </c>
      <c r="C40" s="19">
        <f>COUNTIFS(Selections!$G$6:$G$79,"72h-all-markets-ev15-one-book-v6")</f>
        <v>1</v>
      </c>
      <c r="D40" s="19">
        <f>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</f>
        <v>1</v>
      </c>
      <c r="E40" s="19">
        <f>(COUNTIFS(Selections!$G$6:$G$79,"72h-all-markets-ev15-one-book-v6",Selections!$K$6:$K$79,"WON")+COUNTIFS(Selections!$G$6:$G$79,"72h-all-markets-ev15-one-book-v6",Selections!$K$6:$K$79,"HALF_WON"))</f>
        <v>1</v>
      </c>
      <c r="F40" s="19">
        <f>(COUNTIFS(Selections!$G$6:$G$79,"72h-all-markets-ev15-one-book-v6",Selections!$K$6:$K$79,"LOST")+COUNTIFS(Selections!$G$6:$G$79,"72h-all-markets-ev15-one-book-v6",Selections!$K$6:$K$79,"HALF_LOST"))</f>
        <v>0</v>
      </c>
      <c r="G40" s="19">
        <f>COUNTIFS(Selections!$G$6:$G$79,"72h-all-markets-ev15-one-book-v6")-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</f>
        <v>0</v>
      </c>
      <c r="H40" s="20">
        <f>IF(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=0,"n.a.",(COUNTIFS(Selections!$G$6:$G$79,"72h-all-markets-ev15-one-book-v6",Selections!$K$6:$K$79,"WON")+COUNTIFS(Selections!$G$6:$G$79,"72h-all-markets-ev15-one-book-v6",Selections!$K$6:$K$79,"HALF_WON"))/((COUNTIFS(Selections!$G$6:$G$79,"72h-all-markets-ev15-one-book-v6",Selections!$K$6:$K$79,"WON")+COUNTIFS(Selections!$G$6:$G$79,"72h-all-markets-ev15-one-book-v6",Selections!$K$6:$K$79,"HALF_WON"))+(COUNTIFS(Selections!$G$6:$G$79,"72h-all-markets-ev15-one-book-v6",Selections!$K$6:$K$79,"LOST")+COUNTIFS(Selections!$G$6:$G$79,"72h-all-markets-ev15-one-book-v6",Selections!$K$6:$K$79,"HALF_LOST"))+COUNTIFS(Selections!$G$6:$G$79,"72h-all-markets-ev15-one-book-v6",Selections!$K$6:$K$79,"REFUNDED")))</f>
        <v>1.0</v>
      </c>
      <c r="I40" s="22">
        <f>SUMIFS(Selections!$M$6:$M$79,Selections!$G$6:$G$79,"72h-all-markets-ev15-one-book-v6")</f>
        <v>1</v>
      </c>
      <c r="J40" s="22">
        <f>SUMIFS(Selections!$N$6:$N$79,Selections!$G$6:$G$79,"72h-all-markets-ev15-one-book-v6")</f>
        <v>0.44999999999999996</v>
      </c>
      <c r="K40" s="20">
        <f>IF(SUMIFS(Selections!$M$6:$M$79,Selections!$G$6:$G$79,"72h-all-markets-ev15-one-book-v6")=0,"n.a.",SUMIFS(Selections!$N$6:$N$79,Selections!$G$6:$G$79,"72h-all-markets-ev15-one-book-v6")/SUMIFS(Selections!$M$6:$M$79,Selections!$G$6:$G$79,"72h-all-markets-ev15-one-book-v6"))</f>
        <v>0.44999999999999996</v>
      </c>
      <c r="L40" s="21">
        <f>IF(SUMIFS(Selections!$T$6:$T$79,Selections!$G$6:$G$79,"72h-all-markets-ev15-one-book-v6")=0,"n.a.",SUMIFS(Selections!$O$6:$O$79,Selections!$G$6:$G$79,"72h-all-markets-ev15-one-book-v6")/SUMIFS(Selections!$T$6:$T$79,Selections!$G$6:$G$79,"72h-all-markets-ev15-one-book-v6"))</f>
        <v>0.08610395019172555</v>
      </c>
      <c r="M40" s="20">
        <f>IF(SUMIFS(Selections!$T$6:$T$79,Selections!$G$6:$G$79,"72h-all-markets-ev15-one-book-v6")=0,"n.a.",SUMIFS(Selections!$S$6:$S$79,Selections!$G$6:$G$79,"72h-all-markets-ev15-one-book-v6")/SUMIFS(Selections!$T$6:$T$79,Selections!$G$6:$G$79,"72h-all-markets-ev15-one-book-v6"))</f>
        <v>0.706565253946085</v>
      </c>
      <c r="N40" s="20">
        <f>IF(SUMIFS(Selections!$T$6:$T$79,Selections!$G$6:$G$79,"72h-all-markets-ev15-one-book-v6")=0,"n.a.",(SUMIFS(Selections!$L$6:$L$79,Selections!$G$6:$G$79,"72h-all-markets-ev15-one-book-v6",Selections!$T$6:$T$79,1))/SUMIFS(Selections!$T$6:$T$79,Selections!$G$6:$G$79,"72h-all-markets-ev15-one-book-v6"))</f>
        <v>1.0</v>
      </c>
      <c r="O40" s="20">
        <f>IF(SUMIFS(Selections!$T$6:$T$79,Selections!$G$6:$G$79,"72h-all-markets-ev15-one-book-v6")=0,"n.a.",(SUMIFS(Selections!$S$6:$S$79,Selections!$G$6:$G$79,"72h-all-markets-ev15-one-book-v6")-(SUMIFS(Selections!$L$6:$L$79,Selections!$G$6:$G$79,"72h-all-markets-ev15-one-book-v6",Selections!$T$6:$T$79,1)))/SUMIFS(Selections!$T$6:$T$79,Selections!$G$6:$G$79,"72h-all-markets-ev15-one-book-v6"))</f>
        <v>-0.29343474605391495</v>
      </c>
      <c r="P40" s="19">
        <f>SUMIFS(Selections!$T$6:$T$79,Selections!$G$6:$G$79,"72h-all-markets-ev15-one-book-v6")</f>
        <v>1</v>
      </c>
      <c r="Q40" s="18" t="str">
        <f>IF(P40&lt;30,"Collect more scored forecasts (n="&amp;P40&amp;").",IF(O40&gt;0.1,"Review overconfidence on a future holdout.",IF(K40&lt;0,"Review prices and EV on a future holdout.","Continue forward testing. No automatic model change.")))</f>
        <v>Collect more scored forecasts (n=1).</v>
      </c>
      <c r="R40" s="18"/>
    </row>
    <row r="41" ht="36" customHeight="1">
      <c r="A41" s="18" t="inlineStr">
        <is>
          <t>Policy</t>
        </is>
      </c>
      <c r="B41" s="18" t="inlineStr">
        <is>
          <t>72h-all-markets-net-ev15-execution-v7</t>
        </is>
      </c>
      <c r="C41" s="19">
        <f>COUNTIFS(Selections!$G$6:$G$79,"72h-all-markets-net-ev15-execution-v7")</f>
        <v>5</v>
      </c>
      <c r="D41" s="19">
        <f>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</f>
        <v>4</v>
      </c>
      <c r="E41" s="19">
        <f>(COUNTIFS(Selections!$G$6:$G$79,"72h-all-markets-net-ev15-execution-v7",Selections!$K$6:$K$79,"WON")+COUNTIFS(Selections!$G$6:$G$79,"72h-all-markets-net-ev15-execution-v7",Selections!$K$6:$K$79,"HALF_WON"))</f>
        <v>4</v>
      </c>
      <c r="F41" s="19">
        <f>(COUNTIFS(Selections!$G$6:$G$79,"72h-all-markets-net-ev15-execution-v7",Selections!$K$6:$K$79,"LOST")+COUNTIFS(Selections!$G$6:$G$79,"72h-all-markets-net-ev15-execution-v7",Selections!$K$6:$K$79,"HALF_LOST"))</f>
        <v>0</v>
      </c>
      <c r="G41" s="19">
        <f>COUNTIFS(Selections!$G$6:$G$79,"72h-all-markets-net-ev15-execution-v7")-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</f>
        <v>1</v>
      </c>
      <c r="H41" s="20">
        <f>IF(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=0,"n.a.",(COUNTIFS(Selections!$G$6:$G$79,"72h-all-markets-net-ev15-execution-v7",Selections!$K$6:$K$79,"WON")+COUNTIFS(Selections!$G$6:$G$79,"72h-all-markets-net-ev15-execution-v7",Selections!$K$6:$K$79,"HALF_WON"))/((COUNTIFS(Selections!$G$6:$G$79,"72h-all-markets-net-ev15-execution-v7",Selections!$K$6:$K$79,"WON")+COUNTIFS(Selections!$G$6:$G$79,"72h-all-markets-net-ev15-execution-v7",Selections!$K$6:$K$79,"HALF_WON"))+(COUNTIFS(Selections!$G$6:$G$79,"72h-all-markets-net-ev15-execution-v7",Selections!$K$6:$K$79,"LOST")+COUNTIFS(Selections!$G$6:$G$79,"72h-all-markets-net-ev15-execution-v7",Selections!$K$6:$K$79,"HALF_LOST"))+COUNTIFS(Selections!$G$6:$G$79,"72h-all-markets-net-ev15-execution-v7",Selections!$K$6:$K$79,"REFUNDED")))</f>
        <v>1.0</v>
      </c>
      <c r="I41" s="22">
        <f>SUMIFS(Selections!$M$6:$M$79,Selections!$G$6:$G$79,"72h-all-markets-net-ev15-execution-v7")</f>
        <v>4</v>
      </c>
      <c r="J41" s="22">
        <f>SUMIFS(Selections!$N$6:$N$79,Selections!$G$6:$G$79,"72h-all-markets-net-ev15-execution-v7")</f>
        <v>1.74</v>
      </c>
      <c r="K41" s="20">
        <f>IF(SUMIFS(Selections!$M$6:$M$79,Selections!$G$6:$G$79,"72h-all-markets-net-ev15-execution-v7")=0,"n.a.",SUMIFS(Selections!$N$6:$N$79,Selections!$G$6:$G$79,"72h-all-markets-net-ev15-execution-v7")/SUMIFS(Selections!$M$6:$M$79,Selections!$G$6:$G$79,"72h-all-markets-net-ev15-execution-v7"))</f>
        <v>0.435</v>
      </c>
      <c r="L41" s="21">
        <f>IF(SUMIFS(Selections!$T$6:$T$79,Selections!$G$6:$G$79,"72h-all-markets-net-ev15-execution-v7")=0,"n.a.",SUMIFS(Selections!$O$6:$O$79,Selections!$G$6:$G$79,"72h-all-markets-net-ev15-execution-v7")/SUMIFS(Selections!$T$6:$T$79,Selections!$G$6:$G$79,"72h-all-markets-net-ev15-execution-v7"))</f>
        <v>0.05403053120768371</v>
      </c>
      <c r="M41" s="20">
        <f>IF(SUMIFS(Selections!$T$6:$T$79,Selections!$G$6:$G$79,"72h-all-markets-net-ev15-execution-v7")=0,"n.a.",SUMIFS(Selections!$S$6:$S$79,Selections!$G$6:$G$79,"72h-all-markets-net-ev15-execution-v7")/SUMIFS(Selections!$T$6:$T$79,Selections!$G$6:$G$79,"72h-all-markets-net-ev15-execution-v7"))</f>
        <v>0.7950551078170468</v>
      </c>
      <c r="N41" s="20">
        <f>IF(SUMIFS(Selections!$T$6:$T$79,Selections!$G$6:$G$79,"72h-all-markets-net-ev15-execution-v7")=0,"n.a.",(SUMIFS(Selections!$L$6:$L$79,Selections!$G$6:$G$79,"72h-all-markets-net-ev15-execution-v7",Selections!$T$6:$T$79,1))/SUMIFS(Selections!$T$6:$T$79,Selections!$G$6:$G$79,"72h-all-markets-net-ev15-execution-v7"))</f>
        <v>1.0</v>
      </c>
      <c r="O41" s="20">
        <f>IF(SUMIFS(Selections!$T$6:$T$79,Selections!$G$6:$G$79,"72h-all-markets-net-ev15-execution-v7")=0,"n.a.",(SUMIFS(Selections!$S$6:$S$79,Selections!$G$6:$G$79,"72h-all-markets-net-ev15-execution-v7")-(SUMIFS(Selections!$L$6:$L$79,Selections!$G$6:$G$79,"72h-all-markets-net-ev15-execution-v7",Selections!$T$6:$T$79,1)))/SUMIFS(Selections!$T$6:$T$79,Selections!$G$6:$G$79,"72h-all-markets-net-ev15-execution-v7"))</f>
        <v>-0.2049448921829532</v>
      </c>
      <c r="P41" s="19">
        <f>SUMIFS(Selections!$T$6:$T$79,Selections!$G$6:$G$79,"72h-all-markets-net-ev15-execution-v7")</f>
        <v>4</v>
      </c>
      <c r="Q41" s="18" t="str">
        <f>IF(P41&lt;30,"Collect more scored forecasts (n="&amp;P41&amp;").",IF(O41&gt;0.1,"Review overconfidence on a future holdout.",IF(K41&lt;0,"Review prices and EV on a future holdout.","Continue forward testing. No automatic model change.")))</f>
        <v>Collect more scored forecasts (n=4).</v>
      </c>
      <c r="R41" s="18"/>
    </row>
    <row r="42" ht="36" customHeight="1">
      <c r="A42" s="18" t="inlineStr">
        <is>
          <t>Policy</t>
        </is>
      </c>
      <c r="B42" s="18" t="inlineStr">
        <is>
          <t>72h-seven-markets-fresh-references-net-ev15-v11</t>
        </is>
      </c>
      <c r="C42" s="19">
        <f>COUNTIFS(Selections!$G$6:$G$79,"72h-seven-markets-fresh-references-net-ev15-v11")</f>
        <v>5</v>
      </c>
      <c r="D42" s="19">
        <f>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</f>
        <v>5</v>
      </c>
      <c r="E42" s="19">
        <f>(COUNTIFS(Selections!$G$6:$G$79,"72h-seven-markets-fresh-references-net-ev15-v11",Selections!$K$6:$K$79,"WON")+COUNTIFS(Selections!$G$6:$G$79,"72h-seven-markets-fresh-references-net-ev15-v11",Selections!$K$6:$K$79,"HALF_WON"))</f>
        <v>4</v>
      </c>
      <c r="F42" s="19">
        <f>(COUNTIFS(Selections!$G$6:$G$79,"72h-seven-markets-fresh-references-net-ev15-v11",Selections!$K$6:$K$79,"LOST")+COUNTIFS(Selections!$G$6:$G$79,"72h-seven-markets-fresh-references-net-ev15-v11",Selections!$K$6:$K$79,"HALF_LOST"))</f>
        <v>1</v>
      </c>
      <c r="G42" s="19">
        <f>COUNTIFS(Selections!$G$6:$G$79,"72h-seven-markets-fresh-references-net-ev15-v11")-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</f>
        <v>0</v>
      </c>
      <c r="H42" s="20">
        <f>IF(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=0,"n.a.",(COUNTIFS(Selections!$G$6:$G$79,"72h-seven-markets-fresh-references-net-ev15-v11",Selections!$K$6:$K$79,"WON")+COUNTIFS(Selections!$G$6:$G$79,"72h-seven-markets-fresh-references-net-ev15-v11",Selections!$K$6:$K$79,"HALF_WON"))/((COUNTIFS(Selections!$G$6:$G$79,"72h-seven-markets-fresh-references-net-ev15-v11",Selections!$K$6:$K$79,"WON")+COUNTIFS(Selections!$G$6:$G$79,"72h-seven-markets-fresh-references-net-ev15-v11",Selections!$K$6:$K$79,"HALF_WON"))+(COUNTIFS(Selections!$G$6:$G$79,"72h-seven-markets-fresh-references-net-ev15-v11",Selections!$K$6:$K$79,"LOST")+COUNTIFS(Selections!$G$6:$G$79,"72h-seven-markets-fresh-references-net-ev15-v11",Selections!$K$6:$K$79,"HALF_LOST"))+COUNTIFS(Selections!$G$6:$G$79,"72h-seven-markets-fresh-references-net-ev15-v11",Selections!$K$6:$K$79,"REFUNDED")))</f>
        <v>0.8</v>
      </c>
      <c r="I42" s="22">
        <f>SUMIFS(Selections!$M$6:$M$79,Selections!$G$6:$G$79,"72h-seven-markets-fresh-references-net-ev15-v11")</f>
        <v>5</v>
      </c>
      <c r="J42" s="22">
        <f>SUMIFS(Selections!$N$6:$N$79,Selections!$G$6:$G$79,"72h-seven-markets-fresh-references-net-ev15-v11")</f>
        <v>0.3600000000000001</v>
      </c>
      <c r="K42" s="20">
        <f>IF(SUMIFS(Selections!$M$6:$M$79,Selections!$G$6:$G$79,"72h-seven-markets-fresh-references-net-ev15-v11")=0,"n.a.",SUMIFS(Selections!$N$6:$N$79,Selections!$G$6:$G$79,"72h-seven-markets-fresh-references-net-ev15-v11")/SUMIFS(Selections!$M$6:$M$79,Selections!$G$6:$G$79,"72h-seven-markets-fresh-references-net-ev15-v11"))</f>
        <v>0.07200000000000002</v>
      </c>
      <c r="L42" s="21">
        <f>IF(SUMIFS(Selections!$T$6:$T$79,Selections!$G$6:$G$79,"72h-seven-markets-fresh-references-net-ev15-v11")=0,"n.a.",SUMIFS(Selections!$O$6:$O$79,Selections!$G$6:$G$79,"72h-seven-markets-fresh-references-net-ev15-v11")/SUMIFS(Selections!$T$6:$T$79,Selections!$G$6:$G$79,"72h-seven-markets-fresh-references-net-ev15-v11"))</f>
        <v>0.12900891729637554</v>
      </c>
      <c r="M42" s="20">
        <f>IF(SUMIFS(Selections!$T$6:$T$79,Selections!$G$6:$G$79,"72h-seven-markets-fresh-references-net-ev15-v11")=0,"n.a.",SUMIFS(Selections!$S$6:$S$79,Selections!$G$6:$G$79,"72h-seven-markets-fresh-references-net-ev15-v11")/SUMIFS(Selections!$T$6:$T$79,Selections!$G$6:$G$79,"72h-seven-markets-fresh-references-net-ev15-v11"))</f>
        <v>0.7527708085856005</v>
      </c>
      <c r="N42" s="20">
        <f>IF(SUMIFS(Selections!$T$6:$T$79,Selections!$G$6:$G$79,"72h-seven-markets-fresh-references-net-ev15-v11")=0,"n.a.",(SUMIFS(Selections!$L$6:$L$79,Selections!$G$6:$G$79,"72h-seven-markets-fresh-references-net-ev15-v11",Selections!$T$6:$T$79,1))/SUMIFS(Selections!$T$6:$T$79,Selections!$G$6:$G$79,"72h-seven-markets-fresh-references-net-ev15-v11"))</f>
        <v>0.8</v>
      </c>
      <c r="O42" s="20">
        <f>IF(SUMIFS(Selections!$T$6:$T$79,Selections!$G$6:$G$79,"72h-seven-markets-fresh-references-net-ev15-v11")=0,"n.a.",(SUMIFS(Selections!$S$6:$S$79,Selections!$G$6:$G$79,"72h-seven-markets-fresh-references-net-ev15-v11")-(SUMIFS(Selections!$L$6:$L$79,Selections!$G$6:$G$79,"72h-seven-markets-fresh-references-net-ev15-v11",Selections!$T$6:$T$79,1)))/SUMIFS(Selections!$T$6:$T$79,Selections!$G$6:$G$79,"72h-seven-markets-fresh-references-net-ev15-v11"))</f>
        <v>-0.04722919141439952</v>
      </c>
      <c r="P42" s="19">
        <f>SUMIFS(Selections!$T$6:$T$79,Selections!$G$6:$G$79,"72h-seven-markets-fresh-references-net-ev15-v11")</f>
        <v>5</v>
      </c>
      <c r="Q42" s="18" t="str">
        <f>IF(P42&lt;30,"Collect more scored forecasts (n="&amp;P42&amp;").",IF(O42&gt;0.1,"Review overconfidence on a future holdout.",IF(K42&lt;0,"Review prices and EV on a future holdout.","Continue forward testing. No automatic model change.")))</f>
        <v>Collect more scored forecasts (n=5).</v>
      </c>
      <c r="R42" s="18"/>
    </row>
    <row r="43" ht="36" customHeight="1">
      <c r="A43" s="18" t="inlineStr">
        <is>
          <t>Policy</t>
        </is>
      </c>
      <c r="B43" s="18" t="inlineStr">
        <is>
          <t>72h-ucl-v2</t>
        </is>
      </c>
      <c r="C43" s="19">
        <f>COUNTIFS(Selections!$G$6:$G$79,"72h-ucl-v2")</f>
        <v>1</v>
      </c>
      <c r="D43" s="19">
        <f>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</f>
        <v>1</v>
      </c>
      <c r="E43" s="19">
        <f>(COUNTIFS(Selections!$G$6:$G$79,"72h-ucl-v2",Selections!$K$6:$K$79,"WON")+COUNTIFS(Selections!$G$6:$G$79,"72h-ucl-v2",Selections!$K$6:$K$79,"HALF_WON"))</f>
        <v>1</v>
      </c>
      <c r="F43" s="19">
        <f>(COUNTIFS(Selections!$G$6:$G$79,"72h-ucl-v2",Selections!$K$6:$K$79,"LOST")+COUNTIFS(Selections!$G$6:$G$79,"72h-ucl-v2",Selections!$K$6:$K$79,"HALF_LOST"))</f>
        <v>0</v>
      </c>
      <c r="G43" s="19">
        <f>COUNTIFS(Selections!$G$6:$G$79,"72h-ucl-v2")-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</f>
        <v>0</v>
      </c>
      <c r="H43" s="20">
        <f>IF(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=0,"n.a.",(COUNTIFS(Selections!$G$6:$G$79,"72h-ucl-v2",Selections!$K$6:$K$79,"WON")+COUNTIFS(Selections!$G$6:$G$79,"72h-ucl-v2",Selections!$K$6:$K$79,"HALF_WON"))/((COUNTIFS(Selections!$G$6:$G$79,"72h-ucl-v2",Selections!$K$6:$K$79,"WON")+COUNTIFS(Selections!$G$6:$G$79,"72h-ucl-v2",Selections!$K$6:$K$79,"HALF_WON"))+(COUNTIFS(Selections!$G$6:$G$79,"72h-ucl-v2",Selections!$K$6:$K$79,"LOST")+COUNTIFS(Selections!$G$6:$G$79,"72h-ucl-v2",Selections!$K$6:$K$79,"HALF_LOST"))+COUNTIFS(Selections!$G$6:$G$79,"72h-ucl-v2",Selections!$K$6:$K$79,"REFUNDED")))</f>
        <v>1.0</v>
      </c>
      <c r="I43" s="22">
        <f>SUMIFS(Selections!$M$6:$M$79,Selections!$G$6:$G$79,"72h-ucl-v2")</f>
        <v>1</v>
      </c>
      <c r="J43" s="22">
        <f>SUMIFS(Selections!$N$6:$N$79,Selections!$G$6:$G$79,"72h-ucl-v2")</f>
        <v>0.28</v>
      </c>
      <c r="K43" s="20">
        <f>IF(SUMIFS(Selections!$M$6:$M$79,Selections!$G$6:$G$79,"72h-ucl-v2")=0,"n.a.",SUMIFS(Selections!$N$6:$N$79,Selections!$G$6:$G$79,"72h-ucl-v2")/SUMIFS(Selections!$M$6:$M$79,Selections!$G$6:$G$79,"72h-ucl-v2"))</f>
        <v>0.28</v>
      </c>
      <c r="L43" s="21">
        <f>IF(SUMIFS(Selections!$T$6:$T$79,Selections!$G$6:$G$79,"72h-ucl-v2")=0,"n.a.",SUMIFS(Selections!$O$6:$O$79,Selections!$G$6:$G$79,"72h-ucl-v2")/SUMIFS(Selections!$T$6:$T$79,Selections!$G$6:$G$79,"72h-ucl-v2"))</f>
        <v>0.041442876272802645</v>
      </c>
      <c r="M43" s="20">
        <f>IF(SUMIFS(Selections!$T$6:$T$79,Selections!$G$6:$G$79,"72h-ucl-v2")=0,"n.a.",SUMIFS(Selections!$S$6:$S$79,Selections!$G$6:$G$79,"72h-ucl-v2")/SUMIFS(Selections!$T$6:$T$79,Selections!$G$6:$G$79,"72h-ucl-v2"))</f>
        <v>0.7964247650798294</v>
      </c>
      <c r="N43" s="20">
        <f>IF(SUMIFS(Selections!$T$6:$T$79,Selections!$G$6:$G$79,"72h-ucl-v2")=0,"n.a.",(SUMIFS(Selections!$L$6:$L$79,Selections!$G$6:$G$79,"72h-ucl-v2",Selections!$T$6:$T$79,1))/SUMIFS(Selections!$T$6:$T$79,Selections!$G$6:$G$79,"72h-ucl-v2"))</f>
        <v>1.0</v>
      </c>
      <c r="O43" s="20">
        <f>IF(SUMIFS(Selections!$T$6:$T$79,Selections!$G$6:$G$79,"72h-ucl-v2")=0,"n.a.",(SUMIFS(Selections!$S$6:$S$79,Selections!$G$6:$G$79,"72h-ucl-v2")-(SUMIFS(Selections!$L$6:$L$79,Selections!$G$6:$G$79,"72h-ucl-v2",Selections!$T$6:$T$79,1)))/SUMIFS(Selections!$T$6:$T$79,Selections!$G$6:$G$79,"72h-ucl-v2"))</f>
        <v>-0.2035752349201706</v>
      </c>
      <c r="P43" s="19">
        <f>SUMIFS(Selections!$T$6:$T$79,Selections!$G$6:$G$79,"72h-ucl-v2")</f>
        <v>1</v>
      </c>
      <c r="Q43" s="18" t="str">
        <f>IF(P43&lt;30,"Collect more scored forecasts (n="&amp;P43&amp;").",IF(O43&gt;0.1,"Review overconfidence on a future holdout.",IF(K43&lt;0,"Review prices and EV on a future holdout.","Continue forward testing. No automatic model change.")))</f>
        <v>Collect more scored forecasts (n=1).</v>
      </c>
      <c r="R43" s="18"/>
    </row>
    <row r="44" ht="36" customHeight="1">
      <c r="A44" s="18" t="inlineStr">
        <is>
          <t>Policy</t>
        </is>
      </c>
      <c r="B44" s="18" t="inlineStr">
        <is>
          <t>72h-ucl-v3</t>
        </is>
      </c>
      <c r="C44" s="19">
        <f>COUNTIFS(Selections!$G$6:$G$79,"72h-ucl-v3")</f>
        <v>7</v>
      </c>
      <c r="D44" s="19">
        <f>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</f>
        <v>6</v>
      </c>
      <c r="E44" s="19">
        <f>(COUNTIFS(Selections!$G$6:$G$79,"72h-ucl-v3",Selections!$K$6:$K$79,"WON")+COUNTIFS(Selections!$G$6:$G$79,"72h-ucl-v3",Selections!$K$6:$K$79,"HALF_WON"))</f>
        <v>3</v>
      </c>
      <c r="F44" s="19">
        <f>(COUNTIFS(Selections!$G$6:$G$79,"72h-ucl-v3",Selections!$K$6:$K$79,"LOST")+COUNTIFS(Selections!$G$6:$G$79,"72h-ucl-v3",Selections!$K$6:$K$79,"HALF_LOST"))</f>
        <v>3</v>
      </c>
      <c r="G44" s="19">
        <f>COUNTIFS(Selections!$G$6:$G$79,"72h-ucl-v3")-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</f>
        <v>1</v>
      </c>
      <c r="H44" s="20">
        <f>IF(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=0,"n.a.",(COUNTIFS(Selections!$G$6:$G$79,"72h-ucl-v3",Selections!$K$6:$K$79,"WON")+COUNTIFS(Selections!$G$6:$G$79,"72h-ucl-v3",Selections!$K$6:$K$79,"HALF_WON"))/((COUNTIFS(Selections!$G$6:$G$79,"72h-ucl-v3",Selections!$K$6:$K$79,"WON")+COUNTIFS(Selections!$G$6:$G$79,"72h-ucl-v3",Selections!$K$6:$K$79,"HALF_WON"))+(COUNTIFS(Selections!$G$6:$G$79,"72h-ucl-v3",Selections!$K$6:$K$79,"LOST")+COUNTIFS(Selections!$G$6:$G$79,"72h-ucl-v3",Selections!$K$6:$K$79,"HALF_LOST"))+COUNTIFS(Selections!$G$6:$G$79,"72h-ucl-v3",Selections!$K$6:$K$79,"REFUNDED")))</f>
        <v>0.5</v>
      </c>
      <c r="I44" s="22">
        <f>SUMIFS(Selections!$M$6:$M$79,Selections!$G$6:$G$79,"72h-ucl-v3")</f>
        <v>6</v>
      </c>
      <c r="J44" s="22">
        <f>SUMIFS(Selections!$N$6:$N$79,Selections!$G$6:$G$79,"72h-ucl-v3")</f>
        <v>-1.7100000000000002</v>
      </c>
      <c r="K44" s="20">
        <f>IF(SUMIFS(Selections!$M$6:$M$79,Selections!$G$6:$G$79,"72h-ucl-v3")=0,"n.a.",SUMIFS(Selections!$N$6:$N$79,Selections!$G$6:$G$79,"72h-ucl-v3")/SUMIFS(Selections!$M$6:$M$79,Selections!$G$6:$G$79,"72h-ucl-v3"))</f>
        <v>-0.28500000000000003</v>
      </c>
      <c r="L44" s="21">
        <f>IF(SUMIFS(Selections!$T$6:$T$79,Selections!$G$6:$G$79,"72h-ucl-v3")=0,"n.a.",SUMIFS(Selections!$O$6:$O$79,Selections!$G$6:$G$79,"72h-ucl-v3")/SUMIFS(Selections!$T$6:$T$79,Selections!$G$6:$G$79,"72h-ucl-v3"))</f>
        <v>0.3538657630451178</v>
      </c>
      <c r="M44" s="20">
        <f>IF(SUMIFS(Selections!$T$6:$T$79,Selections!$G$6:$G$79,"72h-ucl-v3")=0,"n.a.",SUMIFS(Selections!$S$6:$S$79,Selections!$G$6:$G$79,"72h-ucl-v3")/SUMIFS(Selections!$T$6:$T$79,Selections!$G$6:$G$79,"72h-ucl-v3"))</f>
        <v>0.7987491501653422</v>
      </c>
      <c r="N44" s="20">
        <f>IF(SUMIFS(Selections!$T$6:$T$79,Selections!$G$6:$G$79,"72h-ucl-v3")=0,"n.a.",(SUMIFS(Selections!$L$6:$L$79,Selections!$G$6:$G$79,"72h-ucl-v3",Selections!$T$6:$T$79,1))/SUMIFS(Selections!$T$6:$T$79,Selections!$G$6:$G$79,"72h-ucl-v3"))</f>
        <v>0.5</v>
      </c>
      <c r="O44" s="20">
        <f>IF(SUMIFS(Selections!$T$6:$T$79,Selections!$G$6:$G$79,"72h-ucl-v3")=0,"n.a.",(SUMIFS(Selections!$S$6:$S$79,Selections!$G$6:$G$79,"72h-ucl-v3")-(SUMIFS(Selections!$L$6:$L$79,Selections!$G$6:$G$79,"72h-ucl-v3",Selections!$T$6:$T$79,1)))/SUMIFS(Selections!$T$6:$T$79,Selections!$G$6:$G$79,"72h-ucl-v3"))</f>
        <v>0.2987491501653422</v>
      </c>
      <c r="P44" s="19">
        <f>SUMIFS(Selections!$T$6:$T$79,Selections!$G$6:$G$79,"72h-ucl-v3")</f>
        <v>6</v>
      </c>
      <c r="Q44" s="18" t="str">
        <f>IF(P44&lt;30,"Collect more scored forecasts (n="&amp;P44&amp;").",IF(O44&gt;0.1,"Review overconfidence on a future holdout.",IF(K44&lt;0,"Review prices and EV on a future holdout.","Continue forward testing. No automatic model change.")))</f>
        <v>Collect more scored forecasts (n=6).</v>
      </c>
      <c r="R44" s="18"/>
    </row>
    <row r="45" ht="36" customHeight="1">
      <c r="A45" s="18" t="inlineStr">
        <is>
          <t>Policy</t>
        </is>
      </c>
      <c r="B45" s="18" t="inlineStr">
        <is>
          <t>legacy/unspecified</t>
        </is>
      </c>
      <c r="C45" s="19">
        <f>COUNTIFS(Selections!$G$6:$G$79,"legacy/unspecified")</f>
        <v>2</v>
      </c>
      <c r="D45" s="19">
        <f>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</f>
        <v>2</v>
      </c>
      <c r="E45" s="19">
        <f>(COUNTIFS(Selections!$G$6:$G$79,"legacy/unspecified",Selections!$K$6:$K$79,"WON")+COUNTIFS(Selections!$G$6:$G$79,"legacy/unspecified",Selections!$K$6:$K$79,"HALF_WON"))</f>
        <v>2</v>
      </c>
      <c r="F45" s="19">
        <f>(COUNTIFS(Selections!$G$6:$G$79,"legacy/unspecified",Selections!$K$6:$K$79,"LOST")+COUNTIFS(Selections!$G$6:$G$79,"legacy/unspecified",Selections!$K$6:$K$79,"HALF_LOST"))</f>
        <v>0</v>
      </c>
      <c r="G45" s="19">
        <f>COUNTIFS(Selections!$G$6:$G$79,"legacy/unspecified")-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</f>
        <v>0</v>
      </c>
      <c r="H45" s="20">
        <f>IF(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=0,"n.a.",(COUNTIFS(Selections!$G$6:$G$79,"legacy/unspecified",Selections!$K$6:$K$79,"WON")+COUNTIFS(Selections!$G$6:$G$79,"legacy/unspecified",Selections!$K$6:$K$79,"HALF_WON"))/((COUNTIFS(Selections!$G$6:$G$79,"legacy/unspecified",Selections!$K$6:$K$79,"WON")+COUNTIFS(Selections!$G$6:$G$79,"legacy/unspecified",Selections!$K$6:$K$79,"HALF_WON"))+(COUNTIFS(Selections!$G$6:$G$79,"legacy/unspecified",Selections!$K$6:$K$79,"LOST")+COUNTIFS(Selections!$G$6:$G$79,"legacy/unspecified",Selections!$K$6:$K$79,"HALF_LOST"))+COUNTIFS(Selections!$G$6:$G$79,"legacy/unspecified",Selections!$K$6:$K$79,"REFUNDED")))</f>
        <v>1.0</v>
      </c>
      <c r="I45" s="22">
        <f>SUMIFS(Selections!$M$6:$M$79,Selections!$G$6:$G$79,"legacy/unspecified")</f>
        <v>2</v>
      </c>
      <c r="J45" s="22">
        <f>SUMIFS(Selections!$N$6:$N$79,Selections!$G$6:$G$79,"legacy/unspecified")</f>
        <v>0.6399999999999999</v>
      </c>
      <c r="K45" s="20">
        <f>IF(SUMIFS(Selections!$M$6:$M$79,Selections!$G$6:$G$79,"legacy/unspecified")=0,"n.a.",SUMIFS(Selections!$N$6:$N$79,Selections!$G$6:$G$79,"legacy/unspecified")/SUMIFS(Selections!$M$6:$M$79,Selections!$G$6:$G$79,"legacy/unspecified"))</f>
        <v>0.31999999999999995</v>
      </c>
      <c r="L45" s="21">
        <f>IF(SUMIFS(Selections!$T$6:$T$79,Selections!$G$6:$G$79,"legacy/unspecified")=0,"n.a.",SUMIFS(Selections!$O$6:$O$79,Selections!$G$6:$G$79,"legacy/unspecified")/SUMIFS(Selections!$T$6:$T$79,Selections!$G$6:$G$79,"legacy/unspecified"))</f>
        <v>0.022741501209119913</v>
      </c>
      <c r="M45" s="20">
        <f>IF(SUMIFS(Selections!$T$6:$T$79,Selections!$G$6:$G$79,"legacy/unspecified")=0,"n.a.",SUMIFS(Selections!$S$6:$S$79,Selections!$G$6:$G$79,"legacy/unspecified")/SUMIFS(Selections!$T$6:$T$79,Selections!$G$6:$G$79,"legacy/unspecified"))</f>
        <v>0.8612313600870412</v>
      </c>
      <c r="N45" s="20">
        <f>IF(SUMIFS(Selections!$T$6:$T$79,Selections!$G$6:$G$79,"legacy/unspecified")=0,"n.a.",(SUMIFS(Selections!$L$6:$L$79,Selections!$G$6:$G$79,"legacy/unspecified",Selections!$T$6:$T$79,1))/SUMIFS(Selections!$T$6:$T$79,Selections!$G$6:$G$79,"legacy/unspecified"))</f>
        <v>1.0</v>
      </c>
      <c r="O45" s="20">
        <f>IF(SUMIFS(Selections!$T$6:$T$79,Selections!$G$6:$G$79,"legacy/unspecified")=0,"n.a.",(SUMIFS(Selections!$S$6:$S$79,Selections!$G$6:$G$79,"legacy/unspecified")-(SUMIFS(Selections!$L$6:$L$79,Selections!$G$6:$G$79,"legacy/unspecified",Selections!$T$6:$T$79,1)))/SUMIFS(Selections!$T$6:$T$79,Selections!$G$6:$G$79,"legacy/unspecified"))</f>
        <v>-0.13876863991295885</v>
      </c>
      <c r="P45" s="19">
        <f>SUMIFS(Selections!$T$6:$T$79,Selections!$G$6:$G$79,"legacy/unspecified")</f>
        <v>2</v>
      </c>
      <c r="Q45" s="18" t="str">
        <f>IF(P45&lt;30,"Collect more scored forecasts (n="&amp;P45&amp;").",IF(O45&gt;0.1,"Review overconfidence on a future holdout.",IF(K45&lt;0,"Review prices and EV on a future holdout.","Continue forward testing. No automatic model change.")))</f>
        <v>Collect more scored forecasts (n=2).</v>
      </c>
      <c r="R45" s="18"/>
    </row>
    <row r="46" ht="36" customHeight="1">
      <c r="A46" s="18" t="inlineStr">
        <is>
          <t>Week</t>
        </is>
      </c>
      <c r="B46" s="18" t="inlineStr">
        <is>
          <t>2026-W41</t>
        </is>
      </c>
      <c r="C46" s="19">
        <f>COUNTIFS(Selections!$P$6:$P$79,"2026-W41")</f>
        <v>5</v>
      </c>
      <c r="D46" s="19">
        <f>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</f>
        <v>4</v>
      </c>
      <c r="E46" s="19">
        <f>(COUNTIFS(Selections!$P$6:$P$79,"2026-W41",Selections!$K$6:$K$79,"WON")+COUNTIFS(Selections!$P$6:$P$79,"2026-W41",Selections!$K$6:$K$79,"HALF_WON"))</f>
        <v>2</v>
      </c>
      <c r="F46" s="19">
        <f>(COUNTIFS(Selections!$P$6:$P$79,"2026-W41",Selections!$K$6:$K$79,"LOST")+COUNTIFS(Selections!$P$6:$P$79,"2026-W41",Selections!$K$6:$K$79,"HALF_LOST"))</f>
        <v>2</v>
      </c>
      <c r="G46" s="19">
        <f>COUNTIFS(Selections!$P$6:$P$79,"2026-W41")-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</f>
        <v>1</v>
      </c>
      <c r="H46" s="20">
        <f>IF(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=0,"n.a.",(COUNTIFS(Selections!$P$6:$P$79,"2026-W41",Selections!$K$6:$K$79,"WON")+COUNTIFS(Selections!$P$6:$P$79,"2026-W41",Selections!$K$6:$K$79,"HALF_WON"))/((COUNTIFS(Selections!$P$6:$P$79,"2026-W41",Selections!$K$6:$K$79,"WON")+COUNTIFS(Selections!$P$6:$P$79,"2026-W41",Selections!$K$6:$K$79,"HALF_WON"))+(COUNTIFS(Selections!$P$6:$P$79,"2026-W41",Selections!$K$6:$K$79,"LOST")+COUNTIFS(Selections!$P$6:$P$79,"2026-W41",Selections!$K$6:$K$79,"HALF_LOST"))+COUNTIFS(Selections!$P$6:$P$79,"2026-W41",Selections!$K$6:$K$79,"REFUNDED")))</f>
        <v>0.5</v>
      </c>
      <c r="I46" s="22">
        <f>SUMIFS(Selections!$M$6:$M$79,Selections!$P$6:$P$79,"2026-W41")</f>
        <v>4</v>
      </c>
      <c r="J46" s="22">
        <f>SUMIFS(Selections!$N$6:$N$79,Selections!$P$6:$P$79,"2026-W41")</f>
        <v>-1.48</v>
      </c>
      <c r="K46" s="20">
        <f>IF(SUMIFS(Selections!$M$6:$M$79,Selections!$P$6:$P$79,"2026-W41")=0,"n.a.",SUMIFS(Selections!$N$6:$N$79,Selections!$P$6:$P$79,"2026-W41")/SUMIFS(Selections!$M$6:$M$79,Selections!$P$6:$P$79,"2026-W41"))</f>
        <v>-0.37</v>
      </c>
      <c r="L46" s="21">
        <f>IF(SUMIFS(Selections!$T$6:$T$79,Selections!$P$6:$P$79,"2026-W41")=0,"n.a.",SUMIFS(Selections!$O$6:$O$79,Selections!$P$6:$P$79,"2026-W41")/SUMIFS(Selections!$T$6:$T$79,Selections!$P$6:$P$79,"2026-W41"))</f>
        <v>0.32924630276534106</v>
      </c>
      <c r="M46" s="20">
        <f>IF(SUMIFS(Selections!$T$6:$T$79,Selections!$P$6:$P$79,"2026-W41")=0,"n.a.",SUMIFS(Selections!$S$6:$S$79,Selections!$P$6:$P$79,"2026-W41")/SUMIFS(Selections!$T$6:$T$79,Selections!$P$6:$P$79,"2026-W41"))</f>
        <v>0.8212200676021444</v>
      </c>
      <c r="N46" s="20">
        <f>IF(SUMIFS(Selections!$T$6:$T$79,Selections!$P$6:$P$79,"2026-W41")=0,"n.a.",(SUMIFS(Selections!$L$6:$L$79,Selections!$P$6:$P$79,"2026-W41",Selections!$T$6:$T$79,1))/SUMIFS(Selections!$T$6:$T$79,Selections!$P$6:$P$79,"2026-W41"))</f>
        <v>0.5</v>
      </c>
      <c r="O46" s="20">
        <f>IF(SUMIFS(Selections!$T$6:$T$79,Selections!$P$6:$P$79,"2026-W41")=0,"n.a.",(SUMIFS(Selections!$S$6:$S$79,Selections!$P$6:$P$79,"2026-W41")-(SUMIFS(Selections!$L$6:$L$79,Selections!$P$6:$P$79,"2026-W41",Selections!$T$6:$T$79,1)))/SUMIFS(Selections!$T$6:$T$79,Selections!$P$6:$P$79,"2026-W41"))</f>
        <v>0.3212200676021444</v>
      </c>
      <c r="P46" s="19">
        <f>SUMIFS(Selections!$T$6:$T$79,Selections!$P$6:$P$79,"2026-W41")</f>
        <v>4</v>
      </c>
      <c r="Q46" s="18" t="str">
        <f>IF(P46&lt;30,"Collect more scored forecasts (n="&amp;P46&amp;").",IF(O46&gt;0.1,"Review overconfidence on a future holdout.",IF(K46&lt;0,"Review prices and EV on a future holdout.","Continue forward testing. No automatic model change.")))</f>
        <v>Collect more scored forecasts (n=4).</v>
      </c>
      <c r="R46" s="18"/>
    </row>
    <row r="47" ht="36" customHeight="1">
      <c r="A47" s="18" t="inlineStr">
        <is>
          <t>Week</t>
        </is>
      </c>
      <c r="B47" s="18" t="inlineStr">
        <is>
          <t>2026-W42</t>
        </is>
      </c>
      <c r="C47" s="19">
        <f>COUNTIFS(Selections!$P$6:$P$79,"2026-W42")</f>
        <v>24</v>
      </c>
      <c r="D47" s="19">
        <f>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</f>
        <v>22</v>
      </c>
      <c r="E47" s="19">
        <f>(COUNTIFS(Selections!$P$6:$P$79,"2026-W42",Selections!$K$6:$K$79,"WON")+COUNTIFS(Selections!$P$6:$P$79,"2026-W42",Selections!$K$6:$K$79,"HALF_WON"))</f>
        <v>19</v>
      </c>
      <c r="F47" s="19">
        <f>(COUNTIFS(Selections!$P$6:$P$79,"2026-W42",Selections!$K$6:$K$79,"LOST")+COUNTIFS(Selections!$P$6:$P$79,"2026-W42",Selections!$K$6:$K$79,"HALF_LOST"))</f>
        <v>3</v>
      </c>
      <c r="G47" s="19">
        <f>COUNTIFS(Selections!$P$6:$P$79,"2026-W42")-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</f>
        <v>2</v>
      </c>
      <c r="H47" s="20">
        <f>IF(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=0,"n.a.",(COUNTIFS(Selections!$P$6:$P$79,"2026-W42",Selections!$K$6:$K$79,"WON")+COUNTIFS(Selections!$P$6:$P$79,"2026-W42",Selections!$K$6:$K$79,"HALF_WON"))/((COUNTIFS(Selections!$P$6:$P$79,"2026-W42",Selections!$K$6:$K$79,"WON")+COUNTIFS(Selections!$P$6:$P$79,"2026-W42",Selections!$K$6:$K$79,"HALF_WON"))+(COUNTIFS(Selections!$P$6:$P$79,"2026-W42",Selections!$K$6:$K$79,"LOST")+COUNTIFS(Selections!$P$6:$P$79,"2026-W42",Selections!$K$6:$K$79,"HALF_LOST"))+COUNTIFS(Selections!$P$6:$P$79,"2026-W42",Selections!$K$6:$K$79,"REFUNDED")))</f>
        <v>0.8636363636363636</v>
      </c>
      <c r="I47" s="22">
        <f>SUMIFS(Selections!$M$6:$M$79,Selections!$P$6:$P$79,"2026-W42")</f>
        <v>22</v>
      </c>
      <c r="J47" s="22">
        <f>SUMIFS(Selections!$N$6:$N$79,Selections!$P$6:$P$79,"2026-W42")</f>
        <v>4.289999999999999</v>
      </c>
      <c r="K47" s="20">
        <f>IF(SUMIFS(Selections!$M$6:$M$79,Selections!$P$6:$P$79,"2026-W42")=0,"n.a.",SUMIFS(Selections!$N$6:$N$79,Selections!$P$6:$P$79,"2026-W42")/SUMIFS(Selections!$M$6:$M$79,Selections!$P$6:$P$79,"2026-W42"))</f>
        <v>0.19499999999999995</v>
      </c>
      <c r="L47" s="21">
        <f>IF(SUMIFS(Selections!$T$6:$T$79,Selections!$P$6:$P$79,"2026-W42")=0,"n.a.",SUMIFS(Selections!$O$6:$O$79,Selections!$P$6:$P$79,"2026-W42")/SUMIFS(Selections!$T$6:$T$79,Selections!$P$6:$P$79,"2026-W42"))</f>
        <v>0.13041357566209277</v>
      </c>
      <c r="M47" s="20">
        <f>IF(SUMIFS(Selections!$T$6:$T$79,Selections!$P$6:$P$79,"2026-W42")=0,"n.a.",SUMIFS(Selections!$S$6:$S$79,Selections!$P$6:$P$79,"2026-W42")/SUMIFS(Selections!$T$6:$T$79,Selections!$P$6:$P$79,"2026-W42"))</f>
        <v>0.7692010233716516</v>
      </c>
      <c r="N47" s="20">
        <f>IF(SUMIFS(Selections!$T$6:$T$79,Selections!$P$6:$P$79,"2026-W42")=0,"n.a.",(SUMIFS(Selections!$L$6:$L$79,Selections!$P$6:$P$79,"2026-W42",Selections!$T$6:$T$79,1))/SUMIFS(Selections!$T$6:$T$79,Selections!$P$6:$P$79,"2026-W42"))</f>
        <v>0.8636363636363636</v>
      </c>
      <c r="O47" s="20">
        <f>IF(SUMIFS(Selections!$T$6:$T$79,Selections!$P$6:$P$79,"2026-W42")=0,"n.a.",(SUMIFS(Selections!$S$6:$S$79,Selections!$P$6:$P$79,"2026-W42")-(SUMIFS(Selections!$L$6:$L$79,Selections!$P$6:$P$79,"2026-W42",Selections!$T$6:$T$79,1)))/SUMIFS(Selections!$T$6:$T$79,Selections!$P$6:$P$79,"2026-W42"))</f>
        <v>-0.09443534026471201</v>
      </c>
      <c r="P47" s="19">
        <f>SUMIFS(Selections!$T$6:$T$79,Selections!$P$6:$P$79,"2026-W42")</f>
        <v>22</v>
      </c>
      <c r="Q47" s="18" t="str">
        <f>IF(P47&lt;30,"Collect more scored forecasts (n="&amp;P47&amp;").",IF(O47&gt;0.1,"Review overconfidence on a future holdout.",IF(K47&lt;0,"Review prices and EV on a future holdout.","Continue forward testing. No automatic model change.")))</f>
        <v>Collect more scored forecasts (n=22).</v>
      </c>
      <c r="R47" s="18"/>
    </row>
    <row r="48" ht="36" customHeight="1">
      <c r="A48" s="18" t="inlineStr">
        <is>
          <t>Week</t>
        </is>
      </c>
      <c r="B48" s="18" t="inlineStr">
        <is>
          <t>2026-W43</t>
        </is>
      </c>
      <c r="C48" s="19">
        <f>COUNTIFS(Selections!$P$6:$P$79,"2026-W43")</f>
        <v>41</v>
      </c>
      <c r="D48" s="19">
        <f>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</f>
        <v>34</v>
      </c>
      <c r="E48" s="19">
        <f>(COUNTIFS(Selections!$P$6:$P$79,"2026-W43",Selections!$K$6:$K$79,"WON")+COUNTIFS(Selections!$P$6:$P$79,"2026-W43",Selections!$K$6:$K$79,"HALF_WON"))</f>
        <v>25</v>
      </c>
      <c r="F48" s="19">
        <f>(COUNTIFS(Selections!$P$6:$P$79,"2026-W43",Selections!$K$6:$K$79,"LOST")+COUNTIFS(Selections!$P$6:$P$79,"2026-W43",Selections!$K$6:$K$79,"HALF_LOST"))</f>
        <v>9</v>
      </c>
      <c r="G48" s="19">
        <f>COUNTIFS(Selections!$P$6:$P$79,"2026-W43")-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</f>
        <v>7</v>
      </c>
      <c r="H48" s="20">
        <f>IF(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=0,"n.a.",(COUNTIFS(Selections!$P$6:$P$79,"2026-W43",Selections!$K$6:$K$79,"WON")+COUNTIFS(Selections!$P$6:$P$79,"2026-W43",Selections!$K$6:$K$79,"HALF_WON"))/((COUNTIFS(Selections!$P$6:$P$79,"2026-W43",Selections!$K$6:$K$79,"WON")+COUNTIFS(Selections!$P$6:$P$79,"2026-W43",Selections!$K$6:$K$79,"HALF_WON"))+(COUNTIFS(Selections!$P$6:$P$79,"2026-W43",Selections!$K$6:$K$79,"LOST")+COUNTIFS(Selections!$P$6:$P$79,"2026-W43",Selections!$K$6:$K$79,"HALF_LOST"))+COUNTIFS(Selections!$P$6:$P$79,"2026-W43",Selections!$K$6:$K$79,"REFUNDED")))</f>
        <v>0.7352941176470589</v>
      </c>
      <c r="I48" s="22">
        <f>SUMIFS(Selections!$M$6:$M$79,Selections!$P$6:$P$79,"2026-W43")</f>
        <v>34</v>
      </c>
      <c r="J48" s="22">
        <f>SUMIFS(Selections!$N$6:$N$79,Selections!$P$6:$P$79,"2026-W43")</f>
        <v>1.0699999999999994</v>
      </c>
      <c r="K48" s="20">
        <f>IF(SUMIFS(Selections!$M$6:$M$79,Selections!$P$6:$P$79,"2026-W43")=0,"n.a.",SUMIFS(Selections!$N$6:$N$79,Selections!$P$6:$P$79,"2026-W43")/SUMIFS(Selections!$M$6:$M$79,Selections!$P$6:$P$79,"2026-W43"))</f>
        <v>0.0314705882352941</v>
      </c>
      <c r="L48" s="21">
        <f>IF(SUMIFS(Selections!$T$6:$T$79,Selections!$P$6:$P$79,"2026-W43")=0,"n.a.",SUMIFS(Selections!$O$6:$O$79,Selections!$P$6:$P$79,"2026-W43")/SUMIFS(Selections!$T$6:$T$79,Selections!$P$6:$P$79,"2026-W43"))</f>
        <v>0.14715697171487105</v>
      </c>
      <c r="M48" s="20">
        <f>IF(SUMIFS(Selections!$T$6:$T$79,Selections!$P$6:$P$79,"2026-W43")=0,"n.a.",SUMIFS(Selections!$S$6:$S$79,Selections!$P$6:$P$79,"2026-W43")/SUMIFS(Selections!$T$6:$T$79,Selections!$P$6:$P$79,"2026-W43"))</f>
        <v>0.7232981009569568</v>
      </c>
      <c r="N48" s="20">
        <f>IF(SUMIFS(Selections!$T$6:$T$79,Selections!$P$6:$P$79,"2026-W43")=0,"n.a.",(SUMIFS(Selections!$L$6:$L$79,Selections!$P$6:$P$79,"2026-W43",Selections!$T$6:$T$79,1))/SUMIFS(Selections!$T$6:$T$79,Selections!$P$6:$P$79,"2026-W43"))</f>
        <v>0.7352941176470589</v>
      </c>
      <c r="O48" s="20">
        <f>IF(SUMIFS(Selections!$T$6:$T$79,Selections!$P$6:$P$79,"2026-W43")=0,"n.a.",(SUMIFS(Selections!$S$6:$S$79,Selections!$P$6:$P$79,"2026-W43")-(SUMIFS(Selections!$L$6:$L$79,Selections!$P$6:$P$79,"2026-W43",Selections!$T$6:$T$79,1)))/SUMIFS(Selections!$T$6:$T$79,Selections!$P$6:$P$79,"2026-W43"))</f>
        <v>-0.011996016690102085</v>
      </c>
      <c r="P48" s="19">
        <f>SUMIFS(Selections!$T$6:$T$79,Selections!$P$6:$P$79,"2026-W43")</f>
        <v>34</v>
      </c>
      <c r="Q48" s="18" t="str">
        <f>IF(P48&lt;30,"Collect more scored forecasts (n="&amp;P48&amp;").",IF(O48&gt;0.1,"Review overconfidence on a future holdout.",IF(K48&lt;0,"Review prices and EV on a future holdout.","Continue forward testing. No automatic model change.")))</f>
        <v>Continue forward testing. No automatic model change.</v>
      </c>
      <c r="R48" s="18"/>
    </row>
    <row r="49" ht="36" customHeight="1">
      <c r="A49" s="18" t="inlineStr">
        <is>
          <t>Week</t>
        </is>
      </c>
      <c r="B49" s="18" t="inlineStr">
        <is>
          <t>2026-W44</t>
        </is>
      </c>
      <c r="C49" s="19">
        <f>COUNTIFS(Selections!$P$6:$P$79,"2026-W44")</f>
        <v>4</v>
      </c>
      <c r="D49" s="19">
        <f>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</f>
        <v>1</v>
      </c>
      <c r="E49" s="19">
        <f>(COUNTIFS(Selections!$P$6:$P$79,"2026-W44",Selections!$K$6:$K$79,"WON")+COUNTIFS(Selections!$P$6:$P$79,"2026-W44",Selections!$K$6:$K$79,"HALF_WON"))</f>
        <v>0</v>
      </c>
      <c r="F49" s="19">
        <f>(COUNTIFS(Selections!$P$6:$P$79,"2026-W44",Selections!$K$6:$K$79,"LOST")+COUNTIFS(Selections!$P$6:$P$79,"2026-W44",Selections!$K$6:$K$79,"HALF_LOST"))</f>
        <v>0</v>
      </c>
      <c r="G49" s="19">
        <f>COUNTIFS(Selections!$P$6:$P$79,"2026-W44")-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</f>
        <v>3</v>
      </c>
      <c r="H49" s="20">
        <f>IF(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=0,"n.a.",(COUNTIFS(Selections!$P$6:$P$79,"2026-W44",Selections!$K$6:$K$79,"WON")+COUNTIFS(Selections!$P$6:$P$79,"2026-W44",Selections!$K$6:$K$79,"HALF_WON"))/((COUNTIFS(Selections!$P$6:$P$79,"2026-W44",Selections!$K$6:$K$79,"WON")+COUNTIFS(Selections!$P$6:$P$79,"2026-W44",Selections!$K$6:$K$79,"HALF_WON"))+(COUNTIFS(Selections!$P$6:$P$79,"2026-W44",Selections!$K$6:$K$79,"LOST")+COUNTIFS(Selections!$P$6:$P$79,"2026-W44",Selections!$K$6:$K$79,"HALF_LOST"))+COUNTIFS(Selections!$P$6:$P$79,"2026-W44",Selections!$K$6:$K$79,"REFUNDED")))</f>
        <v>0.0</v>
      </c>
      <c r="I49" s="22">
        <f>SUMIFS(Selections!$M$6:$M$79,Selections!$P$6:$P$79,"2026-W44")</f>
        <v>1</v>
      </c>
      <c r="J49" s="22">
        <f>SUMIFS(Selections!$N$6:$N$79,Selections!$P$6:$P$79,"2026-W44")</f>
        <v>0.0</v>
      </c>
      <c r="K49" s="20">
        <f>IF(SUMIFS(Selections!$M$6:$M$79,Selections!$P$6:$P$79,"2026-W44")=0,"n.a.",SUMIFS(Selections!$N$6:$N$79,Selections!$P$6:$P$79,"2026-W44")/SUMIFS(Selections!$M$6:$M$79,Selections!$P$6:$P$79,"2026-W44"))</f>
        <v>0.0</v>
      </c>
      <c r="L49" s="21">
        <f>IF(SUMIFS(Selections!$T$6:$T$79,Selections!$P$6:$P$79,"2026-W44")=0,"n.a.",SUMIFS(Selections!$O$6:$O$79,Selections!$P$6:$P$79,"2026-W44")/SUMIFS(Selections!$T$6:$T$79,Selections!$P$6:$P$79,"2026-W44"))</f>
        <v>0.04930986683311443</v>
      </c>
      <c r="M49" s="20">
        <f>IF(SUMIFS(Selections!$T$6:$T$79,Selections!$P$6:$P$79,"2026-W44")=0,"n.a.",SUMIFS(Selections!$S$6:$S$79,Selections!$P$6:$P$79,"2026-W44")/SUMIFS(Selections!$T$6:$T$79,Selections!$P$6:$P$79,"2026-W44"))</f>
        <v>0.777941749009152</v>
      </c>
      <c r="N49" s="20">
        <f>IF(SUMIFS(Selections!$T$6:$T$79,Selections!$P$6:$P$79,"2026-W44")=0,"n.a.",(SUMIFS(Selections!$L$6:$L$79,Selections!$P$6:$P$79,"2026-W44",Selections!$T$6:$T$79,1))/SUMIFS(Selections!$T$6:$T$79,Selections!$P$6:$P$79,"2026-W44"))</f>
        <v>1.0</v>
      </c>
      <c r="O49" s="20">
        <f>IF(SUMIFS(Selections!$T$6:$T$79,Selections!$P$6:$P$79,"2026-W44")=0,"n.a.",(SUMIFS(Selections!$S$6:$S$79,Selections!$P$6:$P$79,"2026-W44")-(SUMIFS(Selections!$L$6:$L$79,Selections!$P$6:$P$79,"2026-W44",Selections!$T$6:$T$79,1)))/SUMIFS(Selections!$T$6:$T$79,Selections!$P$6:$P$79,"2026-W44"))</f>
        <v>-0.22205825099084797</v>
      </c>
      <c r="P49" s="19">
        <f>SUMIFS(Selections!$T$6:$T$79,Selections!$P$6:$P$79,"2026-W44")</f>
        <v>1</v>
      </c>
      <c r="Q49" s="18" t="str">
        <f>IF(P49&lt;30,"Collect more scored forecasts (n="&amp;P49&amp;").",IF(O49&gt;0.1,"Review overconfidence on a future holdout.",IF(K49&lt;0,"Review prices and EV on a future holdout.","Continue forward testing. No automatic model change.")))</f>
        <v>Collect more scored forecasts (n=1).</v>
      </c>
      <c r="R49" s="18"/>
    </row>
  </sheetData>
  <mergeCells count="2">
    <mergeCell ref="A2:Q2"/>
    <mergeCell ref="A4:Q4"/>
  </mergeCells>
  <conditionalFormatting sqref="K6:K49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COUNTIFS(Selections!$S$6:$S$79,"&gt;="&amp;B6,Selections!$S$6:$S$79,"&lt;"&amp;C6,Selections!$T$6:$T$79,1)</f>
        <v>5</v>
      </c>
      <c r="E6" s="20">
        <f>IF(D6=0,"n.a.",SUMIFS(Selections!$S$6:$S$79,Selections!$S$6:$S$79,"&gt;="&amp;B6,Selections!$S$6:$S$79,"&lt;"&amp;C6,Selections!$T$6:$T$79,1)/D6)</f>
        <v>0.44746011527469004</v>
      </c>
      <c r="F6" s="20">
        <f>IF(D6=0,"n.a.",SUMIFS(Selections!$L$6:$L$79,Selections!$S$6:$S$79,"&gt;="&amp;B6,Selections!$S$6:$S$79,"&lt;"&amp;C6,Selections!$T$6:$T$79,1)/D6)</f>
        <v>0.4</v>
      </c>
      <c r="G6" s="20">
        <f>IF(D6=0,"n.a.",E6-F6)</f>
        <v>0.04746011527469002</v>
      </c>
      <c r="H6" s="21">
        <f>IF(D6=0,"n.a.",SUMIFS(Selections!$O$6:$O$79,Selections!$S$6:$S$79,"&gt;="&amp;B6,Selections!$S$6:$S$79,"&lt;"&amp;C6,Selections!$T$6:$T$79,1)/D6)</f>
        <v>0.2733399479322891</v>
      </c>
      <c r="I6" s="18" t="inlineStr">
        <is>
          <t>Collect more scored forecasts (n=5).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COUNTIFS(Selections!$S$6:$S$79,"&gt;="&amp;B7,Selections!$S$6:$S$79,"&lt;"&amp;C7,Selections!$T$6:$T$79,1)</f>
        <v>2</v>
      </c>
      <c r="E7" s="20">
        <f>IF(D7=0,"n.a.",SUMIFS(Selections!$S$6:$S$79,Selections!$S$6:$S$79,"&gt;="&amp;B7,Selections!$S$6:$S$79,"&lt;"&amp;C7,Selections!$T$6:$T$79,1)/D7)</f>
        <v>0.566643476006385</v>
      </c>
      <c r="F7" s="20">
        <f>IF(D7=0,"n.a.",SUMIFS(Selections!$L$6:$L$79,Selections!$S$6:$S$79,"&gt;="&amp;B7,Selections!$S$6:$S$79,"&lt;"&amp;C7,Selections!$T$6:$T$79,1)/D7)</f>
        <v>0.5</v>
      </c>
      <c r="G7" s="20">
        <f>IF(D7=0,"n.a.",E7-F7)</f>
        <v>0.06664347600638498</v>
      </c>
      <c r="H7" s="21">
        <f>IF(D7=0,"n.a.",SUMIFS(Selections!$O$6:$O$79,Selections!$S$6:$S$79,"&gt;="&amp;B7,Selections!$S$6:$S$79,"&lt;"&amp;C7,Selections!$T$6:$T$79,1)/D7)</f>
        <v>0.2720656092684862</v>
      </c>
      <c r="I7" s="18" t="inlineStr">
        <is>
          <t>Collect more scored forecasts (n=2).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COUNTIFS(Selections!$S$6:$S$79,"&gt;="&amp;B8,Selections!$S$6:$S$79,"&lt;"&amp;C8,Selections!$T$6:$T$79,1)</f>
        <v>9</v>
      </c>
      <c r="E8" s="20">
        <f>IF(D8=0,"n.a.",SUMIFS(Selections!$S$6:$S$79,Selections!$S$6:$S$79,"&gt;="&amp;B8,Selections!$S$6:$S$79,"&lt;"&amp;C8,Selections!$T$6:$T$79,1)/D8)</f>
        <v>0.6435167729572643</v>
      </c>
      <c r="F8" s="20">
        <f>IF(D8=0,"n.a.",SUMIFS(Selections!$L$6:$L$79,Selections!$S$6:$S$79,"&gt;="&amp;B8,Selections!$S$6:$S$79,"&lt;"&amp;C8,Selections!$T$6:$T$79,1)/D8)</f>
        <v>0.5555555555555556</v>
      </c>
      <c r="G8" s="20">
        <f>IF(D8=0,"n.a.",E8-F8)</f>
        <v>0.0879612174017087</v>
      </c>
      <c r="H8" s="21">
        <f>IF(D8=0,"n.a.",SUMIFS(Selections!$O$6:$O$79,Selections!$S$6:$S$79,"&gt;="&amp;B8,Selections!$S$6:$S$79,"&lt;"&amp;C8,Selections!$T$6:$T$79,1)/D8)</f>
        <v>0.23890228305436256</v>
      </c>
      <c r="I8" s="18" t="inlineStr">
        <is>
          <t>Collect more scored forecasts (n=9).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COUNTIFS(Selections!$S$6:$S$79,"&gt;="&amp;B9,Selections!$S$6:$S$79,"&lt;"&amp;C9,Selections!$T$6:$T$79,1)</f>
        <v>22</v>
      </c>
      <c r="E9" s="20">
        <f>IF(D9=0,"n.a.",SUMIFS(Selections!$S$6:$S$79,Selections!$S$6:$S$79,"&gt;="&amp;B9,Selections!$S$6:$S$79,"&lt;"&amp;C9,Selections!$T$6:$T$79,1)/D9)</f>
        <v>0.7615160521306804</v>
      </c>
      <c r="F9" s="20">
        <f>IF(D9=0,"n.a.",SUMIFS(Selections!$L$6:$L$79,Selections!$S$6:$S$79,"&gt;="&amp;B9,Selections!$S$6:$S$79,"&lt;"&amp;C9,Selections!$T$6:$T$79,1)/D9)</f>
        <v>0.8181818181818182</v>
      </c>
      <c r="G9" s="20">
        <f>IF(D9=0,"n.a.",E9-F9)</f>
        <v>-0.05666576605113782</v>
      </c>
      <c r="H9" s="21">
        <f>IF(D9=0,"n.a.",SUMIFS(Selections!$O$6:$O$79,Selections!$S$6:$S$79,"&gt;="&amp;B9,Selections!$S$6:$S$79,"&lt;"&amp;C9,Selections!$T$6:$T$79,1)/D9)</f>
        <v>0.15067055703780896</v>
      </c>
      <c r="I9" s="18" t="inlineStr">
        <is>
          <t>Collect more scored forecasts (n=22).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COUNTIFS(Selections!$S$6:$S$79,"&gt;="&amp;B10,Selections!$S$6:$S$79,"&lt;"&amp;C10,Selections!$T$6:$T$79,1)</f>
        <v>19</v>
      </c>
      <c r="E10" s="20">
        <f>IF(D10=0,"n.a.",SUMIFS(Selections!$S$6:$S$79,Selections!$S$6:$S$79,"&gt;="&amp;B10,Selections!$S$6:$S$79,"&lt;"&amp;C10,Selections!$T$6:$T$79,1)/D10)</f>
        <v>0.8395330613191175</v>
      </c>
      <c r="F10" s="20">
        <f>IF(D10=0,"n.a.",SUMIFS(Selections!$L$6:$L$79,Selections!$S$6:$S$79,"&gt;="&amp;B10,Selections!$S$6:$S$79,"&lt;"&amp;C10,Selections!$T$6:$T$79,1)/D10)</f>
        <v>0.8947368421052632</v>
      </c>
      <c r="G10" s="20">
        <f>IF(D10=0,"n.a.",E10-F10)</f>
        <v>-0.05520378078614563</v>
      </c>
      <c r="H10" s="21">
        <f>IF(D10=0,"n.a.",SUMIFS(Selections!$O$6:$O$79,Selections!$S$6:$S$79,"&gt;="&amp;B10,Selections!$S$6:$S$79,"&lt;"&amp;C10,Selections!$T$6:$T$79,1)/D10)</f>
        <v>0.09693006371639706</v>
      </c>
      <c r="I10" s="18" t="inlineStr">
        <is>
          <t>Collect more scored forecasts (n=19).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COUNTIFS(Selections!$S$6:$S$79,"&gt;="&amp;B11,Selections!$S$6:$S$79,"&lt;"&amp;C11,Selections!$T$6:$T$79,1)</f>
        <v>4</v>
      </c>
      <c r="E11" s="20">
        <f>IF(D11=0,"n.a.",SUMIFS(Selections!$S$6:$S$79,Selections!$S$6:$S$79,"&gt;="&amp;B11,Selections!$S$6:$S$79,"&lt;"&amp;C11,Selections!$T$6:$T$79,1)/D11)</f>
        <v>0.9276650422976989</v>
      </c>
      <c r="F11" s="20">
        <f>IF(D11=0,"n.a.",SUMIFS(Selections!$L$6:$L$79,Selections!$S$6:$S$79,"&gt;="&amp;B11,Selections!$S$6:$S$79,"&lt;"&amp;C11,Selections!$T$6:$T$79,1)/D11)</f>
        <v>1.0</v>
      </c>
      <c r="G11" s="20">
        <f>IF(D11=0,"n.a.",E11-F11)</f>
        <v>-0.07233495770230114</v>
      </c>
      <c r="H11" s="21">
        <f>IF(D11=0,"n.a.",SUMIFS(Selections!$O$6:$O$79,Selections!$S$6:$S$79,"&gt;="&amp;B11,Selections!$S$6:$S$79,"&lt;"&amp;C11,Selections!$T$6:$T$79,1)/D11)</f>
        <v>0.00533895240877825</v>
      </c>
      <c r="I11" s="18" t="inlineStr">
        <is>
          <t>Collect more scored forecasts (n=4).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B4" s="27" t="inlineStr">
        <is>
          <t>Latest eligible selection per fixture. v23/v24 probabilities/Brier measure profitable outcomes; legacy Asian forecasts measure no net loss. Refunds are not wins. Half settlements affect ROI.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IF(ISNUMBER(M6),M6*IF(K6="HALF_WON",(I6-1)/2-U6,IF(K6="HALF_LOST",-0.5-U6,IF(K6="REFUNDED",-U6,I6*L6-1-U6))),"")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IF(ISNUMBER(M7),M7*IF(K7="HALF_WON",(I7-1)/2-U7,IF(K7="HALF_LOST",-0.5-U7,IF(K7="REFUNDED",-U7,I7*L7-1-U7))),"")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IF(ISNUMBER(M8),M8*IF(K8="HALF_WON",(I8-1)/2-U8,IF(K8="HALF_LOST",-0.5-U8,IF(K8="REFUNDED",-U8,I8*L8-1-U8))),"")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IF(ISNUMBER(M9),M9*IF(K9="HALF_WON",(I9-1)/2-U9,IF(K9="HALF_LOST",-0.5-U9,IF(K9="REFUNDED",-U9,I9*L9-1-U9))),"")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IF(ISNUMBER(M10),M10*IF(K10="HALF_WON",(I10-1)/2-U10,IF(K10="HALF_LOST",-0.5-U10,IF(K10="REFUNDED",-U10,I10*L10-1-U10))),"")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IF(ISNUMBER(M11),M11*IF(K11="HALF_WON",(I11-1)/2-U11,IF(K11="HALF_LOST",-0.5-U11,IF(K11="REFUNDED",-U11,I11*L11-1-U11))),"")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IF(ISNUMBER(M12),M12*IF(K12="HALF_WON",(I12-1)/2-U12,IF(K12="HALF_LOST",-0.5-U12,IF(K12="REFUNDED",-U12,I12*L12-1-U12))),"")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IF(ISNUMBER(M13),M13*IF(K13="HALF_WON",(I13-1)/2-U13,IF(K13="HALF_LOST",-0.5-U13,IF(K13="REFUNDED",-U13,I13*L13-1-U13))),"")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IF(ISNUMBER(M14),M14*IF(K14="HALF_WON",(I14-1)/2-U14,IF(K14="HALF_LOST",-0.5-U14,IF(K14="REFUNDED",-U14,I14*L14-1-U14))),"")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IF(ISNUMBER(M15),M15*IF(K15="HALF_WON",(I15-1)/2-U15,IF(K15="HALF_LOST",-0.5-U15,IF(K15="REFUNDED",-U15,I15*L15-1-U15))),"")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IF(ISNUMBER(M16),M16*IF(K16="HALF_WON",(I16-1)/2-U16,IF(K16="HALF_LOST",-0.5-U16,IF(K16="REFUNDED",-U16,I16*L16-1-U16))),"")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IF(ISNUMBER(M17),M17*IF(K17="HALF_WON",(I17-1)/2-U17,IF(K17="HALF_LOST",-0.5-U17,IF(K17="REFUNDED",-U17,I17*L17-1-U17))),"")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IF(ISNUMBER(M18),M18*IF(K18="HALF_WON",(I18-1)/2-U18,IF(K18="HALF_LOST",-0.5-U18,IF(K18="REFUNDED",-U18,I18*L18-1-U18))),"")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IF(ISNUMBER(M19),M19*IF(K19="HALF_WON",(I19-1)/2-U19,IF(K19="HALF_LOST",-0.5-U19,IF(K19="REFUNDED",-U19,I19*L19-1-U19))),"")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IF(ISNUMBER(M20),M20*IF(K20="HALF_WON",(I20-1)/2-U20,IF(K20="HALF_LOST",-0.5-U20,IF(K20="REFUNDED",-U20,I20*L20-1-U20))),"")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IF(ISNUMBER(M21),M21*IF(K21="HALF_WON",(I21-1)/2-U21,IF(K21="HALF_LOST",-0.5-U21,IF(K21="REFUNDED",-U21,I21*L21-1-U21))),"")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IF(ISNUMBER(M22),M22*IF(K22="HALF_WON",(I22-1)/2-U22,IF(K22="HALF_LOST",-0.5-U22,IF(K22="REFUNDED",-U22,I22*L22-1-U22))),"")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IF(ISNUMBER(M23),M23*IF(K23="HALF_WON",(I23-1)/2-U23,IF(K23="HALF_LOST",-0.5-U23,IF(K23="REFUNDED",-U23,I23*L23-1-U23))),"")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IF(ISNUMBER(M24),M24*IF(K24="HALF_WON",(I24-1)/2-U24,IF(K24="HALF_LOST",-0.5-U24,IF(K24="REFUNDED",-U24,I24*L24-1-U24))),"")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IF(ISNUMBER(M25),M25*IF(K25="HALF_WON",(I25-1)/2-U25,IF(K25="HALF_LOST",-0.5-U25,IF(K25="REFUNDED",-U25,I25*L25-1-U25))),"")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IF(ISNUMBER(M26),M26*IF(K26="HALF_WON",(I26-1)/2-U26,IF(K26="HALF_LOST",-0.5-U26,IF(K26="REFUNDED",-U26,I26*L26-1-U26))),"")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 t="inlineStr">
        <is>
          <t>1-3</t>
        </is>
      </c>
      <c r="K27" s="18" t="inlineStr">
        <is>
          <t>WON</t>
        </is>
      </c>
      <c r="L27" s="19">
        <v>1</v>
      </c>
      <c r="M27" s="22">
        <f>IF(AND(ISNUMBER(L27),ISNUMBER(I27),I27&gt;1),'ROI Plan'!$B$5,"")</f>
        <v>1</v>
      </c>
      <c r="N27" s="22">
        <f>IF(ISNUMBER(M27),M27*IF(K27="HALF_WON",(I27-1)/2-U27,IF(K27="HALF_LOST",-0.5-U27,IF(K27="REFUNDED",-U27,I27*L27-1-U27))),"")</f>
        <v>0.6699999999999999</v>
      </c>
      <c r="O27" s="21">
        <f>IF(AND(ISNUMBER(L27),ISNUMBER(H27)),(H27-L27)^2,"")</f>
        <v>0.15029789609992167</v>
      </c>
      <c r="P27" s="18" t="inlineStr">
        <is>
          <t>2026-W42</t>
        </is>
      </c>
      <c r="Q27" s="18" t="inlineStr">
        <is>
          <t>4827bd2b80141dd5a2ca775319253a1753eca90c</t>
        </is>
      </c>
      <c r="R27" s="18" t="inlineStr">
        <is>
          <t>football-data.org/v4</t>
        </is>
      </c>
      <c r="S27" s="20">
        <f>IF(AND(ISNUMBER(L27),ISNUMBER(H27)),H27,"")</f>
        <v>0.612317273921159</v>
      </c>
      <c r="T27" s="19">
        <f>IF(AND(ISNUMBER(L27),ISNUMBER(H27)),1,0)</f>
        <v>1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 t="inlineStr">
        <is>
          <t>1-0</t>
        </is>
      </c>
      <c r="K28" s="18" t="inlineStr">
        <is>
          <t>LOST</t>
        </is>
      </c>
      <c r="L28" s="19">
        <v>0</v>
      </c>
      <c r="M28" s="22">
        <f>IF(AND(ISNUMBER(L28),ISNUMBER(I28),I28&gt;1),'ROI Plan'!$B$5,"")</f>
        <v>1</v>
      </c>
      <c r="N28" s="22">
        <f>IF(ISNUMBER(M28),M28*IF(K28="HALF_WON",(I28-1)/2-U28,IF(K28="HALF_LOST",-0.5-U28,IF(K28="REFUNDED",-U28,I28*L28-1-U28))),"")</f>
        <v>-1.0</v>
      </c>
      <c r="O28" s="21">
        <f>IF(AND(ISNUMBER(L28),ISNUMBER(H28)),(H28-L28)^2,"")</f>
        <v>0.6082024807433041</v>
      </c>
      <c r="P28" s="18" t="inlineStr">
        <is>
          <t>2026-W42</t>
        </is>
      </c>
      <c r="Q28" s="18" t="inlineStr">
        <is>
          <t>4827bd2b80141dd5a2ca775319253a1753eca90c</t>
        </is>
      </c>
      <c r="R28" s="18" t="inlineStr">
        <is>
          <t>football-data.org/v4</t>
        </is>
      </c>
      <c r="S28" s="20">
        <f>IF(AND(ISNUMBER(L28),ISNUMBER(H28)),H28,"")</f>
        <v>0.7798733748136963</v>
      </c>
      <c r="T28" s="19">
        <f>IF(AND(ISNUMBER(L28),ISNUMBER(H28)),1,0)</f>
        <v>1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 t="inlineStr">
        <is>
          <t>1-2</t>
        </is>
      </c>
      <c r="K29" s="18" t="inlineStr">
        <is>
          <t>WON</t>
        </is>
      </c>
      <c r="L29" s="19">
        <v>1</v>
      </c>
      <c r="M29" s="22">
        <f>IF(AND(ISNUMBER(L29),ISNUMBER(I29),I29&gt;1),'ROI Plan'!$B$5,"")</f>
        <v>1</v>
      </c>
      <c r="N29" s="22">
        <f>IF(ISNUMBER(M29),M29*IF(K29="HALF_WON",(I29-1)/2-U29,IF(K29="HALF_LOST",-0.5-U29,IF(K29="REFUNDED",-U29,I29*L29-1-U29))),"")</f>
        <v>0.27</v>
      </c>
      <c r="O29" s="21">
        <f>IF(AND(ISNUMBER(L29),ISNUMBER(H29)),(H29-L29)^2,"")</f>
        <v>0.05667407816908251</v>
      </c>
      <c r="P29" s="18" t="inlineStr">
        <is>
          <t>2026-W42</t>
        </is>
      </c>
      <c r="Q29" s="18" t="inlineStr">
        <is>
          <t>4827bd2b80141dd5a2ca775319253a1753eca90c</t>
        </is>
      </c>
      <c r="R29" s="18" t="inlineStr">
        <is>
          <t>football-data.org/v4</t>
        </is>
      </c>
      <c r="S29" s="20">
        <f>IF(AND(ISNUMBER(L29),ISNUMBER(H29)),H29,"")</f>
        <v>0.7619368189553821</v>
      </c>
      <c r="T29" s="19">
        <f>IF(AND(ISNUMBER(L29),ISNUMBER(H29)),1,0)</f>
        <v>1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 t="inlineStr">
        <is>
          <t>0-1</t>
        </is>
      </c>
      <c r="K30" s="18" t="inlineStr">
        <is>
          <t>WON</t>
        </is>
      </c>
      <c r="L30" s="19">
        <v>1</v>
      </c>
      <c r="M30" s="22">
        <f>IF(AND(ISNUMBER(L30),ISNUMBER(I30),I30&gt;1),'ROI Plan'!$B$5,"")</f>
        <v>1</v>
      </c>
      <c r="N30" s="22">
        <f>IF(ISNUMBER(M30),M30*IF(K30="HALF_WON",(I30-1)/2-U30,IF(K30="HALF_LOST",-0.5-U30,IF(K30="REFUNDED",-U30,I30*L30-1-U30))),"")</f>
        <v>0.15999999999999992</v>
      </c>
      <c r="O30" s="21">
        <f>IF(AND(ISNUMBER(L30),ISNUMBER(H30)),(H30-L30)^2,"")</f>
        <v>0.02583005299739642</v>
      </c>
      <c r="P30" s="18" t="inlineStr">
        <is>
          <t>2026-W42</t>
        </is>
      </c>
      <c r="Q30" s="18" t="inlineStr">
        <is>
          <t>4827bd2b80141dd5a2ca775319253a1753eca90c</t>
        </is>
      </c>
      <c r="R30" s="18" t="inlineStr">
        <is>
          <t>football-data.org/v4</t>
        </is>
      </c>
      <c r="S30" s="20">
        <f>IF(AND(ISNUMBER(L30),ISNUMBER(H30)),H30,"")</f>
        <v>0.8392826922904804</v>
      </c>
      <c r="T30" s="19">
        <f>IF(AND(ISNUMBER(L30),ISNUMBER(H30)),1,0)</f>
        <v>1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 t="inlineStr">
        <is>
          <t>3-2</t>
        </is>
      </c>
      <c r="K31" s="18" t="inlineStr">
        <is>
          <t>WON</t>
        </is>
      </c>
      <c r="L31" s="19">
        <v>1</v>
      </c>
      <c r="M31" s="22">
        <f>IF(AND(ISNUMBER(L31),ISNUMBER(I31),I31&gt;1),'ROI Plan'!$B$5,"")</f>
        <v>1</v>
      </c>
      <c r="N31" s="22">
        <f>IF(ISNUMBER(M31),M31*IF(K31="HALF_WON",(I31-1)/2-U31,IF(K31="HALF_LOST",-0.5-U31,IF(K31="REFUNDED",-U31,I31*L31-1-U31))),"")</f>
        <v>0.28</v>
      </c>
      <c r="O31" s="21">
        <f>IF(AND(ISNUMBER(L31),ISNUMBER(H31)),(H31-L31)^2,"")</f>
        <v>0.06411563489004332</v>
      </c>
      <c r="P31" s="18" t="inlineStr">
        <is>
          <t>2026-W42</t>
        </is>
      </c>
      <c r="Q31" s="18" t="inlineStr">
        <is>
          <t>4827bd2b80141dd5a2ca775319253a1753eca90c</t>
        </is>
      </c>
      <c r="R31" s="18" t="inlineStr">
        <is>
          <t>football-data.org/v4</t>
        </is>
      </c>
      <c r="S31" s="20">
        <f>IF(AND(ISNUMBER(L31),ISNUMBER(H31)),H31,"")</f>
        <v>0.7467893468077551</v>
      </c>
      <c r="T31" s="19">
        <f>IF(AND(ISNUMBER(L31),ISNUMBER(H31)),1,0)</f>
        <v>1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 t="inlineStr">
        <is>
          <t>2-5</t>
        </is>
      </c>
      <c r="K32" s="18" t="inlineStr">
        <is>
          <t>WON</t>
        </is>
      </c>
      <c r="L32" s="19">
        <v>1</v>
      </c>
      <c r="M32" s="22">
        <f>IF(AND(ISNUMBER(L32),ISNUMBER(I32),I32&gt;1),'ROI Plan'!$B$5,"")</f>
        <v>1</v>
      </c>
      <c r="N32" s="22">
        <f>IF(ISNUMBER(M32),M32*IF(K32="HALF_WON",(I32-1)/2-U32,IF(K32="HALF_LOST",-0.5-U32,IF(K32="REFUNDED",-U32,I32*L32-1-U32))),"")</f>
        <v>0.3799999999999999</v>
      </c>
      <c r="O32" s="21">
        <f>IF(AND(ISNUMBER(L32),ISNUMBER(H32)),(H32-L32)^2,"")</f>
        <v>0.07339469599109096</v>
      </c>
      <c r="P32" s="18" t="inlineStr">
        <is>
          <t>2026-W42</t>
        </is>
      </c>
      <c r="Q32" s="18" t="inlineStr">
        <is>
          <t>4827bd2b80141dd5a2ca775319253a1753eca90c</t>
        </is>
      </c>
      <c r="R32" s="18" t="inlineStr">
        <is>
          <t>football-data.org/v4</t>
        </is>
      </c>
      <c r="S32" s="20">
        <f>IF(AND(ISNUMBER(L32),ISNUMBER(H32)),H32,"")</f>
        <v>0.7290854452210237</v>
      </c>
      <c r="T32" s="19">
        <f>IF(AND(ISNUMBER(L32),ISNUMBER(H32)),1,0)</f>
        <v>1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UNVERIFIED_FIXTURE_OR_RESULT</t>
        </is>
      </c>
      <c r="L33" s="18"/>
      <c r="M33" s="22" t="str">
        <f>IF(AND(ISNUMBER(L33),ISNUMBER(I33),I33&gt;1),'ROI Plan'!$B$5,"")</f>
        <v/>
      </c>
      <c r="N33" s="22" t="str">
        <f>IF(ISNUMBER(M33),M33*IF(K33="HALF_WON",(I33-1)/2-U33,IF(K33="HALF_LOST",-0.5-U33,IF(K33="REFUNDED",-U33,I33*L33-1-U33))),"")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 t="inlineStr">
        <is>
          <t>4-1</t>
        </is>
      </c>
      <c r="K34" s="18" t="inlineStr">
        <is>
          <t>WON</t>
        </is>
      </c>
      <c r="L34" s="19">
        <v>1</v>
      </c>
      <c r="M34" s="22">
        <f>IF(AND(ISNUMBER(L34),ISNUMBER(I34),I34&gt;1),'ROI Plan'!$B$5,"")</f>
        <v>1</v>
      </c>
      <c r="N34" s="22">
        <f>IF(ISNUMBER(M34),M34*IF(K34="HALF_WON",(I34-1)/2-U34,IF(K34="HALF_LOST",-0.5-U34,IF(K34="REFUNDED",-U34,I34*L34-1-U34))),"")</f>
        <v>0.29000000000000004</v>
      </c>
      <c r="O34" s="21">
        <f>IF(AND(ISNUMBER(L34),ISNUMBER(H34)),(H34-L34)^2,"")</f>
        <v>0.050177918270479</v>
      </c>
      <c r="P34" s="18" t="inlineStr">
        <is>
          <t>2026-W42</t>
        </is>
      </c>
      <c r="Q34" s="18" t="inlineStr">
        <is>
          <t>4827bd2b80141dd5a2ca775319253a1753eca90c</t>
        </is>
      </c>
      <c r="R34" s="18" t="inlineStr">
        <is>
          <t>football-data.org/v4</t>
        </is>
      </c>
      <c r="S34" s="20">
        <f>IF(AND(ISNUMBER(L34),ISNUMBER(H34)),H34,"")</f>
        <v>0.7759957181871762</v>
      </c>
      <c r="T34" s="19">
        <f>IF(AND(ISNUMBER(L34),ISNUMBER(H34)),1,0)</f>
        <v>1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X2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0.6330051711930904</v>
      </c>
      <c r="I35" s="22">
        <v>1.6</v>
      </c>
      <c r="J35" s="18" t="inlineStr">
        <is>
          <t>4-0</t>
        </is>
      </c>
      <c r="K35" s="18" t="inlineStr">
        <is>
          <t>LOST</t>
        </is>
      </c>
      <c r="L35" s="19">
        <v>0</v>
      </c>
      <c r="M35" s="22">
        <f>IF(AND(ISNUMBER(L35),ISNUMBER(I35),I35&gt;1),'ROI Plan'!$B$5,"")</f>
        <v>1</v>
      </c>
      <c r="N35" s="22">
        <f>IF(ISNUMBER(M35),M35*IF(K35="HALF_WON",(I35-1)/2-U35,IF(K35="HALF_LOST",-0.5-U35,IF(K35="REFUNDED",-U35,I35*L35-1-U35))),"")</f>
        <v>-1.0</v>
      </c>
      <c r="O35" s="21">
        <f>IF(AND(ISNUMBER(L35),ISNUMBER(H35)),(H35-L35)^2,"")</f>
        <v>0.4006955467571937</v>
      </c>
      <c r="P35" s="18" t="inlineStr">
        <is>
          <t>2026-W43</t>
        </is>
      </c>
      <c r="Q35" s="18" t="inlineStr">
        <is>
          <t>f7295b8c0c24a17c573629dd27429b0b04eadbc1</t>
        </is>
      </c>
      <c r="R35" s="18" t="inlineStr">
        <is>
          <t>football-data.org/v4</t>
        </is>
      </c>
      <c r="S35" s="20">
        <f>IF(AND(ISNUMBER(L35),ISNUMBER(H35)),H35,"")</f>
        <v>0.6330051711930904</v>
      </c>
      <c r="T35" s="19">
        <f>IF(AND(ISNUMBER(L35),ISNUMBER(H35)),1,0)</f>
        <v>1</v>
      </c>
      <c r="U35" s="22">
        <v>0.0</v>
      </c>
      <c r="V35" t="inlineStr" s="18">
        <is>
          <t>2026-10-19T11:20:16.296665+00:00</t>
        </is>
      </c>
      <c r="W35" t="inlineStr" s="18">
        <is>
          <t>2026-10-19T11:20:39Z</t>
        </is>
      </c>
    </row>
    <row r="36" ht="36" customHeight="1">
      <c r="A36" s="18" t="inlineStr">
        <is>
          <t>Serie A|parma|torino|2026-10-19</t>
        </is>
      </c>
      <c r="B36" s="23">
        <v>46314.78125</v>
      </c>
      <c r="C36" s="18" t="inlineStr">
        <is>
          <t>Serie A</t>
        </is>
      </c>
      <c r="D36" s="18" t="inlineStr">
        <is>
          <t>Parma vs Torino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48h-top-twelve-probability-ev-no-under35-v15</t>
        </is>
      </c>
      <c r="H36" s="20">
        <v>0.612764328358384</v>
      </c>
      <c r="I36" s="22">
        <v>1.62</v>
      </c>
      <c r="J36" s="18" t="inlineStr">
        <is>
          <t>0-3</t>
        </is>
      </c>
      <c r="K36" s="18" t="inlineStr">
        <is>
          <t>LOST</t>
        </is>
      </c>
      <c r="L36" s="19">
        <v>0</v>
      </c>
      <c r="M36" s="22">
        <f>IF(AND(ISNUMBER(L36),ISNUMBER(I36),I36&gt;1),'ROI Plan'!$B$5,"")</f>
        <v>1</v>
      </c>
      <c r="N36" s="22">
        <f>IF(ISNUMBER(M36),M36*IF(K36="HALF_WON",(I36-1)/2-U36,IF(K36="HALF_LOST",-0.5-U36,IF(K36="REFUNDED",-U36,I36*L36-1-U36))),"")</f>
        <v>-1.0</v>
      </c>
      <c r="O36" s="21">
        <f>IF(AND(ISNUMBER(L36),ISNUMBER(H36)),(H36-L36)^2,"")</f>
        <v>0.37548012210850146</v>
      </c>
      <c r="P36" s="18" t="inlineStr">
        <is>
          <t>2026-W43</t>
        </is>
      </c>
      <c r="Q36" s="18" t="inlineStr">
        <is>
          <t>a18515a42a8daaed253da4026cd3842636af06e7</t>
        </is>
      </c>
      <c r="R36" s="18" t="inlineStr">
        <is>
          <t>football-data.org/v4</t>
        </is>
      </c>
      <c r="S36" s="20">
        <f>IF(AND(ISNUMBER(L36),ISNUMBER(H36)),H36,"")</f>
        <v>0.612764328358384</v>
      </c>
      <c r="T36" s="19">
        <f>IF(AND(ISNUMBER(L36),ISNUMBER(H36)),1,0)</f>
        <v>1</v>
      </c>
      <c r="U36" s="22">
        <v>0.0</v>
      </c>
      <c r="V36" t="inlineStr" s="18">
        <is>
          <t>2026-10-19T16:28:42.464993+00:00</t>
        </is>
      </c>
      <c r="W36" t="inlineStr" s="18">
        <is>
          <t>2026-10-19T16:41:24Z</t>
        </is>
      </c>
    </row>
    <row r="37" ht="36" customHeight="1">
      <c r="A37" s="18" t="inlineStr">
        <is>
          <t>La Liga|getafe|rayo vallecano|2026-10-19</t>
        </is>
      </c>
      <c r="B37" s="23">
        <v>46314.791666666664</v>
      </c>
      <c r="C37" s="18" t="inlineStr">
        <is>
          <t>La Liga</t>
        </is>
      </c>
      <c r="D37" s="18" t="inlineStr">
        <is>
          <t>Getafe vs Rayo Vallecano</t>
        </is>
      </c>
      <c r="E37" s="18" t="inlineStr">
        <is>
          <t>Double Chance 1X</t>
        </is>
      </c>
      <c r="F37" s="18" t="inlineStr">
        <is>
          <t>PROVISIONAL</t>
        </is>
      </c>
      <c r="G37" s="18" t="inlineStr">
        <is>
          <t>48h-top-twelve-probability-ev-no-under35-v15</t>
        </is>
      </c>
      <c r="H37" s="20">
        <v>0.6795164466585362</v>
      </c>
      <c r="I37" s="22">
        <v>1.53</v>
      </c>
      <c r="J37" s="18" t="inlineStr">
        <is>
          <t>1-1</t>
        </is>
      </c>
      <c r="K37" s="18" t="inlineStr">
        <is>
          <t>WON</t>
        </is>
      </c>
      <c r="L37" s="19">
        <v>1</v>
      </c>
      <c r="M37" s="22">
        <f>IF(AND(ISNUMBER(L37),ISNUMBER(I37),I37&gt;1),'ROI Plan'!$B$5,"")</f>
        <v>1</v>
      </c>
      <c r="N37" s="22">
        <f>IF(ISNUMBER(M37),M37*IF(K37="HALF_WON",(I37-1)/2-U37,IF(K37="HALF_LOST",-0.5-U37,IF(K37="REFUNDED",-U37,I37*L37-1-U37))),"")</f>
        <v>0.53</v>
      </c>
      <c r="O37" s="21">
        <f>IF(AND(ISNUMBER(L37),ISNUMBER(H37)),(H37-L37)^2,"")</f>
        <v>0.10270970796237089</v>
      </c>
      <c r="P37" s="18" t="inlineStr">
        <is>
          <t>2026-W43</t>
        </is>
      </c>
      <c r="Q37" s="18" t="inlineStr">
        <is>
          <t>a18515a42a8daaed253da4026cd3842636af06e7</t>
        </is>
      </c>
      <c r="R37" s="18" t="inlineStr">
        <is>
          <t>football-data.org/v4</t>
        </is>
      </c>
      <c r="S37" s="20">
        <f>IF(AND(ISNUMBER(L37),ISNUMBER(H37)),H37,"")</f>
        <v>0.6795164466585362</v>
      </c>
      <c r="T37" s="19">
        <f>IF(AND(ISNUMBER(L37),ISNUMBER(H37)),1,0)</f>
        <v>1</v>
      </c>
      <c r="U37" s="22">
        <v>0.0</v>
      </c>
      <c r="V37" t="inlineStr" s="18">
        <is>
          <t>2026-10-19T16:28:42.464993+00:00</t>
        </is>
      </c>
      <c r="W37" t="inlineStr" s="18">
        <is>
          <t>2026-10-19T16:41:24Z</t>
        </is>
      </c>
    </row>
    <row r="38" ht="36" customHeight="1">
      <c r="A38" s="18" t="inlineStr">
        <is>
          <t>Premier League|tottenham|coventry city|2026-10-19</t>
        </is>
      </c>
      <c r="B38" s="23">
        <v>46314.791666666664</v>
      </c>
      <c r="C38" s="18" t="inlineStr">
        <is>
          <t>Premier League</t>
        </is>
      </c>
      <c r="D38" s="18" t="inlineStr">
        <is>
          <t>Tottenham Hotspur vs Coventry City</t>
        </is>
      </c>
      <c r="E38" s="18" t="inlineStr">
        <is>
          <t>Double Chance X2</t>
        </is>
      </c>
      <c r="F38" s="18" t="inlineStr">
        <is>
          <t>PROVISIONAL</t>
        </is>
      </c>
      <c r="G38" s="18" t="inlineStr">
        <is>
          <t>48h-top-twelve-probability-ev-no-under35-v15</t>
        </is>
      </c>
      <c r="H38" s="20">
        <v>0.45373358817867715</v>
      </c>
      <c r="I38" s="22">
        <v>2.56</v>
      </c>
      <c r="J38" s="18" t="inlineStr">
        <is>
          <t>3-1</t>
        </is>
      </c>
      <c r="K38" s="18" t="inlineStr">
        <is>
          <t>LOST</t>
        </is>
      </c>
      <c r="L38" s="19">
        <v>0</v>
      </c>
      <c r="M38" s="22">
        <f>IF(AND(ISNUMBER(L38),ISNUMBER(I38),I38&gt;1),'ROI Plan'!$B$5,"")</f>
        <v>1</v>
      </c>
      <c r="N38" s="22">
        <f>IF(ISNUMBER(M38),M38*IF(K38="HALF_WON",(I38-1)/2-U38,IF(K38="HALF_LOST",-0.5-U38,IF(K38="REFUNDED",-U38,I38*L38-1-U38))),"")</f>
        <v>-1.0</v>
      </c>
      <c r="O38" s="21">
        <f>IF(AND(ISNUMBER(L38),ISNUMBER(H38)),(H38-L38)^2,"")</f>
        <v>0.20587416904149738</v>
      </c>
      <c r="P38" s="18" t="inlineStr">
        <is>
          <t>2026-W43</t>
        </is>
      </c>
      <c r="Q38" s="18" t="inlineStr">
        <is>
          <t>a18515a42a8daaed253da4026cd3842636af06e7</t>
        </is>
      </c>
      <c r="R38" s="18" t="inlineStr">
        <is>
          <t>football-data.org/v4</t>
        </is>
      </c>
      <c r="S38" s="20">
        <f>IF(AND(ISNUMBER(L38),ISNUMBER(H38)),H38,"")</f>
        <v>0.45373358817867715</v>
      </c>
      <c r="T38" s="19">
        <f>IF(AND(ISNUMBER(L38),ISNUMBER(H38)),1,0)</f>
        <v>1</v>
      </c>
      <c r="U38" s="22">
        <v>0.0</v>
      </c>
      <c r="V38" t="inlineStr" s="18">
        <is>
          <t>2026-10-19T16:28:42.464993+00:00</t>
        </is>
      </c>
      <c r="W38" t="inlineStr" s="18">
        <is>
          <t>2026-10-19T16:41:24Z</t>
        </is>
      </c>
    </row>
    <row r="39" ht="36" customHeight="1">
      <c r="A39" s="18" t="inlineStr">
        <is>
          <t>UEFA Champions League|fenerbahce|slavia prague|2026-10-20</t>
        </is>
      </c>
      <c r="B39" s="23">
        <v>46315.697916666664</v>
      </c>
      <c r="C39" s="18" t="inlineStr">
        <is>
          <t>UEFA Champions League</t>
        </is>
      </c>
      <c r="D39" s="18" t="inlineStr">
        <is>
          <t>Fenerbahce vs Slavia Praha</t>
        </is>
      </c>
      <c r="E39" s="18" t="inlineStr">
        <is>
          <t>Double Chance X2</t>
        </is>
      </c>
      <c r="F39" s="18" t="inlineStr">
        <is>
          <t>PROVISIONAL</t>
        </is>
      </c>
      <c r="G39" s="18" t="inlineStr">
        <is>
          <t>48h-top-twelve-probability-ev-no-under35-v15</t>
        </is>
      </c>
      <c r="H39" s="20">
        <v>0.5493193451423081</v>
      </c>
      <c r="I39" s="22">
        <v>2.28</v>
      </c>
      <c r="J39" s="18" t="inlineStr">
        <is>
          <t>2-2</t>
        </is>
      </c>
      <c r="K39" s="18" t="inlineStr">
        <is>
          <t>WON</t>
        </is>
      </c>
      <c r="L39" s="19">
        <v>1</v>
      </c>
      <c r="M39" s="22">
        <f>IF(AND(ISNUMBER(L39),ISNUMBER(I39),I39&gt;1),'ROI Plan'!$B$5,"")</f>
        <v>1</v>
      </c>
      <c r="N39" s="22">
        <f>IF(ISNUMBER(M39),M39*IF(K39="HALF_WON",(I39-1)/2-U39,IF(K39="HALF_LOST",-0.5-U39,IF(K39="REFUNDED",-U39,I39*L39-1-U39))),"")</f>
        <v>1.2799999999999998</v>
      </c>
      <c r="O39" s="21">
        <f>IF(AND(ISNUMBER(L39),ISNUMBER(H39)),(H39-L39)^2,"")</f>
        <v>0.20311305266295804</v>
      </c>
      <c r="P39" s="18" t="inlineStr">
        <is>
          <t>2026-W43</t>
        </is>
      </c>
      <c r="Q39" s="18" t="inlineStr">
        <is>
          <t>a18515a42a8daaed253da4026cd3842636af06e7</t>
        </is>
      </c>
      <c r="R39" s="18" t="inlineStr">
        <is>
          <t>football-data.org/v4</t>
        </is>
      </c>
      <c r="S39" s="20">
        <f>IF(AND(ISNUMBER(L39),ISNUMBER(H39)),H39,"")</f>
        <v>0.5493193451423081</v>
      </c>
      <c r="T39" s="19">
        <f>IF(AND(ISNUMBER(L39),ISNUMBER(H39)),1,0)</f>
        <v>1</v>
      </c>
      <c r="U39" s="22">
        <v>0.0</v>
      </c>
      <c r="V39" t="inlineStr" s="18">
        <is>
          <t>2026-10-19T16:28:42.464993+00:00</t>
        </is>
      </c>
      <c r="W39" t="inlineStr" s="18">
        <is>
          <t>2026-10-19T16:41:24Z</t>
        </is>
      </c>
    </row>
    <row r="40" ht="36" customHeight="1">
      <c r="A40" s="18" t="inlineStr">
        <is>
          <t>UEFA Champions League|sabah fk|borussia dortmund|2026-10-20</t>
        </is>
      </c>
      <c r="B40" s="23">
        <v>46315.697916666664</v>
      </c>
      <c r="C40" s="18" t="inlineStr">
        <is>
          <t>UEFA Champions League</t>
        </is>
      </c>
      <c r="D40" s="18" t="inlineStr">
        <is>
          <t>Sabah FK vs Borussia Dortmund</t>
        </is>
      </c>
      <c r="E40" s="18" t="inlineStr">
        <is>
          <t>Double Chance 12</t>
        </is>
      </c>
      <c r="F40" s="18" t="inlineStr">
        <is>
          <t>PROVISIONAL</t>
        </is>
      </c>
      <c r="G40" s="18" t="inlineStr">
        <is>
          <t>48h-top-twelve-probability-ev-no-under35-v15</t>
        </is>
      </c>
      <c r="H40" s="20">
        <v>0.8280424695312871</v>
      </c>
      <c r="I40" s="22">
        <v>1.15</v>
      </c>
      <c r="J40" s="18" t="inlineStr">
        <is>
          <t>1-2</t>
        </is>
      </c>
      <c r="K40" s="18" t="inlineStr">
        <is>
          <t>WON</t>
        </is>
      </c>
      <c r="L40" s="19">
        <v>1</v>
      </c>
      <c r="M40" s="22">
        <f>IF(AND(ISNUMBER(L40),ISNUMBER(I40),I40&gt;1),'ROI Plan'!$B$5,"")</f>
        <v>1</v>
      </c>
      <c r="N40" s="22">
        <f>IF(ISNUMBER(M40),M40*IF(K40="HALF_WON",(I40-1)/2-U40,IF(K40="HALF_LOST",-0.5-U40,IF(K40="REFUNDED",-U40,I40*L40-1-U40))),"")</f>
        <v>0.1499999999999999</v>
      </c>
      <c r="O40" s="21">
        <f>IF(AND(ISNUMBER(L40),ISNUMBER(H40)),(H40-L40)^2,"")</f>
        <v>0.029569392284898317</v>
      </c>
      <c r="P40" s="18" t="inlineStr">
        <is>
          <t>2026-W43</t>
        </is>
      </c>
      <c r="Q40" s="18" t="inlineStr">
        <is>
          <t>a18515a42a8daaed253da4026cd3842636af06e7</t>
        </is>
      </c>
      <c r="R40" s="18" t="inlineStr">
        <is>
          <t>football-data.org/v4</t>
        </is>
      </c>
      <c r="S40" s="20">
        <f>IF(AND(ISNUMBER(L40),ISNUMBER(H40)),H40,"")</f>
        <v>0.8280424695312871</v>
      </c>
      <c r="T40" s="19">
        <f>IF(AND(ISNUMBER(L40),ISNUMBER(H40)),1,0)</f>
        <v>1</v>
      </c>
      <c r="U40" s="22">
        <v>0.0</v>
      </c>
      <c r="V40" t="inlineStr" s="18">
        <is>
          <t>2026-10-19T16:28:42.464993+00:00</t>
        </is>
      </c>
      <c r="W40" t="inlineStr" s="18">
        <is>
          <t>2026-10-19T16:41:24Z</t>
        </is>
      </c>
    </row>
    <row r="41" ht="36" customHeight="1">
      <c r="A41" s="18" t="inlineStr">
        <is>
          <t>UEFA Champions League|as roma|sk slovan bratislava|2026-10-20</t>
        </is>
      </c>
      <c r="B41" s="23">
        <v>46315.791666666664</v>
      </c>
      <c r="C41" s="18" t="inlineStr">
        <is>
          <t>UEFA Champions League</t>
        </is>
      </c>
      <c r="D41" s="18" t="inlineStr">
        <is>
          <t>AS Roma vs ŠK Slovan Bratislava</t>
        </is>
      </c>
      <c r="E41" s="18" t="inlineStr">
        <is>
          <t>Both Teams to Score - Yes</t>
        </is>
      </c>
      <c r="F41" s="18" t="inlineStr">
        <is>
          <t>PROVISIONAL</t>
        </is>
      </c>
      <c r="G41" s="18" t="inlineStr">
        <is>
          <t>48h-top-twelve-probability-ev-no-under35-v15</t>
        </is>
      </c>
      <c r="H41" s="20">
        <v>0.7105032789158725</v>
      </c>
      <c r="I41" s="22">
        <v>1.85</v>
      </c>
      <c r="J41" s="18" t="inlineStr">
        <is>
          <t>4-0</t>
        </is>
      </c>
      <c r="K41" s="18" t="inlineStr">
        <is>
          <t>LOST</t>
        </is>
      </c>
      <c r="L41" s="19">
        <v>0</v>
      </c>
      <c r="M41" s="22">
        <f>IF(AND(ISNUMBER(L41),ISNUMBER(I41),I41&gt;1),'ROI Plan'!$B$5,"")</f>
        <v>1</v>
      </c>
      <c r="N41" s="22">
        <f>IF(ISNUMBER(M41),M41*IF(K41="HALF_WON",(I41-1)/2-U41,IF(K41="HALF_LOST",-0.5-U41,IF(K41="REFUNDED",-U41,I41*L41-1-U41))),"")</f>
        <v>-1.0</v>
      </c>
      <c r="O41" s="21">
        <f>IF(AND(ISNUMBER(L41),ISNUMBER(H41)),(H41-L41)^2,"")</f>
        <v>0.5048149093502061</v>
      </c>
      <c r="P41" s="18" t="inlineStr">
        <is>
          <t>2026-W43</t>
        </is>
      </c>
      <c r="Q41" s="18" t="inlineStr">
        <is>
          <t>a18515a42a8daaed253da4026cd3842636af06e7</t>
        </is>
      </c>
      <c r="R41" s="18" t="inlineStr">
        <is>
          <t>football-data.org/v4</t>
        </is>
      </c>
      <c r="S41" s="20">
        <f>IF(AND(ISNUMBER(L41),ISNUMBER(H41)),H41,"")</f>
        <v>0.7105032789158725</v>
      </c>
      <c r="T41" s="19">
        <f>IF(AND(ISNUMBER(L41),ISNUMBER(H41)),1,0)</f>
        <v>1</v>
      </c>
      <c r="U41" s="22">
        <v>0.0</v>
      </c>
      <c r="V41" t="inlineStr" s="18">
        <is>
          <t>2026-10-19T16:28:42.464993+00:00</t>
        </is>
      </c>
      <c r="W41" t="inlineStr" s="18">
        <is>
          <t>2026-10-19T16:41:24Z</t>
        </is>
      </c>
    </row>
    <row r="42" ht="36" customHeight="1">
      <c r="A42" s="18" t="inlineStr">
        <is>
          <t>UEFA Champions League|liverpool|villarreal|2026-10-20</t>
        </is>
      </c>
      <c r="B42" s="23">
        <v>46315.791666666664</v>
      </c>
      <c r="C42" s="18" t="inlineStr">
        <is>
          <t>UEFA Champions League</t>
        </is>
      </c>
      <c r="D42" s="18" t="inlineStr">
        <is>
          <t>Liverpool vs Villarreal</t>
        </is>
      </c>
      <c r="E42" s="18" t="inlineStr">
        <is>
          <t>Double Chance 1X</t>
        </is>
      </c>
      <c r="F42" s="18" t="inlineStr">
        <is>
          <t>PROVISIONAL</t>
        </is>
      </c>
      <c r="G42" s="18" t="inlineStr">
        <is>
          <t>48h-top-twelve-probability-ev-no-under35-v15</t>
        </is>
      </c>
      <c r="H42" s="20">
        <v>0.863171634983724</v>
      </c>
      <c r="I42" s="22">
        <v>1.16</v>
      </c>
      <c r="J42" s="18" t="inlineStr">
        <is>
          <t>4-3</t>
        </is>
      </c>
      <c r="K42" s="18" t="inlineStr">
        <is>
          <t>WON</t>
        </is>
      </c>
      <c r="L42" s="19">
        <v>1</v>
      </c>
      <c r="M42" s="22">
        <f>IF(AND(ISNUMBER(L42),ISNUMBER(I42),I42&gt;1),'ROI Plan'!$B$5,"")</f>
        <v>1</v>
      </c>
      <c r="N42" s="22">
        <f>IF(ISNUMBER(M42),M42*IF(K42="HALF_WON",(I42-1)/2-U42,IF(K42="HALF_LOST",-0.5-U42,IF(K42="REFUNDED",-U42,I42*L42-1-U42))),"")</f>
        <v>0.15999999999999992</v>
      </c>
      <c r="O42" s="21">
        <f>IF(AND(ISNUMBER(L42),ISNUMBER(H42)),(H42-L42)^2,"")</f>
        <v>0.018722001473027272</v>
      </c>
      <c r="P42" s="18" t="inlineStr">
        <is>
          <t>2026-W43</t>
        </is>
      </c>
      <c r="Q42" s="18" t="inlineStr">
        <is>
          <t>a18515a42a8daaed253da4026cd3842636af06e7</t>
        </is>
      </c>
      <c r="R42" s="18" t="inlineStr">
        <is>
          <t>football-data.org/v4</t>
        </is>
      </c>
      <c r="S42" s="20">
        <f>IF(AND(ISNUMBER(L42),ISNUMBER(H42)),H42,"")</f>
        <v>0.863171634983724</v>
      </c>
      <c r="T42" s="19">
        <f>IF(AND(ISNUMBER(L42),ISNUMBER(H42)),1,0)</f>
        <v>1</v>
      </c>
      <c r="U42" s="22">
        <v>0.0</v>
      </c>
      <c r="V42" t="inlineStr" s="18">
        <is>
          <t>2026-10-19T16:28:42.464993+00:00</t>
        </is>
      </c>
      <c r="W42" t="inlineStr" s="18">
        <is>
          <t>2026-10-19T16:41:24Z</t>
        </is>
      </c>
    </row>
    <row r="43" ht="36" customHeight="1">
      <c r="A43" s="18" t="inlineStr">
        <is>
          <t>UEFA Champions League|man city|aek athens|2026-10-20</t>
        </is>
      </c>
      <c r="B43" s="23">
        <v>46315.791666666664</v>
      </c>
      <c r="C43" s="18" t="inlineStr">
        <is>
          <t>UEFA Champions League</t>
        </is>
      </c>
      <c r="D43" s="18" t="inlineStr">
        <is>
          <t>Manchester City vs AEK Athens</t>
        </is>
      </c>
      <c r="E43" s="18" t="inlineStr">
        <is>
          <t>Double Chance 1X</t>
        </is>
      </c>
      <c r="F43" s="18" t="inlineStr">
        <is>
          <t>PROVISIONAL</t>
        </is>
      </c>
      <c r="G43" s="18" t="inlineStr">
        <is>
          <t>48h-top-twelve-probability-ev-no-under35-v15</t>
        </is>
      </c>
      <c r="H43" s="20">
        <v>0.9106108001312985</v>
      </c>
      <c r="I43" s="22">
        <v>1.01</v>
      </c>
      <c r="J43" s="18"/>
      <c r="K43" s="18" t="inlineStr">
        <is>
          <t>UNVERIFIED_FIXTURE_OR_RESULT</t>
        </is>
      </c>
      <c r="L43" s="18"/>
      <c r="M43" s="22" t="str">
        <f>IF(AND(ISNUMBER(L43),ISNUMBER(I43),I43&gt;1),'ROI Plan'!$B$5,"")</f>
        <v/>
      </c>
      <c r="N43" s="22" t="str">
        <f>IF(ISNUMBER(M43),M43*IF(K43="HALF_WON",(I43-1)/2-U43,IF(K43="HALF_LOST",-0.5-U43,IF(K43="REFUNDED",-U43,I43*L43-1-U43))),"")</f>
        <v/>
      </c>
      <c r="O43" s="21">
        <f>IF(AND(ISNUMBER(L43),ISNUMBER(H43)),(H43-L43)^2,"")</f>
      </c>
      <c r="P43" s="18" t="inlineStr">
        <is>
          <t>2026-W43</t>
        </is>
      </c>
      <c r="Q43" s="18" t="inlineStr">
        <is>
          <t>a18515a42a8daaed253da4026cd3842636af06e7</t>
        </is>
      </c>
      <c r="R43" s="18"/>
      <c r="S43" s="20">
        <f>IF(AND(ISNUMBER(L43),ISNUMBER(H43)),H43,"")</f>
      </c>
      <c r="T43" s="19">
        <f>IF(AND(ISNUMBER(L43),ISNUMBER(H43)),1,0)</f>
        <v>0</v>
      </c>
      <c r="U43" s="22">
        <v>0.0</v>
      </c>
      <c r="V43" t="inlineStr" s="18">
        <is>
          <t>2026-10-19T16:28:42.464993+00:00</t>
        </is>
      </c>
      <c r="W43" t="inlineStr" s="18">
        <is>
          <t>2026-10-19T16:41:24Z</t>
        </is>
      </c>
    </row>
    <row r="44" ht="36" customHeight="1">
      <c r="A44" s="18" t="inlineStr">
        <is>
          <t>UEFA Champions League|napoli|bod glimt|2026-10-20</t>
        </is>
      </c>
      <c r="B44" s="23">
        <v>46315.791666666664</v>
      </c>
      <c r="C44" s="18" t="inlineStr">
        <is>
          <t>UEFA Champions League</t>
        </is>
      </c>
      <c r="D44" s="18" t="inlineStr">
        <is>
          <t>Napoli vs Bodø/Glimt</t>
        </is>
      </c>
      <c r="E44" s="18" t="inlineStr">
        <is>
          <t>Double Chance 12</t>
        </is>
      </c>
      <c r="F44" s="18" t="inlineStr">
        <is>
          <t>PROVISIONAL</t>
        </is>
      </c>
      <c r="G44" s="18" t="inlineStr">
        <is>
          <t>48h-top-twelve-probability-ev-no-under35-v15</t>
        </is>
      </c>
      <c r="H44" s="20">
        <v>0.7852346366073484</v>
      </c>
      <c r="I44" s="22">
        <v>1.23</v>
      </c>
      <c r="J44" s="18" t="inlineStr">
        <is>
          <t>4-3</t>
        </is>
      </c>
      <c r="K44" s="18" t="inlineStr">
        <is>
          <t>WON</t>
        </is>
      </c>
      <c r="L44" s="19">
        <v>1</v>
      </c>
      <c r="M44" s="22">
        <f>IF(AND(ISNUMBER(L44),ISNUMBER(I44),I44&gt;1),'ROI Plan'!$B$5,"")</f>
        <v>1</v>
      </c>
      <c r="N44" s="22">
        <f>IF(ISNUMBER(M44),M44*IF(K44="HALF_WON",(I44-1)/2-U44,IF(K44="HALF_LOST",-0.5-U44,IF(K44="REFUNDED",-U44,I44*L44-1-U44))),"")</f>
        <v>0.22999999999999998</v>
      </c>
      <c r="O44" s="21">
        <f>IF(AND(ISNUMBER(L44),ISNUMBER(H44)),(H44-L44)^2,"")</f>
        <v>0.0461241613131777</v>
      </c>
      <c r="P44" s="18" t="inlineStr">
        <is>
          <t>2026-W43</t>
        </is>
      </c>
      <c r="Q44" s="18" t="inlineStr">
        <is>
          <t>a18515a42a8daaed253da4026cd3842636af06e7</t>
        </is>
      </c>
      <c r="R44" s="18" t="inlineStr">
        <is>
          <t>football-data.org/v4</t>
        </is>
      </c>
      <c r="S44" s="20">
        <f>IF(AND(ISNUMBER(L44),ISNUMBER(H44)),H44,"")</f>
        <v>0.7852346366073484</v>
      </c>
      <c r="T44" s="19">
        <f>IF(AND(ISNUMBER(L44),ISNUMBER(H44)),1,0)</f>
        <v>1</v>
      </c>
      <c r="U44" s="22">
        <v>0.0</v>
      </c>
      <c r="V44" t="inlineStr" s="18">
        <is>
          <t>2026-10-19T16:28:42.464993+00:00</t>
        </is>
      </c>
      <c r="W44" t="inlineStr" s="18">
        <is>
          <t>2026-10-19T16:41:24Z</t>
        </is>
      </c>
    </row>
    <row r="45" ht="36" customHeight="1">
      <c r="A45" s="18" t="inlineStr">
        <is>
          <t>UEFA Champions League|paris sg|barcelona|2026-10-20</t>
        </is>
      </c>
      <c r="B45" s="23">
        <v>46315.791666666664</v>
      </c>
      <c r="C45" s="18" t="inlineStr">
        <is>
          <t>UEFA Champions League</t>
        </is>
      </c>
      <c r="D45" s="18" t="inlineStr">
        <is>
          <t>Paris Saint Germain vs Barcelona</t>
        </is>
      </c>
      <c r="E45" s="18" t="inlineStr">
        <is>
          <t>Over 1.5</t>
        </is>
      </c>
      <c r="F45" s="18" t="inlineStr">
        <is>
          <t>PROVISIONAL</t>
        </is>
      </c>
      <c r="G45" s="18" t="inlineStr">
        <is>
          <t>48h-top-twelve-probability-ev-no-under35-v15</t>
        </is>
      </c>
      <c r="H45" s="20">
        <v>0.9232971667016856</v>
      </c>
      <c r="I45" s="22">
        <v>1.04</v>
      </c>
      <c r="J45" s="18" t="inlineStr">
        <is>
          <t>4-2</t>
        </is>
      </c>
      <c r="K45" s="18" t="inlineStr">
        <is>
          <t>WON</t>
        </is>
      </c>
      <c r="L45" s="19">
        <v>1</v>
      </c>
      <c r="M45" s="22">
        <f>IF(AND(ISNUMBER(L45),ISNUMBER(I45),I45&gt;1),'ROI Plan'!$B$5,"")</f>
        <v>1</v>
      </c>
      <c r="N45" s="22">
        <f>IF(ISNUMBER(M45),M45*IF(K45="HALF_WON",(I45-1)/2-U45,IF(K45="HALF_LOST",-0.5-U45,IF(K45="REFUNDED",-U45,I45*L45-1-U45))),"")</f>
        <v>0.040000000000000036</v>
      </c>
      <c r="O45" s="21">
        <f>IF(AND(ISNUMBER(L45),ISNUMBER(H45)),(H45-L45)^2,"")</f>
        <v>0.0058833246359890085</v>
      </c>
      <c r="P45" s="18" t="inlineStr">
        <is>
          <t>2026-W43</t>
        </is>
      </c>
      <c r="Q45" s="18" t="inlineStr">
        <is>
          <t>a18515a42a8daaed253da4026cd3842636af06e7</t>
        </is>
      </c>
      <c r="R45" s="18" t="inlineStr">
        <is>
          <t>football-data.org/v4</t>
        </is>
      </c>
      <c r="S45" s="20">
        <f>IF(AND(ISNUMBER(L45),ISNUMBER(H45)),H45,"")</f>
        <v>0.9232971667016856</v>
      </c>
      <c r="T45" s="19">
        <f>IF(AND(ISNUMBER(L45),ISNUMBER(H45)),1,0)</f>
        <v>1</v>
      </c>
      <c r="U45" s="22">
        <v>0.0</v>
      </c>
      <c r="V45" t="inlineStr" s="18">
        <is>
          <t>2026-10-19T16:28:42.464993+00:00</t>
        </is>
      </c>
      <c r="W45" t="inlineStr" s="18">
        <is>
          <t>2026-10-19T16:41:24Z</t>
        </is>
      </c>
    </row>
    <row r="46" ht="36" customHeight="1">
      <c r="A46" s="18" t="inlineStr">
        <is>
          <t>UEFA Champions League|porto|psv|2026-10-20</t>
        </is>
      </c>
      <c r="B46" s="23">
        <v>46315.791666666664</v>
      </c>
      <c r="C46" s="18" t="inlineStr">
        <is>
          <t>UEFA Champions League</t>
        </is>
      </c>
      <c r="D46" s="18" t="inlineStr">
        <is>
          <t>Porto vs PSV Eindhoven</t>
        </is>
      </c>
      <c r="E46" s="18" t="inlineStr">
        <is>
          <t>Double Chance 12</t>
        </is>
      </c>
      <c r="F46" s="18" t="inlineStr">
        <is>
          <t>PROVISIONAL</t>
        </is>
      </c>
      <c r="G46" s="18" t="inlineStr">
        <is>
          <t>48h-top-twelve-probability-ev-no-under35-v15</t>
        </is>
      </c>
      <c r="H46" s="20">
        <v>0.7997382191218497</v>
      </c>
      <c r="I46" s="22">
        <v>1.23</v>
      </c>
      <c r="J46" s="18" t="inlineStr">
        <is>
          <t>0-1</t>
        </is>
      </c>
      <c r="K46" s="18" t="inlineStr">
        <is>
          <t>WON</t>
        </is>
      </c>
      <c r="L46" s="19">
        <v>1</v>
      </c>
      <c r="M46" s="22">
        <f>IF(AND(ISNUMBER(L46),ISNUMBER(I46),I46&gt;1),'ROI Plan'!$B$5,"")</f>
        <v>1</v>
      </c>
      <c r="N46" s="22">
        <f>IF(ISNUMBER(M46),M46*IF(K46="HALF_WON",(I46-1)/2-U46,IF(K46="HALF_LOST",-0.5-U46,IF(K46="REFUNDED",-U46,I46*L46-1-U46))),"")</f>
        <v>0.22999999999999998</v>
      </c>
      <c r="O46" s="21">
        <f>IF(AND(ISNUMBER(L46),ISNUMBER(H46)),(H46-L46)^2,"")</f>
        <v>0.04010478088048827</v>
      </c>
      <c r="P46" s="18" t="inlineStr">
        <is>
          <t>2026-W43</t>
        </is>
      </c>
      <c r="Q46" s="18" t="inlineStr">
        <is>
          <t>a18515a42a8daaed253da4026cd3842636af06e7</t>
        </is>
      </c>
      <c r="R46" s="18" t="inlineStr">
        <is>
          <t>football-data.org/v4</t>
        </is>
      </c>
      <c r="S46" s="20">
        <f>IF(AND(ISNUMBER(L46),ISNUMBER(H46)),H46,"")</f>
        <v>0.7997382191218497</v>
      </c>
      <c r="T46" s="19">
        <f>IF(AND(ISNUMBER(L46),ISNUMBER(H46)),1,0)</f>
        <v>1</v>
      </c>
      <c r="U46" s="22">
        <v>0.0</v>
      </c>
      <c r="V46" t="inlineStr" s="18">
        <is>
          <t>2026-10-19T16:28:42.464993+00:00</t>
        </is>
      </c>
      <c r="W46" t="inlineStr" s="18">
        <is>
          <t>2026-10-19T16:41:24Z</t>
        </is>
      </c>
    </row>
    <row r="47" ht="36" customHeight="1">
      <c r="A47" s="18" t="inlineStr">
        <is>
          <t>UEFA Champions League|vfb stuttgart|ath madrid|2026-10-20</t>
        </is>
      </c>
      <c r="B47" s="23">
        <v>46315.791666666664</v>
      </c>
      <c r="C47" s="18" t="inlineStr">
        <is>
          <t>UEFA Champions League</t>
        </is>
      </c>
      <c r="D47" s="18" t="inlineStr">
        <is>
          <t>VfB Stuttgart vs Atlético Madrid</t>
        </is>
      </c>
      <c r="E47" s="18" t="inlineStr">
        <is>
          <t>Double Chance 12</t>
        </is>
      </c>
      <c r="F47" s="18" t="inlineStr">
        <is>
          <t>PROVISIONAL</t>
        </is>
      </c>
      <c r="G47" s="18" t="inlineStr">
        <is>
          <t>48h-top-twelve-probability-ev-no-under35-v15</t>
        </is>
      </c>
      <c r="H47" s="20">
        <v>0.7771719913941242</v>
      </c>
      <c r="I47" s="22">
        <v>1.29</v>
      </c>
      <c r="J47" s="18" t="inlineStr">
        <is>
          <t>1-1</t>
        </is>
      </c>
      <c r="K47" s="18" t="inlineStr">
        <is>
          <t>LOST</t>
        </is>
      </c>
      <c r="L47" s="19">
        <v>0</v>
      </c>
      <c r="M47" s="22">
        <f>IF(AND(ISNUMBER(L47),ISNUMBER(I47),I47&gt;1),'ROI Plan'!$B$5,"")</f>
        <v>1</v>
      </c>
      <c r="N47" s="22">
        <f>IF(ISNUMBER(M47),M47*IF(K47="HALF_WON",(I47-1)/2-U47,IF(K47="HALF_LOST",-0.5-U47,IF(K47="REFUNDED",-U47,I47*L47-1-U47))),"")</f>
        <v>-1.0</v>
      </c>
      <c r="O47" s="21">
        <f>IF(AND(ISNUMBER(L47),ISNUMBER(H47)),(H47-L47)^2,"")</f>
        <v>0.6039963042075086</v>
      </c>
      <c r="P47" s="18" t="inlineStr">
        <is>
          <t>2026-W43</t>
        </is>
      </c>
      <c r="Q47" s="18" t="inlineStr">
        <is>
          <t>a18515a42a8daaed253da4026cd3842636af06e7</t>
        </is>
      </c>
      <c r="R47" s="18" t="inlineStr">
        <is>
          <t>football-data.org/v4</t>
        </is>
      </c>
      <c r="S47" s="20">
        <f>IF(AND(ISNUMBER(L47),ISNUMBER(H47)),H47,"")</f>
        <v>0.7771719913941242</v>
      </c>
      <c r="T47" s="19">
        <f>IF(AND(ISNUMBER(L47),ISNUMBER(H47)),1,0)</f>
        <v>1</v>
      </c>
      <c r="U47" s="22">
        <v>0.0</v>
      </c>
      <c r="V47" t="inlineStr" s="18">
        <is>
          <t>2026-10-19T16:28:42.464993+00:00</t>
        </is>
      </c>
      <c r="W47" t="inlineStr" s="18">
        <is>
          <t>2026-10-19T16:41:24Z</t>
        </is>
      </c>
    </row>
    <row r="48" ht="36" customHeight="1">
      <c r="A48" s="18" t="inlineStr">
        <is>
          <t>Bundesliga|vfb stuttgart|m gladbach|2026-10-23</t>
        </is>
      </c>
      <c r="B48" s="23">
        <v>46318.770833333336</v>
      </c>
      <c r="C48" s="18" t="inlineStr">
        <is>
          <t>Bundesliga</t>
        </is>
      </c>
      <c r="D48" s="18" t="inlineStr">
        <is>
          <t>VfB Stuttgart vs Borussia Monchengladbach</t>
        </is>
      </c>
      <c r="E48" s="18" t="inlineStr">
        <is>
          <t>Asian Handicap Away +2.00</t>
        </is>
      </c>
      <c r="F48" s="18" t="inlineStr">
        <is>
          <t>STRICT</t>
        </is>
      </c>
      <c r="G48" s="18" t="inlineStr">
        <is>
          <t>48h-zero-tolerance-ev1-common-no-loss75-v22</t>
        </is>
      </c>
      <c r="H48" s="20">
        <v>0.7946272017100311</v>
      </c>
      <c r="I48" s="22">
        <v>1.62</v>
      </c>
      <c r="J48" s="18" t="inlineStr">
        <is>
          <t>2-3</t>
        </is>
      </c>
      <c r="K48" s="18" t="inlineStr">
        <is>
          <t>WON</t>
        </is>
      </c>
      <c r="L48" s="19">
        <v>1</v>
      </c>
      <c r="M48" s="22">
        <f>IF(AND(ISNUMBER(L48),ISNUMBER(I48),I48&gt;1),'ROI Plan'!$B$5,"")</f>
        <v>1</v>
      </c>
      <c r="N48" s="22">
        <f>IF(ISNUMBER(M48),M48*IF(K48="HALF_WON",(I48-1)/2-U48,IF(K48="HALF_LOST",-0.5-U48,IF(K48="REFUNDED",-U48,I48*L48-1-U48))),"")</f>
        <v>0.62</v>
      </c>
      <c r="O48" s="21">
        <f>IF(AND(ISNUMBER(L48),ISNUMBER(H48)),(H48-L48)^2,"")</f>
        <v>0.042177986277452256</v>
      </c>
      <c r="P48" s="18" t="inlineStr">
        <is>
          <t>2026-W43</t>
        </is>
      </c>
      <c r="Q48" s="18" t="inlineStr">
        <is>
          <t>10a7df008090a45923c14f3c84ec260b147ea047</t>
        </is>
      </c>
      <c r="R48" s="18" t="inlineStr">
        <is>
          <t>football-data.org/v4</t>
        </is>
      </c>
      <c r="S48" s="20">
        <f>IF(AND(ISNUMBER(L48),ISNUMBER(H48)),H48,"")</f>
        <v>0.7946272017100311</v>
      </c>
      <c r="T48" s="19">
        <f>IF(AND(ISNUMBER(L48),ISNUMBER(H48)),1,0)</f>
        <v>1</v>
      </c>
      <c r="U48" s="22">
        <v>0.0</v>
      </c>
      <c r="V48" t="inlineStr" s="18">
        <is>
          <t>2026-10-23T14:36:42.857608+00:00</t>
        </is>
      </c>
      <c r="W48" t="inlineStr" s="18">
        <is>
          <t>2026-10-23T14:56:42Z</t>
        </is>
      </c>
    </row>
    <row r="49" ht="36" customHeight="1">
      <c r="A49" s="18" t="inlineStr">
        <is>
          <t>La Liga|alaves|malaga|2026-10-23</t>
        </is>
      </c>
      <c r="B49" s="23">
        <v>46318.791666666664</v>
      </c>
      <c r="C49" s="18" t="inlineStr">
        <is>
          <t>La Liga</t>
        </is>
      </c>
      <c r="D49" s="18" t="inlineStr">
        <is>
          <t>Alavés vs Málaga</t>
        </is>
      </c>
      <c r="E49" s="18" t="inlineStr">
        <is>
          <t>Double Chance 1X</t>
        </is>
      </c>
      <c r="F49" s="18" t="inlineStr">
        <is>
          <t>STRICT</t>
        </is>
      </c>
      <c r="G49" s="18" t="inlineStr">
        <is>
          <t>48h-zero-tolerance-ev1-common-no-loss75-v22</t>
        </is>
      </c>
      <c r="H49" s="20">
        <v>0.8435950326444737</v>
      </c>
      <c r="I49" s="22">
        <v>1.2</v>
      </c>
      <c r="J49" s="18" t="inlineStr">
        <is>
          <t>1-1</t>
        </is>
      </c>
      <c r="K49" s="18" t="inlineStr">
        <is>
          <t>WON</t>
        </is>
      </c>
      <c r="L49" s="19">
        <v>1</v>
      </c>
      <c r="M49" s="22">
        <f>IF(AND(ISNUMBER(L49),ISNUMBER(I49),I49&gt;1),'ROI Plan'!$B$5,"")</f>
        <v>1</v>
      </c>
      <c r="N49" s="22">
        <f>IF(ISNUMBER(M49),M49*IF(K49="HALF_WON",(I49-1)/2-U49,IF(K49="HALF_LOST",-0.5-U49,IF(K49="REFUNDED",-U49,I49*L49-1-U49))),"")</f>
        <v>0.19999999999999996</v>
      </c>
      <c r="O49" s="21">
        <f>IF(AND(ISNUMBER(L49),ISNUMBER(H49)),(H49-L49)^2,"")</f>
        <v>0.024462513813483258</v>
      </c>
      <c r="P49" s="18" t="inlineStr">
        <is>
          <t>2026-W43</t>
        </is>
      </c>
      <c r="Q49" s="18" t="inlineStr">
        <is>
          <t>93aabf61cc3a55fc007e1e56dcfc8baa6ebe3dd6</t>
        </is>
      </c>
      <c r="R49" s="18" t="inlineStr">
        <is>
          <t>football-data.org/v4</t>
        </is>
      </c>
      <c r="S49" s="20">
        <f>IF(AND(ISNUMBER(L49),ISNUMBER(H49)),H49,"")</f>
        <v>0.8435950326444737</v>
      </c>
      <c r="T49" s="19">
        <f>IF(AND(ISNUMBER(L49),ISNUMBER(H49)),1,0)</f>
        <v>1</v>
      </c>
      <c r="U49" s="22">
        <v>0.0</v>
      </c>
      <c r="V49" t="inlineStr" s="18">
        <is>
          <t>2026-10-22T10:58:13.963804+00:00</t>
        </is>
      </c>
      <c r="W49" t="inlineStr" s="18">
        <is>
          <t>2026-10-22T10:58:33Z</t>
        </is>
      </c>
    </row>
    <row r="50" ht="36" customHeight="1">
      <c r="A50" s="18" t="inlineStr">
        <is>
          <t>Premier League|aston villa|man city|2026-10-24</t>
        </is>
      </c>
      <c r="B50" s="23">
        <v>46319.479166666664</v>
      </c>
      <c r="C50" s="18" t="inlineStr">
        <is>
          <t>Premier League</t>
        </is>
      </c>
      <c r="D50" s="18" t="inlineStr">
        <is>
          <t>Aston Villa vs Manchester City</t>
        </is>
      </c>
      <c r="E50" s="18" t="inlineStr">
        <is>
          <t>Asian Handicap Home +2.00</t>
        </is>
      </c>
      <c r="F50" s="18" t="inlineStr">
        <is>
          <t>STRICT</t>
        </is>
      </c>
      <c r="G50" s="18" t="inlineStr">
        <is>
          <t>48h-zero-tolerance-ev1-common-no-loss75-v22</t>
        </is>
      </c>
      <c r="H50" s="20">
        <v>0.851352167304631</v>
      </c>
      <c r="I50" s="22">
        <v>1.26</v>
      </c>
      <c r="J50" s="18" t="inlineStr">
        <is>
          <t>2-1</t>
        </is>
      </c>
      <c r="K50" s="18" t="inlineStr">
        <is>
          <t>WON</t>
        </is>
      </c>
      <c r="L50" s="19">
        <v>1</v>
      </c>
      <c r="M50" s="22">
        <f>IF(AND(ISNUMBER(L50),ISNUMBER(I50),I50&gt;1),'ROI Plan'!$B$5,"")</f>
        <v>1</v>
      </c>
      <c r="N50" s="22">
        <f>IF(ISNUMBER(M50),M50*IF(K50="HALF_WON",(I50-1)/2-U50,IF(K50="HALF_LOST",-0.5-U50,IF(K50="REFUNDED",-U50,I50*L50-1-U50))),"")</f>
        <v>0.26</v>
      </c>
      <c r="O50" s="21">
        <f>IF(AND(ISNUMBER(L50),ISNUMBER(H50)),(H50-L50)^2,"")</f>
        <v>0.022096178165030404</v>
      </c>
      <c r="P50" s="18" t="inlineStr">
        <is>
          <t>2026-W43</t>
        </is>
      </c>
      <c r="Q50" s="18" t="inlineStr">
        <is>
          <t>10a7df008090a45923c14f3c84ec260b147ea047</t>
        </is>
      </c>
      <c r="R50" s="18" t="inlineStr">
        <is>
          <t>football-data.org/v4</t>
        </is>
      </c>
      <c r="S50" s="20">
        <f>IF(AND(ISNUMBER(L50),ISNUMBER(H50)),H50,"")</f>
        <v>0.851352167304631</v>
      </c>
      <c r="T50" s="19">
        <f>IF(AND(ISNUMBER(L50),ISNUMBER(H50)),1,0)</f>
        <v>1</v>
      </c>
      <c r="U50" s="22">
        <v>0.0</v>
      </c>
      <c r="V50" t="inlineStr" s="18">
        <is>
          <t>2026-10-23T14:36:42.857608+00:00</t>
        </is>
      </c>
      <c r="W50" t="inlineStr" s="18">
        <is>
          <t>2026-10-23T14:56:42Z</t>
        </is>
      </c>
    </row>
    <row r="51" ht="36" customHeight="1">
      <c r="A51" s="18" t="inlineStr">
        <is>
          <t>La Liga|rayo vallecano|elche|2026-10-24</t>
        </is>
      </c>
      <c r="B51" s="23">
        <v>46319.5</v>
      </c>
      <c r="C51" s="18" t="inlineStr">
        <is>
          <t>La Liga</t>
        </is>
      </c>
      <c r="D51" s="18" t="inlineStr">
        <is>
          <t>Rayo Vallecano vs Elche CF</t>
        </is>
      </c>
      <c r="E51" s="18" t="inlineStr">
        <is>
          <t>Asian Handicap Away +1.00</t>
        </is>
      </c>
      <c r="F51" s="18" t="inlineStr">
        <is>
          <t>STRICT</t>
        </is>
      </c>
      <c r="G51" s="18" t="inlineStr">
        <is>
          <t>48h-zero-tolerance-ev1-common-no-loss75-v22</t>
        </is>
      </c>
      <c r="H51" s="20">
        <v>0.7514769383761689</v>
      </c>
      <c r="I51" s="22">
        <v>1.58</v>
      </c>
      <c r="J51" s="18" t="inlineStr">
        <is>
          <t>0-3</t>
        </is>
      </c>
      <c r="K51" s="18" t="inlineStr">
        <is>
          <t>WON</t>
        </is>
      </c>
      <c r="L51" s="19">
        <v>1</v>
      </c>
      <c r="M51" s="22">
        <f>IF(AND(ISNUMBER(L51),ISNUMBER(I51),I51&gt;1),'ROI Plan'!$B$5,"")</f>
        <v>1</v>
      </c>
      <c r="N51" s="22">
        <f>IF(ISNUMBER(M51),M51*IF(K51="HALF_WON",(I51-1)/2-U51,IF(K51="HALF_LOST",-0.5-U51,IF(K51="REFUNDED",-U51,I51*L51-1-U51))),"")</f>
        <v>0.58</v>
      </c>
      <c r="O51" s="21">
        <f>IF(AND(ISNUMBER(L51),ISNUMBER(H51)),(H51-L51)^2,"")</f>
        <v>0.061763712158882544</v>
      </c>
      <c r="P51" s="18" t="inlineStr">
        <is>
          <t>2026-W43</t>
        </is>
      </c>
      <c r="Q51" s="18" t="inlineStr">
        <is>
          <t>10a7df008090a45923c14f3c84ec260b147ea047</t>
        </is>
      </c>
      <c r="R51" s="18" t="inlineStr">
        <is>
          <t>football-data.org/v4</t>
        </is>
      </c>
      <c r="S51" s="20">
        <f>IF(AND(ISNUMBER(L51),ISNUMBER(H51)),H51,"")</f>
        <v>0.7514769383761689</v>
      </c>
      <c r="T51" s="19">
        <f>IF(AND(ISNUMBER(L51),ISNUMBER(H51)),1,0)</f>
        <v>1</v>
      </c>
      <c r="U51" s="22">
        <v>0.0</v>
      </c>
      <c r="V51" t="inlineStr" s="18">
        <is>
          <t>2026-10-23T14:36:42.857608+00:00</t>
        </is>
      </c>
      <c r="W51" t="inlineStr" s="18">
        <is>
          <t>2026-10-23T14:56:42Z</t>
        </is>
      </c>
    </row>
    <row r="52" ht="36" customHeight="1">
      <c r="A52" s="18" t="inlineStr">
        <is>
          <t>Serie A|como|sassuolo|2026-10-24</t>
        </is>
      </c>
      <c r="B52" s="23">
        <v>46319.541666666664</v>
      </c>
      <c r="C52" s="18" t="inlineStr">
        <is>
          <t>Serie A</t>
        </is>
      </c>
      <c r="D52" s="18" t="inlineStr">
        <is>
          <t>Como vs Sassuolo</t>
        </is>
      </c>
      <c r="E52" s="18" t="inlineStr">
        <is>
          <t>Asian Handicap Away +2.25</t>
        </is>
      </c>
      <c r="F52" s="18" t="inlineStr">
        <is>
          <t>STRICT</t>
        </is>
      </c>
      <c r="G52" s="18" t="inlineStr">
        <is>
          <t>48h-zero-tolerance-ev1-common-no-loss75-v22</t>
        </is>
      </c>
      <c r="H52" s="20">
        <v>0.7870763952857499</v>
      </c>
      <c r="I52" s="22">
        <v>1.33</v>
      </c>
      <c r="J52" s="18"/>
      <c r="K52" s="18" t="inlineStr">
        <is>
          <t>UNVERIFIED_FIXTURE_OR_RESULT</t>
        </is>
      </c>
      <c r="L52" s="18"/>
      <c r="M52" s="22" t="str">
        <f>IF(AND(ISNUMBER(L52),ISNUMBER(I52),I52&gt;1),'ROI Plan'!$B$5,"")</f>
        <v/>
      </c>
      <c r="N52" s="22" t="str">
        <f>IF(ISNUMBER(M52),M52*IF(K52="HALF_WON",(I52-1)/2-U52,IF(K52="HALF_LOST",-0.5-U52,IF(K52="REFUNDED",-U52,I52*L52-1-U52))),"")</f>
        <v/>
      </c>
      <c r="O52" s="21">
        <f>IF(AND(ISNUMBER(L52),ISNUMBER(H52)),(H52-L52)^2,"")</f>
      </c>
      <c r="P52" s="18" t="inlineStr">
        <is>
          <t>2026-W43</t>
        </is>
      </c>
      <c r="Q52" s="18" t="inlineStr">
        <is>
          <t>10a7df008090a45923c14f3c84ec260b147ea047</t>
        </is>
      </c>
      <c r="R52" s="18"/>
      <c r="S52" s="20">
        <f>IF(AND(ISNUMBER(L52),ISNUMBER(H52)),H52,"")</f>
      </c>
      <c r="T52" s="19">
        <f>IF(AND(ISNUMBER(L52),ISNUMBER(H52)),1,0)</f>
        <v>0</v>
      </c>
      <c r="U52" s="22">
        <v>0.0</v>
      </c>
      <c r="V52" t="inlineStr" s="18">
        <is>
          <t>2026-10-23T14:36:42.857608+00:00</t>
        </is>
      </c>
      <c r="W52" t="inlineStr" s="18">
        <is>
          <t>2026-10-23T14:56:42Z</t>
        </is>
      </c>
    </row>
    <row r="53" ht="36" customHeight="1">
      <c r="A53" s="18" t="inlineStr">
        <is>
          <t>Bundesliga|augsburg|union berlin|2026-10-24</t>
        </is>
      </c>
      <c r="B53" s="23">
        <v>46319.5625</v>
      </c>
      <c r="C53" s="18" t="inlineStr">
        <is>
          <t>Bundesliga</t>
        </is>
      </c>
      <c r="D53" s="18" t="inlineStr">
        <is>
          <t>Augsburg vs Union Berlin</t>
        </is>
      </c>
      <c r="E53" s="18" t="inlineStr">
        <is>
          <t>Asian Handicap Away +2.00</t>
        </is>
      </c>
      <c r="F53" s="18" t="inlineStr">
        <is>
          <t>STRICT</t>
        </is>
      </c>
      <c r="G53" s="18" t="inlineStr">
        <is>
          <t>48h-zero-tolerance-ev1-common-no-loss75-v22</t>
        </is>
      </c>
      <c r="H53" s="20">
        <v>0.9216482260451974</v>
      </c>
      <c r="I53" s="22">
        <v>1.16</v>
      </c>
      <c r="J53" s="18" t="inlineStr">
        <is>
          <t>1-1</t>
        </is>
      </c>
      <c r="K53" s="18" t="inlineStr">
        <is>
          <t>WON</t>
        </is>
      </c>
      <c r="L53" s="19">
        <v>1</v>
      </c>
      <c r="M53" s="22">
        <f>IF(AND(ISNUMBER(L53),ISNUMBER(I53),I53&gt;1),'ROI Plan'!$B$5,"")</f>
        <v>1</v>
      </c>
      <c r="N53" s="22">
        <f>IF(ISNUMBER(M53),M53*IF(K53="HALF_WON",(I53-1)/2-U53,IF(K53="HALF_LOST",-0.5-U53,IF(K53="REFUNDED",-U53,I53*L53-1-U53))),"")</f>
        <v>0.16</v>
      </c>
      <c r="O53" s="21">
        <f>IF(AND(ISNUMBER(L53),ISNUMBER(H53)),(H53-L53)^2,"")</f>
        <v>0.00613900048186449</v>
      </c>
      <c r="P53" s="18" t="inlineStr">
        <is>
          <t>2026-W43</t>
        </is>
      </c>
      <c r="Q53" s="18" t="inlineStr">
        <is>
          <t>10a7df008090a45923c14f3c84ec260b147ea047</t>
        </is>
      </c>
      <c r="R53" s="18" t="inlineStr">
        <is>
          <t>football-data.org/v4</t>
        </is>
      </c>
      <c r="S53" s="20">
        <f>IF(AND(ISNUMBER(L53),ISNUMBER(H53)),H53,"")</f>
        <v>0.9216482260451974</v>
      </c>
      <c r="T53" s="19">
        <f>IF(AND(ISNUMBER(L53),ISNUMBER(H53)),1,0)</f>
        <v>1</v>
      </c>
      <c r="U53" s="22">
        <v>0.0</v>
      </c>
      <c r="V53" t="inlineStr" s="18">
        <is>
          <t>2026-10-23T14:36:42.857608+00:00</t>
        </is>
      </c>
      <c r="W53" t="inlineStr" s="18">
        <is>
          <t>2026-10-23T14:56:42Z</t>
        </is>
      </c>
    </row>
    <row r="54" ht="36" customHeight="1">
      <c r="A54" s="18" t="inlineStr">
        <is>
          <t>Bundesliga|paderborn|hamburger|2026-10-24</t>
        </is>
      </c>
      <c r="B54" s="23">
        <v>46319.5625</v>
      </c>
      <c r="C54" s="18" t="inlineStr">
        <is>
          <t>Bundesliga</t>
        </is>
      </c>
      <c r="D54" s="18" t="inlineStr">
        <is>
          <t>SC Paderborn vs Hamburger SV</t>
        </is>
      </c>
      <c r="E54" s="18" t="inlineStr">
        <is>
          <t>Asian Handicap Away +1.25</t>
        </is>
      </c>
      <c r="F54" s="18" t="inlineStr">
        <is>
          <t>STRICT</t>
        </is>
      </c>
      <c r="G54" s="18" t="inlineStr">
        <is>
          <t>48h-zero-tolerance-ev1-common-no-loss75-v22</t>
        </is>
      </c>
      <c r="H54" s="20">
        <v>0.8439250274811143</v>
      </c>
      <c r="I54" s="22">
        <v>1.32</v>
      </c>
      <c r="J54" s="18" t="inlineStr">
        <is>
          <t>1-0</t>
        </is>
      </c>
      <c r="K54" s="18" t="inlineStr">
        <is>
          <t>HALF_WON</t>
        </is>
      </c>
      <c r="L54" s="19">
        <v>1</v>
      </c>
      <c r="M54" s="22">
        <f>IF(AND(ISNUMBER(L54),ISNUMBER(I54),I54&gt;1),'ROI Plan'!$B$5,"")</f>
        <v>1</v>
      </c>
      <c r="N54" s="22">
        <f>IF(ISNUMBER(M54),M54*IF(K54="HALF_WON",(I54-1)/2-U54,IF(K54="HALF_LOST",-0.5-U54,IF(K54="REFUNDED",-U54,I54*L54-1-U54))),"")</f>
        <v>0.16</v>
      </c>
      <c r="O54" s="21">
        <f>IF(AND(ISNUMBER(L54),ISNUMBER(H54)),(H54-L54)^2,"")</f>
        <v>0.024359397046770922</v>
      </c>
      <c r="P54" s="18" t="inlineStr">
        <is>
          <t>2026-W43</t>
        </is>
      </c>
      <c r="Q54" s="18" t="inlineStr">
        <is>
          <t>10a7df008090a45923c14f3c84ec260b147ea047</t>
        </is>
      </c>
      <c r="R54" s="18" t="inlineStr">
        <is>
          <t>football-data.org/v4</t>
        </is>
      </c>
      <c r="S54" s="20">
        <f>IF(AND(ISNUMBER(L54),ISNUMBER(H54)),H54,"")</f>
        <v>0.8439250274811143</v>
      </c>
      <c r="T54" s="19">
        <f>IF(AND(ISNUMBER(L54),ISNUMBER(H54)),1,0)</f>
        <v>1</v>
      </c>
      <c r="U54" s="22">
        <v>0.0</v>
      </c>
      <c r="V54" t="inlineStr" s="18">
        <is>
          <t>2026-10-23T14:36:42.857608+00:00</t>
        </is>
      </c>
      <c r="W54" t="inlineStr" s="18">
        <is>
          <t>2026-10-23T14:56:42Z</t>
        </is>
      </c>
    </row>
    <row r="55" ht="36" customHeight="1">
      <c r="A55" s="18" t="inlineStr">
        <is>
          <t>Serie A|lazio|parma|2026-10-24</t>
        </is>
      </c>
      <c r="B55" s="23">
        <v>46319.78125</v>
      </c>
      <c r="C55" s="18" t="inlineStr">
        <is>
          <t>Serie A</t>
        </is>
      </c>
      <c r="D55" s="18" t="inlineStr">
        <is>
          <t>Lazio vs Parma</t>
        </is>
      </c>
      <c r="E55" s="18" t="inlineStr">
        <is>
          <t>Asian Handicap Away +2.00</t>
        </is>
      </c>
      <c r="F55" s="18" t="inlineStr">
        <is>
          <t>STRICT</t>
        </is>
      </c>
      <c r="G55" s="18" t="inlineStr">
        <is>
          <t>48h-zero-tolerance-ev1-common-no-loss75-v22</t>
        </is>
      </c>
      <c r="H55" s="20">
        <v>0.8466216780426802</v>
      </c>
      <c r="I55" s="22">
        <v>1.39</v>
      </c>
      <c r="J55" s="18" t="inlineStr">
        <is>
          <t>2-1</t>
        </is>
      </c>
      <c r="K55" s="18" t="inlineStr">
        <is>
          <t>WON</t>
        </is>
      </c>
      <c r="L55" s="19">
        <v>1</v>
      </c>
      <c r="M55" s="22">
        <f>IF(AND(ISNUMBER(L55),ISNUMBER(I55),I55&gt;1),'ROI Plan'!$B$5,"")</f>
        <v>1</v>
      </c>
      <c r="N55" s="22">
        <f>IF(ISNUMBER(M55),M55*IF(K55="HALF_WON",(I55-1)/2-U55,IF(K55="HALF_LOST",-0.5-U55,IF(K55="REFUNDED",-U55,I55*L55-1-U55))),"")</f>
        <v>0.39</v>
      </c>
      <c r="O55" s="21">
        <f>IF(AND(ISNUMBER(L55),ISNUMBER(H55)),(H55-L55)^2,"")</f>
        <v>0.023524909646443253</v>
      </c>
      <c r="P55" s="18" t="inlineStr">
        <is>
          <t>2026-W43</t>
        </is>
      </c>
      <c r="Q55" s="18" t="inlineStr">
        <is>
          <t>10a7df008090a45923c14f3c84ec260b147ea047</t>
        </is>
      </c>
      <c r="R55" s="18" t="inlineStr">
        <is>
          <t>football-data.org/v4</t>
        </is>
      </c>
      <c r="S55" s="20">
        <f>IF(AND(ISNUMBER(L55),ISNUMBER(H55)),H55,"")</f>
        <v>0.8466216780426802</v>
      </c>
      <c r="T55" s="19">
        <f>IF(AND(ISNUMBER(L55),ISNUMBER(H55)),1,0)</f>
        <v>1</v>
      </c>
      <c r="U55" s="22">
        <v>0.0</v>
      </c>
      <c r="V55" t="inlineStr" s="18">
        <is>
          <t>2026-10-23T14:36:42.857608+00:00</t>
        </is>
      </c>
      <c r="W55" t="inlineStr" s="18">
        <is>
          <t>2026-10-23T14:56:42Z</t>
        </is>
      </c>
    </row>
    <row r="56" ht="36" customHeight="1">
      <c r="A56" s="18" t="inlineStr">
        <is>
          <t>Serie A|inter|fiorentina|2026-10-25</t>
        </is>
      </c>
      <c r="B56" s="23">
        <v>46320.479166666664</v>
      </c>
      <c r="C56" s="18" t="inlineStr">
        <is>
          <t>Serie A</t>
        </is>
      </c>
      <c r="D56" s="18" t="inlineStr">
        <is>
          <t>Inter Milan vs Fiorentina</t>
        </is>
      </c>
      <c r="E56" s="18" t="inlineStr">
        <is>
          <t>Double Chance 1X</t>
        </is>
      </c>
      <c r="F56" s="18" t="inlineStr">
        <is>
          <t>STRICT</t>
        </is>
      </c>
      <c r="G56" s="18" t="inlineStr">
        <is>
          <t>48h-two-per-market-group-probability-ev-corners-cards-v25</t>
        </is>
      </c>
      <c r="H56" s="20">
        <v>0.857300992291953</v>
      </c>
      <c r="I56" s="22">
        <v>1.1</v>
      </c>
      <c r="J56" s="18" t="inlineStr">
        <is>
          <t>2-1</t>
        </is>
      </c>
      <c r="K56" s="18" t="inlineStr">
        <is>
          <t>WON</t>
        </is>
      </c>
      <c r="L56" s="19">
        <v>1</v>
      </c>
      <c r="M56" s="22">
        <f>IF(AND(ISNUMBER(L56),ISNUMBER(I56),I56&gt;1),'ROI Plan'!$B$5,"")</f>
        <v>1</v>
      </c>
      <c r="N56" s="22">
        <f>IF(ISNUMBER(M56),M56*IF(K56="HALF_WON",(I56-1)/2-U56,IF(K56="HALF_LOST",-0.5-U56,IF(K56="REFUNDED",-U56,I56*L56-1-U56))),"")</f>
        <v>0.10000000000000009</v>
      </c>
      <c r="O56" s="21">
        <f>IF(AND(ISNUMBER(L56),ISNUMBER(H56)),(H56-L56)^2,"")</f>
        <v>0.020363006800861255</v>
      </c>
      <c r="P56" s="18" t="inlineStr">
        <is>
          <t>2026-W43</t>
        </is>
      </c>
      <c r="Q56" s="18" t="inlineStr">
        <is>
          <t>b5f46a88705f2cf938a6bd462a2cc457b35f2a2d</t>
        </is>
      </c>
      <c r="R56" s="18" t="inlineStr">
        <is>
          <t>football-data.org/v4</t>
        </is>
      </c>
      <c r="S56" s="20">
        <f>IF(AND(ISNUMBER(L56),ISNUMBER(H56)),H56,"")</f>
        <v>0.857300992291953</v>
      </c>
      <c r="T56" s="19">
        <f>IF(AND(ISNUMBER(L56),ISNUMBER(H56)),1,0)</f>
        <v>1</v>
      </c>
      <c r="U56" s="22">
        <v>0.0</v>
      </c>
      <c r="V56" t="inlineStr" s="18">
        <is>
          <t>2026-10-25T10:24:47.847996+00:00</t>
        </is>
      </c>
      <c r="W56" t="inlineStr" s="18">
        <is>
          <t>2026-10-25T10:25:17Z</t>
        </is>
      </c>
    </row>
    <row r="57" ht="36" customHeight="1">
      <c r="A57" s="18" t="inlineStr">
        <is>
          <t>La Liga|ath bilbao|getafe|2026-10-25</t>
        </is>
      </c>
      <c r="B57" s="23">
        <v>46320.541666666664</v>
      </c>
      <c r="C57" s="18" t="inlineStr">
        <is>
          <t>La Liga</t>
        </is>
      </c>
      <c r="D57" s="18" t="inlineStr">
        <is>
          <t>Athletic Bilbao vs Getafe</t>
        </is>
      </c>
      <c r="E57" s="18" t="inlineStr">
        <is>
          <t>Double Chance 1X</t>
        </is>
      </c>
      <c r="F57" s="18" t="inlineStr">
        <is>
          <t>STRICT</t>
        </is>
      </c>
      <c r="G57" s="18" t="inlineStr">
        <is>
          <t>48h-top-twelve-profitable-win-probability-v23</t>
        </is>
      </c>
      <c r="H57" s="20">
        <v>0.8094982624286429</v>
      </c>
      <c r="I57" s="22">
        <v>1.15</v>
      </c>
      <c r="J57" s="18"/>
      <c r="K57" s="18" t="inlineStr">
        <is>
          <t>UNVERIFIED_FIXTURE_OR_RESULT</t>
        </is>
      </c>
      <c r="L57" s="18"/>
      <c r="M57" s="22" t="str">
        <f>IF(AND(ISNUMBER(L57),ISNUMBER(I57),I57&gt;1),'ROI Plan'!$B$5,"")</f>
        <v/>
      </c>
      <c r="N57" s="22" t="str">
        <f>IF(ISNUMBER(M57),M57*IF(K57="HALF_WON",(I57-1)/2-U57,IF(K57="HALF_LOST",-0.5-U57,IF(K57="REFUNDED",-U57,I57*L57-1-U57))),"")</f>
        <v/>
      </c>
      <c r="O57" s="21">
        <f>IF(AND(ISNUMBER(L57),ISNUMBER(H57)),(H57-L57)^2,"")</f>
      </c>
      <c r="P57" s="18" t="inlineStr">
        <is>
          <t>2026-W43</t>
        </is>
      </c>
      <c r="Q57" s="18" t="inlineStr">
        <is>
          <t>2b085cc83b2cd990e3533083f7aeef8b0415f01d</t>
        </is>
      </c>
      <c r="R57" s="18"/>
      <c r="S57" s="20">
        <f>IF(AND(ISNUMBER(L57),ISNUMBER(H57)),H57,"")</f>
      </c>
      <c r="T57" s="19">
        <f>IF(AND(ISNUMBER(L57),ISNUMBER(H57)),1,0)</f>
        <v>0</v>
      </c>
      <c r="U57" s="22">
        <v>0.0</v>
      </c>
      <c r="V57" t="inlineStr" s="18">
        <is>
          <t>2026-10-23T16:24:03.614429+00:00</t>
        </is>
      </c>
      <c r="W57" t="inlineStr" s="18">
        <is>
          <t>2026-10-25T10:25:17Z</t>
        </is>
      </c>
    </row>
    <row r="58" ht="36" customHeight="1">
      <c r="A58" s="18" t="inlineStr">
        <is>
          <t>Eredivisie|nec nijmegen|groningen|2026-10-25</t>
        </is>
      </c>
      <c r="B58" s="23">
        <v>46320.5625</v>
      </c>
      <c r="C58" s="18" t="inlineStr">
        <is>
          <t>Eredivisie</t>
        </is>
      </c>
      <c r="D58" s="18" t="inlineStr">
        <is>
          <t>NEC Nijmegen vs Groningen</t>
        </is>
      </c>
      <c r="E58" s="18" t="inlineStr">
        <is>
          <t>Home win</t>
        </is>
      </c>
      <c r="F58" s="18" t="inlineStr">
        <is>
          <t>STRICT</t>
        </is>
      </c>
      <c r="G58" s="18" t="inlineStr">
        <is>
          <t>48h-two-per-market-group-probability-ev-v24</t>
        </is>
      </c>
      <c r="H58" s="20">
        <v>0.4556598688364327</v>
      </c>
      <c r="I58" s="22">
        <v>2.26</v>
      </c>
      <c r="J58" s="18"/>
      <c r="K58" s="18" t="inlineStr">
        <is>
          <t>UNVERIFIED_FIXTURE_OR_RESULT</t>
        </is>
      </c>
      <c r="L58" s="18"/>
      <c r="M58" s="22" t="str">
        <f>IF(AND(ISNUMBER(L58),ISNUMBER(I58),I58&gt;1),'ROI Plan'!$B$5,"")</f>
        <v/>
      </c>
      <c r="N58" s="22" t="str">
        <f>IF(ISNUMBER(M58),M58*IF(K58="HALF_WON",(I58-1)/2-U58,IF(K58="HALF_LOST",-0.5-U58,IF(K58="REFUNDED",-U58,I58*L58-1-U58))),"")</f>
        <v/>
      </c>
      <c r="O58" s="21">
        <f>IF(AND(ISNUMBER(L58),ISNUMBER(H58)),(H58-L58)^2,"")</f>
      </c>
      <c r="P58" s="18" t="inlineStr">
        <is>
          <t>2026-W43</t>
        </is>
      </c>
      <c r="Q58" s="18" t="inlineStr">
        <is>
          <t>007f589ff28970f5c6dcc58af5d09a89aaf2fb4a</t>
        </is>
      </c>
      <c r="R58" s="18"/>
      <c r="S58" s="20">
        <f>IF(AND(ISNUMBER(L58),ISNUMBER(H58)),H58,"")</f>
      </c>
      <c r="T58" s="19">
        <f>IF(AND(ISNUMBER(L58),ISNUMBER(H58)),1,0)</f>
        <v>0</v>
      </c>
      <c r="U58" s="22">
        <v>0.0</v>
      </c>
      <c r="V58" t="inlineStr" s="18">
        <is>
          <t>2026-10-24T14:27:12.490111+00:00</t>
        </is>
      </c>
      <c r="W58" t="inlineStr" s="18">
        <is>
          <t>2026-10-25T10:25:17Z</t>
        </is>
      </c>
    </row>
    <row r="59" ht="36" customHeight="1">
      <c r="A59" s="18" t="inlineStr">
        <is>
          <t>Eredivisie|psv|feyenoord|2026-10-25</t>
        </is>
      </c>
      <c r="B59" s="23">
        <v>46320.5625</v>
      </c>
      <c r="C59" s="18" t="inlineStr">
        <is>
          <t>Eredivisie</t>
        </is>
      </c>
      <c r="D59" s="18" t="inlineStr">
        <is>
          <t>PSV Eindhoven vs Feyenoord</t>
        </is>
      </c>
      <c r="E59" s="18" t="inlineStr">
        <is>
          <t>Home win</t>
        </is>
      </c>
      <c r="F59" s="18" t="inlineStr">
        <is>
          <t>STRICT</t>
        </is>
      </c>
      <c r="G59" s="18" t="inlineStr">
        <is>
          <t>48h-two-per-market-group-probability-ev-v24</t>
        </is>
      </c>
      <c r="H59" s="20">
        <v>0.4968612594487496</v>
      </c>
      <c r="I59" s="22">
        <v>2.07</v>
      </c>
      <c r="J59" s="18" t="inlineStr">
        <is>
          <t>1-1</t>
        </is>
      </c>
      <c r="K59" s="18" t="inlineStr">
        <is>
          <t>LOST</t>
        </is>
      </c>
      <c r="L59" s="19">
        <v>0</v>
      </c>
      <c r="M59" s="22">
        <f>IF(AND(ISNUMBER(L59),ISNUMBER(I59),I59&gt;1),'ROI Plan'!$B$5,"")</f>
        <v>1</v>
      </c>
      <c r="N59" s="22">
        <f>IF(ISNUMBER(M59),M59*IF(K59="HALF_WON",(I59-1)/2-U59,IF(K59="HALF_LOST",-0.5-U59,IF(K59="REFUNDED",-U59,I59*L59-1-U59))),"")</f>
        <v>-1.0</v>
      </c>
      <c r="O59" s="21">
        <f>IF(AND(ISNUMBER(L59),ISNUMBER(H59)),(H59-L59)^2,"")</f>
        <v>0.24687111114099766</v>
      </c>
      <c r="P59" s="18" t="inlineStr">
        <is>
          <t>2026-W43</t>
        </is>
      </c>
      <c r="Q59" s="18" t="inlineStr">
        <is>
          <t>007f589ff28970f5c6dcc58af5d09a89aaf2fb4a</t>
        </is>
      </c>
      <c r="R59" s="18" t="inlineStr">
        <is>
          <t>football-data.org/v4</t>
        </is>
      </c>
      <c r="S59" s="20">
        <f>IF(AND(ISNUMBER(L59),ISNUMBER(H59)),H59,"")</f>
        <v>0.4968612594487496</v>
      </c>
      <c r="T59" s="19">
        <f>IF(AND(ISNUMBER(L59),ISNUMBER(H59)),1,0)</f>
        <v>1</v>
      </c>
      <c r="U59" s="22">
        <v>0.0</v>
      </c>
      <c r="V59" t="inlineStr" s="18">
        <is>
          <t>2026-10-24T14:27:12.490111+00:00</t>
        </is>
      </c>
      <c r="W59" t="inlineStr" s="18">
        <is>
          <t>2026-10-25T10:25:17Z</t>
        </is>
      </c>
    </row>
    <row r="60" ht="36" customHeight="1">
      <c r="A60" s="18" t="inlineStr">
        <is>
          <t>Ligue 1|as monaco|lille|2026-10-25</t>
        </is>
      </c>
      <c r="B60" s="23">
        <v>46320.583333333336</v>
      </c>
      <c r="C60" s="18" t="inlineStr">
        <is>
          <t>Ligue 1</t>
        </is>
      </c>
      <c r="D60" s="18" t="inlineStr">
        <is>
          <t>AS Monaco vs Lille</t>
        </is>
      </c>
      <c r="E60" s="18" t="inlineStr">
        <is>
          <t>Over 1.5</t>
        </is>
      </c>
      <c r="F60" s="18" t="inlineStr">
        <is>
          <t>STRICT</t>
        </is>
      </c>
      <c r="G60" s="18" t="inlineStr">
        <is>
          <t>48h-two-per-market-group-probability-ev-v24</t>
        </is>
      </c>
      <c r="H60" s="20">
        <v>0.7269726492288383</v>
      </c>
      <c r="I60" s="22">
        <v>1.25</v>
      </c>
      <c r="J60" s="18" t="inlineStr">
        <is>
          <t>1-1</t>
        </is>
      </c>
      <c r="K60" s="18" t="inlineStr">
        <is>
          <t>WON</t>
        </is>
      </c>
      <c r="L60" s="19">
        <v>1</v>
      </c>
      <c r="M60" s="22">
        <f>IF(AND(ISNUMBER(L60),ISNUMBER(I60),I60&gt;1),'ROI Plan'!$B$5,"")</f>
        <v>1</v>
      </c>
      <c r="N60" s="22">
        <f>IF(ISNUMBER(M60),M60*IF(K60="HALF_WON",(I60-1)/2-U60,IF(K60="HALF_LOST",-0.5-U60,IF(K60="REFUNDED",-U60,I60*L60-1-U60))),"")</f>
        <v>0.25</v>
      </c>
      <c r="O60" s="21">
        <f>IF(AND(ISNUMBER(L60),ISNUMBER(H60)),(H60-L60)^2,"")</f>
        <v>0.07454393426911897</v>
      </c>
      <c r="P60" s="18" t="inlineStr">
        <is>
          <t>2026-W43</t>
        </is>
      </c>
      <c r="Q60" s="18" t="inlineStr">
        <is>
          <t>089cdbb10f80fa5c2ab9bdb1d45166e2fe2090bc</t>
        </is>
      </c>
      <c r="R60" s="18" t="inlineStr">
        <is>
          <t>football-data.org/v4</t>
        </is>
      </c>
      <c r="S60" s="20">
        <f>IF(AND(ISNUMBER(L60),ISNUMBER(H60)),H60,"")</f>
        <v>0.7269726492288383</v>
      </c>
      <c r="T60" s="19">
        <f>IF(AND(ISNUMBER(L60),ISNUMBER(H60)),1,0)</f>
        <v>1</v>
      </c>
      <c r="U60" s="22">
        <v>0.0</v>
      </c>
      <c r="V60" t="inlineStr" s="18">
        <is>
          <t>2026-10-24T14:22:17.608235+00:00</t>
        </is>
      </c>
      <c r="W60" t="inlineStr" s="18">
        <is>
          <t>2026-10-25T10:25:17Z</t>
        </is>
      </c>
    </row>
    <row r="61" ht="36" customHeight="1">
      <c r="A61" s="18" t="inlineStr">
        <is>
          <t>Premier League|crystal palace|newcastle|2026-10-25</t>
        </is>
      </c>
      <c r="B61" s="23">
        <v>46320.583333333336</v>
      </c>
      <c r="C61" s="18" t="inlineStr">
        <is>
          <t>Premier League</t>
        </is>
      </c>
      <c r="D61" s="18" t="inlineStr">
        <is>
          <t>Crystal Palace vs Newcastle United</t>
        </is>
      </c>
      <c r="E61" s="18" t="inlineStr">
        <is>
          <t>Away win</t>
        </is>
      </c>
      <c r="F61" s="18" t="inlineStr">
        <is>
          <t>STRICT</t>
        </is>
      </c>
      <c r="G61" s="18" t="inlineStr">
        <is>
          <t>48h-two-per-market-group-probability-ev-v24</t>
        </is>
      </c>
      <c r="H61" s="20">
        <v>0.387792975743304</v>
      </c>
      <c r="I61" s="22">
        <v>2.37</v>
      </c>
      <c r="J61" s="18" t="inlineStr">
        <is>
          <t>0-2</t>
        </is>
      </c>
      <c r="K61" s="18" t="inlineStr">
        <is>
          <t>WON</t>
        </is>
      </c>
      <c r="L61" s="19">
        <v>1</v>
      </c>
      <c r="M61" s="22">
        <f>IF(AND(ISNUMBER(L61),ISNUMBER(I61),I61&gt;1),'ROI Plan'!$B$5,"")</f>
        <v>1</v>
      </c>
      <c r="N61" s="22">
        <f>IF(ISNUMBER(M61),M61*IF(K61="HALF_WON",(I61-1)/2-U61,IF(K61="HALF_LOST",-0.5-U61,IF(K61="REFUNDED",-U61,I61*L61-1-U61))),"")</f>
        <v>1.37</v>
      </c>
      <c r="O61" s="21">
        <f>IF(AND(ISNUMBER(L61),ISNUMBER(H61)),(H61-L61)^2,"")</f>
        <v>0.3747974405492387</v>
      </c>
      <c r="P61" s="18" t="inlineStr">
        <is>
          <t>2026-W43</t>
        </is>
      </c>
      <c r="Q61" s="18" t="inlineStr">
        <is>
          <t>089cdbb10f80fa5c2ab9bdb1d45166e2fe2090bc</t>
        </is>
      </c>
      <c r="R61" s="18" t="inlineStr">
        <is>
          <t>football-data.org/v4</t>
        </is>
      </c>
      <c r="S61" s="20">
        <f>IF(AND(ISNUMBER(L61),ISNUMBER(H61)),H61,"")</f>
        <v>0.387792975743304</v>
      </c>
      <c r="T61" s="19">
        <f>IF(AND(ISNUMBER(L61),ISNUMBER(H61)),1,0)</f>
        <v>1</v>
      </c>
      <c r="U61" s="22">
        <v>0.0</v>
      </c>
      <c r="V61" t="inlineStr" s="18">
        <is>
          <t>2026-10-24T14:22:17.608235+00:00</t>
        </is>
      </c>
      <c r="W61" t="inlineStr" s="18">
        <is>
          <t>2026-10-25T10:25:17Z</t>
        </is>
      </c>
    </row>
    <row r="62" ht="36" customHeight="1">
      <c r="A62" s="18" t="inlineStr">
        <is>
          <t>Premier League|hull city|brentford|2026-10-25</t>
        </is>
      </c>
      <c r="B62" s="23">
        <v>46320.583333333336</v>
      </c>
      <c r="C62" s="18" t="inlineStr">
        <is>
          <t>Premier League</t>
        </is>
      </c>
      <c r="D62" s="18" t="inlineStr">
        <is>
          <t>Hull City vs Brentford</t>
        </is>
      </c>
      <c r="E62" s="18" t="inlineStr">
        <is>
          <t>Asian Handicap Home +1.25</t>
        </is>
      </c>
      <c r="F62" s="18" t="inlineStr">
        <is>
          <t>STRICT</t>
        </is>
      </c>
      <c r="G62" s="18" t="inlineStr">
        <is>
          <t>48h-two-per-market-group-probability-ev-corners-cards-v25</t>
        </is>
      </c>
      <c r="H62" s="20">
        <v>0.7977573514747232</v>
      </c>
      <c r="I62" s="22">
        <v>1.6</v>
      </c>
      <c r="J62" s="18" t="inlineStr">
        <is>
          <t>1-1</t>
        </is>
      </c>
      <c r="K62" s="18" t="inlineStr">
        <is>
          <t>WON</t>
        </is>
      </c>
      <c r="L62" s="19">
        <v>1</v>
      </c>
      <c r="M62" s="22">
        <f>IF(AND(ISNUMBER(L62),ISNUMBER(I62),I62&gt;1),'ROI Plan'!$B$5,"")</f>
        <v>1</v>
      </c>
      <c r="N62" s="22">
        <f>IF(ISNUMBER(M62),M62*IF(K62="HALF_WON",(I62-1)/2-U62,IF(K62="HALF_LOST",-0.5-U62,IF(K62="REFUNDED",-U62,I62*L62-1-U62))),"")</f>
        <v>0.6</v>
      </c>
      <c r="O62" s="21">
        <f>IF(AND(ISNUMBER(L62),ISNUMBER(H62)),(H62-L62)^2,"")</f>
        <v>0.040902088882518665</v>
      </c>
      <c r="P62" s="18" t="inlineStr">
        <is>
          <t>2026-W43</t>
        </is>
      </c>
      <c r="Q62" s="18" t="inlineStr">
        <is>
          <t>b5f46a88705f2cf938a6bd462a2cc457b35f2a2d</t>
        </is>
      </c>
      <c r="R62" s="18" t="inlineStr">
        <is>
          <t>football-data.org/v4</t>
        </is>
      </c>
      <c r="S62" s="20">
        <f>IF(AND(ISNUMBER(L62),ISNUMBER(H62)),H62,"")</f>
        <v>0.7977573514747232</v>
      </c>
      <c r="T62" s="19">
        <f>IF(AND(ISNUMBER(L62),ISNUMBER(H62)),1,0)</f>
        <v>1</v>
      </c>
      <c r="U62" s="22">
        <v>0.0</v>
      </c>
      <c r="V62" t="inlineStr" s="18">
        <is>
          <t>2026-10-25T10:24:47.847996+00:00</t>
        </is>
      </c>
      <c r="W62" t="inlineStr" s="18">
        <is>
          <t>2026-10-25T10:25:17Z</t>
        </is>
      </c>
    </row>
    <row r="63" ht="36" customHeight="1">
      <c r="A63" s="18" t="inlineStr">
        <is>
          <t>Serie A|atalanta bc|frosinone|2026-10-25</t>
        </is>
      </c>
      <c r="B63" s="23">
        <v>46320.583333333336</v>
      </c>
      <c r="C63" s="18" t="inlineStr">
        <is>
          <t>Serie A</t>
        </is>
      </c>
      <c r="D63" s="18" t="inlineStr">
        <is>
          <t>Atalanta BC vs Frosinone</t>
        </is>
      </c>
      <c r="E63" s="18" t="inlineStr">
        <is>
          <t>Home win</t>
        </is>
      </c>
      <c r="F63" s="18" t="inlineStr">
        <is>
          <t>STRICT</t>
        </is>
      </c>
      <c r="G63" s="18" t="inlineStr">
        <is>
          <t>48h-two-per-market-group-probability-ev-corners-cards-v25</t>
        </is>
      </c>
      <c r="H63" s="20">
        <v>0.5839676068704619</v>
      </c>
      <c r="I63" s="22">
        <v>1.9</v>
      </c>
      <c r="J63" s="18" t="inlineStr">
        <is>
          <t>4-4</t>
        </is>
      </c>
      <c r="K63" s="18" t="inlineStr">
        <is>
          <t>LOST</t>
        </is>
      </c>
      <c r="L63" s="19">
        <v>0</v>
      </c>
      <c r="M63" s="22">
        <f>IF(AND(ISNUMBER(L63),ISNUMBER(I63),I63&gt;1),'ROI Plan'!$B$5,"")</f>
        <v>1</v>
      </c>
      <c r="N63" s="22">
        <f>IF(ISNUMBER(M63),M63*IF(K63="HALF_WON",(I63-1)/2-U63,IF(K63="HALF_LOST",-0.5-U63,IF(K63="REFUNDED",-U63,I63*L63-1-U63))),"")</f>
        <v>-1.0</v>
      </c>
      <c r="O63" s="21">
        <f>IF(AND(ISNUMBER(L63),ISNUMBER(H63)),(H63-L63)^2,"")</f>
        <v>0.34101816587401435</v>
      </c>
      <c r="P63" s="18" t="inlineStr">
        <is>
          <t>2026-W43</t>
        </is>
      </c>
      <c r="Q63" s="18" t="inlineStr">
        <is>
          <t>b5f46a88705f2cf938a6bd462a2cc457b35f2a2d</t>
        </is>
      </c>
      <c r="R63" s="18" t="inlineStr">
        <is>
          <t>football-data.org/v4</t>
        </is>
      </c>
      <c r="S63" s="20">
        <f>IF(AND(ISNUMBER(L63),ISNUMBER(H63)),H63,"")</f>
        <v>0.5839676068704619</v>
      </c>
      <c r="T63" s="19">
        <f>IF(AND(ISNUMBER(L63),ISNUMBER(H63)),1,0)</f>
        <v>1</v>
      </c>
      <c r="U63" s="22">
        <v>0.0</v>
      </c>
      <c r="V63" t="inlineStr" s="18">
        <is>
          <t>2026-10-25T10:24:47.847996+00:00</t>
        </is>
      </c>
      <c r="W63" t="inlineStr" s="18">
        <is>
          <t>2026-10-25T10:25:17Z</t>
        </is>
      </c>
    </row>
    <row r="64" ht="36" customHeight="1">
      <c r="A64" s="18" t="inlineStr">
        <is>
          <t>Bundesliga|tsg hoffenheim|bayer leverkusen|2026-10-25</t>
        </is>
      </c>
      <c r="B64" s="23">
        <v>46320.604166666664</v>
      </c>
      <c r="C64" s="18" t="inlineStr">
        <is>
          <t>Bundesliga</t>
        </is>
      </c>
      <c r="D64" s="18" t="inlineStr">
        <is>
          <t>TSG Hoffenheim vs Bayer Leverkusen</t>
        </is>
      </c>
      <c r="E64" s="18" t="inlineStr">
        <is>
          <t>Away win</t>
        </is>
      </c>
      <c r="F64" s="18" t="inlineStr">
        <is>
          <t>STRICT</t>
        </is>
      </c>
      <c r="G64" s="18" t="inlineStr">
        <is>
          <t>48h-two-per-market-group-probability-ev-corners-cards-v25</t>
        </is>
      </c>
      <c r="H64" s="20">
        <v>0.46619988307738197</v>
      </c>
      <c r="I64" s="22">
        <v>2.33</v>
      </c>
      <c r="J64" s="18" t="inlineStr">
        <is>
          <t>3-0</t>
        </is>
      </c>
      <c r="K64" s="18" t="inlineStr">
        <is>
          <t>LOST</t>
        </is>
      </c>
      <c r="L64" s="19">
        <v>0</v>
      </c>
      <c r="M64" s="22">
        <f>IF(AND(ISNUMBER(L64),ISNUMBER(I64),I64&gt;1),'ROI Plan'!$B$5,"")</f>
        <v>1</v>
      </c>
      <c r="N64" s="22">
        <f>IF(ISNUMBER(M64),M64*IF(K64="HALF_WON",(I64-1)/2-U64,IF(K64="HALF_LOST",-0.5-U64,IF(K64="REFUNDED",-U64,I64*L64-1-U64))),"")</f>
        <v>-1.0</v>
      </c>
      <c r="O64" s="21">
        <f>IF(AND(ISNUMBER(L64),ISNUMBER(H64)),(H64-L64)^2,"")</f>
        <v>0.21734233098136463</v>
      </c>
      <c r="P64" s="18" t="inlineStr">
        <is>
          <t>2026-W43</t>
        </is>
      </c>
      <c r="Q64" s="18" t="inlineStr">
        <is>
          <t>b5f46a88705f2cf938a6bd462a2cc457b35f2a2d</t>
        </is>
      </c>
      <c r="R64" s="18" t="inlineStr">
        <is>
          <t>football-data.org/v4</t>
        </is>
      </c>
      <c r="S64" s="20">
        <f>IF(AND(ISNUMBER(L64),ISNUMBER(H64)),H64,"")</f>
        <v>0.46619988307738197</v>
      </c>
      <c r="T64" s="19">
        <f>IF(AND(ISNUMBER(L64),ISNUMBER(H64)),1,0)</f>
        <v>1</v>
      </c>
      <c r="U64" s="22">
        <v>0.0</v>
      </c>
      <c r="V64" t="inlineStr" s="18">
        <is>
          <t>2026-10-25T10:24:47.847996+00:00</t>
        </is>
      </c>
      <c r="W64" t="inlineStr" s="18">
        <is>
          <t>2026-10-25T10:25:17Z</t>
        </is>
      </c>
    </row>
    <row r="65" ht="36" customHeight="1">
      <c r="A65" s="18" t="inlineStr">
        <is>
          <t>La Liga|celta vigo|real betis|2026-10-25</t>
        </is>
      </c>
      <c r="B65" s="23">
        <v>46320.635416666664</v>
      </c>
      <c r="C65" s="18" t="inlineStr">
        <is>
          <t>La Liga</t>
        </is>
      </c>
      <c r="D65" s="18" t="inlineStr">
        <is>
          <t>Celta Vigo vs Real Betis</t>
        </is>
      </c>
      <c r="E65" s="18" t="inlineStr">
        <is>
          <t>Corners Under 10.5</t>
        </is>
      </c>
      <c r="F65" s="18" t="inlineStr">
        <is>
          <t>STRICT</t>
        </is>
      </c>
      <c r="G65" s="18" t="inlineStr">
        <is>
          <t>48h-two-per-market-group-probability-ev-corners-cards-v25</t>
        </is>
      </c>
      <c r="H65" s="20">
        <v>0.7199397781918451</v>
      </c>
      <c r="I65" s="22">
        <v>1.49</v>
      </c>
      <c r="J65" s="18"/>
      <c r="K65" s="18" t="inlineStr">
        <is>
          <t>UNVERIFIED_FIXTURE_OR_RESULT</t>
        </is>
      </c>
      <c r="L65" s="18"/>
      <c r="M65" s="22" t="str">
        <f>IF(AND(ISNUMBER(L65),ISNUMBER(I65),I65&gt;1),'ROI Plan'!$B$5,"")</f>
        <v/>
      </c>
      <c r="N65" s="22" t="str">
        <f>IF(ISNUMBER(M65),M65*IF(K65="HALF_WON",(I65-1)/2-U65,IF(K65="HALF_LOST",-0.5-U65,IF(K65="REFUNDED",-U65,I65*L65-1-U65))),"")</f>
        <v/>
      </c>
      <c r="O65" s="21">
        <f>IF(AND(ISNUMBER(L65),ISNUMBER(H65)),(H65-L65)^2,"")</f>
      </c>
      <c r="P65" s="18" t="inlineStr">
        <is>
          <t>2026-W43</t>
        </is>
      </c>
      <c r="Q65" s="18" t="inlineStr">
        <is>
          <t>b5f46a88705f2cf938a6bd462a2cc457b35f2a2d</t>
        </is>
      </c>
      <c r="R65" s="18"/>
      <c r="S65" s="20">
        <f>IF(AND(ISNUMBER(L65),ISNUMBER(H65)),H65,"")</f>
      </c>
      <c r="T65" s="19">
        <f>IF(AND(ISNUMBER(L65),ISNUMBER(H65)),1,0)</f>
        <v>0</v>
      </c>
      <c r="U65" s="22">
        <v>0.0</v>
      </c>
      <c r="V65" t="inlineStr" s="18">
        <is>
          <t>2026-10-25T10:24:47.847996+00:00</t>
        </is>
      </c>
      <c r="W65" t="inlineStr" s="18">
        <is>
          <t>2026-10-25T10:25:17Z</t>
        </is>
      </c>
    </row>
    <row r="66" ht="36" customHeight="1">
      <c r="A66" s="18" t="inlineStr">
        <is>
          <t>Primeira Liga|estoril|moreirense|2026-10-25</t>
        </is>
      </c>
      <c r="B66" s="23">
        <v>46320.645833333336</v>
      </c>
      <c r="C66" s="18" t="inlineStr">
        <is>
          <t>Primeira Liga</t>
        </is>
      </c>
      <c r="D66" s="18" t="inlineStr">
        <is>
          <t>Estoril vs Moreirense FC</t>
        </is>
      </c>
      <c r="E66" s="18" t="inlineStr">
        <is>
          <t>Over 1.5</t>
        </is>
      </c>
      <c r="F66" s="18" t="inlineStr">
        <is>
          <t>STRICT</t>
        </is>
      </c>
      <c r="G66" s="18" t="inlineStr">
        <is>
          <t>48h-two-per-market-group-probability-ev-corners-cards-v25</t>
        </is>
      </c>
      <c r="H66" s="20">
        <v>0.7459569203211742</v>
      </c>
      <c r="I66" s="22">
        <v>1.3</v>
      </c>
      <c r="J66" s="18"/>
      <c r="K66" s="18" t="inlineStr">
        <is>
          <t>UNVERIFIED_FIXTURE_OR_RESULT</t>
        </is>
      </c>
      <c r="L66" s="18"/>
      <c r="M66" s="22" t="str">
        <f>IF(AND(ISNUMBER(L66),ISNUMBER(I66),I66&gt;1),'ROI Plan'!$B$5,"")</f>
        <v/>
      </c>
      <c r="N66" s="22" t="str">
        <f>IF(ISNUMBER(M66),M66*IF(K66="HALF_WON",(I66-1)/2-U66,IF(K66="HALF_LOST",-0.5-U66,IF(K66="REFUNDED",-U66,I66*L66-1-U66))),"")</f>
        <v/>
      </c>
      <c r="O66" s="21">
        <f>IF(AND(ISNUMBER(L66),ISNUMBER(H66)),(H66-L66)^2,"")</f>
      </c>
      <c r="P66" s="18" t="inlineStr">
        <is>
          <t>2026-W43</t>
        </is>
      </c>
      <c r="Q66" s="18" t="inlineStr">
        <is>
          <t>b5f46a88705f2cf938a6bd462a2cc457b35f2a2d</t>
        </is>
      </c>
      <c r="R66" s="18"/>
      <c r="S66" s="20">
        <f>IF(AND(ISNUMBER(L66),ISNUMBER(H66)),H66,"")</f>
      </c>
      <c r="T66" s="19">
        <f>IF(AND(ISNUMBER(L66),ISNUMBER(H66)),1,0)</f>
        <v>0</v>
      </c>
      <c r="U66" s="22">
        <v>0.0</v>
      </c>
      <c r="V66" t="inlineStr" s="18">
        <is>
          <t>2026-10-25T10:24:47.847996+00:00</t>
        </is>
      </c>
      <c r="W66" t="inlineStr" s="18">
        <is>
          <t>2026-10-25T10:25:17Z</t>
        </is>
      </c>
    </row>
    <row r="67" ht="36" customHeight="1">
      <c r="A67" s="18" t="inlineStr">
        <is>
          <t>Eredivisie|sparta rotterdam|ajax|2026-10-25</t>
        </is>
      </c>
      <c r="B67" s="23">
        <v>46320.65625</v>
      </c>
      <c r="C67" s="18" t="inlineStr">
        <is>
          <t>Eredivisie</t>
        </is>
      </c>
      <c r="D67" s="18" t="inlineStr">
        <is>
          <t>Sparta Rotterdam vs Ajax</t>
        </is>
      </c>
      <c r="E67" s="18" t="inlineStr">
        <is>
          <t>Asian Handicap Home +2.25</t>
        </is>
      </c>
      <c r="F67" s="18" t="inlineStr">
        <is>
          <t>STRICT</t>
        </is>
      </c>
      <c r="G67" s="18" t="inlineStr">
        <is>
          <t>48h-two-per-market-group-probability-ev-corners-cards-v25</t>
        </is>
      </c>
      <c r="H67" s="20">
        <v>0.8043263004101746</v>
      </c>
      <c r="I67" s="22">
        <v>1.35</v>
      </c>
      <c r="J67" s="18" t="inlineStr">
        <is>
          <t>1-2</t>
        </is>
      </c>
      <c r="K67" s="18" t="inlineStr">
        <is>
          <t>WON</t>
        </is>
      </c>
      <c r="L67" s="19">
        <v>1</v>
      </c>
      <c r="M67" s="22">
        <f>IF(AND(ISNUMBER(L67),ISNUMBER(I67),I67&gt;1),'ROI Plan'!$B$5,"")</f>
        <v>1</v>
      </c>
      <c r="N67" s="22">
        <f>IF(ISNUMBER(M67),M67*IF(K67="HALF_WON",(I67-1)/2-U67,IF(K67="HALF_LOST",-0.5-U67,IF(K67="REFUNDED",-U67,I67*L67-1-U67))),"")</f>
        <v>0.35</v>
      </c>
      <c r="O67" s="21">
        <f>IF(AND(ISNUMBER(L67),ISNUMBER(H67)),(H67-L67)^2,"")</f>
        <v>0.03828819671116923</v>
      </c>
      <c r="P67" s="18" t="inlineStr">
        <is>
          <t>2026-W43</t>
        </is>
      </c>
      <c r="Q67" s="18" t="inlineStr">
        <is>
          <t>b5f46a88705f2cf938a6bd462a2cc457b35f2a2d</t>
        </is>
      </c>
      <c r="R67" s="18" t="inlineStr">
        <is>
          <t>football-data.org/v4</t>
        </is>
      </c>
      <c r="S67" s="20">
        <f>IF(AND(ISNUMBER(L67),ISNUMBER(H67)),H67,"")</f>
        <v>0.8043263004101746</v>
      </c>
      <c r="T67" s="19">
        <f>IF(AND(ISNUMBER(L67),ISNUMBER(H67)),1,0)</f>
        <v>1</v>
      </c>
      <c r="U67" s="22">
        <v>0.0</v>
      </c>
      <c r="V67" t="inlineStr" s="18">
        <is>
          <t>2026-10-25T10:24:47.847996+00:00</t>
        </is>
      </c>
      <c r="W67" t="inlineStr" s="18">
        <is>
          <t>2026-10-25T10:25:17Z</t>
        </is>
      </c>
    </row>
    <row r="68" ht="36" customHeight="1">
      <c r="A68" s="18" t="inlineStr">
        <is>
          <t>Ligue 1|marseille|le havre|2026-10-25</t>
        </is>
      </c>
      <c r="B68" s="23">
        <v>46320.677083333336</v>
      </c>
      <c r="C68" s="18" t="inlineStr">
        <is>
          <t>Ligue 1</t>
        </is>
      </c>
      <c r="D68" s="18" t="inlineStr">
        <is>
          <t>Marseille vs Le Havre</t>
        </is>
      </c>
      <c r="E68" s="18" t="inlineStr">
        <is>
          <t>Double Chance 1X</t>
        </is>
      </c>
      <c r="F68" s="18" t="inlineStr">
        <is>
          <t>STRICT</t>
        </is>
      </c>
      <c r="G68" s="18" t="inlineStr">
        <is>
          <t>48h-two-per-market-group-probability-ev-corners-cards-v25</t>
        </is>
      </c>
      <c r="H68" s="20">
        <v>0.861967122073207</v>
      </c>
      <c r="I68" s="22">
        <v>1.16</v>
      </c>
      <c r="J68" s="18" t="inlineStr">
        <is>
          <t>4-3</t>
        </is>
      </c>
      <c r="K68" s="18" t="inlineStr">
        <is>
          <t>WON</t>
        </is>
      </c>
      <c r="L68" s="19">
        <v>1</v>
      </c>
      <c r="M68" s="22">
        <f>IF(AND(ISNUMBER(L68),ISNUMBER(I68),I68&gt;1),'ROI Plan'!$B$5,"")</f>
        <v>1</v>
      </c>
      <c r="N68" s="22">
        <f>IF(ISNUMBER(M68),M68*IF(K68="HALF_WON",(I68-1)/2-U68,IF(K68="HALF_LOST",-0.5-U68,IF(K68="REFUNDED",-U68,I68*L68-1-U68))),"")</f>
        <v>0.15999999999999992</v>
      </c>
      <c r="O68" s="21">
        <f>IF(AND(ISNUMBER(L68),ISNUMBER(H68)),(H68-L68)^2,"")</f>
        <v>0.019053075388752932</v>
      </c>
      <c r="P68" s="18" t="inlineStr">
        <is>
          <t>2026-W43</t>
        </is>
      </c>
      <c r="Q68" s="18" t="inlineStr">
        <is>
          <t>b5f46a88705f2cf938a6bd462a2cc457b35f2a2d</t>
        </is>
      </c>
      <c r="R68" s="18" t="inlineStr">
        <is>
          <t>football-data.org/v4</t>
        </is>
      </c>
      <c r="S68" s="20">
        <f>IF(AND(ISNUMBER(L68),ISNUMBER(H68)),H68,"")</f>
        <v>0.861967122073207</v>
      </c>
      <c r="T68" s="19">
        <f>IF(AND(ISNUMBER(L68),ISNUMBER(H68)),1,0)</f>
        <v>1</v>
      </c>
      <c r="U68" s="22">
        <v>0.0</v>
      </c>
      <c r="V68" t="inlineStr" s="18">
        <is>
          <t>2026-10-25T10:24:47.847996+00:00</t>
        </is>
      </c>
      <c r="W68" t="inlineStr" s="18">
        <is>
          <t>2026-10-25T10:25:17Z</t>
        </is>
      </c>
    </row>
    <row r="69" ht="36" customHeight="1">
      <c r="A69" s="18" t="inlineStr">
        <is>
          <t>Ligue 1|toulouse|troyes|2026-10-25</t>
        </is>
      </c>
      <c r="B69" s="23">
        <v>46320.677083333336</v>
      </c>
      <c r="C69" s="18" t="inlineStr">
        <is>
          <t>Ligue 1</t>
        </is>
      </c>
      <c r="D69" s="18" t="inlineStr">
        <is>
          <t>Toulouse vs Troyes</t>
        </is>
      </c>
      <c r="E69" s="18" t="inlineStr">
        <is>
          <t>Home win</t>
        </is>
      </c>
      <c r="F69" s="18" t="inlineStr">
        <is>
          <t>STRICT</t>
        </is>
      </c>
      <c r="G69" s="18" t="inlineStr">
        <is>
          <t>48h-two-per-market-group-probability-ev-corners-cards-v25</t>
        </is>
      </c>
      <c r="H69" s="20">
        <v>0.6015842820849782</v>
      </c>
      <c r="I69" s="22">
        <v>1.52</v>
      </c>
      <c r="J69" s="18" t="inlineStr">
        <is>
          <t>0-0</t>
        </is>
      </c>
      <c r="K69" s="18" t="inlineStr">
        <is>
          <t>LOST</t>
        </is>
      </c>
      <c r="L69" s="19">
        <v>0</v>
      </c>
      <c r="M69" s="22">
        <f>IF(AND(ISNUMBER(L69),ISNUMBER(I69),I69&gt;1),'ROI Plan'!$B$5,"")</f>
        <v>1</v>
      </c>
      <c r="N69" s="22">
        <f>IF(ISNUMBER(M69),M69*IF(K69="HALF_WON",(I69-1)/2-U69,IF(K69="HALF_LOST",-0.5-U69,IF(K69="REFUNDED",-U69,I69*L69-1-U69))),"")</f>
        <v>-1.0</v>
      </c>
      <c r="O69" s="21">
        <f>IF(AND(ISNUMBER(L69),ISNUMBER(H69)),(H69-L69)^2,"")</f>
        <v>0.3619036484516986</v>
      </c>
      <c r="P69" s="18" t="inlineStr">
        <is>
          <t>2026-W43</t>
        </is>
      </c>
      <c r="Q69" s="18" t="inlineStr">
        <is>
          <t>b5f46a88705f2cf938a6bd462a2cc457b35f2a2d</t>
        </is>
      </c>
      <c r="R69" s="18" t="inlineStr">
        <is>
          <t>football-data.org/v4</t>
        </is>
      </c>
      <c r="S69" s="20">
        <f>IF(AND(ISNUMBER(L69),ISNUMBER(H69)),H69,"")</f>
        <v>0.6015842820849782</v>
      </c>
      <c r="T69" s="19">
        <f>IF(AND(ISNUMBER(L69),ISNUMBER(H69)),1,0)</f>
        <v>1</v>
      </c>
      <c r="U69" s="22">
        <v>0.0</v>
      </c>
      <c r="V69" t="inlineStr" s="18">
        <is>
          <t>2026-10-25T10:24:47.847996+00:00</t>
        </is>
      </c>
      <c r="W69" t="inlineStr" s="18">
        <is>
          <t>2026-10-25T10:25:17Z</t>
        </is>
      </c>
    </row>
    <row r="70" ht="36" customHeight="1">
      <c r="A70" s="18" t="inlineStr">
        <is>
          <t>Bundesliga|freiburg|bayern munich|2026-10-25</t>
        </is>
      </c>
      <c r="B70" s="23">
        <v>46320.6875</v>
      </c>
      <c r="C70" s="18" t="inlineStr">
        <is>
          <t>Bundesliga</t>
        </is>
      </c>
      <c r="D70" s="18" t="inlineStr">
        <is>
          <t>SC Freiburg vs Bayern Munich</t>
        </is>
      </c>
      <c r="E70" s="18" t="inlineStr">
        <is>
          <t>Double Chance X2</t>
        </is>
      </c>
      <c r="F70" s="18" t="inlineStr">
        <is>
          <t>STRICT</t>
        </is>
      </c>
      <c r="G70" s="18" t="inlineStr">
        <is>
          <t>48h-two-per-market-group-probability-ev-corners-cards-v25</t>
        </is>
      </c>
      <c r="H70" s="20">
        <v>0.829883220975896</v>
      </c>
      <c r="I70" s="22">
        <v>1.18</v>
      </c>
      <c r="J70" s="18" t="inlineStr">
        <is>
          <t>1-3</t>
        </is>
      </c>
      <c r="K70" s="18" t="inlineStr">
        <is>
          <t>WON</t>
        </is>
      </c>
      <c r="L70" s="19">
        <v>1</v>
      </c>
      <c r="M70" s="22">
        <f>IF(AND(ISNUMBER(L70),ISNUMBER(I70),I70&gt;1),'ROI Plan'!$B$5,"")</f>
        <v>1</v>
      </c>
      <c r="N70" s="22">
        <f>IF(ISNUMBER(M70),M70*IF(K70="HALF_WON",(I70-1)/2-U70,IF(K70="HALF_LOST",-0.5-U70,IF(K70="REFUNDED",-U70,I70*L70-1-U70))),"")</f>
        <v>0.17999999999999994</v>
      </c>
      <c r="O70" s="21">
        <f>IF(AND(ISNUMBER(L70),ISNUMBER(H70)),(H70-L70)^2,"")</f>
        <v>0.028939718505535846</v>
      </c>
      <c r="P70" s="18" t="inlineStr">
        <is>
          <t>2026-W43</t>
        </is>
      </c>
      <c r="Q70" s="18" t="inlineStr">
        <is>
          <t>b5f46a88705f2cf938a6bd462a2cc457b35f2a2d</t>
        </is>
      </c>
      <c r="R70" s="18" t="inlineStr">
        <is>
          <t>football-data.org/v4</t>
        </is>
      </c>
      <c r="S70" s="20">
        <f>IF(AND(ISNUMBER(L70),ISNUMBER(H70)),H70,"")</f>
        <v>0.829883220975896</v>
      </c>
      <c r="T70" s="19">
        <f>IF(AND(ISNUMBER(L70),ISNUMBER(H70)),1,0)</f>
        <v>1</v>
      </c>
      <c r="U70" s="22">
        <v>0.0</v>
      </c>
      <c r="V70" t="inlineStr" s="18">
        <is>
          <t>2026-10-25T10:24:47.847996+00:00</t>
        </is>
      </c>
      <c r="W70" t="inlineStr" s="18">
        <is>
          <t>2026-10-25T10:25:17Z</t>
        </is>
      </c>
    </row>
    <row r="71" ht="36" customHeight="1">
      <c r="A71" s="18" t="inlineStr">
        <is>
          <t>Serie A|lecce|juventus|2026-10-25</t>
        </is>
      </c>
      <c r="B71" s="23">
        <v>46320.708333333336</v>
      </c>
      <c r="C71" s="18" t="inlineStr">
        <is>
          <t>Serie A</t>
        </is>
      </c>
      <c r="D71" s="18" t="inlineStr">
        <is>
          <t>Lecce vs Juventus</t>
        </is>
      </c>
      <c r="E71" s="18" t="inlineStr">
        <is>
          <t>Corners Under 10.5</t>
        </is>
      </c>
      <c r="F71" s="18" t="inlineStr">
        <is>
          <t>STRICT</t>
        </is>
      </c>
      <c r="G71" s="18" t="inlineStr">
        <is>
          <t>48h-two-per-market-group-probability-ev-corners-cards-v25</t>
        </is>
      </c>
      <c r="H71" s="20">
        <v>0.7311950061263359</v>
      </c>
      <c r="I71" s="22">
        <v>1.53</v>
      </c>
      <c r="J71" s="18" t="inlineStr">
        <is>
          <t>0-2</t>
        </is>
      </c>
      <c r="K71" s="18" t="inlineStr">
        <is>
          <t>WON</t>
        </is>
      </c>
      <c r="L71" s="19">
        <v>1</v>
      </c>
      <c r="M71" s="22">
        <f>IF(AND(ISNUMBER(L71),ISNUMBER(I71),I71&gt;1),'ROI Plan'!$B$5,"")</f>
        <v>1</v>
      </c>
      <c r="N71" s="22">
        <f>IF(ISNUMBER(M71),M71*IF(K71="HALF_WON",(I71-1)/2-U71,IF(K71="HALF_LOST",-0.5-U71,IF(K71="REFUNDED",-U71,I71*L71-1-U71))),"")</f>
        <v>0.53</v>
      </c>
      <c r="O71" s="21">
        <f>IF(AND(ISNUMBER(L71),ISNUMBER(H71)),(H71-L71)^2,"")</f>
        <v>0.07225612473142058</v>
      </c>
      <c r="P71" s="18" t="inlineStr">
        <is>
          <t>2026-W43</t>
        </is>
      </c>
      <c r="Q71" s="18" t="inlineStr">
        <is>
          <t>b5f46a88705f2cf938a6bd462a2cc457b35f2a2d</t>
        </is>
      </c>
      <c r="R71" s="18" t="inlineStr">
        <is>
          <t>football-data.org/v4</t>
        </is>
      </c>
      <c r="S71" s="20">
        <f>IF(AND(ISNUMBER(L71),ISNUMBER(H71)),H71,"")</f>
        <v>0.7311950061263359</v>
      </c>
      <c r="T71" s="19">
        <f>IF(AND(ISNUMBER(L71),ISNUMBER(H71)),1,0)</f>
        <v>1</v>
      </c>
      <c r="U71" s="22">
        <v>0.0</v>
      </c>
      <c r="V71" t="inlineStr" s="18">
        <is>
          <t>2026-10-25T10:24:47.847996+00:00</t>
        </is>
      </c>
      <c r="W71" t="inlineStr" s="18">
        <is>
          <t>2026-10-25T10:25:17Z</t>
        </is>
      </c>
    </row>
    <row r="72" ht="36" customHeight="1">
      <c r="A72" s="18" t="inlineStr">
        <is>
          <t>La Liga|real sociedad|levante|2026-10-25</t>
        </is>
      </c>
      <c r="B72" s="23">
        <v>46320.729166666664</v>
      </c>
      <c r="C72" s="18" t="inlineStr">
        <is>
          <t>La Liga</t>
        </is>
      </c>
      <c r="D72" s="18" t="inlineStr">
        <is>
          <t>Real Sociedad vs Levante</t>
        </is>
      </c>
      <c r="E72" s="18" t="inlineStr">
        <is>
          <t>Double Chance 12</t>
        </is>
      </c>
      <c r="F72" s="18" t="inlineStr">
        <is>
          <t>STRICT</t>
        </is>
      </c>
      <c r="G72" s="18" t="inlineStr">
        <is>
          <t>48h-two-per-market-group-probability-ev-corners-cards-v25</t>
        </is>
      </c>
      <c r="H72" s="20">
        <v>0.7779296834980989</v>
      </c>
      <c r="I72" s="22">
        <v>1.22</v>
      </c>
      <c r="J72" s="18" t="inlineStr">
        <is>
          <t>2-1</t>
        </is>
      </c>
      <c r="K72" s="18" t="inlineStr">
        <is>
          <t>WON</t>
        </is>
      </c>
      <c r="L72" s="19">
        <v>1</v>
      </c>
      <c r="M72" s="22">
        <f>IF(AND(ISNUMBER(L72),ISNUMBER(I72),I72&gt;1),'ROI Plan'!$B$5,"")</f>
        <v>1</v>
      </c>
      <c r="N72" s="22">
        <f>IF(ISNUMBER(M72),M72*IF(K72="HALF_WON",(I72-1)/2-U72,IF(K72="HALF_LOST",-0.5-U72,IF(K72="REFUNDED",-U72,I72*L72-1-U72))),"")</f>
        <v>0.21999999999999997</v>
      </c>
      <c r="O72" s="21">
        <f>IF(AND(ISNUMBER(L72),ISNUMBER(H72)),(H72-L72)^2,"")</f>
        <v>0.04931522547125454</v>
      </c>
      <c r="P72" s="18" t="inlineStr">
        <is>
          <t>2026-W43</t>
        </is>
      </c>
      <c r="Q72" s="18" t="inlineStr">
        <is>
          <t>b5f46a88705f2cf938a6bd462a2cc457b35f2a2d</t>
        </is>
      </c>
      <c r="R72" s="18" t="inlineStr">
        <is>
          <t>football-data.org/v4</t>
        </is>
      </c>
      <c r="S72" s="20">
        <f>IF(AND(ISNUMBER(L72),ISNUMBER(H72)),H72,"")</f>
        <v>0.7779296834980989</v>
      </c>
      <c r="T72" s="19">
        <f>IF(AND(ISNUMBER(L72),ISNUMBER(H72)),1,0)</f>
        <v>1</v>
      </c>
      <c r="U72" s="22">
        <v>0.0</v>
      </c>
      <c r="V72" t="inlineStr" s="18">
        <is>
          <t>2026-10-25T10:24:47.847996+00:00</t>
        </is>
      </c>
      <c r="W72" t="inlineStr" s="18">
        <is>
          <t>2026-10-25T10:25:17Z</t>
        </is>
      </c>
    </row>
    <row r="73" ht="36" customHeight="1">
      <c r="A73" s="18" t="inlineStr">
        <is>
          <t>Primeira Liga|nacional|braga|2026-10-25</t>
        </is>
      </c>
      <c r="B73" s="23">
        <v>46320.75</v>
      </c>
      <c r="C73" s="18" t="inlineStr">
        <is>
          <t>Primeira Liga</t>
        </is>
      </c>
      <c r="D73" s="18" t="inlineStr">
        <is>
          <t>Nacional vs Braga</t>
        </is>
      </c>
      <c r="E73" s="18" t="inlineStr">
        <is>
          <t>Over 1.5</t>
        </is>
      </c>
      <c r="F73" s="18" t="inlineStr">
        <is>
          <t>STRICT</t>
        </is>
      </c>
      <c r="G73" s="18" t="inlineStr">
        <is>
          <t>48h-two-per-market-group-probability-ev-corners-cards-v25</t>
        </is>
      </c>
      <c r="H73" s="20">
        <v>0.7578935075583332</v>
      </c>
      <c r="I73" s="22">
        <v>1.29</v>
      </c>
      <c r="J73" s="18"/>
      <c r="K73" s="18" t="inlineStr">
        <is>
          <t>UNVERIFIED_FIXTURE_OR_RESULT</t>
        </is>
      </c>
      <c r="L73" s="18"/>
      <c r="M73" s="22" t="str">
        <f>IF(AND(ISNUMBER(L73),ISNUMBER(I73),I73&gt;1),'ROI Plan'!$B$5,"")</f>
        <v/>
      </c>
      <c r="N73" s="22" t="str">
        <f>IF(ISNUMBER(M73),M73*IF(K73="HALF_WON",(I73-1)/2-U73,IF(K73="HALF_LOST",-0.5-U73,IF(K73="REFUNDED",-U73,I73*L73-1-U73))),"")</f>
        <v/>
      </c>
      <c r="O73" s="21">
        <f>IF(AND(ISNUMBER(L73),ISNUMBER(H73)),(H73-L73)^2,"")</f>
      </c>
      <c r="P73" s="18" t="inlineStr">
        <is>
          <t>2026-W43</t>
        </is>
      </c>
      <c r="Q73" s="18" t="inlineStr">
        <is>
          <t>b5f46a88705f2cf938a6bd462a2cc457b35f2a2d</t>
        </is>
      </c>
      <c r="R73" s="18"/>
      <c r="S73" s="20">
        <f>IF(AND(ISNUMBER(L73),ISNUMBER(H73)),H73,"")</f>
      </c>
      <c r="T73" s="19">
        <f>IF(AND(ISNUMBER(L73),ISNUMBER(H73)),1,0)</f>
        <v>0</v>
      </c>
      <c r="U73" s="22">
        <v>0.0</v>
      </c>
      <c r="V73" t="inlineStr" s="18">
        <is>
          <t>2026-10-25T10:24:47.847996+00:00</t>
        </is>
      </c>
      <c r="W73" t="inlineStr" s="18">
        <is>
          <t>2026-10-25T10:25:17Z</t>
        </is>
      </c>
    </row>
    <row r="74" ht="36" customHeight="1">
      <c r="A74" s="18" t="inlineStr">
        <is>
          <t>Primeira Liga|rio ave|famalicao|2026-10-25</t>
        </is>
      </c>
      <c r="B74" s="23">
        <v>46320.75</v>
      </c>
      <c r="C74" s="18" t="inlineStr">
        <is>
          <t>Primeira Liga</t>
        </is>
      </c>
      <c r="D74" s="18" t="inlineStr">
        <is>
          <t>Rio Ave FC vs Famalicão</t>
        </is>
      </c>
      <c r="E74" s="18" t="inlineStr">
        <is>
          <t>Away win</t>
        </is>
      </c>
      <c r="F74" s="18" t="inlineStr">
        <is>
          <t>STRICT</t>
        </is>
      </c>
      <c r="G74" s="18" t="inlineStr">
        <is>
          <t>48h-two-per-market-group-probability-ev-corners-cards-v25</t>
        </is>
      </c>
      <c r="H74" s="20">
        <v>0.4327128699253373</v>
      </c>
      <c r="I74" s="22">
        <v>2.09</v>
      </c>
      <c r="J74" s="18" t="inlineStr">
        <is>
          <t>0-4</t>
        </is>
      </c>
      <c r="K74" s="18" t="inlineStr">
        <is>
          <t>WON</t>
        </is>
      </c>
      <c r="L74" s="19">
        <v>1</v>
      </c>
      <c r="M74" s="22">
        <f>IF(AND(ISNUMBER(L74),ISNUMBER(I74),I74&gt;1),'ROI Plan'!$B$5,"")</f>
        <v>1</v>
      </c>
      <c r="N74" s="22">
        <f>IF(ISNUMBER(M74),M74*IF(K74="HALF_WON",(I74-1)/2-U74,IF(K74="HALF_LOST",-0.5-U74,IF(K74="REFUNDED",-U74,I74*L74-1-U74))),"")</f>
        <v>1.0899999999999999</v>
      </c>
      <c r="O74" s="21">
        <f>IF(AND(ISNUMBER(L74),ISNUMBER(H74)),(H74-L74)^2,"")</f>
        <v>0.3218146879483473</v>
      </c>
      <c r="P74" s="18" t="inlineStr">
        <is>
          <t>2026-W43</t>
        </is>
      </c>
      <c r="Q74" s="18" t="inlineStr">
        <is>
          <t>b5f46a88705f2cf938a6bd462a2cc457b35f2a2d</t>
        </is>
      </c>
      <c r="R74" s="18" t="inlineStr">
        <is>
          <t>football-data.org/v4</t>
        </is>
      </c>
      <c r="S74" s="20">
        <f>IF(AND(ISNUMBER(L74),ISNUMBER(H74)),H74,"")</f>
        <v>0.4327128699253373</v>
      </c>
      <c r="T74" s="19">
        <f>IF(AND(ISNUMBER(L74),ISNUMBER(H74)),1,0)</f>
        <v>1</v>
      </c>
      <c r="U74" s="22">
        <v>0.0</v>
      </c>
      <c r="V74" t="inlineStr" s="18">
        <is>
          <t>2026-10-25T10:24:47.847996+00:00</t>
        </is>
      </c>
      <c r="W74" t="inlineStr" s="18">
        <is>
          <t>2026-10-25T10:25:17Z</t>
        </is>
      </c>
    </row>
    <row r="75" ht="36" customHeight="1">
      <c r="A75" s="18" t="inlineStr">
        <is>
          <t>Serie A|udinese|milan|2026-10-25</t>
        </is>
      </c>
      <c r="B75" s="23">
        <v>46320.822916666664</v>
      </c>
      <c r="C75" s="18" t="inlineStr">
        <is>
          <t>Serie A</t>
        </is>
      </c>
      <c r="D75" s="18" t="inlineStr">
        <is>
          <t>Udinese vs AC Milan</t>
        </is>
      </c>
      <c r="E75" s="18" t="inlineStr">
        <is>
          <t>Double Chance X2</t>
        </is>
      </c>
      <c r="F75" s="18" t="inlineStr">
        <is>
          <t>STRICT</t>
        </is>
      </c>
      <c r="G75" s="18" t="inlineStr">
        <is>
          <t>48h-two-per-market-group-probability-ev-corners-cards-v25</t>
        </is>
      </c>
      <c r="H75" s="20">
        <v>0.7669396809159076</v>
      </c>
      <c r="I75" s="22">
        <v>1.23</v>
      </c>
      <c r="J75" s="18" t="inlineStr">
        <is>
          <t>0-2</t>
        </is>
      </c>
      <c r="K75" s="18" t="inlineStr">
        <is>
          <t>WON</t>
        </is>
      </c>
      <c r="L75" s="19">
        <v>1</v>
      </c>
      <c r="M75" s="22">
        <f>IF(AND(ISNUMBER(L75),ISNUMBER(I75),I75&gt;1),'ROI Plan'!$B$5,"")</f>
        <v>1</v>
      </c>
      <c r="N75" s="22">
        <f>IF(ISNUMBER(M75),M75*IF(K75="HALF_WON",(I75-1)/2-U75,IF(K75="HALF_LOST",-0.5-U75,IF(K75="REFUNDED",-U75,I75*L75-1-U75))),"")</f>
        <v>0.22999999999999998</v>
      </c>
      <c r="O75" s="21">
        <f>IF(AND(ISNUMBER(L75),ISNUMBER(H75)),(H75-L75)^2,"")</f>
        <v>0.05431711233157897</v>
      </c>
      <c r="P75" s="18" t="inlineStr">
        <is>
          <t>2026-W43</t>
        </is>
      </c>
      <c r="Q75" s="18" t="inlineStr">
        <is>
          <t>b5f46a88705f2cf938a6bd462a2cc457b35f2a2d</t>
        </is>
      </c>
      <c r="R75" s="18" t="inlineStr">
        <is>
          <t>football-data.org/v4</t>
        </is>
      </c>
      <c r="S75" s="20">
        <f>IF(AND(ISNUMBER(L75),ISNUMBER(H75)),H75,"")</f>
        <v>0.7669396809159076</v>
      </c>
      <c r="T75" s="19">
        <f>IF(AND(ISNUMBER(L75),ISNUMBER(H75)),1,0)</f>
        <v>1</v>
      </c>
      <c r="U75" s="22">
        <v>0.0</v>
      </c>
      <c r="V75" t="inlineStr" s="18">
        <is>
          <t>2026-10-25T10:24:47.847996+00:00</t>
        </is>
      </c>
      <c r="W75" t="inlineStr" s="18">
        <is>
          <t>2026-10-25T10:25:17Z</t>
        </is>
      </c>
    </row>
    <row r="76" ht="36" customHeight="1">
      <c r="A76" s="18" t="inlineStr">
        <is>
          <t>Primeira Liga|santa clara|benfica|2026-10-26</t>
        </is>
      </c>
      <c r="B76" s="23">
        <v>46321.78125</v>
      </c>
      <c r="C76" s="18" t="inlineStr">
        <is>
          <t>Primeira Liga</t>
        </is>
      </c>
      <c r="D76" s="18" t="inlineStr">
        <is>
          <t>Santa Clara vs Benfica</t>
        </is>
      </c>
      <c r="E76" s="18" t="inlineStr">
        <is>
          <t>Asian Handicap Home +2.00</t>
        </is>
      </c>
      <c r="F76" s="18" t="inlineStr">
        <is>
          <t>STRICT</t>
        </is>
      </c>
      <c r="G76" s="18" t="inlineStr">
        <is>
          <t>48h-zero-tolerance-ev05-no-loss75-corners-v26</t>
        </is>
      </c>
      <c r="H76" s="20">
        <v>0.829897166454201</v>
      </c>
      <c r="I76" s="22">
        <v>1.46</v>
      </c>
      <c r="J76" s="18"/>
      <c r="K76" s="18" t="inlineStr">
        <is>
          <t>UNVERIFIED_FIXTURE_OR_RESULT</t>
        </is>
      </c>
      <c r="L76" s="18"/>
      <c r="M76" s="22" t="str">
        <f>IF(AND(ISNUMBER(L76),ISNUMBER(I76),I76&gt;1),'ROI Plan'!$B$5,"")</f>
        <v/>
      </c>
      <c r="N76" s="22" t="str">
        <f>IF(ISNUMBER(M76),M76*IF(K76="HALF_WON",(I76-1)/2-U76,IF(K76="HALF_LOST",-0.5-U76,IF(K76="REFUNDED",-U76,I76*L76-1-U76))),"")</f>
        <v/>
      </c>
      <c r="O76" s="21">
        <f>IF(AND(ISNUMBER(L76),ISNUMBER(H76)),(H76-L76)^2,"")</f>
      </c>
      <c r="P76" s="18" t="inlineStr">
        <is>
          <t>2026-W44</t>
        </is>
      </c>
      <c r="Q76" s="18" t="inlineStr">
        <is>
          <t>be93fe1f5e1ccb0aff11da9ff35e306c9b014cc1</t>
        </is>
      </c>
      <c r="R76" s="18"/>
      <c r="S76" s="20">
        <f>IF(AND(ISNUMBER(L76),ISNUMBER(H76)),H76,"")</f>
      </c>
      <c r="T76" s="19">
        <f>IF(AND(ISNUMBER(L76),ISNUMBER(H76)),1,0)</f>
        <v>0</v>
      </c>
      <c r="U76" s="22">
        <v>0.0</v>
      </c>
      <c r="V76" t="inlineStr" s="18">
        <is>
          <t>2026-10-26T11:45:55.025240+00:00</t>
        </is>
      </c>
      <c r="W76" t="inlineStr" s="18">
        <is>
          <t>2026-10-26T11:46:02Z</t>
        </is>
      </c>
    </row>
    <row r="77" ht="36" customHeight="1">
      <c r="A77" s="18" t="inlineStr">
        <is>
          <t>Ligue 1|paris sg|lyon|2026-10-26</t>
        </is>
      </c>
      <c r="B77" s="23">
        <v>46321.8125</v>
      </c>
      <c r="C77" s="18" t="inlineStr">
        <is>
          <t>Ligue 1</t>
        </is>
      </c>
      <c r="D77" s="18" t="inlineStr">
        <is>
          <t>Paris Saint Germain vs Lyon</t>
        </is>
      </c>
      <c r="E77" s="18" t="inlineStr">
        <is>
          <t>Double Chance 12</t>
        </is>
      </c>
      <c r="F77" s="18" t="inlineStr">
        <is>
          <t>STRICT</t>
        </is>
      </c>
      <c r="G77" s="18" t="inlineStr">
        <is>
          <t>48h-two-per-market-group-probability-ev-corners-cards-v25</t>
        </is>
      </c>
      <c r="H77" s="20">
        <v>0.812255129717973</v>
      </c>
      <c r="I77" s="22">
        <v>1.17</v>
      </c>
      <c r="J77" s="18"/>
      <c r="K77" s="18" t="inlineStr">
        <is>
          <t>UNVERIFIED_FIXTURE_OR_RESULT</t>
        </is>
      </c>
      <c r="L77" s="18"/>
      <c r="M77" s="22" t="str">
        <f>IF(AND(ISNUMBER(L77),ISNUMBER(I77),I77&gt;1),'ROI Plan'!$B$5,"")</f>
        <v/>
      </c>
      <c r="N77" s="22" t="str">
        <f>IF(ISNUMBER(M77),M77*IF(K77="HALF_WON",(I77-1)/2-U77,IF(K77="HALF_LOST",-0.5-U77,IF(K77="REFUNDED",-U77,I77*L77-1-U77))),"")</f>
        <v/>
      </c>
      <c r="O77" s="21">
        <f>IF(AND(ISNUMBER(L77),ISNUMBER(H77)),(H77-L77)^2,"")</f>
      </c>
      <c r="P77" s="18" t="inlineStr">
        <is>
          <t>2026-W44</t>
        </is>
      </c>
      <c r="Q77" s="18" t="inlineStr">
        <is>
          <t>b5f46a88705f2cf938a6bd462a2cc457b35f2a2d</t>
        </is>
      </c>
      <c r="R77" s="18"/>
      <c r="S77" s="20">
        <f>IF(AND(ISNUMBER(L77),ISNUMBER(H77)),H77,"")</f>
      </c>
      <c r="T77" s="19">
        <f>IF(AND(ISNUMBER(L77),ISNUMBER(H77)),1,0)</f>
        <v>0</v>
      </c>
      <c r="U77" s="22">
        <v>0.0</v>
      </c>
      <c r="V77" t="inlineStr" s="18">
        <is>
          <t>2026-10-25T10:24:47.847996+00:00</t>
        </is>
      </c>
      <c r="W77" t="inlineStr" s="18">
        <is>
          <t>2026-10-25T10:25:17Z</t>
        </is>
      </c>
    </row>
    <row r="78" ht="36" customHeight="1">
      <c r="A78" s="18" t="inlineStr">
        <is>
          <t>Serie A|as roma|cagliari|2026-10-27</t>
        </is>
      </c>
      <c r="B78" s="23">
        <v>46322.822916666664</v>
      </c>
      <c r="C78" s="18" t="inlineStr">
        <is>
          <t>Serie A</t>
        </is>
      </c>
      <c r="D78" s="18" t="inlineStr">
        <is>
          <t>AS Roma vs Cagliari</t>
        </is>
      </c>
      <c r="E78" s="18" t="inlineStr">
        <is>
          <t>Asian Handicap Away +2.00</t>
        </is>
      </c>
      <c r="F78" s="18" t="inlineStr">
        <is>
          <t>STRICT</t>
        </is>
      </c>
      <c r="G78" s="18" t="inlineStr">
        <is>
          <t>48h-zero-tolerance-ev05-no-loss75-corners-v26</t>
        </is>
      </c>
      <c r="H78" s="20">
        <v>0.777941749009152</v>
      </c>
      <c r="I78" s="22">
        <v>1.48</v>
      </c>
      <c r="J78" s="18" t="inlineStr">
        <is>
          <t>4-2</t>
        </is>
      </c>
      <c r="K78" s="18" t="inlineStr">
        <is>
          <t>REFUNDED</t>
        </is>
      </c>
      <c r="L78" s="19">
        <v>1</v>
      </c>
      <c r="M78" s="22">
        <f>IF(AND(ISNUMBER(L78),ISNUMBER(I78),I78&gt;1),'ROI Plan'!$B$5,"")</f>
        <v>1</v>
      </c>
      <c r="N78" s="22">
        <f>IF(ISNUMBER(M78),M78*IF(K78="HALF_WON",(I78-1)/2-U78,IF(K78="HALF_LOST",-0.5-U78,IF(K78="REFUNDED",-U78,I78*L78-1-U78))),"")</f>
        <v>0.0</v>
      </c>
      <c r="O78" s="21">
        <f>IF(AND(ISNUMBER(L78),ISNUMBER(H78)),(H78-L78)^2,"")</f>
        <v>0.04930986683311443</v>
      </c>
      <c r="P78" s="18" t="inlineStr">
        <is>
          <t>2026-W44</t>
        </is>
      </c>
      <c r="Q78" s="18" t="inlineStr">
        <is>
          <t>61fd07517a6df27aaf13e10dfc2e47db9451d4a2</t>
        </is>
      </c>
      <c r="R78" s="18" t="inlineStr">
        <is>
          <t>football-data.org/v4</t>
        </is>
      </c>
      <c r="S78" s="20">
        <f>IF(AND(ISNUMBER(L78),ISNUMBER(H78)),H78,"")</f>
        <v>0.777941749009152</v>
      </c>
      <c r="T78" s="19">
        <f>IF(AND(ISNUMBER(L78),ISNUMBER(H78)),1,0)</f>
        <v>1</v>
      </c>
      <c r="U78" s="22">
        <v>0.0</v>
      </c>
      <c r="V78" t="inlineStr" s="18">
        <is>
          <t>2026-10-26T11:01:43.961218+00:00</t>
        </is>
      </c>
      <c r="W78" t="inlineStr" s="18">
        <is>
          <t>2026-10-26T11:01:53Z</t>
        </is>
      </c>
    </row>
    <row r="79" ht="36" customHeight="1">
      <c r="A79" s="18" t="inlineStr">
        <is>
          <t>Serie A|fiorentina|atalanta bc|2026-10-29</t>
        </is>
      </c>
      <c r="B79" s="23">
        <v>46324.822916666664</v>
      </c>
      <c r="C79" s="18" t="inlineStr">
        <is>
          <t>Serie A</t>
        </is>
      </c>
      <c r="D79" s="18" t="inlineStr">
        <is>
          <t>Fiorentina vs Atalanta BC</t>
        </is>
      </c>
      <c r="E79" s="18" t="inlineStr">
        <is>
          <t>Asian Handicap Away +1.25</t>
        </is>
      </c>
      <c r="F79" s="18" t="inlineStr">
        <is>
          <t>STRICT</t>
        </is>
      </c>
      <c r="G79" s="18" t="inlineStr">
        <is>
          <t>48h-zero-tolerance-ev05-no-loss75-corners-v26</t>
        </is>
      </c>
      <c r="H79" s="20">
        <v>0.8282668415839534</v>
      </c>
      <c r="I79" s="22">
        <v>1.29</v>
      </c>
      <c r="J79" s="18"/>
      <c r="K79" s="18" t="inlineStr">
        <is>
          <t>PENDING_KICKOFF_OR_FINAL_SCORE</t>
        </is>
      </c>
      <c r="L79" s="18"/>
      <c r="M79" s="22" t="str">
        <f>IF(AND(ISNUMBER(L79),ISNUMBER(I79),I79&gt;1),'ROI Plan'!$B$5,"")</f>
        <v/>
      </c>
      <c r="N79" s="22" t="str">
        <f>IF(ISNUMBER(M79),M79*IF(K79="HALF_WON",(I79-1)/2-U79,IF(K79="HALF_LOST",-0.5-U79,IF(K79="REFUNDED",-U79,I79*L79-1-U79))),"")</f>
        <v/>
      </c>
      <c r="O79" s="21">
        <f>IF(AND(ISNUMBER(L79),ISNUMBER(H79)),(H79-L79)^2,"")</f>
      </c>
      <c r="P79" s="18" t="inlineStr">
        <is>
          <t>2026-W44</t>
        </is>
      </c>
      <c r="Q79" s="18" t="inlineStr">
        <is>
          <t>04e55dde9bbe885fb80dc3c1a84f550621a793c2</t>
        </is>
      </c>
      <c r="R79" s="18"/>
      <c r="S79" s="20">
        <f>IF(AND(ISNUMBER(L79),ISNUMBER(H79)),H79,"")</f>
      </c>
      <c r="T79" s="19">
        <f>IF(AND(ISNUMBER(L79),ISNUMBER(H79)),1,0)</f>
        <v>0</v>
      </c>
      <c r="U79" s="22">
        <v>0.0</v>
      </c>
      <c r="V79" t="inlineStr" s="18">
        <is>
          <t>2026-10-28T12:13:37.819395+00:00</t>
        </is>
      </c>
      <c r="W79" t="inlineStr" s="18">
        <is>
          <t>2026-10-28T12:13:49Z</t>
        </is>
      </c>
    </row>
  </sheetData>
  <mergeCells count="2">
    <mergeCell ref="B2:W2"/>
    <mergeCell ref="B4:W4"/>
  </mergeCells>
  <conditionalFormatting sqref="K6:K79">
    <cfRule type="expression" priority="101" dxfId="5">
      <formula>OR(K6="WON",K6="HALF_WON")</formula>
    </cfRule>
    <cfRule type="expression" priority="102" dxfId="4">
      <formula>OR(K6="LOST",K6="HALF_LOST")</formula>
    </cfRule>
    <cfRule type="expression" priority="103" dxfId="3">
      <formula>OR(K6="REFUNDED")</formula>
    </cfRule>
    <cfRule type="expression" priority="104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GRADED</t>
        </is>
      </c>
      <c r="G79" s="18" t="inlineStr">
        <is>
          <t>1-3</t>
        </is>
      </c>
      <c r="H79" s="19">
        <v>0.0</v>
      </c>
      <c r="I79" s="21">
        <v>0.63853867</v>
      </c>
      <c r="J79" s="19">
        <v>1.0</v>
      </c>
      <c r="K79" s="19">
        <v>0.0</v>
      </c>
      <c r="L79" s="19">
        <v>0.0</v>
      </c>
      <c r="M79" s="19">
        <v>0.0</v>
      </c>
      <c r="N79" s="18" t="inlineStr">
        <is>
          <t>2026-W42</t>
        </is>
      </c>
      <c r="O79" s="18" t="inlineStr">
        <is>
          <t>2fd31d33722311d8e0155bb5eca6b3a310ac938b</t>
        </is>
      </c>
      <c r="P79" s="18" t="inlineStr">
        <is>
          <t>football-data.org/v4</t>
        </is>
      </c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GRADED</t>
        </is>
      </c>
      <c r="G80" s="18" t="inlineStr">
        <is>
          <t>1-0</t>
        </is>
      </c>
      <c r="H80" s="19">
        <v>0.0</v>
      </c>
      <c r="I80" s="21">
        <v>0.79696409</v>
      </c>
      <c r="J80" s="19">
        <v>0.0</v>
      </c>
      <c r="K80" s="19">
        <v>1.0</v>
      </c>
      <c r="L80" s="19">
        <v>0.0</v>
      </c>
      <c r="M80" s="19">
        <v>0.0</v>
      </c>
      <c r="N80" s="18" t="inlineStr">
        <is>
          <t>2026-W42</t>
        </is>
      </c>
      <c r="O80" s="18" t="inlineStr">
        <is>
          <t>2fd31d33722311d8e0155bb5eca6b3a310ac938b</t>
        </is>
      </c>
      <c r="P80" s="18" t="inlineStr">
        <is>
          <t>football-data.org/v4</t>
        </is>
      </c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UNVERIFIED_FIXTURE_OR_RESULT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GRADED</t>
        </is>
      </c>
      <c r="G82" s="18" t="inlineStr">
        <is>
          <t>1-2</t>
        </is>
      </c>
      <c r="H82" s="19">
        <v>1.0</v>
      </c>
      <c r="I82" s="21">
        <v>0.50105713</v>
      </c>
      <c r="J82" s="19">
        <v>1.0</v>
      </c>
      <c r="K82" s="19">
        <v>0.0</v>
      </c>
      <c r="L82" s="19">
        <v>1.0</v>
      </c>
      <c r="M82" s="19">
        <v>1.0</v>
      </c>
      <c r="N82" s="18" t="inlineStr">
        <is>
          <t>2026-W42</t>
        </is>
      </c>
      <c r="O82" s="18" t="inlineStr">
        <is>
          <t>2fd31d33722311d8e0155bb5eca6b3a310ac938b</t>
        </is>
      </c>
      <c r="P82" s="18" t="inlineStr">
        <is>
          <t>football-data.org/v4</t>
        </is>
      </c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GRADED</t>
        </is>
      </c>
      <c r="G83" s="18" t="inlineStr">
        <is>
          <t>0-1</t>
        </is>
      </c>
      <c r="H83" s="19">
        <v>1.0</v>
      </c>
      <c r="I83" s="21">
        <v>0.26836086</v>
      </c>
      <c r="J83" s="19">
        <v>0.0</v>
      </c>
      <c r="K83" s="19">
        <v>1.0</v>
      </c>
      <c r="L83" s="19">
        <v>1.0</v>
      </c>
      <c r="M83" s="19">
        <v>1.0</v>
      </c>
      <c r="N83" s="18" t="inlineStr">
        <is>
          <t>2026-W42</t>
        </is>
      </c>
      <c r="O83" s="18" t="inlineStr">
        <is>
          <t>2fd31d33722311d8e0155bb5eca6b3a310ac938b</t>
        </is>
      </c>
      <c r="P83" s="18" t="inlineStr">
        <is>
          <t>football-data.org/v4</t>
        </is>
      </c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GRADED</t>
        </is>
      </c>
      <c r="G84" s="18" t="inlineStr">
        <is>
          <t>3-2</t>
        </is>
      </c>
      <c r="H84" s="19">
        <v>1.0</v>
      </c>
      <c r="I84" s="21">
        <v>0.43881839</v>
      </c>
      <c r="J84" s="19">
        <v>1.0</v>
      </c>
      <c r="K84" s="19">
        <v>0.0</v>
      </c>
      <c r="L84" s="19">
        <v>0.0</v>
      </c>
      <c r="M84" s="19">
        <v>0.0</v>
      </c>
      <c r="N84" s="18" t="inlineStr">
        <is>
          <t>2026-W42</t>
        </is>
      </c>
      <c r="O84" s="18" t="inlineStr">
        <is>
          <t>2fd31d33722311d8e0155bb5eca6b3a310ac938b</t>
        </is>
      </c>
      <c r="P84" s="18" t="inlineStr">
        <is>
          <t>football-data.org/v4</t>
        </is>
      </c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GRADED</t>
        </is>
      </c>
      <c r="G85" s="18" t="inlineStr">
        <is>
          <t>2-5</t>
        </is>
      </c>
      <c r="H85" s="19">
        <v>1.0</v>
      </c>
      <c r="I85" s="21">
        <v>0.3995247</v>
      </c>
      <c r="J85" s="19">
        <v>1.0</v>
      </c>
      <c r="K85" s="19">
        <v>0.0</v>
      </c>
      <c r="L85" s="19">
        <v>0.0</v>
      </c>
      <c r="M85" s="19">
        <v>0.0</v>
      </c>
      <c r="N85" s="18" t="inlineStr">
        <is>
          <t>2026-W42</t>
        </is>
      </c>
      <c r="O85" s="18" t="inlineStr">
        <is>
          <t>2fd31d33722311d8e0155bb5eca6b3a310ac938b</t>
        </is>
      </c>
      <c r="P85" s="18" t="inlineStr">
        <is>
          <t>football-data.org/v4</t>
        </is>
      </c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UNVERIFIED_FIXTURE_OR_RESULT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GRADED</t>
        </is>
      </c>
      <c r="G87" s="18" t="inlineStr">
        <is>
          <t>0-3</t>
        </is>
      </c>
      <c r="H87" s="19">
        <v>0.0</v>
      </c>
      <c r="I87" s="21">
        <v>0.99665675</v>
      </c>
      <c r="J87" s="19">
        <v>1.0</v>
      </c>
      <c r="K87" s="19">
        <v>1.0</v>
      </c>
      <c r="L87" s="19">
        <v>1.0</v>
      </c>
      <c r="M87" s="19">
        <v>1.0</v>
      </c>
      <c r="N87" s="18" t="inlineStr">
        <is>
          <t>2026-W42</t>
        </is>
      </c>
      <c r="O87" s="18" t="inlineStr">
        <is>
          <t>2fd31d33722311d8e0155bb5eca6b3a310ac938b</t>
        </is>
      </c>
      <c r="P87" s="18" t="inlineStr">
        <is>
          <t>football-data.org/v4</t>
        </is>
      </c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GRADED</t>
        </is>
      </c>
      <c r="G88" s="18" t="inlineStr">
        <is>
          <t>4-1</t>
        </is>
      </c>
      <c r="H88" s="19">
        <v>1.0</v>
      </c>
      <c r="I88" s="21">
        <v>0.07355845</v>
      </c>
      <c r="J88" s="19">
        <v>1.0</v>
      </c>
      <c r="K88" s="19">
        <v>0.0</v>
      </c>
      <c r="L88" s="19">
        <v>0.0</v>
      </c>
      <c r="M88" s="19">
        <v>0.0</v>
      </c>
      <c r="N88" s="18" t="inlineStr">
        <is>
          <t>2026-W42</t>
        </is>
      </c>
      <c r="O88" s="18" t="inlineStr">
        <is>
          <t>2fd31d33722311d8e0155bb5eca6b3a310ac938b</t>
        </is>
      </c>
      <c r="P88" s="18" t="inlineStr">
        <is>
          <t>football-data.org/v4</t>
        </is>
      </c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GRADED</t>
        </is>
      </c>
      <c r="G89" s="18" t="inlineStr">
        <is>
          <t>4-0</t>
        </is>
      </c>
      <c r="H89" s="19">
        <v>0.0</v>
      </c>
      <c r="I89" s="21">
        <v>0.63585013</v>
      </c>
      <c r="J89" s="19">
        <v>1.0</v>
      </c>
      <c r="K89" s="19">
        <v>0.0</v>
      </c>
      <c r="L89" s="19">
        <v>0.0</v>
      </c>
      <c r="M89" s="19">
        <v>0.0</v>
      </c>
      <c r="N89" s="18" t="inlineStr">
        <is>
          <t>2026-W43</t>
        </is>
      </c>
      <c r="O89" s="18" t="inlineStr">
        <is>
          <t>b9c15c09504aaf57de5ad0957adb91c0e9b37243</t>
        </is>
      </c>
      <c r="P89" s="18" t="inlineStr">
        <is>
          <t>football-data.org/v4</t>
        </is>
      </c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GRADED</t>
        </is>
      </c>
      <c r="G90" s="18" t="inlineStr">
        <is>
          <t>0-3</t>
        </is>
      </c>
      <c r="H90" s="19">
        <v>1.0</v>
      </c>
      <c r="I90" s="21">
        <v>0.58487566</v>
      </c>
      <c r="J90" s="19">
        <v>1.0</v>
      </c>
      <c r="K90" s="19">
        <v>1.0</v>
      </c>
      <c r="L90" s="19">
        <v>1.0</v>
      </c>
      <c r="M90" s="19">
        <v>1.0</v>
      </c>
      <c r="N90" s="18" t="inlineStr">
        <is>
          <t>2026-W43</t>
        </is>
      </c>
      <c r="O90" s="18" t="inlineStr">
        <is>
          <t>b9c15c09504aaf57de5ad0957adb91c0e9b37243</t>
        </is>
      </c>
      <c r="P90" s="18" t="inlineStr">
        <is>
          <t>football-data.org/v4</t>
        </is>
      </c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GRADED</t>
        </is>
      </c>
      <c r="G91" s="18" t="inlineStr">
        <is>
          <t>1-1</t>
        </is>
      </c>
      <c r="H91" s="19">
        <v>0.0</v>
      </c>
      <c r="I91" s="21">
        <v>0.68232555</v>
      </c>
      <c r="J91" s="19">
        <v>0.0</v>
      </c>
      <c r="K91" s="19">
        <v>1.0</v>
      </c>
      <c r="L91" s="19">
        <v>0.0</v>
      </c>
      <c r="M91" s="19">
        <v>0.0</v>
      </c>
      <c r="N91" s="18" t="inlineStr">
        <is>
          <t>2026-W43</t>
        </is>
      </c>
      <c r="O91" s="18" t="inlineStr">
        <is>
          <t>b9c15c09504aaf57de5ad0957adb91c0e9b37243</t>
        </is>
      </c>
      <c r="P91" s="18" t="inlineStr">
        <is>
          <t>football-data.org/v4</t>
        </is>
      </c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GRADED</t>
        </is>
      </c>
      <c r="G92" s="18" t="inlineStr">
        <is>
          <t>3-1</t>
        </is>
      </c>
      <c r="H92" s="19">
        <v>1.0</v>
      </c>
      <c r="I92" s="21">
        <v>0.16196451</v>
      </c>
      <c r="J92" s="19">
        <v>1.0</v>
      </c>
      <c r="K92" s="19">
        <v>0.0</v>
      </c>
      <c r="L92" s="19">
        <v>0.0</v>
      </c>
      <c r="M92" s="19">
        <v>0.0</v>
      </c>
      <c r="N92" s="18" t="inlineStr">
        <is>
          <t>2026-W43</t>
        </is>
      </c>
      <c r="O92" s="18" t="inlineStr">
        <is>
          <t>b9c15c09504aaf57de5ad0957adb91c0e9b37243</t>
        </is>
      </c>
      <c r="P92" s="18" t="inlineStr">
        <is>
          <t>football-data.org/v4</t>
        </is>
      </c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GRADED</t>
        </is>
      </c>
      <c r="G93" s="18" t="inlineStr">
        <is>
          <t>2-2</t>
        </is>
      </c>
      <c r="H93" s="19">
        <v>0.0</v>
      </c>
      <c r="I93" s="21">
        <v>1.14756686</v>
      </c>
      <c r="J93" s="19">
        <v>1.0</v>
      </c>
      <c r="K93" s="19">
        <v>0.0</v>
      </c>
      <c r="L93" s="19">
        <v>0.0</v>
      </c>
      <c r="M93" s="19">
        <v>0.0</v>
      </c>
      <c r="N93" s="18" t="inlineStr">
        <is>
          <t>2026-W43</t>
        </is>
      </c>
      <c r="O93" s="18" t="inlineStr">
        <is>
          <t>a98524037f736c1c589800f3bd4b329ab00983f7</t>
        </is>
      </c>
      <c r="P93" s="18" t="inlineStr">
        <is>
          <t>football-data.org/v4</t>
        </is>
      </c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GRADED</t>
        </is>
      </c>
      <c r="G94" s="18" t="inlineStr">
        <is>
          <t>2-2</t>
        </is>
      </c>
      <c r="H94" s="19">
        <v>0.0</v>
      </c>
      <c r="I94" s="21">
        <v>0.81948126</v>
      </c>
      <c r="J94" s="19">
        <v>1.0</v>
      </c>
      <c r="K94" s="19">
        <v>0.0</v>
      </c>
      <c r="L94" s="19">
        <v>0.0</v>
      </c>
      <c r="M94" s="19">
        <v>0.0</v>
      </c>
      <c r="N94" s="18" t="inlineStr">
        <is>
          <t>2026-W43</t>
        </is>
      </c>
      <c r="O94" s="18" t="inlineStr">
        <is>
          <t>376b9f9ba8a8b03ea259c57729113f873b0b980d</t>
        </is>
      </c>
      <c r="P94" s="18" t="inlineStr">
        <is>
          <t>football-data.org/v4</t>
        </is>
      </c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GRADED</t>
        </is>
      </c>
      <c r="G95" s="18" t="inlineStr">
        <is>
          <t>1-2</t>
        </is>
      </c>
      <c r="H95" s="19">
        <v>1.0</v>
      </c>
      <c r="I95" s="21">
        <v>0.07589461</v>
      </c>
      <c r="J95" s="19">
        <v>1.0</v>
      </c>
      <c r="K95" s="19">
        <v>1.0</v>
      </c>
      <c r="L95" s="19">
        <v>0.0</v>
      </c>
      <c r="M95" s="19">
        <v>0.0</v>
      </c>
      <c r="N95" s="18" t="inlineStr">
        <is>
          <t>2026-W43</t>
        </is>
      </c>
      <c r="O95" s="18" t="inlineStr">
        <is>
          <t>a98524037f736c1c589800f3bd4b329ab00983f7</t>
        </is>
      </c>
      <c r="P95" s="18" t="inlineStr">
        <is>
          <t>football-data.org/v4</t>
        </is>
      </c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GRADED</t>
        </is>
      </c>
      <c r="G96" s="18" t="inlineStr">
        <is>
          <t>4-0</t>
        </is>
      </c>
      <c r="H96" s="19">
        <v>1.0</v>
      </c>
      <c r="I96" s="21">
        <v>0.03428315</v>
      </c>
      <c r="J96" s="19">
        <v>1.0</v>
      </c>
      <c r="K96" s="19">
        <v>1.0</v>
      </c>
      <c r="L96" s="19">
        <v>1.0</v>
      </c>
      <c r="M96" s="19">
        <v>1.0</v>
      </c>
      <c r="N96" s="18" t="inlineStr">
        <is>
          <t>2026-W43</t>
        </is>
      </c>
      <c r="O96" s="18" t="inlineStr">
        <is>
          <t>a98524037f736c1c589800f3bd4b329ab00983f7</t>
        </is>
      </c>
      <c r="P96" s="18" t="inlineStr">
        <is>
          <t>football-data.org/v4</t>
        </is>
      </c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GRADED</t>
        </is>
      </c>
      <c r="G97" s="18" t="inlineStr">
        <is>
          <t>4-3</t>
        </is>
      </c>
      <c r="H97" s="19">
        <v>1.0</v>
      </c>
      <c r="I97" s="21">
        <v>0.01409526</v>
      </c>
      <c r="J97" s="19">
        <v>1.0</v>
      </c>
      <c r="K97" s="19">
        <v>1.0</v>
      </c>
      <c r="L97" s="19">
        <v>0.0</v>
      </c>
      <c r="M97" s="19">
        <v>0.0</v>
      </c>
      <c r="N97" s="18" t="inlineStr">
        <is>
          <t>2026-W43</t>
        </is>
      </c>
      <c r="O97" s="18" t="inlineStr">
        <is>
          <t>a98524037f736c1c589800f3bd4b329ab00983f7</t>
        </is>
      </c>
      <c r="P97" s="18" t="inlineStr">
        <is>
          <t>football-data.org/v4</t>
        </is>
      </c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UNVERIFIED_FIXTURE_OR_RESULT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GRADED</t>
        </is>
      </c>
      <c r="G99" s="18" t="inlineStr">
        <is>
          <t>5-1</t>
        </is>
      </c>
      <c r="H99" s="19">
        <v>0.0</v>
      </c>
      <c r="I99" s="21">
        <v>0.89407287</v>
      </c>
      <c r="J99" s="19">
        <v>0.0</v>
      </c>
      <c r="K99" s="19">
        <v>0.0</v>
      </c>
      <c r="L99" s="19">
        <v>0.0</v>
      </c>
      <c r="M99" s="19">
        <v>0.0</v>
      </c>
      <c r="N99" s="18" t="inlineStr">
        <is>
          <t>2026-W43</t>
        </is>
      </c>
      <c r="O99" s="18" t="inlineStr">
        <is>
          <t>a98524037f736c1c589800f3bd4b329ab00983f7</t>
        </is>
      </c>
      <c r="P99" s="18" t="inlineStr">
        <is>
          <t>football-data.org/v4</t>
        </is>
      </c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GRADED</t>
        </is>
      </c>
      <c r="G100" s="18" t="inlineStr">
        <is>
          <t>4-3</t>
        </is>
      </c>
      <c r="H100" s="19">
        <v>1.0</v>
      </c>
      <c r="I100" s="21">
        <v>0.48180605</v>
      </c>
      <c r="J100" s="19">
        <v>1.0</v>
      </c>
      <c r="K100" s="19">
        <v>0.0</v>
      </c>
      <c r="L100" s="19">
        <v>1.0</v>
      </c>
      <c r="M100" s="19">
        <v>1.0</v>
      </c>
      <c r="N100" s="18" t="inlineStr">
        <is>
          <t>2026-W43</t>
        </is>
      </c>
      <c r="O100" s="18" t="inlineStr">
        <is>
          <t>376b9f9ba8a8b03ea259c57729113f873b0b980d</t>
        </is>
      </c>
      <c r="P100" s="18" t="inlineStr">
        <is>
          <t>football-data.org/v4</t>
        </is>
      </c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GRADED</t>
        </is>
      </c>
      <c r="G101" s="18" t="inlineStr">
        <is>
          <t>4-2</t>
        </is>
      </c>
      <c r="H101" s="19">
        <v>1.0</v>
      </c>
      <c r="I101" s="21">
        <v>0.14515659</v>
      </c>
      <c r="J101" s="19">
        <v>1.0</v>
      </c>
      <c r="K101" s="19">
        <v>1.0</v>
      </c>
      <c r="L101" s="19">
        <v>1.0</v>
      </c>
      <c r="M101" s="19">
        <v>1.0</v>
      </c>
      <c r="N101" s="18" t="inlineStr">
        <is>
          <t>2026-W43</t>
        </is>
      </c>
      <c r="O101" s="18" t="inlineStr">
        <is>
          <t>a98524037f736c1c589800f3bd4b329ab00983f7</t>
        </is>
      </c>
      <c r="P101" s="18" t="inlineStr">
        <is>
          <t>football-data.org/v4</t>
        </is>
      </c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GRADED</t>
        </is>
      </c>
      <c r="G102" s="18" t="inlineStr">
        <is>
          <t>0-1</t>
        </is>
      </c>
      <c r="H102" s="19">
        <v>0.0</v>
      </c>
      <c r="I102" s="21">
        <v>1.14061045</v>
      </c>
      <c r="J102" s="19">
        <v>0.0</v>
      </c>
      <c r="K102" s="19">
        <v>1.0</v>
      </c>
      <c r="L102" s="19">
        <v>0.0</v>
      </c>
      <c r="M102" s="19">
        <v>0.0</v>
      </c>
      <c r="N102" s="18" t="inlineStr">
        <is>
          <t>2026-W43</t>
        </is>
      </c>
      <c r="O102" s="18" t="inlineStr">
        <is>
          <t>a98524037f736c1c589800f3bd4b329ab00983f7</t>
        </is>
      </c>
      <c r="P102" s="18" t="inlineStr">
        <is>
          <t>football-data.org/v4</t>
        </is>
      </c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GRADED</t>
        </is>
      </c>
      <c r="G103" s="18" t="inlineStr">
        <is>
          <t>4-3</t>
        </is>
      </c>
      <c r="H103" s="19">
        <v>0.0</v>
      </c>
      <c r="I103" s="21">
        <v>0.7613152</v>
      </c>
      <c r="J103" s="19">
        <v>1.0</v>
      </c>
      <c r="K103" s="19">
        <v>0.0</v>
      </c>
      <c r="L103" s="19">
        <v>1.0</v>
      </c>
      <c r="M103" s="19">
        <v>1.0</v>
      </c>
      <c r="N103" s="18" t="inlineStr">
        <is>
          <t>2026-W43</t>
        </is>
      </c>
      <c r="O103" s="18" t="inlineStr">
        <is>
          <t>a98524037f736c1c589800f3bd4b329ab00983f7</t>
        </is>
      </c>
      <c r="P103" s="18" t="inlineStr">
        <is>
          <t>football-data.org/v4</t>
        </is>
      </c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GRADED</t>
        </is>
      </c>
      <c r="G104" s="18" t="inlineStr">
        <is>
          <t>1-1</t>
        </is>
      </c>
      <c r="H104" s="19">
        <v>0.0</v>
      </c>
      <c r="I104" s="21">
        <v>1.1482146</v>
      </c>
      <c r="J104" s="19">
        <v>1.0</v>
      </c>
      <c r="K104" s="19">
        <v>0.0</v>
      </c>
      <c r="L104" s="19">
        <v>1.0</v>
      </c>
      <c r="M104" s="19">
        <v>1.0</v>
      </c>
      <c r="N104" s="18" t="inlineStr">
        <is>
          <t>2026-W43</t>
        </is>
      </c>
      <c r="O104" s="18" t="inlineStr">
        <is>
          <t>a98524037f736c1c589800f3bd4b329ab00983f7</t>
        </is>
      </c>
      <c r="P104" s="18" t="inlineStr">
        <is>
          <t>football-data.org/v4</t>
        </is>
      </c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GRADED</t>
        </is>
      </c>
      <c r="G105" s="18" t="inlineStr">
        <is>
          <t>4-1</t>
        </is>
      </c>
      <c r="H105" s="19">
        <v>1.0</v>
      </c>
      <c r="I105" s="21">
        <v>0.17873905</v>
      </c>
      <c r="J105" s="19">
        <v>1.0</v>
      </c>
      <c r="K105" s="19">
        <v>1.0</v>
      </c>
      <c r="L105" s="19">
        <v>1.0</v>
      </c>
      <c r="M105" s="19">
        <v>1.0</v>
      </c>
      <c r="N105" s="18" t="inlineStr">
        <is>
          <t>2026-W43</t>
        </is>
      </c>
      <c r="O105" s="18" t="inlineStr">
        <is>
          <t>a98524037f736c1c589800f3bd4b329ab00983f7</t>
        </is>
      </c>
      <c r="P105" s="18" t="inlineStr">
        <is>
          <t>football-data.org/v4</t>
        </is>
      </c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UNVERIFIED_FIXTURE_OR_RESULT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GRADED</t>
        </is>
      </c>
      <c r="G107" s="18" t="inlineStr">
        <is>
          <t>2-4</t>
        </is>
      </c>
      <c r="H107" s="19">
        <v>0.0</v>
      </c>
      <c r="I107" s="21">
        <v>1.3584315</v>
      </c>
      <c r="J107" s="19">
        <v>1.0</v>
      </c>
      <c r="K107" s="19">
        <v>1.0</v>
      </c>
      <c r="L107" s="19">
        <v>1.0</v>
      </c>
      <c r="M107" s="19">
        <v>1.0</v>
      </c>
      <c r="N107" s="18" t="inlineStr">
        <is>
          <t>2026-W43</t>
        </is>
      </c>
      <c r="O107" s="18" t="inlineStr">
        <is>
          <t>a98524037f736c1c589800f3bd4b329ab00983f7</t>
        </is>
      </c>
      <c r="P107" s="18" t="inlineStr">
        <is>
          <t>football-data.org/v4</t>
        </is>
      </c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GRADED</t>
        </is>
      </c>
      <c r="G108" s="18" t="inlineStr">
        <is>
          <t>2-4</t>
        </is>
      </c>
      <c r="H108" s="19">
        <v>0.0</v>
      </c>
      <c r="I108" s="21">
        <v>0.99061903</v>
      </c>
      <c r="J108" s="19">
        <v>1.0</v>
      </c>
      <c r="K108" s="19">
        <v>0.0</v>
      </c>
      <c r="L108" s="19">
        <v>1.0</v>
      </c>
      <c r="M108" s="19">
        <v>1.0</v>
      </c>
      <c r="N108" s="18" t="inlineStr">
        <is>
          <t>2026-W43</t>
        </is>
      </c>
      <c r="O108" s="18" t="inlineStr">
        <is>
          <t>376b9f9ba8a8b03ea259c57729113f873b0b980d</t>
        </is>
      </c>
      <c r="P108" s="18" t="inlineStr">
        <is>
          <t>football-data.org/v4</t>
        </is>
      </c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UNVERIFIED_FIXTURE_OR_RESULT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GRADED</t>
        </is>
      </c>
      <c r="G110" s="18" t="inlineStr">
        <is>
          <t>3-1</t>
        </is>
      </c>
      <c r="H110" s="19">
        <v>1.0</v>
      </c>
      <c r="I110" s="21">
        <v>0.03282088</v>
      </c>
      <c r="J110" s="19">
        <v>1.0</v>
      </c>
      <c r="K110" s="19">
        <v>1.0</v>
      </c>
      <c r="L110" s="19">
        <v>1.0</v>
      </c>
      <c r="M110" s="19">
        <v>1.0</v>
      </c>
      <c r="N110" s="18" t="inlineStr">
        <is>
          <t>2026-W43</t>
        </is>
      </c>
      <c r="O110" s="18" t="inlineStr">
        <is>
          <t>a98524037f736c1c589800f3bd4b329ab00983f7</t>
        </is>
      </c>
      <c r="P110" s="18" t="inlineStr">
        <is>
          <t>football-data.org/v4</t>
        </is>
      </c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GRADED</t>
        </is>
      </c>
      <c r="G111" s="18" t="inlineStr">
        <is>
          <t>2-2</t>
        </is>
      </c>
      <c r="H111" s="19">
        <v>0.0</v>
      </c>
      <c r="I111" s="21">
        <v>0.83334711</v>
      </c>
      <c r="J111" s="19">
        <v>1.0</v>
      </c>
      <c r="K111" s="19">
        <v>0.0</v>
      </c>
      <c r="L111" s="19">
        <v>0.0</v>
      </c>
      <c r="M111" s="19">
        <v>0.0</v>
      </c>
      <c r="N111" s="18" t="inlineStr">
        <is>
          <t>2026-W43</t>
        </is>
      </c>
      <c r="O111" s="18" t="inlineStr">
        <is>
          <t>a98524037f736c1c589800f3bd4b329ab00983f7</t>
        </is>
      </c>
      <c r="P111" s="18" t="inlineStr">
        <is>
          <t>football-data.org/v4</t>
        </is>
      </c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GRADED</t>
        </is>
      </c>
      <c r="G112" s="18" t="inlineStr">
        <is>
          <t>3-0</t>
        </is>
      </c>
      <c r="H112" s="19">
        <v>1.0</v>
      </c>
      <c r="I112" s="21">
        <v>0.19235706</v>
      </c>
      <c r="J112" s="19">
        <v>1.0</v>
      </c>
      <c r="K112" s="19">
        <v>1.0</v>
      </c>
      <c r="L112" s="19">
        <v>0.0</v>
      </c>
      <c r="M112" s="19">
        <v>0.0</v>
      </c>
      <c r="N112" s="18" t="inlineStr">
        <is>
          <t>2026-W43</t>
        </is>
      </c>
      <c r="O112" s="18" t="inlineStr">
        <is>
          <t>a98524037f736c1c589800f3bd4b329ab00983f7</t>
        </is>
      </c>
      <c r="P112" s="18" t="inlineStr">
        <is>
          <t>football-data.org/v4</t>
        </is>
      </c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GRADED</t>
        </is>
      </c>
      <c r="G113" s="18" t="inlineStr">
        <is>
          <t>3-0</t>
        </is>
      </c>
      <c r="H113" s="19">
        <v>1.0</v>
      </c>
      <c r="I113" s="21">
        <v>0.24112571</v>
      </c>
      <c r="J113" s="19">
        <v>1.0</v>
      </c>
      <c r="K113" s="19">
        <v>0.0</v>
      </c>
      <c r="L113" s="19">
        <v>0.0</v>
      </c>
      <c r="M113" s="19">
        <v>0.0</v>
      </c>
      <c r="N113" s="18" t="inlineStr">
        <is>
          <t>2026-W43</t>
        </is>
      </c>
      <c r="O113" s="18" t="inlineStr">
        <is>
          <t>376b9f9ba8a8b03ea259c57729113f873b0b980d</t>
        </is>
      </c>
      <c r="P113" s="18" t="inlineStr">
        <is>
          <t>football-data.org/v4</t>
        </is>
      </c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GRADED</t>
        </is>
      </c>
      <c r="G114" s="18" t="inlineStr">
        <is>
          <t>1-0</t>
        </is>
      </c>
      <c r="H114" s="19">
        <v>1.0</v>
      </c>
      <c r="I114" s="21">
        <v>0.18148086</v>
      </c>
      <c r="J114" s="19">
        <v>0.0</v>
      </c>
      <c r="K114" s="19">
        <v>1.0</v>
      </c>
      <c r="L114" s="19">
        <v>1.0</v>
      </c>
      <c r="M114" s="19">
        <v>1.0</v>
      </c>
      <c r="N114" s="18" t="inlineStr">
        <is>
          <t>2026-W43</t>
        </is>
      </c>
      <c r="O114" s="18" t="inlineStr">
        <is>
          <t>a98524037f736c1c589800f3bd4b329ab00983f7</t>
        </is>
      </c>
      <c r="P114" s="18" t="inlineStr">
        <is>
          <t>football-data.org/v4</t>
        </is>
      </c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GRADED</t>
        </is>
      </c>
      <c r="G115" s="18" t="inlineStr">
        <is>
          <t>1-0</t>
        </is>
      </c>
      <c r="H115" s="19">
        <v>1.0</v>
      </c>
      <c r="I115" s="21">
        <v>0.11917445</v>
      </c>
      <c r="J115" s="19">
        <v>0.0</v>
      </c>
      <c r="K115" s="19">
        <v>1.0</v>
      </c>
      <c r="L115" s="19">
        <v>0.0</v>
      </c>
      <c r="M115" s="19">
        <v>0.0</v>
      </c>
      <c r="N115" s="18" t="inlineStr">
        <is>
          <t>2026-W43</t>
        </is>
      </c>
      <c r="O115" s="18" t="inlineStr">
        <is>
          <t>376b9f9ba8a8b03ea259c57729113f873b0b980d</t>
        </is>
      </c>
      <c r="P115" s="18" t="inlineStr">
        <is>
          <t>football-data.org/v4</t>
        </is>
      </c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GRADED</t>
        </is>
      </c>
      <c r="G116" s="18" t="inlineStr">
        <is>
          <t>1-0</t>
        </is>
      </c>
      <c r="H116" s="19">
        <v>1.0</v>
      </c>
      <c r="I116" s="21">
        <v>0.00272445</v>
      </c>
      <c r="J116" s="19">
        <v>0.0</v>
      </c>
      <c r="K116" s="19">
        <v>0.0</v>
      </c>
      <c r="L116" s="19">
        <v>0.0</v>
      </c>
      <c r="M116" s="19">
        <v>0.0</v>
      </c>
      <c r="N116" s="18" t="inlineStr">
        <is>
          <t>2026-W43</t>
        </is>
      </c>
      <c r="O116" s="18" t="inlineStr">
        <is>
          <t>a98524037f736c1c589800f3bd4b329ab00983f7</t>
        </is>
      </c>
      <c r="P116" s="18" t="inlineStr">
        <is>
          <t>football-data.org/v4</t>
        </is>
      </c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GRADED</t>
        </is>
      </c>
      <c r="G117" s="18" t="inlineStr">
        <is>
          <t>1-0</t>
        </is>
      </c>
      <c r="H117" s="19">
        <v>1.0</v>
      </c>
      <c r="I117" s="21">
        <v>0.07548247</v>
      </c>
      <c r="J117" s="19">
        <v>0.0</v>
      </c>
      <c r="K117" s="19">
        <v>0.0</v>
      </c>
      <c r="L117" s="19">
        <v>0.0</v>
      </c>
      <c r="M117" s="19">
        <v>0.0</v>
      </c>
      <c r="N117" s="18" t="inlineStr">
        <is>
          <t>2026-W43</t>
        </is>
      </c>
      <c r="O117" s="18" t="inlineStr">
        <is>
          <t>376b9f9ba8a8b03ea259c57729113f873b0b980d</t>
        </is>
      </c>
      <c r="P117" s="18" t="inlineStr">
        <is>
          <t>football-data.org/v4</t>
        </is>
      </c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GRADED</t>
        </is>
      </c>
      <c r="G118" s="18" t="inlineStr">
        <is>
          <t>4-1</t>
        </is>
      </c>
      <c r="H118" s="19">
        <v>1.0</v>
      </c>
      <c r="I118" s="21">
        <v>0.07590667</v>
      </c>
      <c r="J118" s="19">
        <v>1.0</v>
      </c>
      <c r="K118" s="19">
        <v>1.0</v>
      </c>
      <c r="L118" s="19">
        <v>1.0</v>
      </c>
      <c r="M118" s="19">
        <v>1.0</v>
      </c>
      <c r="N118" s="18" t="inlineStr">
        <is>
          <t>2026-W43</t>
        </is>
      </c>
      <c r="O118" s="18" t="inlineStr">
        <is>
          <t>a98524037f736c1c589800f3bd4b329ab00983f7</t>
        </is>
      </c>
      <c r="P118" s="18" t="inlineStr">
        <is>
          <t>football-data.org/v4</t>
        </is>
      </c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GRADED</t>
        </is>
      </c>
      <c r="G119" s="18" t="inlineStr">
        <is>
          <t>2-3</t>
        </is>
      </c>
      <c r="H119" s="19">
        <v>0.0</v>
      </c>
      <c r="I119" s="21">
        <v>1.62522664</v>
      </c>
      <c r="J119" s="19">
        <v>1.0</v>
      </c>
      <c r="K119" s="19">
        <v>1.0</v>
      </c>
      <c r="L119" s="19">
        <v>1.0</v>
      </c>
      <c r="M119" s="19">
        <v>1.0</v>
      </c>
      <c r="N119" s="18" t="inlineStr">
        <is>
          <t>2026-W43</t>
        </is>
      </c>
      <c r="O119" s="18" t="inlineStr">
        <is>
          <t>a98524037f736c1c589800f3bd4b329ab00983f7</t>
        </is>
      </c>
      <c r="P119" s="18" t="inlineStr">
        <is>
          <t>football-data.org/v4</t>
        </is>
      </c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GRADED</t>
        </is>
      </c>
      <c r="G120" s="18" t="inlineStr">
        <is>
          <t>2-3</t>
        </is>
      </c>
      <c r="H120" s="19">
        <v>0.0</v>
      </c>
      <c r="I120" s="21">
        <v>1.66713286</v>
      </c>
      <c r="J120" s="19">
        <v>1.0</v>
      </c>
      <c r="K120" s="19">
        <v>1.0</v>
      </c>
      <c r="L120" s="19">
        <v>1.0</v>
      </c>
      <c r="M120" s="19">
        <v>1.0</v>
      </c>
      <c r="N120" s="18" t="inlineStr">
        <is>
          <t>2026-W43</t>
        </is>
      </c>
      <c r="O120" s="18" t="inlineStr">
        <is>
          <t>376b9f9ba8a8b03ea259c57729113f873b0b980d</t>
        </is>
      </c>
      <c r="P120" s="18" t="inlineStr">
        <is>
          <t>football-data.org/v4</t>
        </is>
      </c>
      <c r="Q120" s="18"/>
      <c r="R120" s="18"/>
    </row>
    <row r="121" ht="36" customHeight="1">
      <c r="A121" s="18" t="inlineStr">
        <is>
          <t>UEFA Europa League|ararat armenia|az alkmaar|2026-10-22</t>
        </is>
      </c>
      <c r="B121" s="23">
        <v>46317.697916666664</v>
      </c>
      <c r="C121" s="18" t="inlineStr">
        <is>
          <t>UEFA Europa League</t>
        </is>
      </c>
      <c r="D121" s="18" t="inlineStr">
        <is>
          <t>FC Ararat-Armenia vs AZ Alkmaar</t>
        </is>
      </c>
      <c r="E121" s="18" t="inlineStr">
        <is>
          <t>48h-zero-tolerance-ev1-common-no-loss75-v22</t>
        </is>
      </c>
      <c r="F121" s="18" t="inlineStr">
        <is>
          <t>GRADED</t>
        </is>
      </c>
      <c r="G121" s="18" t="inlineStr">
        <is>
          <t>0-4</t>
        </is>
      </c>
      <c r="H121" s="19">
        <v>1.0</v>
      </c>
      <c r="I121" s="21">
        <v>0.30469751</v>
      </c>
      <c r="J121" s="19">
        <v>1.0</v>
      </c>
      <c r="K121" s="19">
        <v>0.0</v>
      </c>
      <c r="L121" s="19">
        <v>0.0</v>
      </c>
      <c r="M121" s="19">
        <v>0.0</v>
      </c>
      <c r="N121" s="18" t="inlineStr">
        <is>
          <t>2026-W43</t>
        </is>
      </c>
      <c r="O121" s="18" t="inlineStr">
        <is>
          <t>93aabf61cc3a55fc007e1e56dcfc8baa6ebe3dd6</t>
        </is>
      </c>
      <c r="P121" s="18" t="inlineStr">
        <is>
          <t>Cornerflick + Fixture Download</t>
        </is>
      </c>
      <c r="Q121" s="18"/>
      <c r="R121" s="18"/>
    </row>
    <row r="122" ht="36" customHeight="1">
      <c r="A122" s="18" t="inlineStr">
        <is>
          <t>UEFA Europa League|dinamo zagreb|nec nijmegen|2026-10-22</t>
        </is>
      </c>
      <c r="B122" s="23">
        <v>46317.697916666664</v>
      </c>
      <c r="C122" s="18" t="inlineStr">
        <is>
          <t>UEFA Europa League</t>
        </is>
      </c>
      <c r="D122" s="18" t="inlineStr">
        <is>
          <t>Dinamo Zagreb vs NEC Nijmegen</t>
        </is>
      </c>
      <c r="E122" s="18" t="inlineStr">
        <is>
          <t>48h-zero-tolerance-ev1-common-no-loss75-v22</t>
        </is>
      </c>
      <c r="F122" s="18" t="inlineStr">
        <is>
          <t>GRADED</t>
        </is>
      </c>
      <c r="G122" s="18" t="inlineStr">
        <is>
          <t>2-4</t>
        </is>
      </c>
      <c r="H122" s="19">
        <v>0.0</v>
      </c>
      <c r="I122" s="21">
        <v>1.41247883</v>
      </c>
      <c r="J122" s="19">
        <v>1.0</v>
      </c>
      <c r="K122" s="19">
        <v>1.0</v>
      </c>
      <c r="L122" s="19">
        <v>1.0</v>
      </c>
      <c r="M122" s="19">
        <v>1.0</v>
      </c>
      <c r="N122" s="18" t="inlineStr">
        <is>
          <t>2026-W43</t>
        </is>
      </c>
      <c r="O122" s="18" t="inlineStr">
        <is>
          <t>93aabf61cc3a55fc007e1e56dcfc8baa6ebe3dd6</t>
        </is>
      </c>
      <c r="P122" s="18" t="inlineStr">
        <is>
          <t>Cornerflick + Fixture Download</t>
        </is>
      </c>
      <c r="Q122" s="18"/>
      <c r="R122" s="18"/>
    </row>
    <row r="123" ht="36" customHeight="1">
      <c r="A123" s="18" t="inlineStr">
        <is>
          <t>UEFA Europa League|ferencvaros tc|torreense|2026-10-22</t>
        </is>
      </c>
      <c r="B123" s="23">
        <v>46317.697916666664</v>
      </c>
      <c r="C123" s="18" t="inlineStr">
        <is>
          <t>UEFA Europa League</t>
        </is>
      </c>
      <c r="D123" s="18" t="inlineStr">
        <is>
          <t>Ferencváros TC vs Torreense</t>
        </is>
      </c>
      <c r="E123" s="18" t="inlineStr">
        <is>
          <t>48h-zero-tolerance-ev1-common-no-loss75-v22</t>
        </is>
      </c>
      <c r="F123" s="18" t="inlineStr">
        <is>
          <t>GRADED</t>
        </is>
      </c>
      <c r="G123" s="18" t="inlineStr">
        <is>
          <t>4-1</t>
        </is>
      </c>
      <c r="H123" s="19">
        <v>1.0</v>
      </c>
      <c r="I123" s="21">
        <v>0.32680695</v>
      </c>
      <c r="J123" s="19">
        <v>1.0</v>
      </c>
      <c r="K123" s="19">
        <v>1.0</v>
      </c>
      <c r="L123" s="19">
        <v>1.0</v>
      </c>
      <c r="M123" s="19">
        <v>1.0</v>
      </c>
      <c r="N123" s="18" t="inlineStr">
        <is>
          <t>2026-W43</t>
        </is>
      </c>
      <c r="O123" s="18" t="inlineStr">
        <is>
          <t>93aabf61cc3a55fc007e1e56dcfc8baa6ebe3dd6</t>
        </is>
      </c>
      <c r="P123" s="18" t="inlineStr">
        <is>
          <t>Cornerflick + Fixture Download</t>
        </is>
      </c>
      <c r="Q123" s="18"/>
      <c r="R123" s="18"/>
    </row>
    <row r="124" ht="36" customHeight="1">
      <c r="A124" s="18" t="inlineStr">
        <is>
          <t>UEFA Europa League|juventus|rennes|2026-10-22</t>
        </is>
      </c>
      <c r="B124" s="23">
        <v>46317.697916666664</v>
      </c>
      <c r="C124" s="18" t="inlineStr">
        <is>
          <t>UEFA Europa League</t>
        </is>
      </c>
      <c r="D124" s="18" t="inlineStr">
        <is>
          <t>Juventus vs Rennes</t>
        </is>
      </c>
      <c r="E124" s="18" t="inlineStr">
        <is>
          <t>48h-zero-tolerance-ev1-common-no-loss75-v22</t>
        </is>
      </c>
      <c r="F124" s="18" t="inlineStr">
        <is>
          <t>GRADED</t>
        </is>
      </c>
      <c r="G124" s="18" t="inlineStr">
        <is>
          <t>2-2</t>
        </is>
      </c>
      <c r="H124" s="19">
        <v>0.0</v>
      </c>
      <c r="I124" s="21">
        <v>1.20790031</v>
      </c>
      <c r="J124" s="19">
        <v>1.0</v>
      </c>
      <c r="K124" s="19">
        <v>0.0</v>
      </c>
      <c r="L124" s="19">
        <v>0.0</v>
      </c>
      <c r="M124" s="19">
        <v>0.0</v>
      </c>
      <c r="N124" s="18" t="inlineStr">
        <is>
          <t>2026-W43</t>
        </is>
      </c>
      <c r="O124" s="18" t="inlineStr">
        <is>
          <t>93aabf61cc3a55fc007e1e56dcfc8baa6ebe3dd6</t>
        </is>
      </c>
      <c r="P124" s="18" t="inlineStr">
        <is>
          <t>Cornerflick + Fixture Download</t>
        </is>
      </c>
      <c r="Q124" s="18"/>
      <c r="R124" s="18"/>
    </row>
    <row r="125" ht="36" customHeight="1">
      <c r="A125" s="18" t="inlineStr">
        <is>
          <t>UEFA Europa League|lech poznan|sunderland|2026-10-22</t>
        </is>
      </c>
      <c r="B125" s="23">
        <v>46317.697916666664</v>
      </c>
      <c r="C125" s="18" t="inlineStr">
        <is>
          <t>UEFA Europa League</t>
        </is>
      </c>
      <c r="D125" s="18" t="inlineStr">
        <is>
          <t>Lech Poznań vs Sunderland</t>
        </is>
      </c>
      <c r="E125" s="18" t="inlineStr">
        <is>
          <t>48h-zero-tolerance-ev1-common-no-loss75-v22</t>
        </is>
      </c>
      <c r="F125" s="18" t="inlineStr">
        <is>
          <t>GRADED</t>
        </is>
      </c>
      <c r="G125" s="18" t="inlineStr">
        <is>
          <t>1-1</t>
        </is>
      </c>
      <c r="H125" s="19">
        <v>0.0</v>
      </c>
      <c r="I125" s="21">
        <v>1.1898949</v>
      </c>
      <c r="J125" s="19">
        <v>1.0</v>
      </c>
      <c r="K125" s="19">
        <v>1.0</v>
      </c>
      <c r="L125" s="19">
        <v>0.0</v>
      </c>
      <c r="M125" s="19">
        <v>0.0</v>
      </c>
      <c r="N125" s="18" t="inlineStr">
        <is>
          <t>2026-W43</t>
        </is>
      </c>
      <c r="O125" s="18" t="inlineStr">
        <is>
          <t>93aabf61cc3a55fc007e1e56dcfc8baa6ebe3dd6</t>
        </is>
      </c>
      <c r="P125" s="18" t="inlineStr">
        <is>
          <t>Cornerflick + Fixture Download</t>
        </is>
      </c>
      <c r="Q125" s="18"/>
      <c r="R125" s="18"/>
    </row>
    <row r="126" ht="36" customHeight="1">
      <c r="A126" s="18" t="inlineStr">
        <is>
          <t>UEFA Europa League|ofi crete|bayer leverkusen|2026-10-22</t>
        </is>
      </c>
      <c r="B126" s="23">
        <v>46317.697916666664</v>
      </c>
      <c r="C126" s="18" t="inlineStr">
        <is>
          <t>UEFA Europa League</t>
        </is>
      </c>
      <c r="D126" s="18" t="inlineStr">
        <is>
          <t>OFI Crete vs Bayer Leverkusen</t>
        </is>
      </c>
      <c r="E126" s="18" t="inlineStr">
        <is>
          <t>48h-zero-tolerance-ev1-common-no-loss75-v22</t>
        </is>
      </c>
      <c r="F126" s="18" t="inlineStr">
        <is>
          <t>GRADED</t>
        </is>
      </c>
      <c r="G126" s="18" t="inlineStr">
        <is>
          <t>0-2</t>
        </is>
      </c>
      <c r="H126" s="19">
        <v>1.0</v>
      </c>
      <c r="I126" s="21">
        <v>0.20920632</v>
      </c>
      <c r="J126" s="19">
        <v>1.0</v>
      </c>
      <c r="K126" s="19">
        <v>1.0</v>
      </c>
      <c r="L126" s="19">
        <v>1.0</v>
      </c>
      <c r="M126" s="19">
        <v>1.0</v>
      </c>
      <c r="N126" s="18" t="inlineStr">
        <is>
          <t>2026-W43</t>
        </is>
      </c>
      <c r="O126" s="18" t="inlineStr">
        <is>
          <t>93aabf61cc3a55fc007e1e56dcfc8baa6ebe3dd6</t>
        </is>
      </c>
      <c r="P126" s="18" t="inlineStr">
        <is>
          <t>Cornerflick + Fixture Download</t>
        </is>
      </c>
      <c r="Q126" s="18"/>
      <c r="R126" s="18"/>
    </row>
    <row r="127" ht="36" customHeight="1">
      <c r="A127" s="18" t="inlineStr">
        <is>
          <t>UEFA Europa League|sk sturm graz|marseille|2026-10-22</t>
        </is>
      </c>
      <c r="B127" s="23">
        <v>46317.697916666664</v>
      </c>
      <c r="C127" s="18" t="inlineStr">
        <is>
          <t>UEFA Europa League</t>
        </is>
      </c>
      <c r="D127" s="18" t="inlineStr">
        <is>
          <t>SK Sturm Graz vs Marseille</t>
        </is>
      </c>
      <c r="E127" s="18" t="inlineStr">
        <is>
          <t>48h-zero-tolerance-ev1-common-no-loss75-v22</t>
        </is>
      </c>
      <c r="F127" s="18" t="inlineStr">
        <is>
          <t>GRADED</t>
        </is>
      </c>
      <c r="G127" s="18" t="inlineStr">
        <is>
          <t>1-0</t>
        </is>
      </c>
      <c r="H127" s="19">
        <v>0.0</v>
      </c>
      <c r="I127" s="21">
        <v>0.61579759</v>
      </c>
      <c r="J127" s="19">
        <v>0.0</v>
      </c>
      <c r="K127" s="19">
        <v>1.0</v>
      </c>
      <c r="L127" s="19">
        <v>0.0</v>
      </c>
      <c r="M127" s="19">
        <v>0.0</v>
      </c>
      <c r="N127" s="18" t="inlineStr">
        <is>
          <t>2026-W43</t>
        </is>
      </c>
      <c r="O127" s="18" t="inlineStr">
        <is>
          <t>93aabf61cc3a55fc007e1e56dcfc8baa6ebe3dd6</t>
        </is>
      </c>
      <c r="P127" s="18" t="inlineStr">
        <is>
          <t>Cornerflick + Fixture Download</t>
        </is>
      </c>
      <c r="Q127" s="18"/>
      <c r="R127" s="18"/>
    </row>
    <row r="128" ht="36" customHeight="1">
      <c r="A128" s="18" t="inlineStr">
        <is>
          <t>UEFA Europa League|union saint gilloise|hapoel be er sheva|2026-10-22</t>
        </is>
      </c>
      <c r="B128" s="23">
        <v>46317.697916666664</v>
      </c>
      <c r="C128" s="18" t="inlineStr">
        <is>
          <t>UEFA Europa League</t>
        </is>
      </c>
      <c r="D128" s="18" t="inlineStr">
        <is>
          <t>Union Saint-Gilloise vs Hapoel Be'er Sheva</t>
        </is>
      </c>
      <c r="E128" s="18" t="inlineStr">
        <is>
          <t>48h-zero-tolerance-ev1-common-no-loss75-v22</t>
        </is>
      </c>
      <c r="F128" s="18" t="inlineStr">
        <is>
          <t>GRADED</t>
        </is>
      </c>
      <c r="G128" s="18" t="inlineStr">
        <is>
          <t>4-0</t>
        </is>
      </c>
      <c r="H128" s="19">
        <v>1.0</v>
      </c>
      <c r="I128" s="21">
        <v>0.17471975</v>
      </c>
      <c r="J128" s="19">
        <v>1.0</v>
      </c>
      <c r="K128" s="19">
        <v>0.0</v>
      </c>
      <c r="L128" s="19">
        <v>1.0</v>
      </c>
      <c r="M128" s="19">
        <v>1.0</v>
      </c>
      <c r="N128" s="18" t="inlineStr">
        <is>
          <t>2026-W43</t>
        </is>
      </c>
      <c r="O128" s="18" t="inlineStr">
        <is>
          <t>93aabf61cc3a55fc007e1e56dcfc8baa6ebe3dd6</t>
        </is>
      </c>
      <c r="P128" s="18" t="inlineStr">
        <is>
          <t>Cornerflick + Fixture Download</t>
        </is>
      </c>
      <c r="Q128" s="18"/>
      <c r="R128" s="18"/>
    </row>
    <row r="129" ht="36" customHeight="1">
      <c r="A129" s="18" t="inlineStr">
        <is>
          <t>UEFA Europa League|besiktas jk|crystal palace|2026-10-22</t>
        </is>
      </c>
      <c r="B129" s="23">
        <v>46317.791666666664</v>
      </c>
      <c r="C129" s="18" t="inlineStr">
        <is>
          <t>UEFA Europa League</t>
        </is>
      </c>
      <c r="D129" s="18" t="inlineStr">
        <is>
          <t>Besiktas JK vs Crystal Palace</t>
        </is>
      </c>
      <c r="E129" s="18" t="inlineStr">
        <is>
          <t>48h-zero-tolerance-ev1-common-no-loss75-v22</t>
        </is>
      </c>
      <c r="F129" s="18" t="inlineStr">
        <is>
          <t>GRADED</t>
        </is>
      </c>
      <c r="G129" s="18" t="inlineStr">
        <is>
          <t>2-2</t>
        </is>
      </c>
      <c r="H129" s="19">
        <v>0.0</v>
      </c>
      <c r="I129" s="21">
        <v>0.89416558</v>
      </c>
      <c r="J129" s="19">
        <v>1.0</v>
      </c>
      <c r="K129" s="19">
        <v>0.0</v>
      </c>
      <c r="L129" s="19">
        <v>1.0</v>
      </c>
      <c r="M129" s="19">
        <v>1.0</v>
      </c>
      <c r="N129" s="18" t="inlineStr">
        <is>
          <t>2026-W43</t>
        </is>
      </c>
      <c r="O129" s="18" t="inlineStr">
        <is>
          <t>93aabf61cc3a55fc007e1e56dcfc8baa6ebe3dd6</t>
        </is>
      </c>
      <c r="P129" s="18" t="inlineStr">
        <is>
          <t>Cornerflick + Fixture Download</t>
        </is>
      </c>
      <c r="Q129" s="18"/>
      <c r="R129" s="18"/>
    </row>
    <row r="130" ht="36" customHeight="1">
      <c r="A130" s="18" t="inlineStr">
        <is>
          <t>UEFA Europa League|bournemouth|milan|2026-10-22</t>
        </is>
      </c>
      <c r="B130" s="23">
        <v>46317.791666666664</v>
      </c>
      <c r="C130" s="18" t="inlineStr">
        <is>
          <t>UEFA Europa League</t>
        </is>
      </c>
      <c r="D130" s="18" t="inlineStr">
        <is>
          <t>Bournemouth vs AC Milan</t>
        </is>
      </c>
      <c r="E130" s="18" t="inlineStr">
        <is>
          <t>48h-zero-tolerance-ev1-common-no-loss75-v22</t>
        </is>
      </c>
      <c r="F130" s="18" t="inlineStr">
        <is>
          <t>GRADED</t>
        </is>
      </c>
      <c r="G130" s="18" t="inlineStr">
        <is>
          <t>3-0</t>
        </is>
      </c>
      <c r="H130" s="19">
        <v>1.0</v>
      </c>
      <c r="I130" s="21">
        <v>0.20328453</v>
      </c>
      <c r="J130" s="19">
        <v>1.0</v>
      </c>
      <c r="K130" s="19">
        <v>0.0</v>
      </c>
      <c r="L130" s="19">
        <v>0.0</v>
      </c>
      <c r="M130" s="19">
        <v>0.0</v>
      </c>
      <c r="N130" s="18" t="inlineStr">
        <is>
          <t>2026-W43</t>
        </is>
      </c>
      <c r="O130" s="18" t="inlineStr">
        <is>
          <t>93aabf61cc3a55fc007e1e56dcfc8baa6ebe3dd6</t>
        </is>
      </c>
      <c r="P130" s="18" t="inlineStr">
        <is>
          <t>Cornerflick + Fixture Download</t>
        </is>
      </c>
      <c r="Q130" s="18"/>
      <c r="R130" s="18"/>
    </row>
    <row r="131" ht="36" customHeight="1">
      <c r="A131" s="18" t="inlineStr">
        <is>
          <t>UEFA Europa League|celtic|celta vigo|2026-10-22</t>
        </is>
      </c>
      <c r="B131" s="23">
        <v>46317.791666666664</v>
      </c>
      <c r="C131" s="18" t="inlineStr">
        <is>
          <t>UEFA Europa League</t>
        </is>
      </c>
      <c r="D131" s="18" t="inlineStr">
        <is>
          <t>Celtic vs Celta Vigo</t>
        </is>
      </c>
      <c r="E131" s="18" t="inlineStr">
        <is>
          <t>48h-zero-tolerance-ev1-common-no-loss75-v22</t>
        </is>
      </c>
      <c r="F131" s="18" t="inlineStr">
        <is>
          <t>GRADED</t>
        </is>
      </c>
      <c r="G131" s="18" t="inlineStr">
        <is>
          <t>1-2</t>
        </is>
      </c>
      <c r="H131" s="19">
        <v>1.0</v>
      </c>
      <c r="I131" s="21">
        <v>0.48675586</v>
      </c>
      <c r="J131" s="19">
        <v>1.0</v>
      </c>
      <c r="K131" s="19">
        <v>0.0</v>
      </c>
      <c r="L131" s="19">
        <v>1.0</v>
      </c>
      <c r="M131" s="19">
        <v>1.0</v>
      </c>
      <c r="N131" s="18" t="inlineStr">
        <is>
          <t>2026-W43</t>
        </is>
      </c>
      <c r="O131" s="18" t="inlineStr">
        <is>
          <t>93aabf61cc3a55fc007e1e56dcfc8baa6ebe3dd6</t>
        </is>
      </c>
      <c r="P131" s="18" t="inlineStr">
        <is>
          <t>Cornerflick + Fixture Download</t>
        </is>
      </c>
      <c r="Q131" s="18"/>
      <c r="R131" s="18"/>
    </row>
    <row r="132" ht="36" customHeight="1">
      <c r="A132" s="18" t="inlineStr">
        <is>
          <t>UEFA Europa League|jagiellonia bia ystok|anderlecht|2026-10-22</t>
        </is>
      </c>
      <c r="B132" s="23">
        <v>46317.791666666664</v>
      </c>
      <c r="C132" s="18" t="inlineStr">
        <is>
          <t>UEFA Europa League</t>
        </is>
      </c>
      <c r="D132" s="18" t="inlineStr">
        <is>
          <t>Jagiellonia Białystok vs Anderlecht</t>
        </is>
      </c>
      <c r="E132" s="18" t="inlineStr">
        <is>
          <t>48h-zero-tolerance-ev1-common-no-loss75-v22</t>
        </is>
      </c>
      <c r="F132" s="18" t="inlineStr">
        <is>
          <t>GRADED</t>
        </is>
      </c>
      <c r="G132" s="18" t="inlineStr">
        <is>
          <t>0-3</t>
        </is>
      </c>
      <c r="H132" s="19">
        <v>0.0</v>
      </c>
      <c r="I132" s="21">
        <v>0.67438261</v>
      </c>
      <c r="J132" s="19">
        <v>1.0</v>
      </c>
      <c r="K132" s="19">
        <v>1.0</v>
      </c>
      <c r="L132" s="19">
        <v>0.0</v>
      </c>
      <c r="M132" s="19">
        <v>0.0</v>
      </c>
      <c r="N132" s="18" t="inlineStr">
        <is>
          <t>2026-W43</t>
        </is>
      </c>
      <c r="O132" s="18" t="inlineStr">
        <is>
          <t>93aabf61cc3a55fc007e1e56dcfc8baa6ebe3dd6</t>
        </is>
      </c>
      <c r="P132" s="18" t="inlineStr">
        <is>
          <t>Cornerflick + Fixture Download</t>
        </is>
      </c>
      <c r="Q132" s="18"/>
      <c r="R132" s="18"/>
    </row>
    <row r="133" ht="36" customHeight="1">
      <c r="A133" s="18" t="inlineStr">
        <is>
          <t>UEFA Europa League|lillestrom|real sociedad|2026-10-22</t>
        </is>
      </c>
      <c r="B133" s="23">
        <v>46317.791666666664</v>
      </c>
      <c r="C133" s="18" t="inlineStr">
        <is>
          <t>UEFA Europa League</t>
        </is>
      </c>
      <c r="D133" s="18" t="inlineStr">
        <is>
          <t>Lillestrom vs Real Sociedad</t>
        </is>
      </c>
      <c r="E133" s="18" t="inlineStr">
        <is>
          <t>48h-zero-tolerance-ev1-common-no-loss75-v22</t>
        </is>
      </c>
      <c r="F133" s="18" t="inlineStr">
        <is>
          <t>GRADED</t>
        </is>
      </c>
      <c r="G133" s="18" t="inlineStr">
        <is>
          <t>0-6</t>
        </is>
      </c>
      <c r="H133" s="19">
        <v>1.0</v>
      </c>
      <c r="I133" s="21">
        <v>0.31297515</v>
      </c>
      <c r="J133" s="19">
        <v>0.0</v>
      </c>
      <c r="K133" s="19">
        <v>0.0</v>
      </c>
      <c r="L133" s="19">
        <v>1.0</v>
      </c>
      <c r="M133" s="19">
        <v>1.0</v>
      </c>
      <c r="N133" s="18" t="inlineStr">
        <is>
          <t>2026-W43</t>
        </is>
      </c>
      <c r="O133" s="18" t="inlineStr">
        <is>
          <t>93aabf61cc3a55fc007e1e56dcfc8baa6ebe3dd6</t>
        </is>
      </c>
      <c r="P133" s="18" t="inlineStr">
        <is>
          <t>Cornerflick + Fixture Download</t>
        </is>
      </c>
      <c r="Q133" s="18"/>
      <c r="R133" s="18"/>
    </row>
    <row r="134" ht="36" customHeight="1">
      <c r="A134" s="18" t="inlineStr">
        <is>
          <t>UEFA Europa League|nk celje|salzburg|2026-10-22</t>
        </is>
      </c>
      <c r="B134" s="23">
        <v>46317.791666666664</v>
      </c>
      <c r="C134" s="18" t="inlineStr">
        <is>
          <t>UEFA Europa League</t>
        </is>
      </c>
      <c r="D134" s="18" t="inlineStr">
        <is>
          <t>NK Celje vs Salzburg</t>
        </is>
      </c>
      <c r="E134" s="18" t="inlineStr">
        <is>
          <t>48h-zero-tolerance-ev1-common-no-loss75-v22</t>
        </is>
      </c>
      <c r="F134" s="18" t="inlineStr">
        <is>
          <t>GRADED</t>
        </is>
      </c>
      <c r="G134" s="18" t="inlineStr">
        <is>
          <t>2-2</t>
        </is>
      </c>
      <c r="H134" s="19">
        <v>0.0</v>
      </c>
      <c r="I134" s="21">
        <v>0.94275472</v>
      </c>
      <c r="J134" s="19">
        <v>1.0</v>
      </c>
      <c r="K134" s="19">
        <v>0.0</v>
      </c>
      <c r="L134" s="19">
        <v>1.0</v>
      </c>
      <c r="M134" s="19">
        <v>1.0</v>
      </c>
      <c r="N134" s="18" t="inlineStr">
        <is>
          <t>2026-W43</t>
        </is>
      </c>
      <c r="O134" s="18" t="inlineStr">
        <is>
          <t>93aabf61cc3a55fc007e1e56dcfc8baa6ebe3dd6</t>
        </is>
      </c>
      <c r="P134" s="18" t="inlineStr">
        <is>
          <t>Cornerflick + Fixture Download</t>
        </is>
      </c>
      <c r="Q134" s="18"/>
      <c r="R134" s="18"/>
    </row>
    <row r="135" ht="36" customHeight="1">
      <c r="A135" s="18" t="inlineStr">
        <is>
          <t>UEFA Europa League|olympiakos piraeus|sparta prague|2026-10-22</t>
        </is>
      </c>
      <c r="B135" s="23">
        <v>46317.791666666664</v>
      </c>
      <c r="C135" s="18" t="inlineStr">
        <is>
          <t>UEFA Europa League</t>
        </is>
      </c>
      <c r="D135" s="18" t="inlineStr">
        <is>
          <t>Olympiakos Piraeus vs Sparta Prague</t>
        </is>
      </c>
      <c r="E135" s="18" t="inlineStr">
        <is>
          <t>48h-zero-tolerance-ev1-common-no-loss75-v22</t>
        </is>
      </c>
      <c r="F135" s="18" t="inlineStr">
        <is>
          <t>GRADED</t>
        </is>
      </c>
      <c r="G135" s="18" t="inlineStr">
        <is>
          <t>1-0</t>
        </is>
      </c>
      <c r="H135" s="19">
        <v>1.0</v>
      </c>
      <c r="I135" s="21">
        <v>0.30597626</v>
      </c>
      <c r="J135" s="19">
        <v>0.0</v>
      </c>
      <c r="K135" s="19">
        <v>1.0</v>
      </c>
      <c r="L135" s="19">
        <v>1.0</v>
      </c>
      <c r="M135" s="19">
        <v>1.0</v>
      </c>
      <c r="N135" s="18" t="inlineStr">
        <is>
          <t>2026-W43</t>
        </is>
      </c>
      <c r="O135" s="18" t="inlineStr">
        <is>
          <t>93aabf61cc3a55fc007e1e56dcfc8baa6ebe3dd6</t>
        </is>
      </c>
      <c r="P135" s="18" t="inlineStr">
        <is>
          <t>Cornerflick + Fixture Download</t>
        </is>
      </c>
      <c r="Q135" s="18"/>
      <c r="R135" s="18"/>
    </row>
    <row r="136" ht="36" customHeight="1">
      <c r="A136" s="18" t="inlineStr">
        <is>
          <t>UEFA Europa League|omonoia|benfica|2026-10-22</t>
        </is>
      </c>
      <c r="B136" s="23">
        <v>46317.791666666664</v>
      </c>
      <c r="C136" s="18" t="inlineStr">
        <is>
          <t>UEFA Europa League</t>
        </is>
      </c>
      <c r="D136" s="18" t="inlineStr">
        <is>
          <t>Omonoia FC vs Benfica</t>
        </is>
      </c>
      <c r="E136" s="18" t="inlineStr">
        <is>
          <t>48h-zero-tolerance-ev1-common-no-loss75-v22</t>
        </is>
      </c>
      <c r="F136" s="18" t="inlineStr">
        <is>
          <t>GRADED</t>
        </is>
      </c>
      <c r="G136" s="18" t="inlineStr">
        <is>
          <t>1-4</t>
        </is>
      </c>
      <c r="H136" s="19">
        <v>1.0</v>
      </c>
      <c r="I136" s="21">
        <v>0.16040531</v>
      </c>
      <c r="J136" s="19">
        <v>1.0</v>
      </c>
      <c r="K136" s="19">
        <v>0.0</v>
      </c>
      <c r="L136" s="19">
        <v>0.0</v>
      </c>
      <c r="M136" s="19">
        <v>0.0</v>
      </c>
      <c r="N136" s="18" t="inlineStr">
        <is>
          <t>2026-W43</t>
        </is>
      </c>
      <c r="O136" s="18" t="inlineStr">
        <is>
          <t>93aabf61cc3a55fc007e1e56dcfc8baa6ebe3dd6</t>
        </is>
      </c>
      <c r="P136" s="18" t="inlineStr">
        <is>
          <t>Cornerflick + Fixture Download</t>
        </is>
      </c>
      <c r="Q136" s="18"/>
      <c r="R136" s="18"/>
    </row>
    <row r="137" ht="36" customHeight="1">
      <c r="A137" s="18" t="inlineStr">
        <is>
          <t>UEFA Europa League|tsg hoffenheim|lyon|2026-10-22</t>
        </is>
      </c>
      <c r="B137" s="23">
        <v>46317.791666666664</v>
      </c>
      <c r="C137" s="18" t="inlineStr">
        <is>
          <t>UEFA Europa League</t>
        </is>
      </c>
      <c r="D137" s="18" t="inlineStr">
        <is>
          <t>TSG Hoffenheim vs Lyon</t>
        </is>
      </c>
      <c r="E137" s="18" t="inlineStr">
        <is>
          <t>48h-zero-tolerance-ev1-common-no-loss75-v22</t>
        </is>
      </c>
      <c r="F137" s="18" t="inlineStr">
        <is>
          <t>GRADED</t>
        </is>
      </c>
      <c r="G137" s="18" t="inlineStr">
        <is>
          <t>3-0</t>
        </is>
      </c>
      <c r="H137" s="19">
        <v>0.0</v>
      </c>
      <c r="I137" s="21">
        <v>0.61660552</v>
      </c>
      <c r="J137" s="19">
        <v>1.0</v>
      </c>
      <c r="K137" s="19">
        <v>1.0</v>
      </c>
      <c r="L137" s="19">
        <v>0.0</v>
      </c>
      <c r="M137" s="19">
        <v>0.0</v>
      </c>
      <c r="N137" s="18" t="inlineStr">
        <is>
          <t>2026-W43</t>
        </is>
      </c>
      <c r="O137" s="18" t="inlineStr">
        <is>
          <t>93aabf61cc3a55fc007e1e56dcfc8baa6ebe3dd6</t>
        </is>
      </c>
      <c r="P137" s="18" t="inlineStr">
        <is>
          <t>Cornerflick + Fixture Download</t>
        </is>
      </c>
      <c r="Q137" s="18"/>
      <c r="R137" s="18"/>
    </row>
    <row r="138" ht="36" customHeight="1">
      <c r="A138" s="18" t="inlineStr">
        <is>
          <t>UEFA Europa League|viktoria plzen|pfc levski sofia|2026-10-22</t>
        </is>
      </c>
      <c r="B138" s="23">
        <v>46317.791666666664</v>
      </c>
      <c r="C138" s="18" t="inlineStr">
        <is>
          <t>UEFA Europa League</t>
        </is>
      </c>
      <c r="D138" s="18" t="inlineStr">
        <is>
          <t>Viktoria Plzeň vs PFC Levski Sofia</t>
        </is>
      </c>
      <c r="E138" s="18" t="inlineStr">
        <is>
          <t>48h-zero-tolerance-ev1-common-no-loss75-v22</t>
        </is>
      </c>
      <c r="F138" s="18" t="inlineStr">
        <is>
          <t>GRADED</t>
        </is>
      </c>
      <c r="G138" s="18" t="inlineStr">
        <is>
          <t>1-2</t>
        </is>
      </c>
      <c r="H138" s="19">
        <v>0.0</v>
      </c>
      <c r="I138" s="21">
        <v>0.96190583</v>
      </c>
      <c r="J138" s="19">
        <v>1.0</v>
      </c>
      <c r="K138" s="19">
        <v>1.0</v>
      </c>
      <c r="L138" s="19">
        <v>0.0</v>
      </c>
      <c r="M138" s="19">
        <v>0.0</v>
      </c>
      <c r="N138" s="18" t="inlineStr">
        <is>
          <t>2026-W43</t>
        </is>
      </c>
      <c r="O138" s="18" t="inlineStr">
        <is>
          <t>93aabf61cc3a55fc007e1e56dcfc8baa6ebe3dd6</t>
        </is>
      </c>
      <c r="P138" s="18" t="inlineStr">
        <is>
          <t>Cornerflick + Fixture Download</t>
        </is>
      </c>
      <c r="Q138" s="18"/>
      <c r="R138" s="18"/>
    </row>
    <row r="139" ht="36" customHeight="1">
      <c r="A139" s="18" t="inlineStr">
        <is>
          <t>Bundesliga|vfb stuttgart|m gladbach|2026-10-23</t>
        </is>
      </c>
      <c r="B139" s="23">
        <v>46318.770833333336</v>
      </c>
      <c r="C139" s="18" t="inlineStr">
        <is>
          <t>Bundesliga</t>
        </is>
      </c>
      <c r="D139" s="18" t="inlineStr">
        <is>
          <t>VfB Stuttgart vs Borussia Monchengladbach</t>
        </is>
      </c>
      <c r="E139" s="18" t="inlineStr">
        <is>
          <t>72h-all-markets-net-ev15-execution-v7</t>
        </is>
      </c>
      <c r="F139" s="18" t="inlineStr">
        <is>
          <t>GRADED</t>
        </is>
      </c>
      <c r="G139" s="18" t="inlineStr">
        <is>
          <t>2-3</t>
        </is>
      </c>
      <c r="H139" s="19">
        <v>0.0</v>
      </c>
      <c r="I139" s="21">
        <v>1.22788997</v>
      </c>
      <c r="J139" s="19">
        <v>1.0</v>
      </c>
      <c r="K139" s="19">
        <v>1.0</v>
      </c>
      <c r="L139" s="19">
        <v>1.0</v>
      </c>
      <c r="M139" s="19">
        <v>1.0</v>
      </c>
      <c r="N139" s="18" t="inlineStr">
        <is>
          <t>2026-W43</t>
        </is>
      </c>
      <c r="O139" s="18" t="inlineStr">
        <is>
          <t>d3f12df5a2a20809c3ac84f9a31766ba965813e3</t>
        </is>
      </c>
      <c r="P139" s="18" t="inlineStr">
        <is>
          <t>football-data.org/v4</t>
        </is>
      </c>
      <c r="Q139" s="18"/>
      <c r="R139" s="18"/>
    </row>
    <row r="140" ht="36" customHeight="1">
      <c r="A140" s="18" t="inlineStr">
        <is>
          <t>Ligue 1|brest|nice|2026-10-23</t>
        </is>
      </c>
      <c r="B140" s="23">
        <v>46318.78125</v>
      </c>
      <c r="C140" s="18" t="inlineStr">
        <is>
          <t>Ligue 1</t>
        </is>
      </c>
      <c r="D140" s="18" t="inlineStr">
        <is>
          <t>Brest vs Nice</t>
        </is>
      </c>
      <c r="E140" s="18" t="inlineStr">
        <is>
          <t>72h-all-markets-net-ev15-execution-v7</t>
        </is>
      </c>
      <c r="F140" s="18" t="inlineStr">
        <is>
          <t>GRADED</t>
        </is>
      </c>
      <c r="G140" s="18" t="inlineStr">
        <is>
          <t>1-2</t>
        </is>
      </c>
      <c r="H140" s="19">
        <v>0.0</v>
      </c>
      <c r="I140" s="21">
        <v>0.75174135</v>
      </c>
      <c r="J140" s="19">
        <v>1.0</v>
      </c>
      <c r="K140" s="19">
        <v>1.0</v>
      </c>
      <c r="L140" s="19">
        <v>1.0</v>
      </c>
      <c r="M140" s="19">
        <v>1.0</v>
      </c>
      <c r="N140" s="18" t="inlineStr">
        <is>
          <t>2026-W43</t>
        </is>
      </c>
      <c r="O140" s="18" t="inlineStr">
        <is>
          <t>d3f12df5a2a20809c3ac84f9a31766ba965813e3</t>
        </is>
      </c>
      <c r="P140" s="18" t="inlineStr">
        <is>
          <t>football-data.org/v4</t>
        </is>
      </c>
      <c r="Q140" s="18"/>
      <c r="R140" s="18"/>
    </row>
    <row r="141" ht="36" customHeight="1">
      <c r="A141" s="18" t="inlineStr">
        <is>
          <t>Serie A|torino|monza|2026-10-23</t>
        </is>
      </c>
      <c r="B141" s="23">
        <v>46318.78125</v>
      </c>
      <c r="C141" s="18" t="inlineStr">
        <is>
          <t>Serie A</t>
        </is>
      </c>
      <c r="D141" s="18" t="inlineStr">
        <is>
          <t>Torino vs Monza</t>
        </is>
      </c>
      <c r="E141" s="18" t="inlineStr">
        <is>
          <t>72h-all-markets-net-ev15-execution-v7</t>
        </is>
      </c>
      <c r="F141" s="18" t="inlineStr">
        <is>
          <t>GRADED</t>
        </is>
      </c>
      <c r="G141" s="18" t="inlineStr">
        <is>
          <t>3-2</t>
        </is>
      </c>
      <c r="H141" s="19">
        <v>1.0</v>
      </c>
      <c r="I141" s="21">
        <v>0.37810483</v>
      </c>
      <c r="J141" s="19">
        <v>1.0</v>
      </c>
      <c r="K141" s="19">
        <v>0.0</v>
      </c>
      <c r="L141" s="19">
        <v>1.0</v>
      </c>
      <c r="M141" s="19">
        <v>1.0</v>
      </c>
      <c r="N141" s="18" t="inlineStr">
        <is>
          <t>2026-W43</t>
        </is>
      </c>
      <c r="O141" s="18" t="inlineStr">
        <is>
          <t>d3f12df5a2a20809c3ac84f9a31766ba965813e3</t>
        </is>
      </c>
      <c r="P141" s="18" t="inlineStr">
        <is>
          <t>football-data.org/v4</t>
        </is>
      </c>
      <c r="Q141" s="18"/>
      <c r="R141" s="18"/>
    </row>
    <row r="142" ht="36" customHeight="1">
      <c r="A142" s="18" t="inlineStr">
        <is>
          <t>La Liga|alaves|malaga|2026-10-23</t>
        </is>
      </c>
      <c r="B142" s="23">
        <v>46318.791666666664</v>
      </c>
      <c r="C142" s="18" t="inlineStr">
        <is>
          <t>La Liga</t>
        </is>
      </c>
      <c r="D142" s="18" t="inlineStr">
        <is>
          <t>Alavés vs Málaga</t>
        </is>
      </c>
      <c r="E142" s="18" t="inlineStr">
        <is>
          <t>72h-all-markets-net-ev15-execution-v7</t>
        </is>
      </c>
      <c r="F142" s="18" t="inlineStr">
        <is>
          <t>GRADED</t>
        </is>
      </c>
      <c r="G142" s="18" t="inlineStr">
        <is>
          <t>1-1</t>
        </is>
      </c>
      <c r="H142" s="19">
        <v>0.0</v>
      </c>
      <c r="I142" s="21">
        <v>0.87751499</v>
      </c>
      <c r="J142" s="19">
        <v>1.0</v>
      </c>
      <c r="K142" s="19">
        <v>1.0</v>
      </c>
      <c r="L142" s="19">
        <v>0.0</v>
      </c>
      <c r="M142" s="19">
        <v>0.0</v>
      </c>
      <c r="N142" s="18" t="inlineStr">
        <is>
          <t>2026-W43</t>
        </is>
      </c>
      <c r="O142" s="18" t="inlineStr">
        <is>
          <t>d3f12df5a2a20809c3ac84f9a31766ba965813e3</t>
        </is>
      </c>
      <c r="P142" s="18" t="inlineStr">
        <is>
          <t>football-data.org/v4</t>
        </is>
      </c>
      <c r="Q142" s="18"/>
      <c r="R142" s="18"/>
    </row>
    <row r="143" ht="36" customHeight="1">
      <c r="A143" s="18" t="inlineStr">
        <is>
          <t>Premier League|ipswich town|nott m forest|2026-10-23</t>
        </is>
      </c>
      <c r="B143" s="23">
        <v>46318.791666666664</v>
      </c>
      <c r="C143" s="18" t="inlineStr">
        <is>
          <t>Premier League</t>
        </is>
      </c>
      <c r="D143" s="18" t="inlineStr">
        <is>
          <t>Ipswich Town vs Nottingham Forest</t>
        </is>
      </c>
      <c r="E143" s="18" t="inlineStr">
        <is>
          <t>72h-all-markets-net-ev15-execution-v7</t>
        </is>
      </c>
      <c r="F143" s="18" t="inlineStr">
        <is>
          <t>GRADED</t>
        </is>
      </c>
      <c r="G143" s="18" t="inlineStr">
        <is>
          <t>1-1</t>
        </is>
      </c>
      <c r="H143" s="19">
        <v>0.0</v>
      </c>
      <c r="I143" s="21">
        <v>0.82499597</v>
      </c>
      <c r="J143" s="19">
        <v>1.0</v>
      </c>
      <c r="K143" s="19">
        <v>1.0</v>
      </c>
      <c r="L143" s="19">
        <v>1.0</v>
      </c>
      <c r="M143" s="19">
        <v>1.0</v>
      </c>
      <c r="N143" s="18" t="inlineStr">
        <is>
          <t>2026-W43</t>
        </is>
      </c>
      <c r="O143" s="18" t="inlineStr">
        <is>
          <t>d3f12df5a2a20809c3ac84f9a31766ba965813e3</t>
        </is>
      </c>
      <c r="P143" s="18" t="inlineStr">
        <is>
          <t>football-data.org/v4</t>
        </is>
      </c>
      <c r="Q143" s="18"/>
      <c r="R143" s="18"/>
    </row>
    <row r="144" ht="36" customHeight="1">
      <c r="A144" s="18" t="inlineStr">
        <is>
          <t>Premier League|aston villa|man city|2026-10-24</t>
        </is>
      </c>
      <c r="B144" s="23">
        <v>46319.479166666664</v>
      </c>
      <c r="C144" s="18" t="inlineStr">
        <is>
          <t>Premier League</t>
        </is>
      </c>
      <c r="D144" s="18" t="inlineStr">
        <is>
          <t>Aston Villa vs Manchester City</t>
        </is>
      </c>
      <c r="E144" s="18" t="inlineStr">
        <is>
          <t>72h-all-markets-net-ev15-execution-v7</t>
        </is>
      </c>
      <c r="F144" s="18" t="inlineStr">
        <is>
          <t>GRADED</t>
        </is>
      </c>
      <c r="G144" s="18" t="inlineStr">
        <is>
          <t>2-1</t>
        </is>
      </c>
      <c r="H144" s="19">
        <v>0.0</v>
      </c>
      <c r="I144" s="21">
        <v>1.02154229</v>
      </c>
      <c r="J144" s="19">
        <v>1.0</v>
      </c>
      <c r="K144" s="19">
        <v>1.0</v>
      </c>
      <c r="L144" s="19">
        <v>1.0</v>
      </c>
      <c r="M144" s="19">
        <v>1.0</v>
      </c>
      <c r="N144" s="18" t="inlineStr">
        <is>
          <t>2026-W43</t>
        </is>
      </c>
      <c r="O144" s="18" t="inlineStr">
        <is>
          <t>54bb8a2c2c957dda77ef247b3e042f6a945bda8f</t>
        </is>
      </c>
      <c r="P144" s="18" t="inlineStr">
        <is>
          <t>football-data.org/v4</t>
        </is>
      </c>
      <c r="Q144" s="18"/>
      <c r="R144" s="18"/>
    </row>
    <row r="145" ht="36" customHeight="1">
      <c r="A145" s="18" t="inlineStr">
        <is>
          <t>La Liga|rayo vallecano|elche|2026-10-24</t>
        </is>
      </c>
      <c r="B145" s="23">
        <v>46319.5</v>
      </c>
      <c r="C145" s="18" t="inlineStr">
        <is>
          <t>La Liga</t>
        </is>
      </c>
      <c r="D145" s="18" t="inlineStr">
        <is>
          <t>Rayo Vallecano vs Elche CF</t>
        </is>
      </c>
      <c r="E145" s="18" t="inlineStr">
        <is>
          <t>72h-all-markets-net-ev15-execution-v7</t>
        </is>
      </c>
      <c r="F145" s="18" t="inlineStr">
        <is>
          <t>GRADED</t>
        </is>
      </c>
      <c r="G145" s="18" t="inlineStr">
        <is>
          <t>0-3</t>
        </is>
      </c>
      <c r="H145" s="19">
        <v>0.0</v>
      </c>
      <c r="I145" s="21">
        <v>0.88392037</v>
      </c>
      <c r="J145" s="19">
        <v>1.0</v>
      </c>
      <c r="K145" s="19">
        <v>1.0</v>
      </c>
      <c r="L145" s="19">
        <v>1.0</v>
      </c>
      <c r="M145" s="19">
        <v>1.0</v>
      </c>
      <c r="N145" s="18" t="inlineStr">
        <is>
          <t>2026-W43</t>
        </is>
      </c>
      <c r="O145" s="18" t="inlineStr">
        <is>
          <t>54bb8a2c2c957dda77ef247b3e042f6a945bda8f</t>
        </is>
      </c>
      <c r="P145" s="18" t="inlineStr">
        <is>
          <t>football-data.org/v4</t>
        </is>
      </c>
      <c r="Q145" s="18"/>
      <c r="R145" s="18"/>
    </row>
    <row r="146" ht="36" customHeight="1">
      <c r="A146" s="18" t="inlineStr">
        <is>
          <t>Serie A|cagliari|bologna|2026-10-24</t>
        </is>
      </c>
      <c r="B146" s="23">
        <v>46319.541666666664</v>
      </c>
      <c r="C146" s="18" t="inlineStr">
        <is>
          <t>Serie A</t>
        </is>
      </c>
      <c r="D146" s="18" t="inlineStr">
        <is>
          <t>Cagliari vs Bologna</t>
        </is>
      </c>
      <c r="E146" s="18" t="inlineStr">
        <is>
          <t>72h-all-markets-net-ev15-execution-v7</t>
        </is>
      </c>
      <c r="F146" s="18" t="inlineStr">
        <is>
          <t>GRADED</t>
        </is>
      </c>
      <c r="G146" s="18" t="inlineStr">
        <is>
          <t>0-2</t>
        </is>
      </c>
      <c r="H146" s="19">
        <v>1.0</v>
      </c>
      <c r="I146" s="21">
        <v>0.56223828</v>
      </c>
      <c r="J146" s="19">
        <v>1.0</v>
      </c>
      <c r="K146" s="19">
        <v>1.0</v>
      </c>
      <c r="L146" s="19">
        <v>1.0</v>
      </c>
      <c r="M146" s="19">
        <v>1.0</v>
      </c>
      <c r="N146" s="18" t="inlineStr">
        <is>
          <t>2026-W43</t>
        </is>
      </c>
      <c r="O146" s="18" t="inlineStr">
        <is>
          <t>54bb8a2c2c957dda77ef247b3e042f6a945bda8f</t>
        </is>
      </c>
      <c r="P146" s="18" t="inlineStr">
        <is>
          <t>football-data.org/v4</t>
        </is>
      </c>
      <c r="Q146" s="18"/>
      <c r="R146" s="18"/>
    </row>
    <row r="147" ht="36" customHeight="1">
      <c r="A147" s="18" t="inlineStr">
        <is>
          <t>Serie A|como|sassuolo|2026-10-24</t>
        </is>
      </c>
      <c r="B147" s="23">
        <v>46319.541666666664</v>
      </c>
      <c r="C147" s="18" t="inlineStr">
        <is>
          <t>Serie A</t>
        </is>
      </c>
      <c r="D147" s="18" t="inlineStr">
        <is>
          <t>Como vs Sassuolo</t>
        </is>
      </c>
      <c r="E147" s="18" t="inlineStr">
        <is>
          <t>72h-all-markets-net-ev15-execution-v7</t>
        </is>
      </c>
      <c r="F147" s="18" t="inlineStr">
        <is>
          <t>UNVERIFIED_FIXTURE_OR_RESULT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54bb8a2c2c957dda77ef247b3e042f6a945bda8f</t>
        </is>
      </c>
      <c r="P147" s="18"/>
      <c r="Q147" s="18"/>
      <c r="R147" s="18"/>
    </row>
    <row r="148" ht="36" customHeight="1">
      <c r="A148" s="18" t="inlineStr">
        <is>
          <t>Bundesliga|1 koln|schalke|2026-10-24</t>
        </is>
      </c>
      <c r="B148" s="23">
        <v>46319.5625</v>
      </c>
      <c r="C148" s="18" t="inlineStr">
        <is>
          <t>Bundesliga</t>
        </is>
      </c>
      <c r="D148" s="18" t="inlineStr">
        <is>
          <t>1. FC Köln vs FC Schalke 04</t>
        </is>
      </c>
      <c r="E148" s="18" t="inlineStr">
        <is>
          <t>72h-all-markets-net-ev15-execution-v7</t>
        </is>
      </c>
      <c r="F148" s="18" t="inlineStr">
        <is>
          <t>GRADED</t>
        </is>
      </c>
      <c r="G148" s="18" t="inlineStr">
        <is>
          <t>0-0</t>
        </is>
      </c>
      <c r="H148" s="19">
        <v>0.0</v>
      </c>
      <c r="I148" s="21">
        <v>0.75913579</v>
      </c>
      <c r="J148" s="19">
        <v>0.0</v>
      </c>
      <c r="K148" s="19">
        <v>1.0</v>
      </c>
      <c r="L148" s="19">
        <v>1.0</v>
      </c>
      <c r="M148" s="19">
        <v>1.0</v>
      </c>
      <c r="N148" s="18" t="inlineStr">
        <is>
          <t>2026-W43</t>
        </is>
      </c>
      <c r="O148" s="18" t="inlineStr">
        <is>
          <t>54bb8a2c2c957dda77ef247b3e042f6a945bda8f</t>
        </is>
      </c>
      <c r="P148" s="18" t="inlineStr">
        <is>
          <t>football-data.org/v4</t>
        </is>
      </c>
      <c r="Q148" s="18"/>
      <c r="R148" s="18"/>
    </row>
    <row r="149" ht="36" customHeight="1">
      <c r="A149" s="18" t="inlineStr">
        <is>
          <t>Bundesliga|augsburg|union berlin|2026-10-24</t>
        </is>
      </c>
      <c r="B149" s="23">
        <v>46319.5625</v>
      </c>
      <c r="C149" s="18" t="inlineStr">
        <is>
          <t>Bundesliga</t>
        </is>
      </c>
      <c r="D149" s="18" t="inlineStr">
        <is>
          <t>Augsburg vs Union Berlin</t>
        </is>
      </c>
      <c r="E149" s="18" t="inlineStr">
        <is>
          <t>72h-all-markets-net-ev15-execution-v7</t>
        </is>
      </c>
      <c r="F149" s="18" t="inlineStr">
        <is>
          <t>GRADED</t>
        </is>
      </c>
      <c r="G149" s="18" t="inlineStr">
        <is>
          <t>1-1</t>
        </is>
      </c>
      <c r="H149" s="19">
        <v>0.0</v>
      </c>
      <c r="I149" s="21">
        <v>0.87367995</v>
      </c>
      <c r="J149" s="19">
        <v>1.0</v>
      </c>
      <c r="K149" s="19">
        <v>1.0</v>
      </c>
      <c r="L149" s="19">
        <v>1.0</v>
      </c>
      <c r="M149" s="19">
        <v>1.0</v>
      </c>
      <c r="N149" s="18" t="inlineStr">
        <is>
          <t>2026-W43</t>
        </is>
      </c>
      <c r="O149" s="18" t="inlineStr">
        <is>
          <t>54bb8a2c2c957dda77ef247b3e042f6a945bda8f</t>
        </is>
      </c>
      <c r="P149" s="18" t="inlineStr">
        <is>
          <t>football-data.org/v4</t>
        </is>
      </c>
      <c r="Q149" s="18"/>
      <c r="R149" s="18"/>
    </row>
    <row r="150" ht="36" customHeight="1">
      <c r="A150" s="18" t="inlineStr">
        <is>
          <t>Bundesliga|fsv mainz|werder bremen|2026-10-24</t>
        </is>
      </c>
      <c r="B150" s="23">
        <v>46319.5625</v>
      </c>
      <c r="C150" s="18" t="inlineStr">
        <is>
          <t>Bundesliga</t>
        </is>
      </c>
      <c r="D150" s="18" t="inlineStr">
        <is>
          <t>FSV Mainz 05 vs Werder Bremen</t>
        </is>
      </c>
      <c r="E150" s="18" t="inlineStr">
        <is>
          <t>72h-all-markets-net-ev15-execution-v7</t>
        </is>
      </c>
      <c r="F150" s="18" t="inlineStr">
        <is>
          <t>GRADED</t>
        </is>
      </c>
      <c r="G150" s="18" t="inlineStr">
        <is>
          <t>2-3</t>
        </is>
      </c>
      <c r="H150" s="19">
        <v>0.0</v>
      </c>
      <c r="I150" s="21">
        <v>0.93798578</v>
      </c>
      <c r="J150" s="19">
        <v>1.0</v>
      </c>
      <c r="K150" s="19">
        <v>0.0</v>
      </c>
      <c r="L150" s="19">
        <v>1.0</v>
      </c>
      <c r="M150" s="19">
        <v>1.0</v>
      </c>
      <c r="N150" s="18" t="inlineStr">
        <is>
          <t>2026-W43</t>
        </is>
      </c>
      <c r="O150" s="18" t="inlineStr">
        <is>
          <t>54bb8a2c2c957dda77ef247b3e042f6a945bda8f</t>
        </is>
      </c>
      <c r="P150" s="18" t="inlineStr">
        <is>
          <t>football-data.org/v4</t>
        </is>
      </c>
      <c r="Q150" s="18"/>
      <c r="R150" s="18"/>
    </row>
    <row r="151" ht="36" customHeight="1">
      <c r="A151" s="18" t="inlineStr">
        <is>
          <t>Bundesliga|paderborn|hamburger|2026-10-24</t>
        </is>
      </c>
      <c r="B151" s="23">
        <v>46319.5625</v>
      </c>
      <c r="C151" s="18" t="inlineStr">
        <is>
          <t>Bundesliga</t>
        </is>
      </c>
      <c r="D151" s="18" t="inlineStr">
        <is>
          <t>SC Paderborn vs Hamburger SV</t>
        </is>
      </c>
      <c r="E151" s="18" t="inlineStr">
        <is>
          <t>72h-all-markets-net-ev15-execution-v7</t>
        </is>
      </c>
      <c r="F151" s="18" t="inlineStr">
        <is>
          <t>GRADED</t>
        </is>
      </c>
      <c r="G151" s="18" t="inlineStr">
        <is>
          <t>1-0</t>
        </is>
      </c>
      <c r="H151" s="19">
        <v>1.0</v>
      </c>
      <c r="I151" s="21">
        <v>0.63489528</v>
      </c>
      <c r="J151" s="19">
        <v>0.0</v>
      </c>
      <c r="K151" s="19">
        <v>1.0</v>
      </c>
      <c r="L151" s="19">
        <v>1.0</v>
      </c>
      <c r="M151" s="19">
        <v>1.0</v>
      </c>
      <c r="N151" s="18" t="inlineStr">
        <is>
          <t>2026-W43</t>
        </is>
      </c>
      <c r="O151" s="18" t="inlineStr">
        <is>
          <t>54bb8a2c2c957dda77ef247b3e042f6a945bda8f</t>
        </is>
      </c>
      <c r="P151" s="18" t="inlineStr">
        <is>
          <t>football-data.org/v4</t>
        </is>
      </c>
      <c r="Q151" s="18"/>
      <c r="R151" s="18"/>
    </row>
    <row r="152" ht="36" customHeight="1">
      <c r="A152" s="18" t="inlineStr">
        <is>
          <t>Bundesliga|rb leipzig|elversberg|2026-10-24</t>
        </is>
      </c>
      <c r="B152" s="23">
        <v>46319.5625</v>
      </c>
      <c r="C152" s="18" t="inlineStr">
        <is>
          <t>Bundesliga</t>
        </is>
      </c>
      <c r="D152" s="18" t="inlineStr">
        <is>
          <t>RB Leipzig vs Elversberg</t>
        </is>
      </c>
      <c r="E152" s="18" t="inlineStr">
        <is>
          <t>72h-all-markets-net-ev15-execution-v7</t>
        </is>
      </c>
      <c r="F152" s="18" t="inlineStr">
        <is>
          <t>GRADED</t>
        </is>
      </c>
      <c r="G152" s="18" t="inlineStr">
        <is>
          <t>4-0</t>
        </is>
      </c>
      <c r="H152" s="19">
        <v>1.0</v>
      </c>
      <c r="I152" s="21">
        <v>0.21773877</v>
      </c>
      <c r="J152" s="19">
        <v>1.0</v>
      </c>
      <c r="K152" s="19">
        <v>0.0</v>
      </c>
      <c r="L152" s="19">
        <v>0.0</v>
      </c>
      <c r="M152" s="19">
        <v>0.0</v>
      </c>
      <c r="N152" s="18" t="inlineStr">
        <is>
          <t>2026-W43</t>
        </is>
      </c>
      <c r="O152" s="18" t="inlineStr">
        <is>
          <t>54bb8a2c2c957dda77ef247b3e042f6a945bda8f</t>
        </is>
      </c>
      <c r="P152" s="18" t="inlineStr">
        <is>
          <t>football-data.org/v4</t>
        </is>
      </c>
      <c r="Q152" s="18"/>
      <c r="R152" s="18"/>
    </row>
    <row r="153" ht="36" customHeight="1">
      <c r="A153" s="18" t="inlineStr">
        <is>
          <t>Premier League|arsenal|everton|2026-10-24</t>
        </is>
      </c>
      <c r="B153" s="23">
        <v>46319.583333333336</v>
      </c>
      <c r="C153" s="18" t="inlineStr">
        <is>
          <t>Premier League</t>
        </is>
      </c>
      <c r="D153" s="18" t="inlineStr">
        <is>
          <t>Arsenal vs Everton</t>
        </is>
      </c>
      <c r="E153" s="18" t="inlineStr">
        <is>
          <t>72h-all-markets-net-ev15-execution-v7</t>
        </is>
      </c>
      <c r="F153" s="18" t="inlineStr">
        <is>
          <t>GRADED</t>
        </is>
      </c>
      <c r="G153" s="18" t="inlineStr">
        <is>
          <t>2-0</t>
        </is>
      </c>
      <c r="H153" s="19">
        <v>1.0</v>
      </c>
      <c r="I153" s="21">
        <v>0.16721</v>
      </c>
      <c r="J153" s="19">
        <v>1.0</v>
      </c>
      <c r="K153" s="19">
        <v>1.0</v>
      </c>
      <c r="L153" s="19">
        <v>1.0</v>
      </c>
      <c r="M153" s="19">
        <v>1.0</v>
      </c>
      <c r="N153" s="18" t="inlineStr">
        <is>
          <t>2026-W43</t>
        </is>
      </c>
      <c r="O153" s="18" t="inlineStr">
        <is>
          <t>54bb8a2c2c957dda77ef247b3e042f6a945bda8f</t>
        </is>
      </c>
      <c r="P153" s="18" t="inlineStr">
        <is>
          <t>football-data.org/v4</t>
        </is>
      </c>
      <c r="Q153" s="18"/>
      <c r="R153" s="18"/>
    </row>
    <row r="154" ht="36" customHeight="1">
      <c r="A154" s="18" t="inlineStr">
        <is>
          <t>Premier League|coventry city|fulham|2026-10-24</t>
        </is>
      </c>
      <c r="B154" s="23">
        <v>46319.583333333336</v>
      </c>
      <c r="C154" s="18" t="inlineStr">
        <is>
          <t>Premier League</t>
        </is>
      </c>
      <c r="D154" s="18" t="inlineStr">
        <is>
          <t>Coventry City vs Fulham</t>
        </is>
      </c>
      <c r="E154" s="18" t="inlineStr">
        <is>
          <t>72h-all-markets-net-ev15-execution-v7</t>
        </is>
      </c>
      <c r="F154" s="18" t="inlineStr">
        <is>
          <t>GRADED</t>
        </is>
      </c>
      <c r="G154" s="18" t="inlineStr">
        <is>
          <t>0-1</t>
        </is>
      </c>
      <c r="H154" s="19">
        <v>1.0</v>
      </c>
      <c r="I154" s="21">
        <v>0.5699753</v>
      </c>
      <c r="J154" s="19">
        <v>0.0</v>
      </c>
      <c r="K154" s="19">
        <v>1.0</v>
      </c>
      <c r="L154" s="19">
        <v>1.0</v>
      </c>
      <c r="M154" s="19">
        <v>1.0</v>
      </c>
      <c r="N154" s="18" t="inlineStr">
        <is>
          <t>2026-W43</t>
        </is>
      </c>
      <c r="O154" s="18" t="inlineStr">
        <is>
          <t>54bb8a2c2c957dda77ef247b3e042f6a945bda8f</t>
        </is>
      </c>
      <c r="P154" s="18" t="inlineStr">
        <is>
          <t>football-data.org/v4</t>
        </is>
      </c>
      <c r="Q154" s="18"/>
      <c r="R154" s="18"/>
    </row>
    <row r="155" ht="36" customHeight="1">
      <c r="A155" s="18" t="inlineStr">
        <is>
          <t>La Liga|real racing santander|espanyol|2026-10-24</t>
        </is>
      </c>
      <c r="B155" s="23">
        <v>46319.59375</v>
      </c>
      <c r="C155" s="18" t="inlineStr">
        <is>
          <t>La Liga</t>
        </is>
      </c>
      <c r="D155" s="18" t="inlineStr">
        <is>
          <t>Real Racing Club de Santander vs Espanyol</t>
        </is>
      </c>
      <c r="E155" s="18" t="inlineStr">
        <is>
          <t>72h-all-markets-net-ev15-execution-v7</t>
        </is>
      </c>
      <c r="F155" s="18" t="inlineStr">
        <is>
          <t>GRADED</t>
        </is>
      </c>
      <c r="G155" s="18" t="inlineStr">
        <is>
          <t>2-1</t>
        </is>
      </c>
      <c r="H155" s="19">
        <v>1.0</v>
      </c>
      <c r="I155" s="21">
        <v>0.56024064</v>
      </c>
      <c r="J155" s="19">
        <v>1.0</v>
      </c>
      <c r="K155" s="19">
        <v>0.0</v>
      </c>
      <c r="L155" s="19">
        <v>1.0</v>
      </c>
      <c r="M155" s="19">
        <v>1.0</v>
      </c>
      <c r="N155" s="18" t="inlineStr">
        <is>
          <t>2026-W43</t>
        </is>
      </c>
      <c r="O155" s="18" t="inlineStr">
        <is>
          <t>54bb8a2c2c957dda77ef247b3e042f6a945bda8f</t>
        </is>
      </c>
      <c r="P155" s="18" t="inlineStr">
        <is>
          <t>football-data.org/v4</t>
        </is>
      </c>
      <c r="Q155" s="18"/>
      <c r="R155" s="18"/>
    </row>
    <row r="156" ht="36" customHeight="1">
      <c r="A156" s="18" t="inlineStr">
        <is>
          <t>Ligue 1|toulouse|troyes|2026-10-24</t>
        </is>
      </c>
      <c r="B156" s="23">
        <v>46319.635416666664</v>
      </c>
      <c r="C156" s="18" t="inlineStr">
        <is>
          <t>Ligue 1</t>
        </is>
      </c>
      <c r="D156" s="18" t="inlineStr">
        <is>
          <t>Toulouse vs Troyes</t>
        </is>
      </c>
      <c r="E156" s="18" t="inlineStr">
        <is>
          <t>72h-all-markets-net-ev15-execution-v7</t>
        </is>
      </c>
      <c r="F156" s="18" t="inlineStr">
        <is>
          <t>GRADED</t>
        </is>
      </c>
      <c r="G156" s="18" t="inlineStr">
        <is>
          <t>0-0</t>
        </is>
      </c>
      <c r="H156" s="19">
        <v>0.0</v>
      </c>
      <c r="I156" s="21">
        <v>1.09625403</v>
      </c>
      <c r="J156" s="19">
        <v>0.0</v>
      </c>
      <c r="K156" s="19">
        <v>1.0</v>
      </c>
      <c r="L156" s="19">
        <v>1.0</v>
      </c>
      <c r="M156" s="19">
        <v>1.0</v>
      </c>
      <c r="N156" s="18" t="inlineStr">
        <is>
          <t>2026-W43</t>
        </is>
      </c>
      <c r="O156" s="18" t="inlineStr">
        <is>
          <t>54bb8a2c2c957dda77ef247b3e042f6a945bda8f</t>
        </is>
      </c>
      <c r="P156" s="18" t="inlineStr">
        <is>
          <t>football-data.org/v4</t>
        </is>
      </c>
      <c r="Q156" s="18"/>
      <c r="R156" s="18"/>
    </row>
    <row r="157" ht="36" customHeight="1">
      <c r="A157" s="18" t="inlineStr">
        <is>
          <t>Serie A|napoli|as roma|2026-10-24</t>
        </is>
      </c>
      <c r="B157" s="23">
        <v>46319.666666666664</v>
      </c>
      <c r="C157" s="18" t="inlineStr">
        <is>
          <t>Serie A</t>
        </is>
      </c>
      <c r="D157" s="18" t="inlineStr">
        <is>
          <t>Napoli vs AS Roma</t>
        </is>
      </c>
      <c r="E157" s="18" t="inlineStr">
        <is>
          <t>72h-all-markets-net-ev15-execution-v7</t>
        </is>
      </c>
      <c r="F157" s="18" t="inlineStr">
        <is>
          <t>GRADED</t>
        </is>
      </c>
      <c r="G157" s="18" t="inlineStr">
        <is>
          <t>3-3</t>
        </is>
      </c>
      <c r="H157" s="19">
        <v>0.0</v>
      </c>
      <c r="I157" s="21">
        <v>0.77947208</v>
      </c>
      <c r="J157" s="19">
        <v>1.0</v>
      </c>
      <c r="K157" s="19">
        <v>0.0</v>
      </c>
      <c r="L157" s="19">
        <v>0.0</v>
      </c>
      <c r="M157" s="19">
        <v>0.0</v>
      </c>
      <c r="N157" s="18" t="inlineStr">
        <is>
          <t>2026-W43</t>
        </is>
      </c>
      <c r="O157" s="18" t="inlineStr">
        <is>
          <t>54bb8a2c2c957dda77ef247b3e042f6a945bda8f</t>
        </is>
      </c>
      <c r="P157" s="18" t="inlineStr">
        <is>
          <t>football-data.org/v4</t>
        </is>
      </c>
      <c r="Q157" s="18"/>
      <c r="R157" s="18"/>
    </row>
    <row r="158" ht="36" customHeight="1">
      <c r="A158" s="18" t="inlineStr">
        <is>
          <t>Bundesliga|borussia dortmund|eintracht frankfurt|2026-10-24</t>
        </is>
      </c>
      <c r="B158" s="23">
        <v>46319.6875</v>
      </c>
      <c r="C158" s="18" t="inlineStr">
        <is>
          <t>Bundesliga</t>
        </is>
      </c>
      <c r="D158" s="18" t="inlineStr">
        <is>
          <t>Borussia Dortmund vs Eintracht Frankfurt</t>
        </is>
      </c>
      <c r="E158" s="18" t="inlineStr">
        <is>
          <t>72h-all-markets-net-ev15-execution-v7</t>
        </is>
      </c>
      <c r="F158" s="18" t="inlineStr">
        <is>
          <t>GRADED</t>
        </is>
      </c>
      <c r="G158" s="18" t="inlineStr">
        <is>
          <t>1-0</t>
        </is>
      </c>
      <c r="H158" s="19">
        <v>1.0</v>
      </c>
      <c r="I158" s="21">
        <v>0.17415506</v>
      </c>
      <c r="J158" s="19">
        <v>0.0</v>
      </c>
      <c r="K158" s="19">
        <v>1.0</v>
      </c>
      <c r="L158" s="19">
        <v>0.0</v>
      </c>
      <c r="M158" s="19">
        <v>0.0</v>
      </c>
      <c r="N158" s="18" t="inlineStr">
        <is>
          <t>2026-W43</t>
        </is>
      </c>
      <c r="O158" s="18" t="inlineStr">
        <is>
          <t>54bb8a2c2c957dda77ef247b3e042f6a945bda8f</t>
        </is>
      </c>
      <c r="P158" s="18" t="inlineStr">
        <is>
          <t>football-data.org/v4</t>
        </is>
      </c>
      <c r="Q158" s="18"/>
      <c r="R158" s="18"/>
    </row>
    <row r="159" ht="36" customHeight="1">
      <c r="A159" s="18" t="inlineStr">
        <is>
          <t>La Liga|valencia|villarreal|2026-10-24</t>
        </is>
      </c>
      <c r="B159" s="23">
        <v>46319.6875</v>
      </c>
      <c r="C159" s="18" t="inlineStr">
        <is>
          <t>La Liga</t>
        </is>
      </c>
      <c r="D159" s="18" t="inlineStr">
        <is>
          <t>Valencia vs Villarreal</t>
        </is>
      </c>
      <c r="E159" s="18" t="inlineStr">
        <is>
          <t>72h-all-markets-net-ev15-execution-v7</t>
        </is>
      </c>
      <c r="F159" s="18" t="inlineStr">
        <is>
          <t>GRADED</t>
        </is>
      </c>
      <c r="G159" s="18" t="inlineStr">
        <is>
          <t>1-2</t>
        </is>
      </c>
      <c r="H159" s="19">
        <v>1.0</v>
      </c>
      <c r="I159" s="21">
        <v>0.45643821</v>
      </c>
      <c r="J159" s="19">
        <v>1.0</v>
      </c>
      <c r="K159" s="19">
        <v>1.0</v>
      </c>
      <c r="L159" s="19">
        <v>1.0</v>
      </c>
      <c r="M159" s="19">
        <v>1.0</v>
      </c>
      <c r="N159" s="18" t="inlineStr">
        <is>
          <t>2026-W43</t>
        </is>
      </c>
      <c r="O159" s="18" t="inlineStr">
        <is>
          <t>54bb8a2c2c957dda77ef247b3e042f6a945bda8f</t>
        </is>
      </c>
      <c r="P159" s="18" t="inlineStr">
        <is>
          <t>football-data.org/v4</t>
        </is>
      </c>
      <c r="Q159" s="18"/>
      <c r="R159" s="18"/>
    </row>
    <row r="160" ht="36" customHeight="1">
      <c r="A160" s="18" t="inlineStr">
        <is>
          <t>Premier League|chelsea|tottenham|2026-10-24</t>
        </is>
      </c>
      <c r="B160" s="23">
        <v>46319.6875</v>
      </c>
      <c r="C160" s="18" t="inlineStr">
        <is>
          <t>Premier League</t>
        </is>
      </c>
      <c r="D160" s="18" t="inlineStr">
        <is>
          <t>Chelsea vs Tottenham Hotspur</t>
        </is>
      </c>
      <c r="E160" s="18" t="inlineStr">
        <is>
          <t>72h-all-markets-net-ev15-execution-v7</t>
        </is>
      </c>
      <c r="F160" s="18" t="inlineStr">
        <is>
          <t>GRADED</t>
        </is>
      </c>
      <c r="G160" s="18" t="inlineStr">
        <is>
          <t>0-2</t>
        </is>
      </c>
      <c r="H160" s="19">
        <v>0.0</v>
      </c>
      <c r="I160" s="21">
        <v>0.96383582</v>
      </c>
      <c r="J160" s="19">
        <v>1.0</v>
      </c>
      <c r="K160" s="19">
        <v>1.0</v>
      </c>
      <c r="L160" s="19">
        <v>0.0</v>
      </c>
      <c r="M160" s="19">
        <v>0.0</v>
      </c>
      <c r="N160" s="18" t="inlineStr">
        <is>
          <t>2026-W43</t>
        </is>
      </c>
      <c r="O160" s="18" t="inlineStr">
        <is>
          <t>54bb8a2c2c957dda77ef247b3e042f6a945bda8f</t>
        </is>
      </c>
      <c r="P160" s="18" t="inlineStr">
        <is>
          <t>football-data.org/v4</t>
        </is>
      </c>
      <c r="Q160" s="18"/>
      <c r="R160" s="18"/>
    </row>
    <row r="161" ht="36" customHeight="1">
      <c r="A161" s="18" t="inlineStr">
        <is>
          <t>Ligue 1|rc lens|paris|2026-10-24</t>
        </is>
      </c>
      <c r="B161" s="23">
        <v>46319.78125</v>
      </c>
      <c r="C161" s="18" t="inlineStr">
        <is>
          <t>Ligue 1</t>
        </is>
      </c>
      <c r="D161" s="18" t="inlineStr">
        <is>
          <t>RC Lens vs Paris FC</t>
        </is>
      </c>
      <c r="E161" s="18" t="inlineStr">
        <is>
          <t>72h-all-markets-net-ev15-execution-v7</t>
        </is>
      </c>
      <c r="F161" s="18" t="inlineStr">
        <is>
          <t>GRADED</t>
        </is>
      </c>
      <c r="G161" s="18" t="inlineStr">
        <is>
          <t>2-1</t>
        </is>
      </c>
      <c r="H161" s="19">
        <v>1.0</v>
      </c>
      <c r="I161" s="21">
        <v>0.39344206</v>
      </c>
      <c r="J161" s="19">
        <v>1.0</v>
      </c>
      <c r="K161" s="19">
        <v>1.0</v>
      </c>
      <c r="L161" s="19">
        <v>1.0</v>
      </c>
      <c r="M161" s="19">
        <v>1.0</v>
      </c>
      <c r="N161" s="18" t="inlineStr">
        <is>
          <t>2026-W43</t>
        </is>
      </c>
      <c r="O161" s="18" t="inlineStr">
        <is>
          <t>a98524037f736c1c589800f3bd4b329ab00983f7</t>
        </is>
      </c>
      <c r="P161" s="18" t="inlineStr">
        <is>
          <t>football-data.org/v4</t>
        </is>
      </c>
      <c r="Q161" s="18"/>
      <c r="R161" s="18"/>
    </row>
    <row r="162" ht="36" customHeight="1">
      <c r="A162" s="18" t="inlineStr">
        <is>
          <t>Serie A|lazio|parma|2026-10-24</t>
        </is>
      </c>
      <c r="B162" s="23">
        <v>46319.78125</v>
      </c>
      <c r="C162" s="18" t="inlineStr">
        <is>
          <t>Serie A</t>
        </is>
      </c>
      <c r="D162" s="18" t="inlineStr">
        <is>
          <t>Lazio vs Parma</t>
        </is>
      </c>
      <c r="E162" s="18" t="inlineStr">
        <is>
          <t>72h-all-markets-net-ev15-execution-v7</t>
        </is>
      </c>
      <c r="F162" s="18" t="inlineStr">
        <is>
          <t>GRADED</t>
        </is>
      </c>
      <c r="G162" s="18" t="inlineStr">
        <is>
          <t>2-1</t>
        </is>
      </c>
      <c r="H162" s="19">
        <v>1.0</v>
      </c>
      <c r="I162" s="21">
        <v>0.25845597</v>
      </c>
      <c r="J162" s="19">
        <v>1.0</v>
      </c>
      <c r="K162" s="19">
        <v>1.0</v>
      </c>
      <c r="L162" s="19">
        <v>0.0</v>
      </c>
      <c r="M162" s="19">
        <v>0.0</v>
      </c>
      <c r="N162" s="18" t="inlineStr">
        <is>
          <t>2026-W43</t>
        </is>
      </c>
      <c r="O162" s="18" t="inlineStr">
        <is>
          <t>a98524037f736c1c589800f3bd4b329ab00983f7</t>
        </is>
      </c>
      <c r="P162" s="18" t="inlineStr">
        <is>
          <t>football-data.org/v4</t>
        </is>
      </c>
      <c r="Q162" s="18"/>
      <c r="R162" s="18"/>
    </row>
    <row r="163" ht="36" customHeight="1">
      <c r="A163" s="18" t="inlineStr">
        <is>
          <t>La Liga|ath madrid|deportivo la coruna|2026-10-24</t>
        </is>
      </c>
      <c r="B163" s="23">
        <v>46319.791666666664</v>
      </c>
      <c r="C163" s="18" t="inlineStr">
        <is>
          <t>La Liga</t>
        </is>
      </c>
      <c r="D163" s="18" t="inlineStr">
        <is>
          <t>Atlético Madrid vs Deportivo La Coruña</t>
        </is>
      </c>
      <c r="E163" s="18" t="inlineStr">
        <is>
          <t>72h-all-markets-net-ev15-execution-v7</t>
        </is>
      </c>
      <c r="F163" s="18" t="inlineStr">
        <is>
          <t>GRADED</t>
        </is>
      </c>
      <c r="G163" s="18" t="inlineStr">
        <is>
          <t>1-0</t>
        </is>
      </c>
      <c r="H163" s="19">
        <v>1.0</v>
      </c>
      <c r="I163" s="21">
        <v>0.10421386</v>
      </c>
      <c r="J163" s="19">
        <v>0.0</v>
      </c>
      <c r="K163" s="19">
        <v>1.0</v>
      </c>
      <c r="L163" s="19">
        <v>0.0</v>
      </c>
      <c r="M163" s="19">
        <v>0.0</v>
      </c>
      <c r="N163" s="18" t="inlineStr">
        <is>
          <t>2026-W43</t>
        </is>
      </c>
      <c r="O163" s="18" t="inlineStr">
        <is>
          <t>a98524037f736c1c589800f3bd4b329ab00983f7</t>
        </is>
      </c>
      <c r="P163" s="18" t="inlineStr">
        <is>
          <t>football-data.org/v4</t>
        </is>
      </c>
      <c r="Q163" s="18"/>
      <c r="R163" s="18"/>
    </row>
    <row r="164" ht="36" customHeight="1">
      <c r="A164" s="18" t="inlineStr">
        <is>
          <t>Eredivisie|fortuna sittard|excelsior|2026-10-25</t>
        </is>
      </c>
      <c r="B164" s="23">
        <v>46320.46875</v>
      </c>
      <c r="C164" s="18" t="inlineStr">
        <is>
          <t>Eredivisie</t>
        </is>
      </c>
      <c r="D164" s="18" t="inlineStr">
        <is>
          <t>Fortuna Sittard vs Excelsior</t>
        </is>
      </c>
      <c r="E164" s="18" t="inlineStr">
        <is>
          <t>48h-two-per-market-group-probability-ev-v24</t>
        </is>
      </c>
      <c r="F164" s="18" t="inlineStr">
        <is>
          <t>GRADED</t>
        </is>
      </c>
      <c r="G164" s="18" t="inlineStr">
        <is>
          <t>1-0</t>
        </is>
      </c>
      <c r="H164" s="19">
        <v>1.0</v>
      </c>
      <c r="I164" s="21">
        <v>0.51957889</v>
      </c>
      <c r="J164" s="19">
        <v>0.0</v>
      </c>
      <c r="K164" s="19">
        <v>1.0</v>
      </c>
      <c r="L164" s="19">
        <v>0.0</v>
      </c>
      <c r="M164" s="19">
        <v>0.0</v>
      </c>
      <c r="N164" s="18" t="inlineStr">
        <is>
          <t>2026-W43</t>
        </is>
      </c>
      <c r="O164" s="18" t="inlineStr">
        <is>
          <t>007f589ff28970f5c6dcc58af5d09a89aaf2fb4a</t>
        </is>
      </c>
      <c r="P164" s="18" t="inlineStr">
        <is>
          <t>football-data.org/v4</t>
        </is>
      </c>
      <c r="Q164" s="18"/>
      <c r="R164" s="18"/>
    </row>
    <row r="165" ht="36" customHeight="1">
      <c r="A165" s="18" t="inlineStr">
        <is>
          <t>Serie A|inter|fiorentina|2026-10-25</t>
        </is>
      </c>
      <c r="B165" s="23">
        <v>46320.479166666664</v>
      </c>
      <c r="C165" s="18" t="inlineStr">
        <is>
          <t>Serie A</t>
        </is>
      </c>
      <c r="D165" s="18" t="inlineStr">
        <is>
          <t>Inter Milan vs Fiorentina</t>
        </is>
      </c>
      <c r="E165" s="18" t="inlineStr">
        <is>
          <t>72h-seven-markets-dc12-btts-probability-odds-net-ev15-v10</t>
        </is>
      </c>
      <c r="F165" s="18" t="inlineStr">
        <is>
          <t>GRADED</t>
        </is>
      </c>
      <c r="G165" s="18" t="inlineStr">
        <is>
          <t>2-1</t>
        </is>
      </c>
      <c r="H165" s="19">
        <v>1.0</v>
      </c>
      <c r="I165" s="21">
        <v>0.10769956</v>
      </c>
      <c r="J165" s="19">
        <v>1.0</v>
      </c>
      <c r="K165" s="19">
        <v>0.0</v>
      </c>
      <c r="L165" s="19">
        <v>1.0</v>
      </c>
      <c r="M165" s="19">
        <v>1.0</v>
      </c>
      <c r="N165" s="18" t="inlineStr">
        <is>
          <t>2026-W43</t>
        </is>
      </c>
      <c r="O165" s="18" t="inlineStr">
        <is>
          <t>2db2af40cdce5284e5f00551472a6cbbd381dbcd</t>
        </is>
      </c>
      <c r="P165" s="18" t="inlineStr">
        <is>
          <t>football-data.org/v4</t>
        </is>
      </c>
      <c r="Q165" s="18"/>
      <c r="R165" s="18"/>
    </row>
    <row r="166" ht="36" customHeight="1">
      <c r="A166" s="18" t="inlineStr">
        <is>
          <t>La Liga|ath bilbao|getafe|2026-10-25</t>
        </is>
      </c>
      <c r="B166" s="23">
        <v>46320.541666666664</v>
      </c>
      <c r="C166" s="18" t="inlineStr">
        <is>
          <t>La Liga</t>
        </is>
      </c>
      <c r="D166" s="18" t="inlineStr">
        <is>
          <t>Athletic Bilbao vs Getafe</t>
        </is>
      </c>
      <c r="E166" s="18" t="inlineStr">
        <is>
          <t>72h-seven-markets-dc12-btts-probability-odds-net-ev15-v10</t>
        </is>
      </c>
      <c r="F166" s="18" t="inlineStr">
        <is>
          <t>UNVERIFIED_FIXTURE_OR_RESULT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2db2af40cdce5284e5f00551472a6cbbd381dbcd</t>
        </is>
      </c>
      <c r="P166" s="18"/>
      <c r="Q166" s="18"/>
      <c r="R166" s="18"/>
    </row>
    <row r="167" ht="36" customHeight="1">
      <c r="A167" s="18" t="inlineStr">
        <is>
          <t>Eredivisie|nec nijmegen|groningen|2026-10-25</t>
        </is>
      </c>
      <c r="B167" s="23">
        <v>46320.5625</v>
      </c>
      <c r="C167" s="18" t="inlineStr">
        <is>
          <t>Eredivisie</t>
        </is>
      </c>
      <c r="D167" s="18" t="inlineStr">
        <is>
          <t>NEC Nijmegen vs Groningen</t>
        </is>
      </c>
      <c r="E167" s="18" t="inlineStr">
        <is>
          <t>48h-two-per-market-group-probability-ev-v24</t>
        </is>
      </c>
      <c r="F167" s="18" t="inlineStr">
        <is>
          <t>UNVERIFIED_FIXTURE_OR_RESULT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007f589ff28970f5c6dcc58af5d09a89aaf2fb4a</t>
        </is>
      </c>
      <c r="P167" s="18"/>
      <c r="Q167" s="18"/>
      <c r="R167" s="18"/>
    </row>
    <row r="168" ht="36" customHeight="1">
      <c r="A168" s="18" t="inlineStr">
        <is>
          <t>Eredivisie|psv|feyenoord|2026-10-25</t>
        </is>
      </c>
      <c r="B168" s="23">
        <v>46320.5625</v>
      </c>
      <c r="C168" s="18" t="inlineStr">
        <is>
          <t>Eredivisie</t>
        </is>
      </c>
      <c r="D168" s="18" t="inlineStr">
        <is>
          <t>PSV Eindhoven vs Feyenoord</t>
        </is>
      </c>
      <c r="E168" s="18" t="inlineStr">
        <is>
          <t>48h-two-per-market-group-probability-ev-v24</t>
        </is>
      </c>
      <c r="F168" s="18" t="inlineStr">
        <is>
          <t>GRADED</t>
        </is>
      </c>
      <c r="G168" s="18" t="inlineStr">
        <is>
          <t>1-1</t>
        </is>
      </c>
      <c r="H168" s="19">
        <v>0.0</v>
      </c>
      <c r="I168" s="21">
        <v>0.95201406</v>
      </c>
      <c r="J168" s="19">
        <v>1.0</v>
      </c>
      <c r="K168" s="19">
        <v>0.0</v>
      </c>
      <c r="L168" s="19">
        <v>1.0</v>
      </c>
      <c r="M168" s="19">
        <v>1.0</v>
      </c>
      <c r="N168" s="18" t="inlineStr">
        <is>
          <t>2026-W43</t>
        </is>
      </c>
      <c r="O168" s="18" t="inlineStr">
        <is>
          <t>007f589ff28970f5c6dcc58af5d09a89aaf2fb4a</t>
        </is>
      </c>
      <c r="P168" s="18" t="inlineStr">
        <is>
          <t>football-data.org/v4</t>
        </is>
      </c>
      <c r="Q168" s="18"/>
      <c r="R168" s="18"/>
    </row>
    <row r="169" ht="36" customHeight="1">
      <c r="A169" s="18" t="inlineStr">
        <is>
          <t>Ligue 1|as monaco|lille|2026-10-25</t>
        </is>
      </c>
      <c r="B169" s="23">
        <v>46320.583333333336</v>
      </c>
      <c r="C169" s="18" t="inlineStr">
        <is>
          <t>Ligue 1</t>
        </is>
      </c>
      <c r="D169" s="18" t="inlineStr">
        <is>
          <t>AS Monaco vs Lille</t>
        </is>
      </c>
      <c r="E169" s="18" t="inlineStr">
        <is>
          <t>72h-seven-markets-fresh-references-net-ev15-v11</t>
        </is>
      </c>
      <c r="F169" s="18" t="inlineStr">
        <is>
          <t>GRADED</t>
        </is>
      </c>
      <c r="G169" s="18" t="inlineStr">
        <is>
          <t>1-1</t>
        </is>
      </c>
      <c r="H169" s="19">
        <v>0.0</v>
      </c>
      <c r="I169" s="21">
        <v>0.83575237</v>
      </c>
      <c r="J169" s="19">
        <v>1.0</v>
      </c>
      <c r="K169" s="19">
        <v>1.0</v>
      </c>
      <c r="L169" s="19">
        <v>1.0</v>
      </c>
      <c r="M169" s="19">
        <v>1.0</v>
      </c>
      <c r="N169" s="18" t="inlineStr">
        <is>
          <t>2026-W43</t>
        </is>
      </c>
      <c r="O169" s="18" t="inlineStr">
        <is>
          <t>9425e536c27cdb34914535517891f53a7af4191b</t>
        </is>
      </c>
      <c r="P169" s="18" t="inlineStr">
        <is>
          <t>football-data.org/v4</t>
        </is>
      </c>
      <c r="Q169" s="18"/>
      <c r="R169" s="18"/>
    </row>
    <row r="170" ht="36" customHeight="1">
      <c r="A170" s="18" t="inlineStr">
        <is>
          <t>Premier League|crystal palace|newcastle|2026-10-25</t>
        </is>
      </c>
      <c r="B170" s="23">
        <v>46320.583333333336</v>
      </c>
      <c r="C170" s="18" t="inlineStr">
        <is>
          <t>Premier League</t>
        </is>
      </c>
      <c r="D170" s="18" t="inlineStr">
        <is>
          <t>Crystal Palace vs Newcastle United</t>
        </is>
      </c>
      <c r="E170" s="18" t="inlineStr">
        <is>
          <t>72h-seven-markets-fresh-references-net-ev15-v11</t>
        </is>
      </c>
      <c r="F170" s="18" t="inlineStr">
        <is>
          <t>GRADED</t>
        </is>
      </c>
      <c r="G170" s="18" t="inlineStr">
        <is>
          <t>0-2</t>
        </is>
      </c>
      <c r="H170" s="19">
        <v>1.0</v>
      </c>
      <c r="I170" s="21">
        <v>0.59076394</v>
      </c>
      <c r="J170" s="19">
        <v>1.0</v>
      </c>
      <c r="K170" s="19">
        <v>1.0</v>
      </c>
      <c r="L170" s="19">
        <v>0.0</v>
      </c>
      <c r="M170" s="19">
        <v>0.0</v>
      </c>
      <c r="N170" s="18" t="inlineStr">
        <is>
          <t>2026-W43</t>
        </is>
      </c>
      <c r="O170" s="18" t="inlineStr">
        <is>
          <t>9425e536c27cdb34914535517891f53a7af4191b</t>
        </is>
      </c>
      <c r="P170" s="18" t="inlineStr">
        <is>
          <t>football-data.org/v4</t>
        </is>
      </c>
      <c r="Q170" s="18"/>
      <c r="R170" s="18"/>
    </row>
    <row r="171" ht="36" customHeight="1">
      <c r="A171" s="18" t="inlineStr">
        <is>
          <t>Premier League|hull city|brentford|2026-10-25</t>
        </is>
      </c>
      <c r="B171" s="23">
        <v>46320.583333333336</v>
      </c>
      <c r="C171" s="18" t="inlineStr">
        <is>
          <t>Premier League</t>
        </is>
      </c>
      <c r="D171" s="18" t="inlineStr">
        <is>
          <t>Hull City vs Brentford</t>
        </is>
      </c>
      <c r="E171" s="18" t="inlineStr">
        <is>
          <t>72h-seven-markets-fresh-references-net-ev15-v11</t>
        </is>
      </c>
      <c r="F171" s="18" t="inlineStr">
        <is>
          <t>GRADED</t>
        </is>
      </c>
      <c r="G171" s="18" t="inlineStr">
        <is>
          <t>1-1</t>
        </is>
      </c>
      <c r="H171" s="19">
        <v>0.0</v>
      </c>
      <c r="I171" s="21">
        <v>0.81138256</v>
      </c>
      <c r="J171" s="19">
        <v>1.0</v>
      </c>
      <c r="K171" s="19">
        <v>1.0</v>
      </c>
      <c r="L171" s="19">
        <v>1.0</v>
      </c>
      <c r="M171" s="19">
        <v>1.0</v>
      </c>
      <c r="N171" s="18" t="inlineStr">
        <is>
          <t>2026-W43</t>
        </is>
      </c>
      <c r="O171" s="18" t="inlineStr">
        <is>
          <t>9425e536c27cdb34914535517891f53a7af4191b</t>
        </is>
      </c>
      <c r="P171" s="18" t="inlineStr">
        <is>
          <t>football-data.org/v4</t>
        </is>
      </c>
      <c r="Q171" s="18"/>
      <c r="R171" s="18"/>
    </row>
    <row r="172" ht="36" customHeight="1">
      <c r="A172" s="18" t="inlineStr">
        <is>
          <t>Premier League|liverpool|brighton|2026-10-25</t>
        </is>
      </c>
      <c r="B172" s="23">
        <v>46320.583333333336</v>
      </c>
      <c r="C172" s="18" t="inlineStr">
        <is>
          <t>Premier League</t>
        </is>
      </c>
      <c r="D172" s="18" t="inlineStr">
        <is>
          <t>Liverpool vs Brighton and Hove Albion</t>
        </is>
      </c>
      <c r="E172" s="18" t="inlineStr">
        <is>
          <t>72h-seven-markets-fresh-references-net-ev15-v11</t>
        </is>
      </c>
      <c r="F172" s="18" t="inlineStr">
        <is>
          <t>GRADED</t>
        </is>
      </c>
      <c r="G172" s="18" t="inlineStr">
        <is>
          <t>2-0</t>
        </is>
      </c>
      <c r="H172" s="19">
        <v>1.0</v>
      </c>
      <c r="I172" s="21">
        <v>0.46719717</v>
      </c>
      <c r="J172" s="19">
        <v>1.0</v>
      </c>
      <c r="K172" s="19">
        <v>1.0</v>
      </c>
      <c r="L172" s="19">
        <v>0.0</v>
      </c>
      <c r="M172" s="19">
        <v>0.0</v>
      </c>
      <c r="N172" s="18" t="inlineStr">
        <is>
          <t>2026-W43</t>
        </is>
      </c>
      <c r="O172" s="18" t="inlineStr">
        <is>
          <t>9425e536c27cdb34914535517891f53a7af4191b</t>
        </is>
      </c>
      <c r="P172" s="18" t="inlineStr">
        <is>
          <t>football-data.org/v4</t>
        </is>
      </c>
      <c r="Q172" s="18"/>
      <c r="R172" s="18"/>
    </row>
    <row r="173" ht="36" customHeight="1">
      <c r="A173" s="18" t="inlineStr">
        <is>
          <t>Premier League|man united|bournemouth|2026-10-25</t>
        </is>
      </c>
      <c r="B173" s="23">
        <v>46320.583333333336</v>
      </c>
      <c r="C173" s="18" t="inlineStr">
        <is>
          <t>Premier League</t>
        </is>
      </c>
      <c r="D173" s="18" t="inlineStr">
        <is>
          <t>Manchester United vs Bournemouth</t>
        </is>
      </c>
      <c r="E173" s="18" t="inlineStr">
        <is>
          <t>72h-seven-markets-fresh-references-net-ev15-v11</t>
        </is>
      </c>
      <c r="F173" s="18" t="inlineStr">
        <is>
          <t>GRADED</t>
        </is>
      </c>
      <c r="G173" s="18" t="inlineStr">
        <is>
          <t>0-3</t>
        </is>
      </c>
      <c r="H173" s="19">
        <v>0.0</v>
      </c>
      <c r="I173" s="21">
        <v>0.88282737</v>
      </c>
      <c r="J173" s="19">
        <v>1.0</v>
      </c>
      <c r="K173" s="19">
        <v>1.0</v>
      </c>
      <c r="L173" s="19">
        <v>0.0</v>
      </c>
      <c r="M173" s="19">
        <v>0.0</v>
      </c>
      <c r="N173" s="18" t="inlineStr">
        <is>
          <t>2026-W43</t>
        </is>
      </c>
      <c r="O173" s="18" t="inlineStr">
        <is>
          <t>9425e536c27cdb34914535517891f53a7af4191b</t>
        </is>
      </c>
      <c r="P173" s="18" t="inlineStr">
        <is>
          <t>football-data.org/v4</t>
        </is>
      </c>
      <c r="Q173" s="18"/>
      <c r="R173" s="18"/>
    </row>
    <row r="174" ht="36" customHeight="1">
      <c r="A174" s="18" t="inlineStr">
        <is>
          <t>Serie A|atalanta bc|frosinone|2026-10-25</t>
        </is>
      </c>
      <c r="B174" s="23">
        <v>46320.583333333336</v>
      </c>
      <c r="C174" s="18" t="inlineStr">
        <is>
          <t>Serie A</t>
        </is>
      </c>
      <c r="D174" s="18" t="inlineStr">
        <is>
          <t>Atalanta BC vs Frosinone</t>
        </is>
      </c>
      <c r="E174" s="18" t="inlineStr">
        <is>
          <t>72h-seven-markets-fresh-references-net-ev15-v11</t>
        </is>
      </c>
      <c r="F174" s="18" t="inlineStr">
        <is>
          <t>GRADED</t>
        </is>
      </c>
      <c r="G174" s="18" t="inlineStr">
        <is>
          <t>4-4</t>
        </is>
      </c>
      <c r="H174" s="19">
        <v>0.0</v>
      </c>
      <c r="I174" s="21">
        <v>0.9386695</v>
      </c>
      <c r="J174" s="19">
        <v>1.0</v>
      </c>
      <c r="K174" s="19">
        <v>0.0</v>
      </c>
      <c r="L174" s="19">
        <v>1.0</v>
      </c>
      <c r="M174" s="19">
        <v>1.0</v>
      </c>
      <c r="N174" s="18" t="inlineStr">
        <is>
          <t>2026-W43</t>
        </is>
      </c>
      <c r="O174" s="18" t="inlineStr">
        <is>
          <t>9425e536c27cdb34914535517891f53a7af4191b</t>
        </is>
      </c>
      <c r="P174" s="18" t="inlineStr">
        <is>
          <t>football-data.org/v4</t>
        </is>
      </c>
      <c r="Q174" s="18"/>
      <c r="R174" s="18"/>
    </row>
    <row r="175" ht="36" customHeight="1">
      <c r="A175" s="18" t="inlineStr">
        <is>
          <t>Serie A|genoa|venezia|2026-10-25</t>
        </is>
      </c>
      <c r="B175" s="23">
        <v>46320.583333333336</v>
      </c>
      <c r="C175" s="18" t="inlineStr">
        <is>
          <t>Serie A</t>
        </is>
      </c>
      <c r="D175" s="18" t="inlineStr">
        <is>
          <t>Genoa vs Venezia</t>
        </is>
      </c>
      <c r="E175" s="18" t="inlineStr">
        <is>
          <t>72h-seven-markets-fresh-references-net-ev15-v11</t>
        </is>
      </c>
      <c r="F175" s="18" t="inlineStr">
        <is>
          <t>GRADED</t>
        </is>
      </c>
      <c r="G175" s="18" t="inlineStr">
        <is>
          <t>1-0</t>
        </is>
      </c>
      <c r="H175" s="19">
        <v>1.0</v>
      </c>
      <c r="I175" s="21">
        <v>0.35659897</v>
      </c>
      <c r="J175" s="19">
        <v>0.0</v>
      </c>
      <c r="K175" s="19">
        <v>1.0</v>
      </c>
      <c r="L175" s="19">
        <v>1.0</v>
      </c>
      <c r="M175" s="19">
        <v>1.0</v>
      </c>
      <c r="N175" s="18" t="inlineStr">
        <is>
          <t>2026-W43</t>
        </is>
      </c>
      <c r="O175" s="18" t="inlineStr">
        <is>
          <t>9425e536c27cdb34914535517891f53a7af4191b</t>
        </is>
      </c>
      <c r="P175" s="18" t="inlineStr">
        <is>
          <t>football-data.org/v4</t>
        </is>
      </c>
      <c r="Q175" s="18"/>
      <c r="R175" s="18"/>
    </row>
    <row r="176" ht="36" customHeight="1">
      <c r="A176" s="18" t="inlineStr">
        <is>
          <t>Bundesliga|tsg hoffenheim|bayer leverkusen|2026-10-25</t>
        </is>
      </c>
      <c r="B176" s="23">
        <v>46320.604166666664</v>
      </c>
      <c r="C176" s="18" t="inlineStr">
        <is>
          <t>Bundesliga</t>
        </is>
      </c>
      <c r="D176" s="18" t="inlineStr">
        <is>
          <t>TSG Hoffenheim vs Bayer Leverkusen</t>
        </is>
      </c>
      <c r="E176" s="18" t="inlineStr">
        <is>
          <t>72h-seven-markets-fresh-references-net-ev15-v11</t>
        </is>
      </c>
      <c r="F176" s="18" t="inlineStr">
        <is>
          <t>GRADED</t>
        </is>
      </c>
      <c r="G176" s="18" t="inlineStr">
        <is>
          <t>3-0</t>
        </is>
      </c>
      <c r="H176" s="19">
        <v>0.0</v>
      </c>
      <c r="I176" s="21">
        <v>0.76233899</v>
      </c>
      <c r="J176" s="19">
        <v>1.0</v>
      </c>
      <c r="K176" s="19">
        <v>0.0</v>
      </c>
      <c r="L176" s="19">
        <v>0.0</v>
      </c>
      <c r="M176" s="19">
        <v>0.0</v>
      </c>
      <c r="N176" s="18" t="inlineStr">
        <is>
          <t>2026-W43</t>
        </is>
      </c>
      <c r="O176" s="18" t="inlineStr">
        <is>
          <t>9425e536c27cdb34914535517891f53a7af4191b</t>
        </is>
      </c>
      <c r="P176" s="18" t="inlineStr">
        <is>
          <t>football-data.org/v4</t>
        </is>
      </c>
      <c r="Q176" s="18"/>
      <c r="R176" s="18"/>
    </row>
    <row r="177" ht="36" customHeight="1">
      <c r="A177" s="18" t="inlineStr">
        <is>
          <t>La Liga|celta vigo|real betis|2026-10-25</t>
        </is>
      </c>
      <c r="B177" s="23">
        <v>46320.635416666664</v>
      </c>
      <c r="C177" s="18" t="inlineStr">
        <is>
          <t>La Liga</t>
        </is>
      </c>
      <c r="D177" s="18" t="inlineStr">
        <is>
          <t>Celta Vigo vs Real Betis</t>
        </is>
      </c>
      <c r="E177" s="18" t="inlineStr">
        <is>
          <t>72h-seven-markets-fresh-references-net-ev15-v11</t>
        </is>
      </c>
      <c r="F177" s="18" t="inlineStr">
        <is>
          <t>UNVERIFIED_FIXTURE_OR_RESULT</t>
        </is>
      </c>
      <c r="G177" s="18"/>
      <c r="H177" s="18"/>
      <c r="I177" s="21"/>
      <c r="J177" s="18"/>
      <c r="K177" s="18"/>
      <c r="L177" s="18"/>
      <c r="M177" s="18"/>
      <c r="N177" s="18" t="inlineStr">
        <is>
          <t>2026-W43</t>
        </is>
      </c>
      <c r="O177" s="18" t="inlineStr">
        <is>
          <t>9425e536c27cdb34914535517891f53a7af4191b</t>
        </is>
      </c>
      <c r="P177" s="18"/>
      <c r="Q177" s="18"/>
      <c r="R177" s="18"/>
    </row>
    <row r="178" ht="36" customHeight="1">
      <c r="A178" s="18" t="inlineStr">
        <is>
          <t>Primeira Liga|estoril|moreirense|2026-10-25</t>
        </is>
      </c>
      <c r="B178" s="23">
        <v>46320.645833333336</v>
      </c>
      <c r="C178" s="18" t="inlineStr">
        <is>
          <t>Primeira Liga</t>
        </is>
      </c>
      <c r="D178" s="18" t="inlineStr">
        <is>
          <t>Estoril vs Moreirense FC</t>
        </is>
      </c>
      <c r="E178" s="18" t="inlineStr">
        <is>
          <t>48h-two-per-market-group-probability-ev-v24</t>
        </is>
      </c>
      <c r="F178" s="18" t="inlineStr">
        <is>
          <t>UNVERIFIED_FIXTURE_OR_RESULT</t>
        </is>
      </c>
      <c r="G178" s="18"/>
      <c r="H178" s="18"/>
      <c r="I178" s="21"/>
      <c r="J178" s="18"/>
      <c r="K178" s="18"/>
      <c r="L178" s="18"/>
      <c r="M178" s="18"/>
      <c r="N178" s="18" t="inlineStr">
        <is>
          <t>2026-W43</t>
        </is>
      </c>
      <c r="O178" s="18" t="inlineStr">
        <is>
          <t>007f589ff28970f5c6dcc58af5d09a89aaf2fb4a</t>
        </is>
      </c>
      <c r="P178" s="18"/>
      <c r="Q178" s="18"/>
      <c r="R178" s="18"/>
    </row>
    <row r="179" ht="36" customHeight="1">
      <c r="A179" s="18" t="inlineStr">
        <is>
          <t>Eredivisie|sparta rotterdam|ajax|2026-10-25</t>
        </is>
      </c>
      <c r="B179" s="23">
        <v>46320.65625</v>
      </c>
      <c r="C179" s="18" t="inlineStr">
        <is>
          <t>Eredivisie</t>
        </is>
      </c>
      <c r="D179" s="18" t="inlineStr">
        <is>
          <t>Sparta Rotterdam vs Ajax</t>
        </is>
      </c>
      <c r="E179" s="18" t="inlineStr">
        <is>
          <t>48h-two-per-market-group-probability-ev-v24</t>
        </is>
      </c>
      <c r="F179" s="18" t="inlineStr">
        <is>
          <t>GRADED</t>
        </is>
      </c>
      <c r="G179" s="18" t="inlineStr">
        <is>
          <t>1-2</t>
        </is>
      </c>
      <c r="H179" s="19">
        <v>1.0</v>
      </c>
      <c r="I179" s="21">
        <v>0.21415762</v>
      </c>
      <c r="J179" s="19">
        <v>1.0</v>
      </c>
      <c r="K179" s="19">
        <v>1.0</v>
      </c>
      <c r="L179" s="19">
        <v>1.0</v>
      </c>
      <c r="M179" s="19">
        <v>1.0</v>
      </c>
      <c r="N179" s="18" t="inlineStr">
        <is>
          <t>2026-W43</t>
        </is>
      </c>
      <c r="O179" s="18" t="inlineStr">
        <is>
          <t>007f589ff28970f5c6dcc58af5d09a89aaf2fb4a</t>
        </is>
      </c>
      <c r="P179" s="18" t="inlineStr">
        <is>
          <t>football-data.org/v4</t>
        </is>
      </c>
      <c r="Q179" s="18"/>
      <c r="R179" s="18"/>
    </row>
    <row r="180" ht="36" customHeight="1">
      <c r="A180" s="18" t="inlineStr">
        <is>
          <t>Ligue 1|angers|lorient|2026-10-25</t>
        </is>
      </c>
      <c r="B180" s="23">
        <v>46320.677083333336</v>
      </c>
      <c r="C180" s="18" t="inlineStr">
        <is>
          <t>Ligue 1</t>
        </is>
      </c>
      <c r="D180" s="18" t="inlineStr">
        <is>
          <t>Angers vs Lorient</t>
        </is>
      </c>
      <c r="E180" s="18" t="inlineStr">
        <is>
          <t>72h-seven-markets-fresh-references-net-ev15-v11</t>
        </is>
      </c>
      <c r="F180" s="18" t="inlineStr">
        <is>
          <t>UNVERIFIED_FIXTURE_OR_RESULT</t>
        </is>
      </c>
      <c r="G180" s="18"/>
      <c r="H180" s="18"/>
      <c r="I180" s="21"/>
      <c r="J180" s="18"/>
      <c r="K180" s="18"/>
      <c r="L180" s="18"/>
      <c r="M180" s="18"/>
      <c r="N180" s="18" t="inlineStr">
        <is>
          <t>2026-W43</t>
        </is>
      </c>
      <c r="O180" s="18" t="inlineStr">
        <is>
          <t>7a6c9d44b7c20308d3ed85270f7cabc2a98df58e</t>
        </is>
      </c>
      <c r="P180" s="18"/>
      <c r="Q180" s="18"/>
      <c r="R180" s="18"/>
    </row>
    <row r="181" ht="36" customHeight="1">
      <c r="A181" s="18" t="inlineStr">
        <is>
          <t>Ligue 1|auxerre|le mans|2026-10-25</t>
        </is>
      </c>
      <c r="B181" s="23">
        <v>46320.677083333336</v>
      </c>
      <c r="C181" s="18" t="inlineStr">
        <is>
          <t>Ligue 1</t>
        </is>
      </c>
      <c r="D181" s="18" t="inlineStr">
        <is>
          <t>Auxerre vs Le Mans FC</t>
        </is>
      </c>
      <c r="E181" s="18" t="inlineStr">
        <is>
          <t>72h-seven-markets-fresh-references-net-ev15-v11</t>
        </is>
      </c>
      <c r="F181" s="18" t="inlineStr">
        <is>
          <t>GRADED</t>
        </is>
      </c>
      <c r="G181" s="18" t="inlineStr">
        <is>
          <t>1-1</t>
        </is>
      </c>
      <c r="H181" s="19">
        <v>0.0</v>
      </c>
      <c r="I181" s="21">
        <v>0.86289641</v>
      </c>
      <c r="J181" s="19">
        <v>1.0</v>
      </c>
      <c r="K181" s="19">
        <v>1.0</v>
      </c>
      <c r="L181" s="19">
        <v>1.0</v>
      </c>
      <c r="M181" s="19">
        <v>1.0</v>
      </c>
      <c r="N181" s="18" t="inlineStr">
        <is>
          <t>2026-W43</t>
        </is>
      </c>
      <c r="O181" s="18" t="inlineStr">
        <is>
          <t>7a6c9d44b7c20308d3ed85270f7cabc2a98df58e</t>
        </is>
      </c>
      <c r="P181" s="18" t="inlineStr">
        <is>
          <t>football-data.org/v4</t>
        </is>
      </c>
      <c r="Q181" s="18"/>
      <c r="R181" s="18"/>
    </row>
    <row r="182" ht="36" customHeight="1">
      <c r="A182" s="18" t="inlineStr">
        <is>
          <t>Ligue 1|marseille|le havre|2026-10-25</t>
        </is>
      </c>
      <c r="B182" s="23">
        <v>46320.677083333336</v>
      </c>
      <c r="C182" s="18" t="inlineStr">
        <is>
          <t>Ligue 1</t>
        </is>
      </c>
      <c r="D182" s="18" t="inlineStr">
        <is>
          <t>Marseille vs Le Havre</t>
        </is>
      </c>
      <c r="E182" s="18" t="inlineStr">
        <is>
          <t>72h-seven-markets-fresh-references-net-ev15-v11</t>
        </is>
      </c>
      <c r="F182" s="18" t="inlineStr">
        <is>
          <t>GRADED</t>
        </is>
      </c>
      <c r="G182" s="18" t="inlineStr">
        <is>
          <t>4-3</t>
        </is>
      </c>
      <c r="H182" s="19">
        <v>1.0</v>
      </c>
      <c r="I182" s="21">
        <v>0.20232433</v>
      </c>
      <c r="J182" s="19">
        <v>1.0</v>
      </c>
      <c r="K182" s="19">
        <v>0.0</v>
      </c>
      <c r="L182" s="19">
        <v>1.0</v>
      </c>
      <c r="M182" s="19">
        <v>1.0</v>
      </c>
      <c r="N182" s="18" t="inlineStr">
        <is>
          <t>2026-W43</t>
        </is>
      </c>
      <c r="O182" s="18" t="inlineStr">
        <is>
          <t>7a6c9d44b7c20308d3ed85270f7cabc2a98df58e</t>
        </is>
      </c>
      <c r="P182" s="18" t="inlineStr">
        <is>
          <t>football-data.org/v4</t>
        </is>
      </c>
      <c r="Q182" s="18"/>
      <c r="R182" s="18"/>
    </row>
    <row r="183" ht="36" customHeight="1">
      <c r="A183" s="18" t="inlineStr">
        <is>
          <t>Ligue 1|rennes|strasbourg|2026-10-25</t>
        </is>
      </c>
      <c r="B183" s="23">
        <v>46320.677083333336</v>
      </c>
      <c r="C183" s="18" t="inlineStr">
        <is>
          <t>Ligue 1</t>
        </is>
      </c>
      <c r="D183" s="18" t="inlineStr">
        <is>
          <t>Rennes vs Strasbourg</t>
        </is>
      </c>
      <c r="E183" s="18" t="inlineStr">
        <is>
          <t>72h-seven-markets-fresh-references-net-ev15-v11</t>
        </is>
      </c>
      <c r="F183" s="18" t="inlineStr">
        <is>
          <t>UNVERIFIED_FIXTURE_OR_RESULT</t>
        </is>
      </c>
      <c r="G183" s="18"/>
      <c r="H183" s="18"/>
      <c r="I183" s="21"/>
      <c r="J183" s="18"/>
      <c r="K183" s="18"/>
      <c r="L183" s="18"/>
      <c r="M183" s="18"/>
      <c r="N183" s="18" t="inlineStr">
        <is>
          <t>2026-W43</t>
        </is>
      </c>
      <c r="O183" s="18" t="inlineStr">
        <is>
          <t>7a6c9d44b7c20308d3ed85270f7cabc2a98df58e</t>
        </is>
      </c>
      <c r="P183" s="18"/>
      <c r="Q183" s="18"/>
      <c r="R183" s="18"/>
    </row>
    <row r="184" ht="36" customHeight="1">
      <c r="A184" s="18" t="inlineStr">
        <is>
          <t>Ligue 1|toulouse|troyes|2026-10-25</t>
        </is>
      </c>
      <c r="B184" s="23">
        <v>46320.677083333336</v>
      </c>
      <c r="C184" s="18" t="inlineStr">
        <is>
          <t>Ligue 1</t>
        </is>
      </c>
      <c r="D184" s="18" t="inlineStr">
        <is>
          <t>Toulouse vs Troyes</t>
        </is>
      </c>
      <c r="E184" s="18" t="inlineStr">
        <is>
          <t>48h-top-twelve-1x2-double-chance-over15-v16</t>
        </is>
      </c>
      <c r="F184" s="18" t="inlineStr">
        <is>
          <t>GRADED</t>
        </is>
      </c>
      <c r="G184" s="18" t="inlineStr">
        <is>
          <t>0-0</t>
        </is>
      </c>
      <c r="H184" s="19">
        <v>0.0</v>
      </c>
      <c r="I184" s="21">
        <v>0.99953996</v>
      </c>
      <c r="J184" s="19">
        <v>0.0</v>
      </c>
      <c r="K184" s="19">
        <v>1.0</v>
      </c>
      <c r="L184" s="19">
        <v>0.0</v>
      </c>
      <c r="M184" s="19">
        <v>0.0</v>
      </c>
      <c r="N184" s="18" t="inlineStr">
        <is>
          <t>2026-W43</t>
        </is>
      </c>
      <c r="O184" s="18" t="inlineStr">
        <is>
          <t>4613e5b8880d2d0ce751532e86eacc4600631a47</t>
        </is>
      </c>
      <c r="P184" s="18" t="inlineStr">
        <is>
          <t>football-data.org/v4</t>
        </is>
      </c>
      <c r="Q184" s="18"/>
      <c r="R184" s="18"/>
    </row>
    <row r="185" ht="36" customHeight="1">
      <c r="A185" s="18" t="inlineStr">
        <is>
          <t>Bundesliga|freiburg|bayern munich|2026-10-25</t>
        </is>
      </c>
      <c r="B185" s="23">
        <v>46320.6875</v>
      </c>
      <c r="C185" s="18" t="inlineStr">
        <is>
          <t>Bundesliga</t>
        </is>
      </c>
      <c r="D185" s="18" t="inlineStr">
        <is>
          <t>SC Freiburg vs Bayern Munich</t>
        </is>
      </c>
      <c r="E185" s="18" t="inlineStr">
        <is>
          <t>72h-seven-markets-fresh-references-net-ev15-v11</t>
        </is>
      </c>
      <c r="F185" s="18" t="inlineStr">
        <is>
          <t>GRADED</t>
        </is>
      </c>
      <c r="G185" s="18" t="inlineStr">
        <is>
          <t>1-3</t>
        </is>
      </c>
      <c r="H185" s="19">
        <v>1.0</v>
      </c>
      <c r="I185" s="21">
        <v>0.15449118</v>
      </c>
      <c r="J185" s="19">
        <v>1.0</v>
      </c>
      <c r="K185" s="19">
        <v>1.0</v>
      </c>
      <c r="L185" s="19">
        <v>1.0</v>
      </c>
      <c r="M185" s="19">
        <v>1.0</v>
      </c>
      <c r="N185" s="18" t="inlineStr">
        <is>
          <t>2026-W43</t>
        </is>
      </c>
      <c r="O185" s="18" t="inlineStr">
        <is>
          <t>7a6c9d44b7c20308d3ed85270f7cabc2a98df58e</t>
        </is>
      </c>
      <c r="P185" s="18" t="inlineStr">
        <is>
          <t>football-data.org/v4</t>
        </is>
      </c>
      <c r="Q185" s="18"/>
      <c r="R185" s="18"/>
    </row>
    <row r="186" ht="36" customHeight="1">
      <c r="A186" s="18" t="inlineStr">
        <is>
          <t>Premier League|sunderland|leeds|2026-10-25</t>
        </is>
      </c>
      <c r="B186" s="23">
        <v>46320.6875</v>
      </c>
      <c r="C186" s="18" t="inlineStr">
        <is>
          <t>Premier League</t>
        </is>
      </c>
      <c r="D186" s="18" t="inlineStr">
        <is>
          <t>Sunderland vs Leeds United</t>
        </is>
      </c>
      <c r="E186" s="18" t="inlineStr">
        <is>
          <t>72h-seven-markets-fresh-references-net-ev15-v11</t>
        </is>
      </c>
      <c r="F186" s="18" t="inlineStr">
        <is>
          <t>GRADED</t>
        </is>
      </c>
      <c r="G186" s="18" t="inlineStr">
        <is>
          <t>0-0</t>
        </is>
      </c>
      <c r="H186" s="19">
        <v>0.0</v>
      </c>
      <c r="I186" s="21">
        <v>0.73651379</v>
      </c>
      <c r="J186" s="19">
        <v>0.0</v>
      </c>
      <c r="K186" s="19">
        <v>1.0</v>
      </c>
      <c r="L186" s="19">
        <v>1.0</v>
      </c>
      <c r="M186" s="19">
        <v>1.0</v>
      </c>
      <c r="N186" s="18" t="inlineStr">
        <is>
          <t>2026-W43</t>
        </is>
      </c>
      <c r="O186" s="18" t="inlineStr">
        <is>
          <t>7a6c9d44b7c20308d3ed85270f7cabc2a98df58e</t>
        </is>
      </c>
      <c r="P186" s="18" t="inlineStr">
        <is>
          <t>football-data.org/v4</t>
        </is>
      </c>
      <c r="Q186" s="18"/>
      <c r="R186" s="18"/>
    </row>
    <row r="187" ht="36" customHeight="1">
      <c r="A187" s="18" t="inlineStr">
        <is>
          <t>Serie A|lecce|juventus|2026-10-25</t>
        </is>
      </c>
      <c r="B187" s="23">
        <v>46320.708333333336</v>
      </c>
      <c r="C187" s="18" t="inlineStr">
        <is>
          <t>Serie A</t>
        </is>
      </c>
      <c r="D187" s="18" t="inlineStr">
        <is>
          <t>Lecce vs Juventus</t>
        </is>
      </c>
      <c r="E187" s="18" t="inlineStr">
        <is>
          <t>72h-seven-markets-fresh-references-net-ev15-v11</t>
        </is>
      </c>
      <c r="F187" s="18" t="inlineStr">
        <is>
          <t>GRADED</t>
        </is>
      </c>
      <c r="G187" s="18" t="inlineStr">
        <is>
          <t>0-2</t>
        </is>
      </c>
      <c r="H187" s="19">
        <v>1.0</v>
      </c>
      <c r="I187" s="21">
        <v>0.1744876</v>
      </c>
      <c r="J187" s="19">
        <v>1.0</v>
      </c>
      <c r="K187" s="19">
        <v>1.0</v>
      </c>
      <c r="L187" s="19">
        <v>1.0</v>
      </c>
      <c r="M187" s="19">
        <v>1.0</v>
      </c>
      <c r="N187" s="18" t="inlineStr">
        <is>
          <t>2026-W43</t>
        </is>
      </c>
      <c r="O187" s="18" t="inlineStr">
        <is>
          <t>7a6c9d44b7c20308d3ed85270f7cabc2a98df58e</t>
        </is>
      </c>
      <c r="P187" s="18" t="inlineStr">
        <is>
          <t>football-data.org/v4</t>
        </is>
      </c>
      <c r="Q187" s="18"/>
      <c r="R187" s="18"/>
    </row>
    <row r="188" ht="36" customHeight="1">
      <c r="A188" s="18" t="inlineStr">
        <is>
          <t>La Liga|real sociedad|levante|2026-10-25</t>
        </is>
      </c>
      <c r="B188" s="23">
        <v>46320.729166666664</v>
      </c>
      <c r="C188" s="18" t="inlineStr">
        <is>
          <t>La Liga</t>
        </is>
      </c>
      <c r="D188" s="18" t="inlineStr">
        <is>
          <t>Real Sociedad vs Levante</t>
        </is>
      </c>
      <c r="E188" s="18" t="inlineStr">
        <is>
          <t>72h-seven-markets-fresh-references-net-ev15-v11</t>
        </is>
      </c>
      <c r="F188" s="18" t="inlineStr">
        <is>
          <t>GRADED</t>
        </is>
      </c>
      <c r="G188" s="18" t="inlineStr">
        <is>
          <t>2-1</t>
        </is>
      </c>
      <c r="H188" s="19">
        <v>1.0</v>
      </c>
      <c r="I188" s="21">
        <v>0.30482597</v>
      </c>
      <c r="J188" s="19">
        <v>1.0</v>
      </c>
      <c r="K188" s="19">
        <v>1.0</v>
      </c>
      <c r="L188" s="19">
        <v>1.0</v>
      </c>
      <c r="M188" s="19">
        <v>1.0</v>
      </c>
      <c r="N188" s="18" t="inlineStr">
        <is>
          <t>2026-W43</t>
        </is>
      </c>
      <c r="O188" s="18" t="inlineStr">
        <is>
          <t>7a6c9d44b7c20308d3ed85270f7cabc2a98df58e</t>
        </is>
      </c>
      <c r="P188" s="18" t="inlineStr">
        <is>
          <t>football-data.org/v4</t>
        </is>
      </c>
      <c r="Q188" s="18"/>
      <c r="R188" s="18"/>
    </row>
    <row r="189" ht="36" customHeight="1">
      <c r="A189" s="18" t="inlineStr">
        <is>
          <t>Primeira Liga|nacional|braga|2026-10-25</t>
        </is>
      </c>
      <c r="B189" s="23">
        <v>46320.75</v>
      </c>
      <c r="C189" s="18" t="inlineStr">
        <is>
          <t>Primeira Liga</t>
        </is>
      </c>
      <c r="D189" s="18" t="inlineStr">
        <is>
          <t>Nacional vs Braga</t>
        </is>
      </c>
      <c r="E189" s="18" t="inlineStr">
        <is>
          <t>48h-two-per-market-group-probability-ev-v24</t>
        </is>
      </c>
      <c r="F189" s="18" t="inlineStr">
        <is>
          <t>UNVERIFIED_FIXTURE_OR_RESULT</t>
        </is>
      </c>
      <c r="G189" s="18"/>
      <c r="H189" s="18"/>
      <c r="I189" s="21"/>
      <c r="J189" s="18"/>
      <c r="K189" s="18"/>
      <c r="L189" s="18"/>
      <c r="M189" s="18"/>
      <c r="N189" s="18" t="inlineStr">
        <is>
          <t>2026-W43</t>
        </is>
      </c>
      <c r="O189" s="18" t="inlineStr">
        <is>
          <t>007f589ff28970f5c6dcc58af5d09a89aaf2fb4a</t>
        </is>
      </c>
      <c r="P189" s="18"/>
      <c r="Q189" s="18"/>
      <c r="R189" s="18"/>
    </row>
    <row r="190" ht="36" customHeight="1">
      <c r="A190" s="18" t="inlineStr">
        <is>
          <t>Primeira Liga|rio ave|famalicao|2026-10-25</t>
        </is>
      </c>
      <c r="B190" s="23">
        <v>46320.75</v>
      </c>
      <c r="C190" s="18" t="inlineStr">
        <is>
          <t>Primeira Liga</t>
        </is>
      </c>
      <c r="D190" s="18" t="inlineStr">
        <is>
          <t>Rio Ave FC vs Famalicão</t>
        </is>
      </c>
      <c r="E190" s="18" t="inlineStr">
        <is>
          <t>48h-two-per-market-group-probability-ev-v24</t>
        </is>
      </c>
      <c r="F190" s="18" t="inlineStr">
        <is>
          <t>GRADED</t>
        </is>
      </c>
      <c r="G190" s="18" t="inlineStr">
        <is>
          <t>0-4</t>
        </is>
      </c>
      <c r="H190" s="19">
        <v>1.0</v>
      </c>
      <c r="I190" s="21">
        <v>0.44653127</v>
      </c>
      <c r="J190" s="19">
        <v>1.0</v>
      </c>
      <c r="K190" s="19">
        <v>0.0</v>
      </c>
      <c r="L190" s="19">
        <v>1.0</v>
      </c>
      <c r="M190" s="19">
        <v>1.0</v>
      </c>
      <c r="N190" s="18" t="inlineStr">
        <is>
          <t>2026-W43</t>
        </is>
      </c>
      <c r="O190" s="18" t="inlineStr">
        <is>
          <t>007f589ff28970f5c6dcc58af5d09a89aaf2fb4a</t>
        </is>
      </c>
      <c r="P190" s="18" t="inlineStr">
        <is>
          <t>football-data.org/v4</t>
        </is>
      </c>
      <c r="Q190" s="18"/>
      <c r="R190" s="18"/>
    </row>
    <row r="191" ht="36" customHeight="1">
      <c r="A191" s="18" t="inlineStr">
        <is>
          <t>Eredivisie|az alkmaar|twente enschede|2026-10-25</t>
        </is>
      </c>
      <c r="B191" s="23">
        <v>46320.791666666664</v>
      </c>
      <c r="C191" s="18" t="inlineStr">
        <is>
          <t>Eredivisie</t>
        </is>
      </c>
      <c r="D191" s="18" t="inlineStr">
        <is>
          <t>AZ Alkmaar vs FC Twente Enschede</t>
        </is>
      </c>
      <c r="E191" s="18" t="inlineStr">
        <is>
          <t>48h-two-per-market-group-probability-ev-v24</t>
        </is>
      </c>
      <c r="F191" s="18" t="inlineStr">
        <is>
          <t>UNVERIFIED_FIXTURE_OR_RESULT</t>
        </is>
      </c>
      <c r="G191" s="18"/>
      <c r="H191" s="18"/>
      <c r="I191" s="21"/>
      <c r="J191" s="18"/>
      <c r="K191" s="18"/>
      <c r="L191" s="18"/>
      <c r="M191" s="18"/>
      <c r="N191" s="18" t="inlineStr">
        <is>
          <t>2026-W43</t>
        </is>
      </c>
      <c r="O191" s="18" t="inlineStr">
        <is>
          <t>007f589ff28970f5c6dcc58af5d09a89aaf2fb4a</t>
        </is>
      </c>
      <c r="P191" s="18"/>
      <c r="Q191" s="18"/>
      <c r="R191" s="18"/>
    </row>
    <row r="192" ht="36" customHeight="1">
      <c r="A192" s="18" t="inlineStr">
        <is>
          <t>Ligue 1|paris sg|lyon|2026-10-25</t>
        </is>
      </c>
      <c r="B192" s="23">
        <v>46320.822916666664</v>
      </c>
      <c r="C192" s="18" t="inlineStr">
        <is>
          <t>Ligue 1</t>
        </is>
      </c>
      <c r="D192" s="18" t="inlineStr">
        <is>
          <t>Paris Saint Germain vs Lyon</t>
        </is>
      </c>
      <c r="E192" s="18" t="inlineStr">
        <is>
          <t>72h-seven-markets-fresh-references-net-ev15-v11</t>
        </is>
      </c>
      <c r="F192" s="18" t="inlineStr">
        <is>
          <t>UNVERIFIED_FIXTURE_OR_RESULT</t>
        </is>
      </c>
      <c r="G192" s="18"/>
      <c r="H192" s="18"/>
      <c r="I192" s="21"/>
      <c r="J192" s="18"/>
      <c r="K192" s="18"/>
      <c r="L192" s="18"/>
      <c r="M192" s="18"/>
      <c r="N192" s="18" t="inlineStr">
        <is>
          <t>2026-W43</t>
        </is>
      </c>
      <c r="O192" s="18" t="inlineStr">
        <is>
          <t>7a6c9d44b7c20308d3ed85270f7cabc2a98df58e</t>
        </is>
      </c>
      <c r="P192" s="18"/>
      <c r="Q192" s="18"/>
      <c r="R192" s="18"/>
    </row>
    <row r="193" ht="36" customHeight="1">
      <c r="A193" s="18" t="inlineStr">
        <is>
          <t>Serie A|udinese|milan|2026-10-25</t>
        </is>
      </c>
      <c r="B193" s="23">
        <v>46320.822916666664</v>
      </c>
      <c r="C193" s="18" t="inlineStr">
        <is>
          <t>Serie A</t>
        </is>
      </c>
      <c r="D193" s="18" t="inlineStr">
        <is>
          <t>Udinese vs AC Milan</t>
        </is>
      </c>
      <c r="E193" s="18" t="inlineStr">
        <is>
          <t>72h-seven-markets-fresh-references-net-ev15-v11</t>
        </is>
      </c>
      <c r="F193" s="18" t="inlineStr">
        <is>
          <t>GRADED</t>
        </is>
      </c>
      <c r="G193" s="18" t="inlineStr">
        <is>
          <t>0-2</t>
        </is>
      </c>
      <c r="H193" s="19">
        <v>1.0</v>
      </c>
      <c r="I193" s="21">
        <v>0.35563839</v>
      </c>
      <c r="J193" s="19">
        <v>1.0</v>
      </c>
      <c r="K193" s="19">
        <v>1.0</v>
      </c>
      <c r="L193" s="19">
        <v>0.0</v>
      </c>
      <c r="M193" s="19">
        <v>0.0</v>
      </c>
      <c r="N193" s="18" t="inlineStr">
        <is>
          <t>2026-W43</t>
        </is>
      </c>
      <c r="O193" s="18" t="inlineStr">
        <is>
          <t>7a6c9d44b7c20308d3ed85270f7cabc2a98df58e</t>
        </is>
      </c>
      <c r="P193" s="18" t="inlineStr">
        <is>
          <t>football-data.org/v4</t>
        </is>
      </c>
      <c r="Q193" s="18"/>
      <c r="R193" s="18"/>
    </row>
    <row r="194" ht="36" customHeight="1">
      <c r="A194" s="18" t="inlineStr">
        <is>
          <t>La Liga|barcelona|real madrid|2026-10-25</t>
        </is>
      </c>
      <c r="B194" s="23">
        <v>46320.833333333336</v>
      </c>
      <c r="C194" s="18" t="inlineStr">
        <is>
          <t>La Liga</t>
        </is>
      </c>
      <c r="D194" s="18" t="inlineStr">
        <is>
          <t>Barcelona vs Real Madrid</t>
        </is>
      </c>
      <c r="E194" s="18" t="inlineStr">
        <is>
          <t>72h-seven-markets-fresh-references-net-ev15-v11</t>
        </is>
      </c>
      <c r="F194" s="18" t="inlineStr">
        <is>
          <t>GRADED</t>
        </is>
      </c>
      <c r="G194" s="18" t="inlineStr">
        <is>
          <t>1-2</t>
        </is>
      </c>
      <c r="H194" s="19">
        <v>0.0</v>
      </c>
      <c r="I194" s="21">
        <v>0.97561573</v>
      </c>
      <c r="J194" s="19">
        <v>1.0</v>
      </c>
      <c r="K194" s="19">
        <v>1.0</v>
      </c>
      <c r="L194" s="19">
        <v>1.0</v>
      </c>
      <c r="M194" s="19">
        <v>1.0</v>
      </c>
      <c r="N194" s="18" t="inlineStr">
        <is>
          <t>2026-W43</t>
        </is>
      </c>
      <c r="O194" s="18" t="inlineStr">
        <is>
          <t>7a6c9d44b7c20308d3ed85270f7cabc2a98df58e</t>
        </is>
      </c>
      <c r="P194" s="18" t="inlineStr">
        <is>
          <t>football-data.org/v4</t>
        </is>
      </c>
      <c r="Q194" s="18"/>
      <c r="R194" s="18"/>
    </row>
    <row r="195" ht="36" customHeight="1">
      <c r="A195" s="18" t="inlineStr">
        <is>
          <t>Primeira Liga|sporting cp|academico viseu|2026-10-25</t>
        </is>
      </c>
      <c r="B195" s="23">
        <v>46320.854166666664</v>
      </c>
      <c r="C195" s="18" t="inlineStr">
        <is>
          <t>Primeira Liga</t>
        </is>
      </c>
      <c r="D195" s="18" t="inlineStr">
        <is>
          <t>Sporting Lisbon vs Académico de Viseu</t>
        </is>
      </c>
      <c r="E195" s="18" t="inlineStr">
        <is>
          <t>48h-two-per-market-group-probability-ev-v24</t>
        </is>
      </c>
      <c r="F195" s="18" t="inlineStr">
        <is>
          <t>GRADED</t>
        </is>
      </c>
      <c r="G195" s="18" t="inlineStr">
        <is>
          <t>1-2</t>
        </is>
      </c>
      <c r="H195" s="19">
        <v>0.0</v>
      </c>
      <c r="I195" s="21">
        <v>1.37090039</v>
      </c>
      <c r="J195" s="19">
        <v>1.0</v>
      </c>
      <c r="K195" s="19">
        <v>1.0</v>
      </c>
      <c r="L195" s="19">
        <v>0.0</v>
      </c>
      <c r="M195" s="19">
        <v>0.0</v>
      </c>
      <c r="N195" s="18" t="inlineStr">
        <is>
          <t>2026-W43</t>
        </is>
      </c>
      <c r="O195" s="18" t="inlineStr">
        <is>
          <t>007f589ff28970f5c6dcc58af5d09a89aaf2fb4a</t>
        </is>
      </c>
      <c r="P195" s="18" t="inlineStr">
        <is>
          <t>football-data.org/v4</t>
        </is>
      </c>
      <c r="Q195" s="18"/>
      <c r="R195" s="18"/>
    </row>
    <row r="196" ht="36" customHeight="1">
      <c r="A196" s="18" t="inlineStr">
        <is>
          <t>Primeira Liga|santa clara|benfica|2026-10-26</t>
        </is>
      </c>
      <c r="B196" s="23">
        <v>46321.78125</v>
      </c>
      <c r="C196" s="18" t="inlineStr">
        <is>
          <t>Primeira Liga</t>
        </is>
      </c>
      <c r="D196" s="18" t="inlineStr">
        <is>
          <t>Santa Clara vs Benfica</t>
        </is>
      </c>
      <c r="E196" s="18" t="inlineStr">
        <is>
          <t>48h-two-per-market-group-probability-ev-v24</t>
        </is>
      </c>
      <c r="F196" s="18" t="inlineStr">
        <is>
          <t>UNVERIFIED_FIXTURE_OR_RESULT</t>
        </is>
      </c>
      <c r="G196" s="18"/>
      <c r="H196" s="18"/>
      <c r="I196" s="21"/>
      <c r="J196" s="18"/>
      <c r="K196" s="18"/>
      <c r="L196" s="18"/>
      <c r="M196" s="18"/>
      <c r="N196" s="18" t="inlineStr">
        <is>
          <t>2026-W44</t>
        </is>
      </c>
      <c r="O196" s="18" t="inlineStr">
        <is>
          <t>007f589ff28970f5c6dcc58af5d09a89aaf2fb4a</t>
        </is>
      </c>
      <c r="P196" s="18"/>
      <c r="Q196" s="18"/>
      <c r="R196" s="18"/>
    </row>
    <row r="197" ht="36" customHeight="1">
      <c r="A197" s="18" t="inlineStr">
        <is>
          <t>Ligue 1|paris sg|lyon|2026-10-26</t>
        </is>
      </c>
      <c r="B197" s="23">
        <v>46321.8125</v>
      </c>
      <c r="C197" s="18" t="inlineStr">
        <is>
          <t>Ligue 1</t>
        </is>
      </c>
      <c r="D197" s="18" t="inlineStr">
        <is>
          <t>Paris Saint Germain vs Lyon</t>
        </is>
      </c>
      <c r="E197" s="18" t="inlineStr">
        <is>
          <t>48h-zero-tolerance-ev1-common-no-loss75-v22</t>
        </is>
      </c>
      <c r="F197" s="18" t="inlineStr">
        <is>
          <t>UNVERIFIED_FIXTURE_OR_RESULT</t>
        </is>
      </c>
      <c r="G197" s="18"/>
      <c r="H197" s="18"/>
      <c r="I197" s="21"/>
      <c r="J197" s="18"/>
      <c r="K197" s="18"/>
      <c r="L197" s="18"/>
      <c r="M197" s="18"/>
      <c r="N197" s="18" t="inlineStr">
        <is>
          <t>2026-W44</t>
        </is>
      </c>
      <c r="O197" s="18" t="inlineStr">
        <is>
          <t>10a7df008090a45923c14f3c84ec260b147ea047</t>
        </is>
      </c>
      <c r="P197" s="18"/>
      <c r="Q197" s="18"/>
      <c r="R197" s="18"/>
    </row>
    <row r="198" ht="36" customHeight="1">
      <c r="A198" s="18" t="inlineStr">
        <is>
          <t>La Liga|sevilla|ca osasuna|2026-10-26</t>
        </is>
      </c>
      <c r="B198" s="23">
        <v>46321.833333333336</v>
      </c>
      <c r="C198" s="18" t="inlineStr">
        <is>
          <t>La Liga</t>
        </is>
      </c>
      <c r="D198" s="18" t="inlineStr">
        <is>
          <t>Sevilla vs CA Osasuna</t>
        </is>
      </c>
      <c r="E198" s="18" t="inlineStr">
        <is>
          <t>72h-seven-markets-fresh-references-net-ev15-v11</t>
        </is>
      </c>
      <c r="F198" s="18" t="inlineStr">
        <is>
          <t>GRADED</t>
        </is>
      </c>
      <c r="G198" s="18" t="inlineStr">
        <is>
          <t>2-0</t>
        </is>
      </c>
      <c r="H198" s="19">
        <v>1.0</v>
      </c>
      <c r="I198" s="21">
        <v>0.40259179</v>
      </c>
      <c r="J198" s="19">
        <v>1.0</v>
      </c>
      <c r="K198" s="19">
        <v>1.0</v>
      </c>
      <c r="L198" s="19">
        <v>0.0</v>
      </c>
      <c r="M198" s="19">
        <v>0.0</v>
      </c>
      <c r="N198" s="18" t="inlineStr">
        <is>
          <t>2026-W44</t>
        </is>
      </c>
      <c r="O198" s="18" t="inlineStr">
        <is>
          <t>7a6c9d44b7c20308d3ed85270f7cabc2a98df58e</t>
        </is>
      </c>
      <c r="P198" s="18" t="inlineStr">
        <is>
          <t>football-data.org/v4</t>
        </is>
      </c>
      <c r="Q198" s="18"/>
      <c r="R198" s="18"/>
    </row>
    <row r="199" ht="36" customHeight="1">
      <c r="A199" s="18" t="inlineStr">
        <is>
          <t>Serie A|sassuolo|lazio|2026-10-27</t>
        </is>
      </c>
      <c r="B199" s="23">
        <v>46322.729166666664</v>
      </c>
      <c r="C199" s="18" t="inlineStr">
        <is>
          <t>Serie A</t>
        </is>
      </c>
      <c r="D199" s="18" t="inlineStr">
        <is>
          <t>Sassuolo vs Lazio</t>
        </is>
      </c>
      <c r="E199" s="18" t="inlineStr">
        <is>
          <t>48h-top-ten-probability-ev-no-under35-v14</t>
        </is>
      </c>
      <c r="F199" s="18" t="inlineStr">
        <is>
          <t>GRADED</t>
        </is>
      </c>
      <c r="G199" s="18" t="inlineStr">
        <is>
          <t>2-6</t>
        </is>
      </c>
      <c r="H199" s="19">
        <v>1.0</v>
      </c>
      <c r="I199" s="21">
        <v>0.4686667</v>
      </c>
      <c r="J199" s="19">
        <v>1.0</v>
      </c>
      <c r="K199" s="19">
        <v>0.0</v>
      </c>
      <c r="L199" s="19">
        <v>1.0</v>
      </c>
      <c r="M199" s="19">
        <v>1.0</v>
      </c>
      <c r="N199" s="18" t="inlineStr">
        <is>
          <t>2026-W44</t>
        </is>
      </c>
      <c r="O199" s="18" t="inlineStr">
        <is>
          <t>ca1e126489f9dedd7d4f5072a6bfa57835dec39c</t>
        </is>
      </c>
      <c r="P199" s="18" t="inlineStr">
        <is>
          <t>football-data.org/v4</t>
        </is>
      </c>
      <c r="Q199" s="18"/>
      <c r="R199" s="18"/>
    </row>
    <row r="200" ht="36" customHeight="1">
      <c r="A200" s="18" t="inlineStr">
        <is>
          <t>Serie A|as roma|cagliari|2026-10-27</t>
        </is>
      </c>
      <c r="B200" s="23">
        <v>46322.822916666664</v>
      </c>
      <c r="C200" s="18" t="inlineStr">
        <is>
          <t>Serie A</t>
        </is>
      </c>
      <c r="D200" s="18" t="inlineStr">
        <is>
          <t>AS Roma vs Cagliari</t>
        </is>
      </c>
      <c r="E200" s="18" t="inlineStr">
        <is>
          <t>48h-top-ten-probability-ev-no-under35-v14</t>
        </is>
      </c>
      <c r="F200" s="18" t="inlineStr">
        <is>
          <t>GRADED</t>
        </is>
      </c>
      <c r="G200" s="18" t="inlineStr">
        <is>
          <t>4-2</t>
        </is>
      </c>
      <c r="H200" s="19">
        <v>1.0</v>
      </c>
      <c r="I200" s="21">
        <v>0.15002213</v>
      </c>
      <c r="J200" s="19">
        <v>1.0</v>
      </c>
      <c r="K200" s="19">
        <v>0.0</v>
      </c>
      <c r="L200" s="19">
        <v>0.0</v>
      </c>
      <c r="M200" s="19">
        <v>0.0</v>
      </c>
      <c r="N200" s="18" t="inlineStr">
        <is>
          <t>2026-W44</t>
        </is>
      </c>
      <c r="O200" s="18" t="inlineStr">
        <is>
          <t>ca1e126489f9dedd7d4f5072a6bfa57835dec39c</t>
        </is>
      </c>
      <c r="P200" s="18" t="inlineStr">
        <is>
          <t>football-data.org/v4</t>
        </is>
      </c>
      <c r="Q200" s="18"/>
      <c r="R200" s="18"/>
    </row>
    <row r="201" ht="36" customHeight="1">
      <c r="A201" s="18" t="inlineStr">
        <is>
          <t>Serie A|torino|como|2026-10-27</t>
        </is>
      </c>
      <c r="B201" s="23">
        <v>46322.822916666664</v>
      </c>
      <c r="C201" s="18" t="inlineStr">
        <is>
          <t>Serie A</t>
        </is>
      </c>
      <c r="D201" s="18" t="inlineStr">
        <is>
          <t>Torino vs Como</t>
        </is>
      </c>
      <c r="E201" s="18" t="inlineStr">
        <is>
          <t>48h-top-ten-probability-ev-no-under35-v14</t>
        </is>
      </c>
      <c r="F201" s="18" t="inlineStr">
        <is>
          <t>UNVERIFIED_FIXTURE_OR_RESULT</t>
        </is>
      </c>
      <c r="G201" s="18"/>
      <c r="H201" s="18"/>
      <c r="I201" s="21"/>
      <c r="J201" s="18"/>
      <c r="K201" s="18"/>
      <c r="L201" s="18"/>
      <c r="M201" s="18"/>
      <c r="N201" s="18" t="inlineStr">
        <is>
          <t>2026-W44</t>
        </is>
      </c>
      <c r="O201" s="18" t="inlineStr">
        <is>
          <t>ca1e126489f9dedd7d4f5072a6bfa57835dec39c</t>
        </is>
      </c>
      <c r="P201" s="18"/>
      <c r="Q201" s="18"/>
      <c r="R201" s="18"/>
    </row>
    <row r="202" ht="36" customHeight="1">
      <c r="A202" s="18" t="inlineStr">
        <is>
          <t>Serie A|milan|bologna|2026-10-28</t>
        </is>
      </c>
      <c r="B202" s="23">
        <v>46323.729166666664</v>
      </c>
      <c r="C202" s="18" t="inlineStr">
        <is>
          <t>Serie A</t>
        </is>
      </c>
      <c r="D202" s="18" t="inlineStr">
        <is>
          <t>AC Milan vs Bologna</t>
        </is>
      </c>
      <c r="E202" s="18" t="inlineStr">
        <is>
          <t>48h-top-ten-probability-ev-no-under35-v14</t>
        </is>
      </c>
      <c r="F202" s="18" t="inlineStr">
        <is>
          <t>PENDING_KICKOFF_OR_FINAL_SCORE</t>
        </is>
      </c>
      <c r="G202" s="18"/>
      <c r="H202" s="18"/>
      <c r="I202" s="21"/>
      <c r="J202" s="18"/>
      <c r="K202" s="18"/>
      <c r="L202" s="18"/>
      <c r="M202" s="18"/>
      <c r="N202" s="18" t="inlineStr">
        <is>
          <t>2026-W44</t>
        </is>
      </c>
      <c r="O202" s="18" t="inlineStr">
        <is>
          <t>ca1e126489f9dedd7d4f5072a6bfa57835dec39c</t>
        </is>
      </c>
      <c r="P202" s="18"/>
      <c r="Q202" s="18"/>
      <c r="R202" s="18"/>
    </row>
    <row r="203" ht="36" customHeight="1">
      <c r="A203" s="18" t="inlineStr">
        <is>
          <t>Serie A|parma|udinese|2026-10-28</t>
        </is>
      </c>
      <c r="B203" s="23">
        <v>46323.729166666664</v>
      </c>
      <c r="C203" s="18" t="inlineStr">
        <is>
          <t>Serie A</t>
        </is>
      </c>
      <c r="D203" s="18" t="inlineStr">
        <is>
          <t>Parma vs Udinese</t>
        </is>
      </c>
      <c r="E203" s="18" t="inlineStr">
        <is>
          <t>48h-top-ten-probability-ev-no-under35-v14</t>
        </is>
      </c>
      <c r="F203" s="18" t="inlineStr">
        <is>
          <t>PENDING_KICKOFF_OR_FINAL_SCORE</t>
        </is>
      </c>
      <c r="G203" s="18"/>
      <c r="H203" s="18"/>
      <c r="I203" s="21"/>
      <c r="J203" s="18"/>
      <c r="K203" s="18"/>
      <c r="L203" s="18"/>
      <c r="M203" s="18"/>
      <c r="N203" s="18" t="inlineStr">
        <is>
          <t>2026-W44</t>
        </is>
      </c>
      <c r="O203" s="18" t="inlineStr">
        <is>
          <t>ca1e126489f9dedd7d4f5072a6bfa57835dec39c</t>
        </is>
      </c>
      <c r="P203" s="18"/>
      <c r="Q203" s="18"/>
      <c r="R203" s="18"/>
    </row>
    <row r="204" ht="36" customHeight="1">
      <c r="A204" s="18" t="inlineStr">
        <is>
          <t>Serie A|venezia|inter|2026-10-28</t>
        </is>
      </c>
      <c r="B204" s="23">
        <v>46323.729166666664</v>
      </c>
      <c r="C204" s="18" t="inlineStr">
        <is>
          <t>Serie A</t>
        </is>
      </c>
      <c r="D204" s="18" t="inlineStr">
        <is>
          <t>Venezia vs Inter Milan</t>
        </is>
      </c>
      <c r="E204" s="18" t="inlineStr">
        <is>
          <t>48h-top-ten-probability-ev-no-under35-v14</t>
        </is>
      </c>
      <c r="F204" s="18" t="inlineStr">
        <is>
          <t>PENDING_KICKOFF_OR_FINAL_SCORE</t>
        </is>
      </c>
      <c r="G204" s="18"/>
      <c r="H204" s="18"/>
      <c r="I204" s="21"/>
      <c r="J204" s="18"/>
      <c r="K204" s="18"/>
      <c r="L204" s="18"/>
      <c r="M204" s="18"/>
      <c r="N204" s="18" t="inlineStr">
        <is>
          <t>2026-W44</t>
        </is>
      </c>
      <c r="O204" s="18" t="inlineStr">
        <is>
          <t>ca1e126489f9dedd7d4f5072a6bfa57835dec39c</t>
        </is>
      </c>
      <c r="P204" s="18"/>
      <c r="Q204" s="18"/>
      <c r="R204" s="18"/>
    </row>
    <row r="205" ht="36" customHeight="1">
      <c r="A205" s="18" t="inlineStr">
        <is>
          <t>Serie A|genoa|juventus|2026-10-28</t>
        </is>
      </c>
      <c r="B205" s="23">
        <v>46323.822916666664</v>
      </c>
      <c r="C205" s="18" t="inlineStr">
        <is>
          <t>Serie A</t>
        </is>
      </c>
      <c r="D205" s="18" t="inlineStr">
        <is>
          <t>Genoa vs Juventus</t>
        </is>
      </c>
      <c r="E205" s="18" t="inlineStr">
        <is>
          <t>48h-top-ten-probability-ev-no-under35-v14</t>
        </is>
      </c>
      <c r="F205" s="18" t="inlineStr">
        <is>
          <t>PENDING_KICKOFF_OR_FINAL_SCORE</t>
        </is>
      </c>
      <c r="G205" s="18"/>
      <c r="H205" s="18"/>
      <c r="I205" s="21"/>
      <c r="J205" s="18"/>
      <c r="K205" s="18"/>
      <c r="L205" s="18"/>
      <c r="M205" s="18"/>
      <c r="N205" s="18" t="inlineStr">
        <is>
          <t>2026-W44</t>
        </is>
      </c>
      <c r="O205" s="18" t="inlineStr">
        <is>
          <t>ca1e126489f9dedd7d4f5072a6bfa57835dec39c</t>
        </is>
      </c>
      <c r="P205" s="18"/>
      <c r="Q205" s="18"/>
      <c r="R205" s="18"/>
    </row>
    <row r="206" ht="36" customHeight="1">
      <c r="A206" s="18" t="inlineStr">
        <is>
          <t>Serie A|monza|napoli|2026-10-28</t>
        </is>
      </c>
      <c r="B206" s="23">
        <v>46323.822916666664</v>
      </c>
      <c r="C206" s="18" t="inlineStr">
        <is>
          <t>Serie A</t>
        </is>
      </c>
      <c r="D206" s="18" t="inlineStr">
        <is>
          <t>Monza vs Napoli</t>
        </is>
      </c>
      <c r="E206" s="18" t="inlineStr">
        <is>
          <t>48h-top-ten-probability-ev-no-under35-v14</t>
        </is>
      </c>
      <c r="F206" s="18" t="inlineStr">
        <is>
          <t>PENDING_KICKOFF_OR_FINAL_SCORE</t>
        </is>
      </c>
      <c r="G206" s="18"/>
      <c r="H206" s="18"/>
      <c r="I206" s="21"/>
      <c r="J206" s="18"/>
      <c r="K206" s="18"/>
      <c r="L206" s="18"/>
      <c r="M206" s="18"/>
      <c r="N206" s="18" t="inlineStr">
        <is>
          <t>2026-W44</t>
        </is>
      </c>
      <c r="O206" s="18" t="inlineStr">
        <is>
          <t>ca1e126489f9dedd7d4f5072a6bfa57835dec39c</t>
        </is>
      </c>
      <c r="P206" s="18"/>
      <c r="Q206" s="18"/>
      <c r="R206" s="18"/>
    </row>
    <row r="207" ht="36" customHeight="1">
      <c r="A207" s="18" t="inlineStr">
        <is>
          <t>Serie A|frosinone|lecce|2026-10-29</t>
        </is>
      </c>
      <c r="B207" s="23">
        <v>46324.729166666664</v>
      </c>
      <c r="C207" s="18" t="inlineStr">
        <is>
          <t>Serie A</t>
        </is>
      </c>
      <c r="D207" s="18" t="inlineStr">
        <is>
          <t>Frosinone vs Lecce</t>
        </is>
      </c>
      <c r="E207" s="18" t="inlineStr">
        <is>
          <t>48h-top-twelve-probability-ev-no-under35-v15</t>
        </is>
      </c>
      <c r="F207" s="18" t="inlineStr">
        <is>
          <t>PENDING_KICKOFF_OR_FINAL_SCORE</t>
        </is>
      </c>
      <c r="G207" s="18"/>
      <c r="H207" s="18"/>
      <c r="I207" s="21"/>
      <c r="J207" s="18"/>
      <c r="K207" s="18"/>
      <c r="L207" s="18"/>
      <c r="M207" s="18"/>
      <c r="N207" s="18" t="inlineStr">
        <is>
          <t>2026-W44</t>
        </is>
      </c>
      <c r="O207" s="18" t="inlineStr">
        <is>
          <t>e93027ea804f64efe276f7e7fc3db8013e20cb3e</t>
        </is>
      </c>
      <c r="P207" s="18"/>
      <c r="Q207" s="18"/>
      <c r="R207" s="18"/>
    </row>
    <row r="208" ht="36" customHeight="1">
      <c r="A208" s="18" t="inlineStr">
        <is>
          <t>Serie A|fiorentina|atalanta bc|2026-10-29</t>
        </is>
      </c>
      <c r="B208" s="23">
        <v>46324.822916666664</v>
      </c>
      <c r="C208" s="18" t="inlineStr">
        <is>
          <t>Serie A</t>
        </is>
      </c>
      <c r="D208" s="18" t="inlineStr">
        <is>
          <t>Fiorentina vs Atalanta BC</t>
        </is>
      </c>
      <c r="E208" s="18" t="inlineStr">
        <is>
          <t>48h-top-twelve-probability-ev-no-under35-v15</t>
        </is>
      </c>
      <c r="F208" s="18" t="inlineStr">
        <is>
          <t>PENDING_KICKOFF_OR_FINAL_SCORE</t>
        </is>
      </c>
      <c r="G208" s="18"/>
      <c r="H208" s="18"/>
      <c r="I208" s="21"/>
      <c r="J208" s="18"/>
      <c r="K208" s="18"/>
      <c r="L208" s="18"/>
      <c r="M208" s="18"/>
      <c r="N208" s="18" t="inlineStr">
        <is>
          <t>2026-W44</t>
        </is>
      </c>
      <c r="O208" s="18" t="inlineStr">
        <is>
          <t>e93027ea804f64efe276f7e7fc3db8013e20cb3e</t>
        </is>
      </c>
      <c r="P208" s="18"/>
      <c r="Q208" s="18"/>
      <c r="R208" s="18"/>
    </row>
    <row r="209" ht="36" customHeight="1">
      <c r="A209" s="18" t="inlineStr">
        <is>
          <t>Super Lig|torku konyaspor|galatasaray|2026-10-30</t>
        </is>
      </c>
      <c r="B209" s="23">
        <v>46325.708333333336</v>
      </c>
      <c r="C209" s="18" t="inlineStr">
        <is>
          <t>Super Lig</t>
        </is>
      </c>
      <c r="D209" s="18" t="inlineStr">
        <is>
          <t>Torku Konyaspor vs Galatasaray</t>
        </is>
      </c>
      <c r="E209" s="18" t="inlineStr">
        <is>
          <t>48h-zero-tolerance-ev05-no-loss75-corners-v26</t>
        </is>
      </c>
      <c r="F209" s="18" t="inlineStr">
        <is>
          <t>PENDING_KICKOFF_OR_FINAL_SCORE</t>
        </is>
      </c>
      <c r="G209" s="18"/>
      <c r="H209" s="18"/>
      <c r="I209" s="21"/>
      <c r="J209" s="18"/>
      <c r="K209" s="18"/>
      <c r="L209" s="18"/>
      <c r="M209" s="18"/>
      <c r="N209" s="18" t="inlineStr">
        <is>
          <t>2026-W44</t>
        </is>
      </c>
      <c r="O209" s="18" t="inlineStr">
        <is>
          <t>04e55dde9bbe885fb80dc3c1a84f550621a793c2</t>
        </is>
      </c>
      <c r="P209" s="18"/>
      <c r="Q209" s="18"/>
      <c r="R209" s="18"/>
    </row>
    <row r="210" ht="36" customHeight="1">
      <c r="A210" s="18" t="inlineStr">
        <is>
          <t>Ligue 1|le havre|paris sg|2026-10-30</t>
        </is>
      </c>
      <c r="B210" s="23">
        <v>46325.75</v>
      </c>
      <c r="C210" s="18" t="inlineStr">
        <is>
          <t>Ligue 1</t>
        </is>
      </c>
      <c r="D210" s="18" t="inlineStr">
        <is>
          <t>Le Havre vs Paris Saint Germain</t>
        </is>
      </c>
      <c r="E210" s="18" t="inlineStr">
        <is>
          <t>48h-top-twelve-probability-ev-no-under35-v15</t>
        </is>
      </c>
      <c r="F210" s="18" t="inlineStr">
        <is>
          <t>PENDING_KICKOFF_OR_FINAL_SCORE</t>
        </is>
      </c>
      <c r="G210" s="18"/>
      <c r="H210" s="18"/>
      <c r="I210" s="21"/>
      <c r="J210" s="18"/>
      <c r="K210" s="18"/>
      <c r="L210" s="18"/>
      <c r="M210" s="18"/>
      <c r="N210" s="18" t="inlineStr">
        <is>
          <t>2026-W44</t>
        </is>
      </c>
      <c r="O210" s="18" t="inlineStr">
        <is>
          <t>4c569effb9e7261783c7d1cc1a5b93cb0f40d309</t>
        </is>
      </c>
      <c r="P210" s="18"/>
      <c r="Q210" s="18"/>
      <c r="R210" s="18"/>
    </row>
    <row r="211" ht="36" customHeight="1">
      <c r="A211" s="18" t="inlineStr">
        <is>
          <t>Ligue 1|nice|rennes|2026-10-30</t>
        </is>
      </c>
      <c r="B211" s="23">
        <v>46325.75</v>
      </c>
      <c r="C211" s="18" t="inlineStr">
        <is>
          <t>Ligue 1</t>
        </is>
      </c>
      <c r="D211" s="18" t="inlineStr">
        <is>
          <t>Nice vs Rennes</t>
        </is>
      </c>
      <c r="E211" s="18" t="inlineStr">
        <is>
          <t>48h-zero-tolerance-ev05-no-loss75-corners-v26</t>
        </is>
      </c>
      <c r="F211" s="18" t="inlineStr">
        <is>
          <t>PENDING_KICKOFF_OR_FINAL_SCORE</t>
        </is>
      </c>
      <c r="G211" s="18"/>
      <c r="H211" s="18"/>
      <c r="I211" s="21"/>
      <c r="J211" s="18"/>
      <c r="K211" s="18"/>
      <c r="L211" s="18"/>
      <c r="M211" s="18"/>
      <c r="N211" s="18" t="inlineStr">
        <is>
          <t>2026-W44</t>
        </is>
      </c>
      <c r="O211" s="18" t="inlineStr">
        <is>
          <t>04e55dde9bbe885fb80dc3c1a84f550621a793c2</t>
        </is>
      </c>
      <c r="P211" s="18"/>
      <c r="Q211" s="18"/>
      <c r="R211" s="18"/>
    </row>
    <row r="212" ht="36" customHeight="1">
      <c r="A212" s="18" t="inlineStr">
        <is>
          <t>Bundesliga|07 elversberg|1 fsv mainz|2026-10-30</t>
        </is>
      </c>
      <c r="B212" s="23">
        <v>46325.8125</v>
      </c>
      <c r="C212" s="18" t="inlineStr">
        <is>
          <t>Bundesliga</t>
        </is>
      </c>
      <c r="D212" s="18" t="inlineStr">
        <is>
          <t>SV 07 Elversberg vs 1. FSV Mainz 05</t>
        </is>
      </c>
      <c r="E212" s="18" t="inlineStr">
        <is>
          <t>48h-zero-tolerance-ev05-no-loss75-corners-v26</t>
        </is>
      </c>
      <c r="F212" s="18" t="inlineStr">
        <is>
          <t>PENDING_KICKOFF_OR_FINAL_SCORE</t>
        </is>
      </c>
      <c r="G212" s="18"/>
      <c r="H212" s="18"/>
      <c r="I212" s="21"/>
      <c r="J212" s="18"/>
      <c r="K212" s="18"/>
      <c r="L212" s="18"/>
      <c r="M212" s="18"/>
      <c r="N212" s="18" t="inlineStr">
        <is>
          <t>2026-W44</t>
        </is>
      </c>
      <c r="O212" s="18" t="inlineStr">
        <is>
          <t>026e1ab4c40e3e64dd34bad82c62ace7981ad77e</t>
        </is>
      </c>
      <c r="P212" s="18"/>
      <c r="Q212" s="18"/>
      <c r="R212" s="18"/>
    </row>
    <row r="213" ht="36" customHeight="1">
      <c r="A213" s="18" t="inlineStr">
        <is>
          <t>Bundesliga|elversberg|fsv mainz|2026-10-30</t>
        </is>
      </c>
      <c r="B213" s="23">
        <v>46325.8125</v>
      </c>
      <c r="C213" s="18" t="inlineStr">
        <is>
          <t>Bundesliga</t>
        </is>
      </c>
      <c r="D213" s="18" t="inlineStr">
        <is>
          <t>Elversberg vs FSV Mainz 05</t>
        </is>
      </c>
      <c r="E213" s="18" t="inlineStr">
        <is>
          <t>48h-top-twelve-probability-ev-no-under35-v15</t>
        </is>
      </c>
      <c r="F213" s="18" t="inlineStr">
        <is>
          <t>PENDING_KICKOFF_OR_FINAL_SCORE</t>
        </is>
      </c>
      <c r="G213" s="18"/>
      <c r="H213" s="18"/>
      <c r="I213" s="21"/>
      <c r="J213" s="18"/>
      <c r="K213" s="18"/>
      <c r="L213" s="18"/>
      <c r="M213" s="18"/>
      <c r="N213" s="18" t="inlineStr">
        <is>
          <t>2026-W44</t>
        </is>
      </c>
      <c r="O213" s="18" t="inlineStr">
        <is>
          <t>4c569effb9e7261783c7d1cc1a5b93cb0f40d309</t>
        </is>
      </c>
      <c r="P213" s="18"/>
      <c r="Q213" s="18"/>
      <c r="R213" s="18"/>
    </row>
    <row r="214" ht="36" customHeight="1">
      <c r="A214" s="18" t="inlineStr">
        <is>
          <t>La Liga|villarreal|espanyol|2026-10-30</t>
        </is>
      </c>
      <c r="B214" s="23">
        <v>46325.833333333336</v>
      </c>
      <c r="C214" s="18" t="inlineStr">
        <is>
          <t>La Liga</t>
        </is>
      </c>
      <c r="D214" s="18" t="inlineStr">
        <is>
          <t>Villarreal vs Espanyol</t>
        </is>
      </c>
      <c r="E214" s="18" t="inlineStr">
        <is>
          <t>48h-top-twelve-probability-ev-no-under35-v15</t>
        </is>
      </c>
      <c r="F214" s="18" t="inlineStr">
        <is>
          <t>PENDING_KICKOFF_OR_FINAL_SCORE</t>
        </is>
      </c>
      <c r="G214" s="18"/>
      <c r="H214" s="18"/>
      <c r="I214" s="21"/>
      <c r="J214" s="18"/>
      <c r="K214" s="18"/>
      <c r="L214" s="18"/>
      <c r="M214" s="18"/>
      <c r="N214" s="18" t="inlineStr">
        <is>
          <t>2026-W44</t>
        </is>
      </c>
      <c r="O214" s="18" t="inlineStr">
        <is>
          <t>4c569effb9e7261783c7d1cc1a5b93cb0f40d309</t>
        </is>
      </c>
      <c r="P214" s="18"/>
      <c r="Q214" s="18"/>
      <c r="R214" s="18"/>
    </row>
    <row r="215" ht="36" customHeight="1">
      <c r="A215" s="18" t="inlineStr">
        <is>
          <t>La Liga|villarreal|rcd espanyol barcelona|2026-10-30</t>
        </is>
      </c>
      <c r="B215" s="23">
        <v>46325.833333333336</v>
      </c>
      <c r="C215" s="18" t="inlineStr">
        <is>
          <t>La Liga</t>
        </is>
      </c>
      <c r="D215" s="18" t="inlineStr">
        <is>
          <t>Villarreal CF vs RCD Espanyol de Barcelona</t>
        </is>
      </c>
      <c r="E215" s="18" t="inlineStr">
        <is>
          <t>48h-zero-tolerance-ev05-no-loss75-corners-v26</t>
        </is>
      </c>
      <c r="F215" s="18" t="inlineStr">
        <is>
          <t>PENDING_KICKOFF_OR_FINAL_SCORE</t>
        </is>
      </c>
      <c r="G215" s="18"/>
      <c r="H215" s="18"/>
      <c r="I215" s="21"/>
      <c r="J215" s="18"/>
      <c r="K215" s="18"/>
      <c r="L215" s="18"/>
      <c r="M215" s="18"/>
      <c r="N215" s="18" t="inlineStr">
        <is>
          <t>2026-W44</t>
        </is>
      </c>
      <c r="O215" s="18" t="inlineStr">
        <is>
          <t>026e1ab4c40e3e64dd34bad82c62ace7981ad77e</t>
        </is>
      </c>
      <c r="P215" s="18"/>
      <c r="Q215" s="18"/>
      <c r="R215" s="18"/>
    </row>
    <row r="216" ht="36" customHeight="1">
      <c r="A216" s="18" t="inlineStr">
        <is>
          <t>Ligue 1|lille osc|racing lens|2026-10-30</t>
        </is>
      </c>
      <c r="B216" s="23">
        <v>46325.836805555555</v>
      </c>
      <c r="C216" s="18" t="inlineStr">
        <is>
          <t>Ligue 1</t>
        </is>
      </c>
      <c r="D216" s="18" t="inlineStr">
        <is>
          <t>Lille OSC vs Racing Club de Lens</t>
        </is>
      </c>
      <c r="E216" s="18" t="inlineStr">
        <is>
          <t>48h-zero-tolerance-ev05-no-loss75-corners-v26</t>
        </is>
      </c>
      <c r="F216" s="18" t="inlineStr">
        <is>
          <t>PENDING_KICKOFF_OR_FINAL_SCORE</t>
        </is>
      </c>
      <c r="G216" s="18"/>
      <c r="H216" s="18"/>
      <c r="I216" s="21"/>
      <c r="J216" s="18"/>
      <c r="K216" s="18"/>
      <c r="L216" s="18"/>
      <c r="M216" s="18"/>
      <c r="N216" s="18" t="inlineStr">
        <is>
          <t>2026-W44</t>
        </is>
      </c>
      <c r="O216" s="18" t="inlineStr">
        <is>
          <t>026e1ab4c40e3e64dd34bad82c62ace7981ad77e</t>
        </is>
      </c>
      <c r="P216" s="18"/>
      <c r="Q216" s="18"/>
      <c r="R216" s="18"/>
    </row>
    <row r="217" ht="36" customHeight="1">
      <c r="A217" s="18" t="inlineStr">
        <is>
          <t>Ligue 1|lille|rc lens|2026-10-30</t>
        </is>
      </c>
      <c r="B217" s="23">
        <v>46325.836805555555</v>
      </c>
      <c r="C217" s="18" t="inlineStr">
        <is>
          <t>Ligue 1</t>
        </is>
      </c>
      <c r="D217" s="18" t="inlineStr">
        <is>
          <t>Lille vs RC Lens</t>
        </is>
      </c>
      <c r="E217" s="18" t="inlineStr">
        <is>
          <t>48h-top-twelve-probability-ev-no-under35-v15</t>
        </is>
      </c>
      <c r="F217" s="18" t="inlineStr">
        <is>
          <t>PENDING_KICKOFF_OR_FINAL_SCORE</t>
        </is>
      </c>
      <c r="G217" s="18"/>
      <c r="H217" s="18"/>
      <c r="I217" s="21"/>
      <c r="J217" s="18"/>
      <c r="K217" s="18"/>
      <c r="L217" s="18"/>
      <c r="M217" s="18"/>
      <c r="N217" s="18" t="inlineStr">
        <is>
          <t>2026-W44</t>
        </is>
      </c>
      <c r="O217" s="18" t="inlineStr">
        <is>
          <t>4c569effb9e7261783c7d1cc1a5b93cb0f40d309</t>
        </is>
      </c>
      <c r="P217" s="18"/>
      <c r="Q217" s="18"/>
      <c r="R217" s="18"/>
    </row>
    <row r="218" ht="36" customHeight="1">
      <c r="A218" s="18" t="inlineStr">
        <is>
          <t>Primeira Liga|casa pia|sporting cp|2026-10-30</t>
        </is>
      </c>
      <c r="B218" s="23">
        <v>46325.84375</v>
      </c>
      <c r="C218" s="18" t="inlineStr">
        <is>
          <t>Primeira Liga</t>
        </is>
      </c>
      <c r="D218" s="18" t="inlineStr">
        <is>
          <t>Casa Pia AC vs Sporting Clube de Portugal</t>
        </is>
      </c>
      <c r="E218" s="18" t="inlineStr">
        <is>
          <t>48h-zero-tolerance-ev05-no-loss75-corners-v26</t>
        </is>
      </c>
      <c r="F218" s="18" t="inlineStr">
        <is>
          <t>PENDING_KICKOFF_OR_FINAL_SCORE</t>
        </is>
      </c>
      <c r="G218" s="18"/>
      <c r="H218" s="18"/>
      <c r="I218" s="21"/>
      <c r="J218" s="18"/>
      <c r="K218" s="18"/>
      <c r="L218" s="18"/>
      <c r="M218" s="18"/>
      <c r="N218" s="18" t="inlineStr">
        <is>
          <t>2026-W44</t>
        </is>
      </c>
      <c r="O218" s="18" t="inlineStr">
        <is>
          <t>026e1ab4c40e3e64dd34bad82c62ace7981ad77e</t>
        </is>
      </c>
      <c r="P218" s="18"/>
      <c r="Q218" s="18"/>
      <c r="R218" s="18"/>
    </row>
    <row r="219" ht="36" customHeight="1">
      <c r="A219" s="18" t="inlineStr">
        <is>
          <t>Super Lig|erzurum bb|corum fk|2026-10-31</t>
        </is>
      </c>
      <c r="B219" s="23">
        <v>46326.4375</v>
      </c>
      <c r="C219" s="18" t="inlineStr">
        <is>
          <t>Super Lig</t>
        </is>
      </c>
      <c r="D219" s="18" t="inlineStr">
        <is>
          <t>Erzurum BB vs Çorum FK</t>
        </is>
      </c>
      <c r="E219" s="18" t="inlineStr">
        <is>
          <t>48h-zero-tolerance-ev05-no-loss75-corners-v26</t>
        </is>
      </c>
      <c r="F219" s="18" t="inlineStr">
        <is>
          <t>PENDING_KICKOFF_OR_FINAL_SCORE</t>
        </is>
      </c>
      <c r="G219" s="18"/>
      <c r="H219" s="18"/>
      <c r="I219" s="21"/>
      <c r="J219" s="18"/>
      <c r="K219" s="18"/>
      <c r="L219" s="18"/>
      <c r="M219" s="18"/>
      <c r="N219" s="18" t="inlineStr">
        <is>
          <t>2026-W44</t>
        </is>
      </c>
      <c r="O219" s="18" t="inlineStr">
        <is>
          <t>04e55dde9bbe885fb80dc3c1a84f550621a793c2</t>
        </is>
      </c>
      <c r="P219" s="18"/>
      <c r="Q219" s="18"/>
      <c r="R219" s="18"/>
    </row>
    <row r="220" ht="36" customHeight="1">
      <c r="A220" s="18" t="inlineStr">
        <is>
          <t>Premier League|chelsea|man united|2026-10-31</t>
        </is>
      </c>
      <c r="B220" s="23">
        <v>46326.520833333336</v>
      </c>
      <c r="C220" s="18" t="inlineStr">
        <is>
          <t>Premier League</t>
        </is>
      </c>
      <c r="D220" s="18" t="inlineStr">
        <is>
          <t>Chelsea vs Manchester United</t>
        </is>
      </c>
      <c r="E220" s="18" t="inlineStr">
        <is>
          <t>48h-risk-band-ev1-asian-handicap-1x2-over15-v20</t>
        </is>
      </c>
      <c r="F220" s="18" t="inlineStr">
        <is>
          <t>PENDING_KICKOFF_OR_FINAL_SCORE</t>
        </is>
      </c>
      <c r="G220" s="18"/>
      <c r="H220" s="18"/>
      <c r="I220" s="21"/>
      <c r="J220" s="18"/>
      <c r="K220" s="18"/>
      <c r="L220" s="18"/>
      <c r="M220" s="18"/>
      <c r="N220" s="18" t="inlineStr">
        <is>
          <t>2026-W44</t>
        </is>
      </c>
      <c r="O220" s="18" t="inlineStr">
        <is>
          <t>d737a7a239cba647c6a18877351a8ec1e81a6350</t>
        </is>
      </c>
      <c r="P220" s="18"/>
      <c r="Q220" s="18"/>
      <c r="R220" s="18"/>
    </row>
    <row r="221" ht="36" customHeight="1">
      <c r="A221" s="18" t="inlineStr">
        <is>
          <t>La Liga|levante|ath madrid|2026-10-31</t>
        </is>
      </c>
      <c r="B221" s="23">
        <v>46326.541666666664</v>
      </c>
      <c r="C221" s="18" t="inlineStr">
        <is>
          <t>La Liga</t>
        </is>
      </c>
      <c r="D221" s="18" t="inlineStr">
        <is>
          <t>Levante vs Atlético Madrid</t>
        </is>
      </c>
      <c r="E221" s="18" t="inlineStr">
        <is>
          <t>48h-risk-band-ev1-asian-handicap-1x2-over15-v20</t>
        </is>
      </c>
      <c r="F221" s="18" t="inlineStr">
        <is>
          <t>PENDING_KICKOFF_OR_FINAL_SCORE</t>
        </is>
      </c>
      <c r="G221" s="18"/>
      <c r="H221" s="18"/>
      <c r="I221" s="21"/>
      <c r="J221" s="18"/>
      <c r="K221" s="18"/>
      <c r="L221" s="18"/>
      <c r="M221" s="18"/>
      <c r="N221" s="18" t="inlineStr">
        <is>
          <t>2026-W44</t>
        </is>
      </c>
      <c r="O221" s="18" t="inlineStr">
        <is>
          <t>d737a7a239cba647c6a18877351a8ec1e81a6350</t>
        </is>
      </c>
      <c r="P221" s="18"/>
      <c r="Q221" s="18"/>
      <c r="R221" s="18"/>
    </row>
    <row r="222" ht="36" customHeight="1">
      <c r="A222" s="18" t="inlineStr">
        <is>
          <t>Bundesliga|augsburg|freiburg|2026-10-31</t>
        </is>
      </c>
      <c r="B222" s="23">
        <v>46326.604166666664</v>
      </c>
      <c r="C222" s="18" t="inlineStr">
        <is>
          <t>Bundesliga</t>
        </is>
      </c>
      <c r="D222" s="18" t="inlineStr">
        <is>
          <t>Augsburg vs SC Freiburg</t>
        </is>
      </c>
      <c r="E222" s="18" t="inlineStr">
        <is>
          <t>48h-risk-band-ev1-asian-handicap-1x2-over15-v20</t>
        </is>
      </c>
      <c r="F222" s="18" t="inlineStr">
        <is>
          <t>PENDING_KICKOFF_OR_FINAL_SCORE</t>
        </is>
      </c>
      <c r="G222" s="18"/>
      <c r="H222" s="18"/>
      <c r="I222" s="21"/>
      <c r="J222" s="18"/>
      <c r="K222" s="18"/>
      <c r="L222" s="18"/>
      <c r="M222" s="18"/>
      <c r="N222" s="18" t="inlineStr">
        <is>
          <t>2026-W44</t>
        </is>
      </c>
      <c r="O222" s="18" t="inlineStr">
        <is>
          <t>d737a7a239cba647c6a18877351a8ec1e81a6350</t>
        </is>
      </c>
      <c r="P222" s="18"/>
      <c r="Q222" s="18"/>
      <c r="R222" s="18"/>
    </row>
    <row r="223" ht="36" customHeight="1">
      <c r="A223" s="18" t="inlineStr">
        <is>
          <t>Bundesliga|bayer leverkusen|vfb stuttgart|2026-10-31</t>
        </is>
      </c>
      <c r="B223" s="23">
        <v>46326.604166666664</v>
      </c>
      <c r="C223" s="18" t="inlineStr">
        <is>
          <t>Bundesliga</t>
        </is>
      </c>
      <c r="D223" s="18" t="inlineStr">
        <is>
          <t>Bayer Leverkusen vs VfB Stuttgart</t>
        </is>
      </c>
      <c r="E223" s="18" t="inlineStr">
        <is>
          <t>48h-risk-band-ev1-asian-handicap-1x2-over15-v20</t>
        </is>
      </c>
      <c r="F223" s="18" t="inlineStr">
        <is>
          <t>PENDING_KICKOFF_OR_FINAL_SCORE</t>
        </is>
      </c>
      <c r="G223" s="18"/>
      <c r="H223" s="18"/>
      <c r="I223" s="21"/>
      <c r="J223" s="18"/>
      <c r="K223" s="18"/>
      <c r="L223" s="18"/>
      <c r="M223" s="18"/>
      <c r="N223" s="18" t="inlineStr">
        <is>
          <t>2026-W44</t>
        </is>
      </c>
      <c r="O223" s="18" t="inlineStr">
        <is>
          <t>d737a7a239cba647c6a18877351a8ec1e81a6350</t>
        </is>
      </c>
      <c r="P223" s="18"/>
      <c r="Q223" s="18"/>
      <c r="R223" s="18"/>
    </row>
    <row r="224" ht="36" customHeight="1">
      <c r="A224" s="18" t="inlineStr">
        <is>
          <t>Bundesliga|m gladbach|paderborn|2026-10-31</t>
        </is>
      </c>
      <c r="B224" s="23">
        <v>46326.604166666664</v>
      </c>
      <c r="C224" s="18" t="inlineStr">
        <is>
          <t>Bundesliga</t>
        </is>
      </c>
      <c r="D224" s="18" t="inlineStr">
        <is>
          <t>Borussia Monchengladbach vs SC Paderborn</t>
        </is>
      </c>
      <c r="E224" s="18" t="inlineStr">
        <is>
          <t>48h-risk-band-ev1-asian-handicap-1x2-over15-v20</t>
        </is>
      </c>
      <c r="F224" s="18" t="inlineStr">
        <is>
          <t>PENDING_KICKOFF_OR_FINAL_SCORE</t>
        </is>
      </c>
      <c r="G224" s="18"/>
      <c r="H224" s="18"/>
      <c r="I224" s="21"/>
      <c r="J224" s="18"/>
      <c r="K224" s="18"/>
      <c r="L224" s="18"/>
      <c r="M224" s="18"/>
      <c r="N224" s="18" t="inlineStr">
        <is>
          <t>2026-W44</t>
        </is>
      </c>
      <c r="O224" s="18" t="inlineStr">
        <is>
          <t>d737a7a239cba647c6a18877351a8ec1e81a6350</t>
        </is>
      </c>
      <c r="P224" s="18"/>
      <c r="Q224" s="18"/>
      <c r="R224" s="18"/>
    </row>
    <row r="225" ht="36" customHeight="1">
      <c r="A225" s="18" t="inlineStr">
        <is>
          <t>Bundesliga|schalke|rb leipzig|2026-10-31</t>
        </is>
      </c>
      <c r="B225" s="23">
        <v>46326.604166666664</v>
      </c>
      <c r="C225" s="18" t="inlineStr">
        <is>
          <t>Bundesliga</t>
        </is>
      </c>
      <c r="D225" s="18" t="inlineStr">
        <is>
          <t>FC Schalke 04 vs RB Leipzig</t>
        </is>
      </c>
      <c r="E225" s="18" t="inlineStr">
        <is>
          <t>48h-risk-band-ev1-asian-handicap-1x2-over15-v20</t>
        </is>
      </c>
      <c r="F225" s="18" t="inlineStr">
        <is>
          <t>PENDING_KICKOFF_OR_FINAL_SCORE</t>
        </is>
      </c>
      <c r="G225" s="18"/>
      <c r="H225" s="18"/>
      <c r="I225" s="21"/>
      <c r="J225" s="18"/>
      <c r="K225" s="18"/>
      <c r="L225" s="18"/>
      <c r="M225" s="18"/>
      <c r="N225" s="18" t="inlineStr">
        <is>
          <t>2026-W44</t>
        </is>
      </c>
      <c r="O225" s="18" t="inlineStr">
        <is>
          <t>d737a7a239cba647c6a18877351a8ec1e81a6350</t>
        </is>
      </c>
      <c r="P225" s="18"/>
      <c r="Q225" s="18"/>
      <c r="R225" s="18"/>
    </row>
    <row r="226" ht="36" customHeight="1">
      <c r="A226" s="18" t="inlineStr">
        <is>
          <t>Bundesliga|werder bremen|tsg hoffenheim|2026-10-31</t>
        </is>
      </c>
      <c r="B226" s="23">
        <v>46326.604166666664</v>
      </c>
      <c r="C226" s="18" t="inlineStr">
        <is>
          <t>Bundesliga</t>
        </is>
      </c>
      <c r="D226" s="18" t="inlineStr">
        <is>
          <t>Werder Bremen vs TSG Hoffenheim</t>
        </is>
      </c>
      <c r="E226" s="18" t="inlineStr">
        <is>
          <t>48h-risk-band-ev1-asian-handicap-1x2-over15-v20</t>
        </is>
      </c>
      <c r="F226" s="18" t="inlineStr">
        <is>
          <t>PENDING_KICKOFF_OR_FINAL_SCORE</t>
        </is>
      </c>
      <c r="G226" s="18"/>
      <c r="H226" s="18"/>
      <c r="I226" s="21"/>
      <c r="J226" s="18"/>
      <c r="K226" s="18"/>
      <c r="L226" s="18"/>
      <c r="M226" s="18"/>
      <c r="N226" s="18" t="inlineStr">
        <is>
          <t>2026-W44</t>
        </is>
      </c>
      <c r="O226" s="18" t="inlineStr">
        <is>
          <t>d737a7a239cba647c6a18877351a8ec1e81a6350</t>
        </is>
      </c>
      <c r="P226" s="18"/>
      <c r="Q226" s="18"/>
      <c r="R226" s="18"/>
    </row>
    <row r="227" ht="36" customHeight="1">
      <c r="A227" s="18" t="inlineStr">
        <is>
          <t>Premier League|bournemouth|leeds|2026-10-31</t>
        </is>
      </c>
      <c r="B227" s="23">
        <v>46326.625</v>
      </c>
      <c r="C227" s="18" t="inlineStr">
        <is>
          <t>Premier League</t>
        </is>
      </c>
      <c r="D227" s="18" t="inlineStr">
        <is>
          <t>Bournemouth vs Leeds United</t>
        </is>
      </c>
      <c r="E227" s="18" t="inlineStr">
        <is>
          <t>48h-risk-band-ev1-asian-handicap-1x2-over15-v20</t>
        </is>
      </c>
      <c r="F227" s="18" t="inlineStr">
        <is>
          <t>PENDING_KICKOFF_OR_FINAL_SCORE</t>
        </is>
      </c>
      <c r="G227" s="18"/>
      <c r="H227" s="18"/>
      <c r="I227" s="21"/>
      <c r="J227" s="18"/>
      <c r="K227" s="18"/>
      <c r="L227" s="18"/>
      <c r="M227" s="18"/>
      <c r="N227" s="18" t="inlineStr">
        <is>
          <t>2026-W44</t>
        </is>
      </c>
      <c r="O227" s="18" t="inlineStr">
        <is>
          <t>d737a7a239cba647c6a18877351a8ec1e81a6350</t>
        </is>
      </c>
      <c r="P227" s="18"/>
      <c r="Q227" s="18"/>
      <c r="R227" s="18"/>
    </row>
    <row r="228" ht="36" customHeight="1">
      <c r="A228" s="18" t="inlineStr">
        <is>
          <t>Premier League|brentford|nott m forest|2026-10-31</t>
        </is>
      </c>
      <c r="B228" s="23">
        <v>46326.625</v>
      </c>
      <c r="C228" s="18" t="inlineStr">
        <is>
          <t>Premier League</t>
        </is>
      </c>
      <c r="D228" s="18" t="inlineStr">
        <is>
          <t>Brentford vs Nottingham Forest</t>
        </is>
      </c>
      <c r="E228" s="18" t="inlineStr">
        <is>
          <t>48h-risk-band-ev1-asian-handicap-1x2-over15-v20</t>
        </is>
      </c>
      <c r="F228" s="18" t="inlineStr">
        <is>
          <t>PENDING_KICKOFF_OR_FINAL_SCORE</t>
        </is>
      </c>
      <c r="G228" s="18"/>
      <c r="H228" s="18"/>
      <c r="I228" s="21"/>
      <c r="J228" s="18"/>
      <c r="K228" s="18"/>
      <c r="L228" s="18"/>
      <c r="M228" s="18"/>
      <c r="N228" s="18" t="inlineStr">
        <is>
          <t>2026-W44</t>
        </is>
      </c>
      <c r="O228" s="18" t="inlineStr">
        <is>
          <t>d737a7a239cba647c6a18877351a8ec1e81a6350</t>
        </is>
      </c>
      <c r="P228" s="18"/>
      <c r="Q228" s="18"/>
      <c r="R228" s="18"/>
    </row>
    <row r="229" ht="36" customHeight="1">
      <c r="A229" s="18" t="inlineStr">
        <is>
          <t>Premier League|coventry city|sunderland|2026-10-31</t>
        </is>
      </c>
      <c r="B229" s="23">
        <v>46326.625</v>
      </c>
      <c r="C229" s="18" t="inlineStr">
        <is>
          <t>Premier League</t>
        </is>
      </c>
      <c r="D229" s="18" t="inlineStr">
        <is>
          <t>Coventry City vs Sunderland</t>
        </is>
      </c>
      <c r="E229" s="18" t="inlineStr">
        <is>
          <t>48h-risk-band-ev1-asian-handicap-1x2-over15-v20</t>
        </is>
      </c>
      <c r="F229" s="18" t="inlineStr">
        <is>
          <t>PENDING_KICKOFF_OR_FINAL_SCORE</t>
        </is>
      </c>
      <c r="G229" s="18"/>
      <c r="H229" s="18"/>
      <c r="I229" s="21"/>
      <c r="J229" s="18"/>
      <c r="K229" s="18"/>
      <c r="L229" s="18"/>
      <c r="M229" s="18"/>
      <c r="N229" s="18" t="inlineStr">
        <is>
          <t>2026-W44</t>
        </is>
      </c>
      <c r="O229" s="18" t="inlineStr">
        <is>
          <t>d737a7a239cba647c6a18877351a8ec1e81a6350</t>
        </is>
      </c>
      <c r="P229" s="18"/>
      <c r="Q229" s="18"/>
      <c r="R229" s="18"/>
    </row>
    <row r="230" ht="36" customHeight="1">
      <c r="A230" s="18" t="inlineStr">
        <is>
          <t>Premier League|hull city|ipswich town|2026-10-31</t>
        </is>
      </c>
      <c r="B230" s="23">
        <v>46326.625</v>
      </c>
      <c r="C230" s="18" t="inlineStr">
        <is>
          <t>Premier League</t>
        </is>
      </c>
      <c r="D230" s="18" t="inlineStr">
        <is>
          <t>Hull City vs Ipswich Town</t>
        </is>
      </c>
      <c r="E230" s="18" t="inlineStr">
        <is>
          <t>48h-risk-band-ev1-asian-handicap-1x2-over15-v20</t>
        </is>
      </c>
      <c r="F230" s="18" t="inlineStr">
        <is>
          <t>PENDING_KICKOFF_OR_FINAL_SCORE</t>
        </is>
      </c>
      <c r="G230" s="18"/>
      <c r="H230" s="18"/>
      <c r="I230" s="21"/>
      <c r="J230" s="18"/>
      <c r="K230" s="18"/>
      <c r="L230" s="18"/>
      <c r="M230" s="18"/>
      <c r="N230" s="18" t="inlineStr">
        <is>
          <t>2026-W44</t>
        </is>
      </c>
      <c r="O230" s="18" t="inlineStr">
        <is>
          <t>d737a7a239cba647c6a18877351a8ec1e81a6350</t>
        </is>
      </c>
      <c r="P230" s="18"/>
      <c r="Q230" s="18"/>
      <c r="R230" s="18"/>
    </row>
    <row r="231" ht="36" customHeight="1">
      <c r="A231" s="18" t="inlineStr">
        <is>
          <t>Premier League|man city|brighton|2026-10-31</t>
        </is>
      </c>
      <c r="B231" s="23">
        <v>46326.625</v>
      </c>
      <c r="C231" s="18" t="inlineStr">
        <is>
          <t>Premier League</t>
        </is>
      </c>
      <c r="D231" s="18" t="inlineStr">
        <is>
          <t>Manchester City vs Brighton and Hove Albion</t>
        </is>
      </c>
      <c r="E231" s="18" t="inlineStr">
        <is>
          <t>48h-risk-band-ev1-asian-handicap-1x2-over15-v20</t>
        </is>
      </c>
      <c r="F231" s="18" t="inlineStr">
        <is>
          <t>PENDING_KICKOFF_OR_FINAL_SCORE</t>
        </is>
      </c>
      <c r="G231" s="18"/>
      <c r="H231" s="18"/>
      <c r="I231" s="21"/>
      <c r="J231" s="18"/>
      <c r="K231" s="18"/>
      <c r="L231" s="18"/>
      <c r="M231" s="18"/>
      <c r="N231" s="18" t="inlineStr">
        <is>
          <t>2026-W44</t>
        </is>
      </c>
      <c r="O231" s="18" t="inlineStr">
        <is>
          <t>d737a7a239cba647c6a18877351a8ec1e81a6350</t>
        </is>
      </c>
      <c r="P231" s="18"/>
      <c r="Q231" s="18"/>
      <c r="R231" s="18"/>
    </row>
    <row r="232" ht="36" customHeight="1">
      <c r="A232" s="18" t="inlineStr">
        <is>
          <t>La Liga|rayo vallecano|celta vigo|2026-10-31</t>
        </is>
      </c>
      <c r="B232" s="23">
        <v>46326.635416666664</v>
      </c>
      <c r="C232" s="18" t="inlineStr">
        <is>
          <t>La Liga</t>
        </is>
      </c>
      <c r="D232" s="18" t="inlineStr">
        <is>
          <t>Rayo Vallecano vs Celta Vigo</t>
        </is>
      </c>
      <c r="E232" s="18" t="inlineStr">
        <is>
          <t>48h-risk-band-ev1-asian-handicap-1x2-over15-v20</t>
        </is>
      </c>
      <c r="F232" s="18" t="inlineStr">
        <is>
          <t>PENDING_KICKOFF_OR_FINAL_SCORE</t>
        </is>
      </c>
      <c r="G232" s="18"/>
      <c r="H232" s="18"/>
      <c r="I232" s="21"/>
      <c r="J232" s="18"/>
      <c r="K232" s="18"/>
      <c r="L232" s="18"/>
      <c r="M232" s="18"/>
      <c r="N232" s="18" t="inlineStr">
        <is>
          <t>2026-W44</t>
        </is>
      </c>
      <c r="O232" s="18" t="inlineStr">
        <is>
          <t>d737a7a239cba647c6a18877351a8ec1e81a6350</t>
        </is>
      </c>
      <c r="P232" s="18"/>
      <c r="Q232" s="18"/>
      <c r="R232" s="18"/>
    </row>
    <row r="233" ht="36" customHeight="1">
      <c r="A233" s="18" t="inlineStr">
        <is>
          <t>Eredivisie|feyenoord|fortuna sittard|2026-10-31</t>
        </is>
      </c>
      <c r="B233" s="23">
        <v>46326.645833333336</v>
      </c>
      <c r="C233" s="18" t="inlineStr">
        <is>
          <t>Eredivisie</t>
        </is>
      </c>
      <c r="D233" s="18" t="inlineStr">
        <is>
          <t>Feyenoord Rotterdam vs Fortuna Sittard</t>
        </is>
      </c>
      <c r="E233" s="18" t="inlineStr">
        <is>
          <t>48h-zero-tolerance-ev05-no-loss75-corners-v26</t>
        </is>
      </c>
      <c r="F233" s="18" t="inlineStr">
        <is>
          <t>PENDING_KICKOFF_OR_FINAL_SCORE</t>
        </is>
      </c>
      <c r="G233" s="18"/>
      <c r="H233" s="18"/>
      <c r="I233" s="21"/>
      <c r="J233" s="18"/>
      <c r="K233" s="18"/>
      <c r="L233" s="18"/>
      <c r="M233" s="18"/>
      <c r="N233" s="18" t="inlineStr">
        <is>
          <t>2026-W44</t>
        </is>
      </c>
      <c r="O233" s="18" t="inlineStr">
        <is>
          <t>04e55dde9bbe885fb80dc3c1a84f550621a793c2</t>
        </is>
      </c>
      <c r="P233" s="18"/>
      <c r="Q233" s="18"/>
      <c r="R233" s="18"/>
    </row>
    <row r="234" ht="36" customHeight="1">
      <c r="A234" s="18" t="inlineStr">
        <is>
          <t>Ligue 1|nice|rennes|2026-10-31</t>
        </is>
      </c>
      <c r="B234" s="23">
        <v>46326.677083333336</v>
      </c>
      <c r="C234" s="18" t="inlineStr">
        <is>
          <t>Ligue 1</t>
        </is>
      </c>
      <c r="D234" s="18" t="inlineStr">
        <is>
          <t>Nice vs Rennes</t>
        </is>
      </c>
      <c r="E234" s="18" t="inlineStr">
        <is>
          <t>48h-risk-band-ev1-asian-handicap-1x2-over15-v20</t>
        </is>
      </c>
      <c r="F234" s="18" t="inlineStr">
        <is>
          <t>PENDING_KICKOFF_OR_FINAL_SCORE</t>
        </is>
      </c>
      <c r="G234" s="18"/>
      <c r="H234" s="18"/>
      <c r="I234" s="21"/>
      <c r="J234" s="18"/>
      <c r="K234" s="18"/>
      <c r="L234" s="18"/>
      <c r="M234" s="18"/>
      <c r="N234" s="18" t="inlineStr">
        <is>
          <t>2026-W44</t>
        </is>
      </c>
      <c r="O234" s="18" t="inlineStr">
        <is>
          <t>d737a7a239cba647c6a18877351a8ec1e81a6350</t>
        </is>
      </c>
      <c r="P234" s="18"/>
      <c r="Q234" s="18"/>
      <c r="R234" s="18"/>
    </row>
    <row r="235" ht="36" customHeight="1">
      <c r="A235" s="18" t="inlineStr">
        <is>
          <t>Bundesliga|bayern munich|borussia dortmund|2026-10-31</t>
        </is>
      </c>
      <c r="B235" s="23">
        <v>46326.729166666664</v>
      </c>
      <c r="C235" s="18" t="inlineStr">
        <is>
          <t>Bundesliga</t>
        </is>
      </c>
      <c r="D235" s="18" t="inlineStr">
        <is>
          <t>Bayern Munich vs Borussia Dortmund</t>
        </is>
      </c>
      <c r="E235" s="18" t="inlineStr">
        <is>
          <t>48h-zero-tolerance-ev1-common-no-loss75-v22</t>
        </is>
      </c>
      <c r="F235" s="18" t="inlineStr">
        <is>
          <t>PENDING_KICKOFF_OR_FINAL_SCORE</t>
        </is>
      </c>
      <c r="G235" s="18"/>
      <c r="H235" s="18"/>
      <c r="I235" s="21"/>
      <c r="J235" s="18"/>
      <c r="K235" s="18"/>
      <c r="L235" s="18"/>
      <c r="M235" s="18"/>
      <c r="N235" s="18" t="inlineStr">
        <is>
          <t>2026-W44</t>
        </is>
      </c>
      <c r="O235" s="18" t="inlineStr">
        <is>
          <t>0117b0e0fe09a0266deb28e532f2ad9e4f4da47a</t>
        </is>
      </c>
      <c r="P235" s="18"/>
      <c r="Q235" s="18"/>
      <c r="R235" s="18"/>
    </row>
    <row r="236" ht="36" customHeight="1">
      <c r="A236" s="18" t="inlineStr">
        <is>
          <t>La Liga|real betis|malaga|2026-10-31</t>
        </is>
      </c>
      <c r="B236" s="23">
        <v>46326.729166666664</v>
      </c>
      <c r="C236" s="18" t="inlineStr">
        <is>
          <t>La Liga</t>
        </is>
      </c>
      <c r="D236" s="18" t="inlineStr">
        <is>
          <t>Real Betis vs Málaga</t>
        </is>
      </c>
      <c r="E236" s="18" t="inlineStr">
        <is>
          <t>48h-zero-tolerance-ev1-common-no-loss75-v22</t>
        </is>
      </c>
      <c r="F236" s="18" t="inlineStr">
        <is>
          <t>PENDING_KICKOFF_OR_FINAL_SCORE</t>
        </is>
      </c>
      <c r="G236" s="18"/>
      <c r="H236" s="18"/>
      <c r="I236" s="21"/>
      <c r="J236" s="18"/>
      <c r="K236" s="18"/>
      <c r="L236" s="18"/>
      <c r="M236" s="18"/>
      <c r="N236" s="18" t="inlineStr">
        <is>
          <t>2026-W44</t>
        </is>
      </c>
      <c r="O236" s="18" t="inlineStr">
        <is>
          <t>0117b0e0fe09a0266deb28e532f2ad9e4f4da47a</t>
        </is>
      </c>
      <c r="P236" s="18"/>
      <c r="Q236" s="18"/>
      <c r="R236" s="18"/>
    </row>
    <row r="237" ht="36" customHeight="1">
      <c r="A237" s="18" t="inlineStr">
        <is>
          <t>Premier League|tottenham|crystal palace|2026-10-31</t>
        </is>
      </c>
      <c r="B237" s="23">
        <v>46326.729166666664</v>
      </c>
      <c r="C237" s="18" t="inlineStr">
        <is>
          <t>Premier League</t>
        </is>
      </c>
      <c r="D237" s="18" t="inlineStr">
        <is>
          <t>Tottenham Hotspur vs Crystal Palace</t>
        </is>
      </c>
      <c r="E237" s="18" t="inlineStr">
        <is>
          <t>48h-zero-tolerance-ev1-common-no-loss75-v22</t>
        </is>
      </c>
      <c r="F237" s="18" t="inlineStr">
        <is>
          <t>PENDING_KICKOFF_OR_FINAL_SCORE</t>
        </is>
      </c>
      <c r="G237" s="18"/>
      <c r="H237" s="18"/>
      <c r="I237" s="21"/>
      <c r="J237" s="18"/>
      <c r="K237" s="18"/>
      <c r="L237" s="18"/>
      <c r="M237" s="18"/>
      <c r="N237" s="18" t="inlineStr">
        <is>
          <t>2026-W44</t>
        </is>
      </c>
      <c r="O237" s="18" t="inlineStr">
        <is>
          <t>0117b0e0fe09a0266deb28e532f2ad9e4f4da47a</t>
        </is>
      </c>
      <c r="P237" s="18"/>
      <c r="Q237" s="18"/>
      <c r="R237" s="18"/>
    </row>
    <row r="238" ht="36" customHeight="1">
      <c r="A238" s="18" t="inlineStr">
        <is>
          <t>Eredivisie|heerenveen|nec|2026-10-31</t>
        </is>
      </c>
      <c r="B238" s="23">
        <v>46326.739583333336</v>
      </c>
      <c r="C238" s="18" t="inlineStr">
        <is>
          <t>Eredivisie</t>
        </is>
      </c>
      <c r="D238" s="18" t="inlineStr">
        <is>
          <t>SC Heerenveen vs NEC</t>
        </is>
      </c>
      <c r="E238" s="18" t="inlineStr">
        <is>
          <t>48h-zero-tolerance-ev05-no-loss75-corners-v26</t>
        </is>
      </c>
      <c r="F238" s="18" t="inlineStr">
        <is>
          <t>PENDING_KICKOFF_OR_FINAL_SCORE</t>
        </is>
      </c>
      <c r="G238" s="18"/>
      <c r="H238" s="18"/>
      <c r="I238" s="21"/>
      <c r="J238" s="18"/>
      <c r="K238" s="18"/>
      <c r="L238" s="18"/>
      <c r="M238" s="18"/>
      <c r="N238" s="18" t="inlineStr">
        <is>
          <t>2026-W44</t>
        </is>
      </c>
      <c r="O238" s="18" t="inlineStr">
        <is>
          <t>04e55dde9bbe885fb80dc3c1a84f550621a793c2</t>
        </is>
      </c>
      <c r="P238" s="18"/>
      <c r="Q238" s="18"/>
      <c r="R238" s="18"/>
    </row>
    <row r="239" ht="36" customHeight="1">
      <c r="A239" s="18" t="inlineStr">
        <is>
          <t>Eredivisie|psv|willem ii tilburg|2026-10-31</t>
        </is>
      </c>
      <c r="B239" s="23">
        <v>46326.739583333336</v>
      </c>
      <c r="C239" s="18" t="inlineStr">
        <is>
          <t>Eredivisie</t>
        </is>
      </c>
      <c r="D239" s="18" t="inlineStr">
        <is>
          <t>PSV vs Willem II Tilburg</t>
        </is>
      </c>
      <c r="E239" s="18" t="inlineStr">
        <is>
          <t>48h-zero-tolerance-ev05-no-loss75-corners-v26</t>
        </is>
      </c>
      <c r="F239" s="18" t="inlineStr">
        <is>
          <t>PENDING_KICKOFF_OR_FINAL_SCORE</t>
        </is>
      </c>
      <c r="G239" s="18"/>
      <c r="H239" s="18"/>
      <c r="I239" s="21"/>
      <c r="J239" s="18"/>
      <c r="K239" s="18"/>
      <c r="L239" s="18"/>
      <c r="M239" s="18"/>
      <c r="N239" s="18" t="inlineStr">
        <is>
          <t>2026-W44</t>
        </is>
      </c>
      <c r="O239" s="18" t="inlineStr">
        <is>
          <t>04e55dde9bbe885fb80dc3c1a84f550621a793c2</t>
        </is>
      </c>
      <c r="P239" s="18"/>
      <c r="Q239" s="18"/>
      <c r="R239" s="18"/>
    </row>
    <row r="240" ht="36" customHeight="1">
      <c r="A240" s="18" t="inlineStr">
        <is>
          <t>Ligue 1|lorient|brest|2026-10-31</t>
        </is>
      </c>
      <c r="B240" s="23">
        <v>46326.822916666664</v>
      </c>
      <c r="C240" s="18" t="inlineStr">
        <is>
          <t>Ligue 1</t>
        </is>
      </c>
      <c r="D240" s="18" t="inlineStr">
        <is>
          <t>Lorient vs Brest</t>
        </is>
      </c>
      <c r="E240" s="18" t="inlineStr">
        <is>
          <t>48h-zero-tolerance-ev1-common-no-loss75-v22</t>
        </is>
      </c>
      <c r="F240" s="18" t="inlineStr">
        <is>
          <t>PENDING_KICKOFF_OR_FINAL_SCORE</t>
        </is>
      </c>
      <c r="G240" s="18"/>
      <c r="H240" s="18"/>
      <c r="I240" s="21"/>
      <c r="J240" s="18"/>
      <c r="K240" s="18"/>
      <c r="L240" s="18"/>
      <c r="M240" s="18"/>
      <c r="N240" s="18" t="inlineStr">
        <is>
          <t>2026-W44</t>
        </is>
      </c>
      <c r="O240" s="18" t="inlineStr">
        <is>
          <t>0117b0e0fe09a0266deb28e532f2ad9e4f4da47a</t>
        </is>
      </c>
      <c r="P240" s="18"/>
      <c r="Q240" s="18"/>
      <c r="R240" s="18"/>
    </row>
    <row r="241" ht="36" customHeight="1">
      <c r="A241" s="18" t="inlineStr">
        <is>
          <t>Ligue 1|lyon|angers|2026-10-31</t>
        </is>
      </c>
      <c r="B241" s="23">
        <v>46326.822916666664</v>
      </c>
      <c r="C241" s="18" t="inlineStr">
        <is>
          <t>Ligue 1</t>
        </is>
      </c>
      <c r="D241" s="18" t="inlineStr">
        <is>
          <t>Lyon vs Angers</t>
        </is>
      </c>
      <c r="E241" s="18" t="inlineStr">
        <is>
          <t>48h-zero-tolerance-ev1-common-no-loss75-v22</t>
        </is>
      </c>
      <c r="F241" s="18" t="inlineStr">
        <is>
          <t>PENDING_KICKOFF_OR_FINAL_SCORE</t>
        </is>
      </c>
      <c r="G241" s="18"/>
      <c r="H241" s="18"/>
      <c r="I241" s="21"/>
      <c r="J241" s="18"/>
      <c r="K241" s="18"/>
      <c r="L241" s="18"/>
      <c r="M241" s="18"/>
      <c r="N241" s="18" t="inlineStr">
        <is>
          <t>2026-W44</t>
        </is>
      </c>
      <c r="O241" s="18" t="inlineStr">
        <is>
          <t>0117b0e0fe09a0266deb28e532f2ad9e4f4da47a</t>
        </is>
      </c>
      <c r="P241" s="18"/>
      <c r="Q241" s="18"/>
      <c r="R241" s="18"/>
    </row>
    <row r="242" ht="36" customHeight="1">
      <c r="A242" s="18" t="inlineStr">
        <is>
          <t>Ligue 1|troyes|le mans|2026-10-31</t>
        </is>
      </c>
      <c r="B242" s="23">
        <v>46326.822916666664</v>
      </c>
      <c r="C242" s="18" t="inlineStr">
        <is>
          <t>Ligue 1</t>
        </is>
      </c>
      <c r="D242" s="18" t="inlineStr">
        <is>
          <t>Troyes vs Le Mans FC</t>
        </is>
      </c>
      <c r="E242" s="18" t="inlineStr">
        <is>
          <t>48h-zero-tolerance-ev1-common-no-loss75-v22</t>
        </is>
      </c>
      <c r="F242" s="18" t="inlineStr">
        <is>
          <t>PENDING_KICKOFF_OR_FINAL_SCORE</t>
        </is>
      </c>
      <c r="G242" s="18"/>
      <c r="H242" s="18"/>
      <c r="I242" s="21"/>
      <c r="J242" s="18"/>
      <c r="K242" s="18"/>
      <c r="L242" s="18"/>
      <c r="M242" s="18"/>
      <c r="N242" s="18" t="inlineStr">
        <is>
          <t>2026-W44</t>
        </is>
      </c>
      <c r="O242" s="18" t="inlineStr">
        <is>
          <t>0117b0e0fe09a0266deb28e532f2ad9e4f4da47a</t>
        </is>
      </c>
      <c r="P242" s="18"/>
      <c r="Q242" s="18"/>
      <c r="R242" s="18"/>
    </row>
    <row r="243" ht="36" customHeight="1">
      <c r="A243" s="18" t="inlineStr">
        <is>
          <t>Eredivisie|ajax|az|2026-10-31</t>
        </is>
      </c>
      <c r="B243" s="23">
        <v>46326.833333333336</v>
      </c>
      <c r="C243" s="18" t="inlineStr">
        <is>
          <t>Eredivisie</t>
        </is>
      </c>
      <c r="D243" s="18" t="inlineStr">
        <is>
          <t>AFC Ajax vs AZ</t>
        </is>
      </c>
      <c r="E243" s="18" t="inlineStr">
        <is>
          <t>48h-zero-tolerance-ev05-no-loss75-corners-v26</t>
        </is>
      </c>
      <c r="F243" s="18" t="inlineStr">
        <is>
          <t>PENDING_KICKOFF_OR_FINAL_SCORE</t>
        </is>
      </c>
      <c r="G243" s="18"/>
      <c r="H243" s="18"/>
      <c r="I243" s="21"/>
      <c r="J243" s="18"/>
      <c r="K243" s="18"/>
      <c r="L243" s="18"/>
      <c r="M243" s="18"/>
      <c r="N243" s="18" t="inlineStr">
        <is>
          <t>2026-W44</t>
        </is>
      </c>
      <c r="O243" s="18" t="inlineStr">
        <is>
          <t>04e55dde9bbe885fb80dc3c1a84f550621a793c2</t>
        </is>
      </c>
      <c r="P243" s="18"/>
      <c r="Q243" s="18"/>
      <c r="R243" s="18"/>
    </row>
    <row r="244" ht="36" customHeight="1">
      <c r="A244" s="18" t="inlineStr">
        <is>
          <t>Eredivisie|cambuur leeuwarden|go ahead eagles|2026-10-31</t>
        </is>
      </c>
      <c r="B244" s="23">
        <v>46326.833333333336</v>
      </c>
      <c r="C244" s="18" t="inlineStr">
        <is>
          <t>Eredivisie</t>
        </is>
      </c>
      <c r="D244" s="18" t="inlineStr">
        <is>
          <t>SC Cambuur-Leeuwarden vs Go Ahead Eagles</t>
        </is>
      </c>
      <c r="E244" s="18" t="inlineStr">
        <is>
          <t>48h-zero-tolerance-ev05-no-loss75-corners-v26</t>
        </is>
      </c>
      <c r="F244" s="18" t="inlineStr">
        <is>
          <t>PENDING_KICKOFF_OR_FINAL_SCORE</t>
        </is>
      </c>
      <c r="G244" s="18"/>
      <c r="H244" s="18"/>
      <c r="I244" s="21"/>
      <c r="J244" s="18"/>
      <c r="K244" s="18"/>
      <c r="L244" s="18"/>
      <c r="M244" s="18"/>
      <c r="N244" s="18" t="inlineStr">
        <is>
          <t>2026-W44</t>
        </is>
      </c>
      <c r="O244" s="18" t="inlineStr">
        <is>
          <t>04e55dde9bbe885fb80dc3c1a84f550621a793c2</t>
        </is>
      </c>
      <c r="P244" s="18"/>
      <c r="Q244" s="18"/>
      <c r="R244" s="18"/>
    </row>
    <row r="245" ht="36" customHeight="1">
      <c r="A245" s="18" t="inlineStr">
        <is>
          <t>La Liga|barcelona|alaves|2026-10-31</t>
        </is>
      </c>
      <c r="B245" s="23">
        <v>46326.833333333336</v>
      </c>
      <c r="C245" s="18" t="inlineStr">
        <is>
          <t>La Liga</t>
        </is>
      </c>
      <c r="D245" s="18" t="inlineStr">
        <is>
          <t>Barcelona vs Alavés</t>
        </is>
      </c>
      <c r="E245" s="18" t="inlineStr">
        <is>
          <t>48h-zero-tolerance-ev1-common-no-loss75-v22</t>
        </is>
      </c>
      <c r="F245" s="18" t="inlineStr">
        <is>
          <t>PENDING_KICKOFF_OR_FINAL_SCORE</t>
        </is>
      </c>
      <c r="G245" s="18"/>
      <c r="H245" s="18"/>
      <c r="I245" s="21"/>
      <c r="J245" s="18"/>
      <c r="K245" s="18"/>
      <c r="L245" s="18"/>
      <c r="M245" s="18"/>
      <c r="N245" s="18" t="inlineStr">
        <is>
          <t>2026-W44</t>
        </is>
      </c>
      <c r="O245" s="18" t="inlineStr">
        <is>
          <t>0117b0e0fe09a0266deb28e532f2ad9e4f4da47a</t>
        </is>
      </c>
      <c r="P245" s="18"/>
      <c r="Q245" s="18"/>
      <c r="R245" s="18"/>
    </row>
    <row r="246" ht="36" customHeight="1">
      <c r="A246" s="18" t="inlineStr">
        <is>
          <t>Premier League|aston villa|fulham|2026-10-31</t>
        </is>
      </c>
      <c r="B246" s="23">
        <v>46326.833333333336</v>
      </c>
      <c r="C246" s="18" t="inlineStr">
        <is>
          <t>Premier League</t>
        </is>
      </c>
      <c r="D246" s="18" t="inlineStr">
        <is>
          <t>Aston Villa vs Fulham</t>
        </is>
      </c>
      <c r="E246" s="18" t="inlineStr">
        <is>
          <t>48h-zero-tolerance-ev1-common-no-loss75-v22</t>
        </is>
      </c>
      <c r="F246" s="18" t="inlineStr">
        <is>
          <t>PENDING_KICKOFF_OR_FINAL_SCORE</t>
        </is>
      </c>
      <c r="G246" s="18"/>
      <c r="H246" s="18"/>
      <c r="I246" s="21"/>
      <c r="J246" s="18"/>
      <c r="K246" s="18"/>
      <c r="L246" s="18"/>
      <c r="M246" s="18"/>
      <c r="N246" s="18" t="inlineStr">
        <is>
          <t>2026-W44</t>
        </is>
      </c>
      <c r="O246" s="18" t="inlineStr">
        <is>
          <t>0117b0e0fe09a0266deb28e532f2ad9e4f4da47a</t>
        </is>
      </c>
      <c r="P246" s="18"/>
      <c r="Q246" s="18"/>
      <c r="R246" s="18"/>
    </row>
    <row r="247" ht="36" customHeight="1">
      <c r="A247" s="18" t="inlineStr">
        <is>
          <t>La Liga|getafe|sevilla|2026-11-01</t>
        </is>
      </c>
      <c r="B247" s="23">
        <v>46327.541666666664</v>
      </c>
      <c r="C247" s="18" t="inlineStr">
        <is>
          <t>La Liga</t>
        </is>
      </c>
      <c r="D247" s="18" t="inlineStr">
        <is>
          <t>Getafe vs Sevilla</t>
        </is>
      </c>
      <c r="E247" s="18" t="inlineStr">
        <is>
          <t>48h-zero-tolerance-ev1-common-no-loss75-v22</t>
        </is>
      </c>
      <c r="F247" s="18" t="inlineStr">
        <is>
          <t>PENDING_KICKOFF_OR_FINAL_SCORE</t>
        </is>
      </c>
      <c r="G247" s="18"/>
      <c r="H247" s="18"/>
      <c r="I247" s="21"/>
      <c r="J247" s="18"/>
      <c r="K247" s="18"/>
      <c r="L247" s="18"/>
      <c r="M247" s="18"/>
      <c r="N247" s="18" t="inlineStr">
        <is>
          <t>2026-W44</t>
        </is>
      </c>
      <c r="O247" s="18" t="inlineStr">
        <is>
          <t>0117b0e0fe09a0266deb28e532f2ad9e4f4da47a</t>
        </is>
      </c>
      <c r="P247" s="18"/>
      <c r="Q247" s="18"/>
      <c r="R247" s="18"/>
    </row>
    <row r="248" ht="36" customHeight="1">
      <c r="A248" s="18" t="inlineStr">
        <is>
          <t>Ligue 1|strasbourg|auxerre|2026-11-01</t>
        </is>
      </c>
      <c r="B248" s="23">
        <v>46327.583333333336</v>
      </c>
      <c r="C248" s="18" t="inlineStr">
        <is>
          <t>Ligue 1</t>
        </is>
      </c>
      <c r="D248" s="18" t="inlineStr">
        <is>
          <t>Strasbourg vs Auxerre</t>
        </is>
      </c>
      <c r="E248" s="18" t="inlineStr">
        <is>
          <t>48h-zero-tolerance-ev1-common-no-loss75-v22</t>
        </is>
      </c>
      <c r="F248" s="18" t="inlineStr">
        <is>
          <t>PENDING_KICKOFF_OR_FINAL_SCORE</t>
        </is>
      </c>
      <c r="G248" s="18"/>
      <c r="H248" s="18"/>
      <c r="I248" s="21"/>
      <c r="J248" s="18"/>
      <c r="K248" s="18"/>
      <c r="L248" s="18"/>
      <c r="M248" s="18"/>
      <c r="N248" s="18" t="inlineStr">
        <is>
          <t>2026-W44</t>
        </is>
      </c>
      <c r="O248" s="18" t="inlineStr">
        <is>
          <t>0117b0e0fe09a0266deb28e532f2ad9e4f4da47a</t>
        </is>
      </c>
      <c r="P248" s="18"/>
      <c r="Q248" s="18"/>
      <c r="R248" s="18"/>
    </row>
    <row r="249" ht="36" customHeight="1">
      <c r="A249" s="18" t="inlineStr">
        <is>
          <t>Bundesliga|union berlin|1 koln|2026-11-01</t>
        </is>
      </c>
      <c r="B249" s="23">
        <v>46327.604166666664</v>
      </c>
      <c r="C249" s="18" t="inlineStr">
        <is>
          <t>Bundesliga</t>
        </is>
      </c>
      <c r="D249" s="18" t="inlineStr">
        <is>
          <t>Union Berlin vs 1. FC Köln</t>
        </is>
      </c>
      <c r="E249" s="18" t="inlineStr">
        <is>
          <t>48h-zero-tolerance-ev1-common-no-loss75-v22</t>
        </is>
      </c>
      <c r="F249" s="18" t="inlineStr">
        <is>
          <t>PENDING_KICKOFF_OR_FINAL_SCORE</t>
        </is>
      </c>
      <c r="G249" s="18"/>
      <c r="H249" s="18"/>
      <c r="I249" s="21"/>
      <c r="J249" s="18"/>
      <c r="K249" s="18"/>
      <c r="L249" s="18"/>
      <c r="M249" s="18"/>
      <c r="N249" s="18" t="inlineStr">
        <is>
          <t>2026-W44</t>
        </is>
      </c>
      <c r="O249" s="18" t="inlineStr">
        <is>
          <t>0117b0e0fe09a0266deb28e532f2ad9e4f4da47a</t>
        </is>
      </c>
      <c r="P249" s="18"/>
      <c r="Q249" s="18"/>
      <c r="R249" s="18"/>
    </row>
    <row r="250" ht="36" customHeight="1">
      <c r="A250" s="18" t="inlineStr">
        <is>
          <t>La Liga|real racing santander|real madrid|2026-11-01</t>
        </is>
      </c>
      <c r="B250" s="23">
        <v>46327.635416666664</v>
      </c>
      <c r="C250" s="18" t="inlineStr">
        <is>
          <t>La Liga</t>
        </is>
      </c>
      <c r="D250" s="18" t="inlineStr">
        <is>
          <t>Real Racing Club de Santander vs Real Madrid</t>
        </is>
      </c>
      <c r="E250" s="18" t="inlineStr">
        <is>
          <t>48h-zero-tolerance-ev1-common-no-loss75-v22</t>
        </is>
      </c>
      <c r="F250" s="18" t="inlineStr">
        <is>
          <t>PENDING_KICKOFF_OR_FINAL_SCORE</t>
        </is>
      </c>
      <c r="G250" s="18"/>
      <c r="H250" s="18"/>
      <c r="I250" s="21"/>
      <c r="J250" s="18"/>
      <c r="K250" s="18"/>
      <c r="L250" s="18"/>
      <c r="M250" s="18"/>
      <c r="N250" s="18" t="inlineStr">
        <is>
          <t>2026-W44</t>
        </is>
      </c>
      <c r="O250" s="18" t="inlineStr">
        <is>
          <t>10a7df008090a45923c14f3c84ec260b147ea047</t>
        </is>
      </c>
      <c r="P250" s="18"/>
      <c r="Q250" s="18"/>
      <c r="R250" s="18"/>
    </row>
    <row r="251" ht="36" customHeight="1">
      <c r="A251" s="18" t="inlineStr">
        <is>
          <t>Ligue 1|paris|as monaco|2026-11-01</t>
        </is>
      </c>
      <c r="B251" s="23">
        <v>46327.677083333336</v>
      </c>
      <c r="C251" s="18" t="inlineStr">
        <is>
          <t>Ligue 1</t>
        </is>
      </c>
      <c r="D251" s="18" t="inlineStr">
        <is>
          <t>Paris FC vs AS Monaco</t>
        </is>
      </c>
      <c r="E251" s="18" t="inlineStr">
        <is>
          <t>48h-zero-tolerance-ev1-common-no-loss75-v22</t>
        </is>
      </c>
      <c r="F251" s="18" t="inlineStr">
        <is>
          <t>PENDING_KICKOFF_OR_FINAL_SCORE</t>
        </is>
      </c>
      <c r="G251" s="18"/>
      <c r="H251" s="18"/>
      <c r="I251" s="21"/>
      <c r="J251" s="18"/>
      <c r="K251" s="18"/>
      <c r="L251" s="18"/>
      <c r="M251" s="18"/>
      <c r="N251" s="18" t="inlineStr">
        <is>
          <t>2026-W44</t>
        </is>
      </c>
      <c r="O251" s="18" t="inlineStr">
        <is>
          <t>10a7df008090a45923c14f3c84ec260b147ea047</t>
        </is>
      </c>
      <c r="P251" s="18"/>
      <c r="Q251" s="18"/>
      <c r="R251" s="18"/>
    </row>
    <row r="252" ht="36" customHeight="1">
      <c r="A252" s="18" t="inlineStr">
        <is>
          <t>Bundesliga|eintracht frankfurt|hamburger|2026-11-01</t>
        </is>
      </c>
      <c r="B252" s="23">
        <v>46327.6875</v>
      </c>
      <c r="C252" s="18" t="inlineStr">
        <is>
          <t>Bundesliga</t>
        </is>
      </c>
      <c r="D252" s="18" t="inlineStr">
        <is>
          <t>Eintracht Frankfurt vs Hamburger SV</t>
        </is>
      </c>
      <c r="E252" s="18" t="inlineStr">
        <is>
          <t>48h-zero-tolerance-ev1-common-no-loss75-v22</t>
        </is>
      </c>
      <c r="F252" s="18" t="inlineStr">
        <is>
          <t>PENDING_KICKOFF_OR_FINAL_SCORE</t>
        </is>
      </c>
      <c r="G252" s="18"/>
      <c r="H252" s="18"/>
      <c r="I252" s="21"/>
      <c r="J252" s="18"/>
      <c r="K252" s="18"/>
      <c r="L252" s="18"/>
      <c r="M252" s="18"/>
      <c r="N252" s="18" t="inlineStr">
        <is>
          <t>2026-W44</t>
        </is>
      </c>
      <c r="O252" s="18" t="inlineStr">
        <is>
          <t>10a7df008090a45923c14f3c84ec260b147ea047</t>
        </is>
      </c>
      <c r="P252" s="18"/>
      <c r="Q252" s="18"/>
      <c r="R252" s="18"/>
    </row>
    <row r="253" ht="36" customHeight="1">
      <c r="A253" s="18" t="inlineStr">
        <is>
          <t>Premier League|liverpool|arsenal|2026-11-01</t>
        </is>
      </c>
      <c r="B253" s="23">
        <v>46327.6875</v>
      </c>
      <c r="C253" s="18" t="inlineStr">
        <is>
          <t>Premier League</t>
        </is>
      </c>
      <c r="D253" s="18" t="inlineStr">
        <is>
          <t>Liverpool vs Arsenal</t>
        </is>
      </c>
      <c r="E253" s="18" t="inlineStr">
        <is>
          <t>48h-zero-tolerance-ev1-common-no-loss75-v22</t>
        </is>
      </c>
      <c r="F253" s="18" t="inlineStr">
        <is>
          <t>PENDING_KICKOFF_OR_FINAL_SCORE</t>
        </is>
      </c>
      <c r="G253" s="18"/>
      <c r="H253" s="18"/>
      <c r="I253" s="21"/>
      <c r="J253" s="18"/>
      <c r="K253" s="18"/>
      <c r="L253" s="18"/>
      <c r="M253" s="18"/>
      <c r="N253" s="18" t="inlineStr">
        <is>
          <t>2026-W44</t>
        </is>
      </c>
      <c r="O253" s="18" t="inlineStr">
        <is>
          <t>10a7df008090a45923c14f3c84ec260b147ea047</t>
        </is>
      </c>
      <c r="P253" s="18"/>
      <c r="Q253" s="18"/>
      <c r="R253" s="18"/>
    </row>
    <row r="254" ht="36" customHeight="1">
      <c r="A254" s="18" t="inlineStr">
        <is>
          <t>La Liga|elche|valencia|2026-11-01</t>
        </is>
      </c>
      <c r="B254" s="23">
        <v>46327.729166666664</v>
      </c>
      <c r="C254" s="18" t="inlineStr">
        <is>
          <t>La Liga</t>
        </is>
      </c>
      <c r="D254" s="18" t="inlineStr">
        <is>
          <t>Elche CF vs Valencia</t>
        </is>
      </c>
      <c r="E254" s="18" t="inlineStr">
        <is>
          <t>48h-zero-tolerance-ev1-common-no-loss75-v22</t>
        </is>
      </c>
      <c r="F254" s="18" t="inlineStr">
        <is>
          <t>PENDING_KICKOFF_OR_FINAL_SCORE</t>
        </is>
      </c>
      <c r="G254" s="18"/>
      <c r="H254" s="18"/>
      <c r="I254" s="21"/>
      <c r="J254" s="18"/>
      <c r="K254" s="18"/>
      <c r="L254" s="18"/>
      <c r="M254" s="18"/>
      <c r="N254" s="18" t="inlineStr">
        <is>
          <t>2026-W44</t>
        </is>
      </c>
      <c r="O254" s="18" t="inlineStr">
        <is>
          <t>10a7df008090a45923c14f3c84ec260b147ea047</t>
        </is>
      </c>
      <c r="P254" s="18"/>
      <c r="Q254" s="18"/>
      <c r="R254" s="18"/>
    </row>
    <row r="255" ht="36" customHeight="1">
      <c r="A255" s="18" t="inlineStr">
        <is>
          <t>Ligue 1|marseille|toulouse|2026-11-01</t>
        </is>
      </c>
      <c r="B255" s="23">
        <v>46327.822916666664</v>
      </c>
      <c r="C255" s="18" t="inlineStr">
        <is>
          <t>Ligue 1</t>
        </is>
      </c>
      <c r="D255" s="18" t="inlineStr">
        <is>
          <t>Marseille vs Toulouse</t>
        </is>
      </c>
      <c r="E255" s="18" t="inlineStr">
        <is>
          <t>48h-zero-tolerance-ev1-common-no-loss75-v22</t>
        </is>
      </c>
      <c r="F255" s="18" t="inlineStr">
        <is>
          <t>PENDING_KICKOFF_OR_FINAL_SCORE</t>
        </is>
      </c>
      <c r="G255" s="18"/>
      <c r="H255" s="18"/>
      <c r="I255" s="21"/>
      <c r="J255" s="18"/>
      <c r="K255" s="18"/>
      <c r="L255" s="18"/>
      <c r="M255" s="18"/>
      <c r="N255" s="18" t="inlineStr">
        <is>
          <t>2026-W44</t>
        </is>
      </c>
      <c r="O255" s="18" t="inlineStr">
        <is>
          <t>10a7df008090a45923c14f3c84ec260b147ea047</t>
        </is>
      </c>
      <c r="P255" s="18"/>
      <c r="Q255" s="18"/>
      <c r="R255" s="18"/>
    </row>
    <row r="256" ht="36" customHeight="1">
      <c r="A256" s="18" t="inlineStr">
        <is>
          <t>La Liga|ath bilbao|real sociedad|2026-11-01</t>
        </is>
      </c>
      <c r="B256" s="23">
        <v>46327.833333333336</v>
      </c>
      <c r="C256" s="18" t="inlineStr">
        <is>
          <t>La Liga</t>
        </is>
      </c>
      <c r="D256" s="18" t="inlineStr">
        <is>
          <t>Athletic Bilbao vs Real Sociedad</t>
        </is>
      </c>
      <c r="E256" s="18" t="inlineStr">
        <is>
          <t>48h-zero-tolerance-ev1-common-no-loss75-v22</t>
        </is>
      </c>
      <c r="F256" s="18" t="inlineStr">
        <is>
          <t>PENDING_KICKOFF_OR_FINAL_SCORE</t>
        </is>
      </c>
      <c r="G256" s="18"/>
      <c r="H256" s="18"/>
      <c r="I256" s="21"/>
      <c r="J256" s="18"/>
      <c r="K256" s="18"/>
      <c r="L256" s="18"/>
      <c r="M256" s="18"/>
      <c r="N256" s="18" t="inlineStr">
        <is>
          <t>2026-W44</t>
        </is>
      </c>
      <c r="O256" s="18" t="inlineStr">
        <is>
          <t>10a7df008090a45923c14f3c84ec260b147ea047</t>
        </is>
      </c>
      <c r="P256" s="18"/>
      <c r="Q256" s="18"/>
      <c r="R256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111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15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13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68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15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13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264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14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14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8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14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22 more observations; 14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85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3 / 6 ISO weeks</t>
        </is>
      </c>
      <c r="G10" s="20">
        <v>0.9770114942528736</v>
      </c>
      <c r="H10" s="18" t="inlineStr">
        <is>
          <t>Approval review</t>
        </is>
      </c>
      <c r="I10" s="18" t="inlineStr">
        <is>
          <t>215 more paired fixtures; 3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12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2 / 6 ISO weeks</t>
        </is>
      </c>
      <c r="G11" s="20">
        <v>0.13793103448275862</v>
      </c>
      <c r="H11" s="18" t="inlineStr">
        <is>
          <t>Approval review</t>
        </is>
      </c>
      <c r="I11" s="18" t="inlineStr">
        <is>
          <t>288 more paired fixtures; 4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85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3 / 6 ISO weeks</t>
        </is>
      </c>
      <c r="G12" s="20">
        <v>0.9770114942528736</v>
      </c>
      <c r="H12" s="18" t="inlineStr">
        <is>
          <t>Approval review</t>
        </is>
      </c>
      <c r="I12" s="18" t="inlineStr">
        <is>
          <t>215 more paired fixtures; 3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83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3 / 6 ISO weeks</t>
        </is>
      </c>
      <c r="G13" s="20">
        <v>0.9540229885057471</v>
      </c>
      <c r="H13" s="18" t="inlineStr">
        <is>
          <t>Approval review</t>
        </is>
      </c>
      <c r="I13" s="18" t="inlineStr">
        <is>
          <t>217 more paired fixtures; 3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50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2 / 6 ISO weeks</t>
        </is>
      </c>
      <c r="G14" s="20">
        <v>0.8771929824561403</v>
      </c>
      <c r="H14" s="18" t="inlineStr">
        <is>
          <t>Approval review</t>
        </is>
      </c>
      <c r="I14" s="18" t="inlineStr">
        <is>
          <t>250 more paired fixtures; 4 more ISO weeks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2</v>
      </c>
      <c r="E27" s="20">
        <v>0.395</v>
      </c>
      <c r="F27" s="19">
        <v>0.0514033301489673</v>
      </c>
      <c r="G27" s="19">
        <v>0.2517005695098364</v>
      </c>
      <c r="H27" s="20">
        <v>-0.220827473691512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4</v>
      </c>
      <c r="E28" s="20">
        <v>0.325</v>
      </c>
      <c r="F28" s="19">
        <v>0.0431993964944647</v>
      </c>
      <c r="G28" s="19">
        <v>0.22927336285254246</v>
      </c>
      <c r="H28" s="20">
        <v>-0.20380920817533077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2</v>
      </c>
      <c r="E30" s="20">
        <v>0.395</v>
      </c>
      <c r="F30" s="19">
        <v>0.0514033301489673</v>
      </c>
      <c r="G30" s="19">
        <v>0.2517005695098364</v>
      </c>
      <c r="H30" s="20">
        <v>-0.220827473691512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6</v>
      </c>
      <c r="E31" s="20">
        <v>0.315</v>
      </c>
      <c r="F31" s="19">
        <v>0.043362983067041914</v>
      </c>
      <c r="G31" s="19">
        <v>0.23095310229938823</v>
      </c>
      <c r="H31" s="20">
        <v>-0.20548499369374917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2</v>
      </c>
      <c r="E33" s="20">
        <v>0.395</v>
      </c>
      <c r="F33" s="19">
        <v>0.0514033301489673</v>
      </c>
      <c r="G33" s="19">
        <v>0.2517005695098364</v>
      </c>
      <c r="H33" s="20">
        <v>-0.220827473691512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2</v>
      </c>
      <c r="E34" s="20">
        <v>0.395</v>
      </c>
      <c r="F34" s="19">
        <v>0.0514033301489673</v>
      </c>
      <c r="G34" s="19">
        <v>0.2517005695098364</v>
      </c>
      <c r="H34" s="20">
        <v>-0.220827473691512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2</v>
      </c>
      <c r="E36" s="20">
        <v>0.395</v>
      </c>
      <c r="F36" s="19">
        <v>0.0514033301489673</v>
      </c>
      <c r="G36" s="19">
        <v>0.2517005695098364</v>
      </c>
      <c r="H36" s="20">
        <v>-0.220827473691512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4</v>
      </c>
      <c r="E37" s="20">
        <v>0.325</v>
      </c>
      <c r="F37" s="19">
        <v>0.0431993964944647</v>
      </c>
      <c r="G37" s="19">
        <v>0.22927336285254246</v>
      </c>
      <c r="H37" s="20">
        <v>-0.20380920817533077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2</v>
      </c>
      <c r="E39" s="20">
        <v>0.395</v>
      </c>
      <c r="F39" s="19">
        <v>0.0514033301489673</v>
      </c>
      <c r="G39" s="19">
        <v>0.2517005695098364</v>
      </c>
      <c r="H39" s="20">
        <v>-0.220827473691512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4</v>
      </c>
      <c r="E40" s="20">
        <v>0.325</v>
      </c>
      <c r="F40" s="19">
        <v>0.0431993964944647</v>
      </c>
      <c r="G40" s="19">
        <v>0.22927336285254246</v>
      </c>
      <c r="H40" s="20">
        <v>-0.20380920817533077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2</v>
      </c>
      <c r="E42" s="20">
        <v>0.395</v>
      </c>
      <c r="F42" s="19">
        <v>0.0514033301489673</v>
      </c>
      <c r="G42" s="19">
        <v>0.2517005695098364</v>
      </c>
      <c r="H42" s="20">
        <v>-0.220827473691512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4</v>
      </c>
      <c r="E43" s="20">
        <v>0.325</v>
      </c>
      <c r="F43" s="19">
        <v>0.0431993964944647</v>
      </c>
      <c r="G43" s="19">
        <v>0.22927336285254246</v>
      </c>
      <c r="H43" s="20">
        <v>-0.20380920817533077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2</v>
      </c>
      <c r="E45" s="20">
        <v>0.395</v>
      </c>
      <c r="F45" s="19">
        <v>0.0514033301489673</v>
      </c>
      <c r="G45" s="19">
        <v>0.2517005695098364</v>
      </c>
      <c r="H45" s="20">
        <v>-0.220827473691512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4</v>
      </c>
      <c r="E46" s="20">
        <v>0.325</v>
      </c>
      <c r="F46" s="19">
        <v>0.0431993964944647</v>
      </c>
      <c r="G46" s="19">
        <v>0.22927336285254246</v>
      </c>
      <c r="H46" s="20">
        <v>-0.20380920817533077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2</v>
      </c>
      <c r="E48" s="20">
        <v>0.395</v>
      </c>
      <c r="F48" s="19">
        <v>0.04300414726778949</v>
      </c>
      <c r="G48" s="19">
        <v>0.22861580854590757</v>
      </c>
      <c r="H48" s="20">
        <v>-0.20332016505648243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4</v>
      </c>
      <c r="E49" s="20">
        <v>0.325</v>
      </c>
      <c r="F49" s="19">
        <v>0.03899980505387579</v>
      </c>
      <c r="G49" s="19">
        <v>0.21773098237057809</v>
      </c>
      <c r="H49" s="20">
        <v>-0.19505555385781603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2</v>
      </c>
      <c r="E51" s="20">
        <v>0.395</v>
      </c>
      <c r="F51" s="19">
        <v>0.06063862659348782</v>
      </c>
      <c r="G51" s="19">
        <v>0.2755645485177684</v>
      </c>
      <c r="H51" s="20">
        <v>-0.23833478232654204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4</v>
      </c>
      <c r="E52" s="20">
        <v>0.325</v>
      </c>
      <c r="F52" s="19">
        <v>0.04781704471672496</v>
      </c>
      <c r="G52" s="19">
        <v>0.24120535235650847</v>
      </c>
      <c r="H52" s="20">
        <v>-0.21256286249284573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  <row r="69" ht="30" customHeight="1">
      <c r="A69" s="18" t="inlineStr">
        <is>
          <t>Adaptive evidence</t>
        </is>
      </c>
      <c r="B69" s="18" t="inlineStr">
        <is>
          <t>ALL</t>
        </is>
      </c>
      <c r="C69" s="19">
        <v>0</v>
      </c>
      <c r="D69" s="19">
        <v>0</v>
      </c>
      <c r="E69" s="20" t="inlineStr">
        <is>
          <t>Unavailable</t>
        </is>
      </c>
      <c r="F69" s="18" t="inlineStr">
        <is>
          <t>Collect more data</t>
        </is>
      </c>
      <c r="G69" s="20" t="inlineStr">
        <is>
          <t>Unavailable</t>
        </is>
      </c>
      <c r="H69" s="19">
        <v>0</v>
      </c>
      <c r="I69" s="18" t="inlineStr">
        <is>
          <t>Unavailable</t>
        </is>
      </c>
      <c r="J69" s="18" t="inlineStr">
        <is>
          <t>Collect more data</t>
        </is>
      </c>
    </row>
    <row r="70" ht="30" customHeight="1">
      <c r="A70" s="18" t="inlineStr">
        <is>
          <t>Adaptive evidence</t>
        </is>
      </c>
      <c r="B70" s="18" t="inlineStr">
        <is>
          <t>STRICT</t>
        </is>
      </c>
      <c r="C70" s="19">
        <v>0</v>
      </c>
      <c r="D70" s="19">
        <v>0</v>
      </c>
      <c r="E70" s="20" t="inlineStr">
        <is>
          <t>Unavailable</t>
        </is>
      </c>
      <c r="F70" s="18" t="inlineStr">
        <is>
          <t>Collect more data</t>
        </is>
      </c>
      <c r="G70" s="20" t="inlineStr">
        <is>
          <t>Unavailable</t>
        </is>
      </c>
      <c r="H70" s="19">
        <v>0</v>
      </c>
      <c r="I70" s="18" t="inlineStr">
        <is>
          <t>Unavailable</t>
        </is>
      </c>
      <c r="J70" s="18" t="inlineStr">
        <is>
          <t>Not applicable</t>
        </is>
      </c>
    </row>
    <row r="71" ht="30" customHeight="1">
      <c r="A71" s="18" t="inlineStr">
        <is>
          <t>Adaptive evidence</t>
        </is>
      </c>
      <c r="B71" s="18" t="inlineStr">
        <is>
          <t>PROVISIONAL</t>
        </is>
      </c>
      <c r="C71" s="19">
        <v>0</v>
      </c>
      <c r="D71" s="19">
        <v>0</v>
      </c>
      <c r="E71" s="20" t="inlineStr">
        <is>
          <t>Unavailable</t>
        </is>
      </c>
      <c r="F71" s="18" t="inlineStr">
        <is>
          <t>Collect more data</t>
        </is>
      </c>
      <c r="G71" s="20" t="inlineStr">
        <is>
          <t>Unavailable</t>
        </is>
      </c>
      <c r="H71" s="19">
        <v>0</v>
      </c>
      <c r="I71" s="18" t="inlineStr">
        <is>
          <t>Unavailable</t>
        </is>
      </c>
      <c r="J71" s="18" t="inlineStr">
        <is>
          <t>Not applicable</t>
        </is>
      </c>
    </row>
    <row r="73" ht="34" customHeight="1">
      <c r="A73" s="24" t="inlineStr">
        <is>
          <t>Weighting</t>
        </is>
      </c>
      <c r="B73" s="24" t="inlineStr">
        <is>
          <t>Tier</t>
        </is>
      </c>
      <c r="C73" s="24" t="inlineStr">
        <is>
          <t>Mean probability</t>
        </is>
      </c>
      <c r="D73" s="24" t="inlineStr">
        <is>
          <t>Win rate</t>
        </is>
      </c>
      <c r="E73" s="24" t="inlineStr">
        <is>
          <t>Calibration gap</t>
        </is>
      </c>
      <c r="F73" s="24" t="inlineStr">
        <is>
          <t>Brier</t>
        </is>
      </c>
      <c r="G73" s="24" t="inlineStr">
        <is>
          <t>Log loss</t>
        </is>
      </c>
      <c r="H73" s="24" t="inlineStr">
        <is>
          <t>Mean probability weight</t>
        </is>
      </c>
      <c r="I73" s="24" t="inlineStr">
        <is>
          <t>Min probability weight</t>
        </is>
      </c>
      <c r="J73" s="24" t="inlineStr">
        <is>
          <t>Max probability weight</t>
        </is>
      </c>
    </row>
    <row r="74" ht="30" customHeight="1">
      <c r="A74" s="18" t="inlineStr">
        <is>
          <t>50% / 50%</t>
        </is>
      </c>
      <c r="B74" s="18" t="inlineStr">
        <is>
          <t>ALL</t>
        </is>
      </c>
      <c r="C74" s="20" t="inlineStr">
        <is>
          <t>Unavailable</t>
        </is>
      </c>
      <c r="D74" s="20" t="inlineStr">
        <is>
          <t>Unavailable</t>
        </is>
      </c>
      <c r="E74" s="20" t="inlineStr">
        <is>
          <t>Unavailable</t>
        </is>
      </c>
      <c r="F74" s="18" t="inlineStr">
        <is>
          <t>Unavailable</t>
        </is>
      </c>
      <c r="G74" s="18" t="inlineStr">
        <is>
          <t>Unavailable</t>
        </is>
      </c>
      <c r="H74" s="20">
        <v>0.5</v>
      </c>
      <c r="I74" s="20">
        <v>0.5</v>
      </c>
      <c r="J74" s="20">
        <v>0.5</v>
      </c>
    </row>
    <row r="75" ht="30" customHeight="1">
      <c r="A75" s="18" t="inlineStr">
        <is>
          <t>100% / 0%</t>
        </is>
      </c>
      <c r="B75" s="18" t="inlineStr">
        <is>
          <t>ALL</t>
        </is>
      </c>
      <c r="C75" s="20" t="inlineStr">
        <is>
          <t>Unavailable</t>
        </is>
      </c>
      <c r="D75" s="20" t="inlineStr">
        <is>
          <t>Unavailable</t>
        </is>
      </c>
      <c r="E75" s="20" t="inlineStr">
        <is>
          <t>Unavailable</t>
        </is>
      </c>
      <c r="F75" s="18" t="inlineStr">
        <is>
          <t>Unavailable</t>
        </is>
      </c>
      <c r="G75" s="18" t="inlineStr">
        <is>
          <t>Unavailable</t>
        </is>
      </c>
      <c r="H75" s="20">
        <v>1.0</v>
      </c>
      <c r="I75" s="20">
        <v>1.0</v>
      </c>
      <c r="J75" s="20">
        <v>1.0</v>
      </c>
    </row>
    <row r="76" ht="30" customHeight="1">
      <c r="A76" s="18" t="inlineStr">
        <is>
          <t>75% / 25%</t>
        </is>
      </c>
      <c r="B76" s="18" t="inlineStr">
        <is>
          <t>ALL</t>
        </is>
      </c>
      <c r="C76" s="20" t="inlineStr">
        <is>
          <t>Unavailable</t>
        </is>
      </c>
      <c r="D76" s="20" t="inlineStr">
        <is>
          <t>Unavailable</t>
        </is>
      </c>
      <c r="E76" s="20" t="inlineStr">
        <is>
          <t>Unavailable</t>
        </is>
      </c>
      <c r="F76" s="18" t="inlineStr">
        <is>
          <t>Unavailable</t>
        </is>
      </c>
      <c r="G76" s="18" t="inlineStr">
        <is>
          <t>Unavailable</t>
        </is>
      </c>
      <c r="H76" s="20">
        <v>0.75</v>
      </c>
      <c r="I76" s="20">
        <v>0.75</v>
      </c>
      <c r="J76" s="20">
        <v>0.75</v>
      </c>
    </row>
    <row r="77" ht="30" customHeight="1">
      <c r="A77" s="18" t="inlineStr">
        <is>
          <t>25% / 75%</t>
        </is>
      </c>
      <c r="B77" s="18" t="inlineStr">
        <is>
          <t>ALL</t>
        </is>
      </c>
      <c r="C77" s="20" t="inlineStr">
        <is>
          <t>Unavailable</t>
        </is>
      </c>
      <c r="D77" s="20" t="inlineStr">
        <is>
          <t>Unavailable</t>
        </is>
      </c>
      <c r="E77" s="20" t="inlineStr">
        <is>
          <t>Unavailable</t>
        </is>
      </c>
      <c r="F77" s="18" t="inlineStr">
        <is>
          <t>Unavailable</t>
        </is>
      </c>
      <c r="G77" s="18" t="inlineStr">
        <is>
          <t>Unavailable</t>
        </is>
      </c>
      <c r="H77" s="20">
        <v>0.25</v>
      </c>
      <c r="I77" s="20">
        <v>0.25</v>
      </c>
      <c r="J77" s="20">
        <v>0.25</v>
      </c>
    </row>
    <row r="78" ht="30" customHeight="1">
      <c r="A78" s="18" t="inlineStr">
        <is>
          <t>Adaptive evidence</t>
        </is>
      </c>
      <c r="B78" s="18" t="inlineStr">
        <is>
          <t>ALL</t>
        </is>
      </c>
      <c r="C78" s="20" t="inlineStr">
        <is>
          <t>Unavailable</t>
        </is>
      </c>
      <c r="D78" s="20" t="inlineStr">
        <is>
          <t>Unavailable</t>
        </is>
      </c>
      <c r="E78" s="20" t="inlineStr">
        <is>
          <t>Unavailable</t>
        </is>
      </c>
      <c r="F78" s="18" t="inlineStr">
        <is>
          <t>Unavailable</t>
        </is>
      </c>
      <c r="G78" s="18" t="inlineStr">
        <is>
          <t>Unavailable</t>
        </is>
      </c>
      <c r="H78" s="20" t="inlineStr">
        <is>
          <t>Unavailable</t>
        </is>
      </c>
      <c r="I78" s="20" t="inlineStr">
        <is>
          <t>Unavailable</t>
        </is>
      </c>
      <c r="J78" s="20" t="inlineStr">
        <is>
          <t>Unavailable</t>
        </is>
      </c>
    </row>
    <row r="80">
      <c r="A80" s="26" t="inlineStr">
        <is>
          <t>Legacy v1 fixed weights — separate cohort</t>
        </is>
      </c>
    </row>
    <row r="81" ht="34" customHeight="1">
      <c r="A81" s="24" t="inlineStr">
        <is>
          <t>Probability / EV</t>
        </is>
      </c>
      <c r="B81" s="24" t="inlineStr">
        <is>
          <t>Tier</t>
        </is>
      </c>
      <c r="C81" s="24" t="inlineStr">
        <is>
          <t>Selected</t>
        </is>
      </c>
      <c r="D81" s="24" t="inlineStr">
        <is>
          <t>Settled</t>
        </is>
      </c>
      <c r="E81" s="24" t="inlineStr">
        <is>
          <t>Win rate</t>
        </is>
      </c>
      <c r="F81" s="24" t="inlineStr">
        <is>
          <t>Win rate 95% interval</t>
        </is>
      </c>
      <c r="G81" s="24" t="inlineStr">
        <is>
          <t>Net ROI</t>
        </is>
      </c>
      <c r="H81" s="24" t="inlineStr">
        <is>
          <t>Profit (units)</t>
        </is>
      </c>
      <c r="I81" s="24" t="inlineStr">
        <is>
          <t>Drawdown (units)</t>
        </is>
      </c>
      <c r="J81" s="24" t="inlineStr">
        <is>
          <t>Profit delta / fixture 95% vs 50/50</t>
        </is>
      </c>
    </row>
    <row r="82" ht="30" customHeight="1">
      <c r="A82" s="18" t="inlineStr">
        <is>
          <t>50% / 50%</t>
        </is>
      </c>
      <c r="B82" s="18" t="inlineStr">
        <is>
          <t>ALL</t>
        </is>
      </c>
      <c r="C82" s="19">
        <v>18</v>
      </c>
      <c r="D82" s="19">
        <v>17</v>
      </c>
      <c r="E82" s="20">
        <v>0.8823529411764706</v>
      </c>
      <c r="F82" s="18" t="inlineStr">
        <is>
          <t>65.7% to 96.7%</t>
        </is>
      </c>
      <c r="G82" s="20">
        <v>0.19470588235294115</v>
      </c>
      <c r="H82" s="19">
        <v>3.3099999999999996</v>
      </c>
      <c r="I82" s="19">
        <v>0.33000000000000007</v>
      </c>
      <c r="J82" s="18" t="inlineStr">
        <is>
          <t>Control</t>
        </is>
      </c>
    </row>
    <row r="83" ht="30" customHeight="1">
      <c r="A83" s="18" t="inlineStr">
        <is>
          <t>50% / 50%</t>
        </is>
      </c>
      <c r="B83" s="18" t="inlineStr">
        <is>
          <t>STRICT</t>
        </is>
      </c>
      <c r="C83" s="19">
        <v>0</v>
      </c>
      <c r="D83" s="19">
        <v>0</v>
      </c>
      <c r="E83" s="20" t="inlineStr">
        <is>
          <t>Unavailable</t>
        </is>
      </c>
      <c r="F83" s="18" t="inlineStr">
        <is>
          <t>Collect more data</t>
        </is>
      </c>
      <c r="G83" s="20" t="inlineStr">
        <is>
          <t>Unavailable</t>
        </is>
      </c>
      <c r="H83" s="19">
        <v>0</v>
      </c>
      <c r="I83" s="18" t="inlineStr">
        <is>
          <t>Unavailable</t>
        </is>
      </c>
      <c r="J83" s="18" t="inlineStr">
        <is>
          <t>Not applicable</t>
        </is>
      </c>
    </row>
    <row r="84" ht="30" customHeight="1">
      <c r="A84" s="18" t="inlineStr">
        <is>
          <t>50% / 50%</t>
        </is>
      </c>
      <c r="B84" s="18" t="inlineStr">
        <is>
          <t>PROVISIONAL</t>
        </is>
      </c>
      <c r="C84" s="19">
        <v>18</v>
      </c>
      <c r="D84" s="19">
        <v>17</v>
      </c>
      <c r="E84" s="20">
        <v>0.8823529411764706</v>
      </c>
      <c r="F84" s="18" t="inlineStr">
        <is>
          <t>65.7% to 96.7%</t>
        </is>
      </c>
      <c r="G84" s="20">
        <v>0.19470588235294115</v>
      </c>
      <c r="H84" s="19">
        <v>3.3099999999999996</v>
      </c>
      <c r="I84" s="19">
        <v>0.33000000000000007</v>
      </c>
      <c r="J84" s="18" t="inlineStr">
        <is>
          <t>Not applicable</t>
        </is>
      </c>
    </row>
    <row r="85" ht="30" customHeight="1">
      <c r="A85" s="18" t="inlineStr">
        <is>
          <t>100% / 0%</t>
        </is>
      </c>
      <c r="B85" s="18" t="inlineStr">
        <is>
          <t>ALL</t>
        </is>
      </c>
      <c r="C85" s="19">
        <v>19</v>
      </c>
      <c r="D85" s="19">
        <v>17</v>
      </c>
      <c r="E85" s="20">
        <v>0.7647058823529411</v>
      </c>
      <c r="F85" s="18" t="inlineStr">
        <is>
          <t>52.7% to 90.4%</t>
        </is>
      </c>
      <c r="G85" s="20">
        <v>-0.10411764705882354</v>
      </c>
      <c r="H85" s="19">
        <v>-1.77</v>
      </c>
      <c r="I85" s="19">
        <v>1.8599999999999999</v>
      </c>
      <c r="J85" s="18" t="inlineStr">
        <is>
          <t>Collect more data</t>
        </is>
      </c>
    </row>
    <row r="86" ht="30" customHeight="1">
      <c r="A86" s="18" t="inlineStr">
        <is>
          <t>100% / 0%</t>
        </is>
      </c>
      <c r="B86" s="18" t="inlineStr">
        <is>
          <t>STRICT</t>
        </is>
      </c>
      <c r="C86" s="19">
        <v>0</v>
      </c>
      <c r="D86" s="19">
        <v>0</v>
      </c>
      <c r="E86" s="20" t="inlineStr">
        <is>
          <t>Unavailable</t>
        </is>
      </c>
      <c r="F86" s="18" t="inlineStr">
        <is>
          <t>Collect more data</t>
        </is>
      </c>
      <c r="G86" s="20" t="inlineStr">
        <is>
          <t>Unavailable</t>
        </is>
      </c>
      <c r="H86" s="19">
        <v>0</v>
      </c>
      <c r="I86" s="18" t="inlineStr">
        <is>
          <t>Unavailable</t>
        </is>
      </c>
      <c r="J86" s="18" t="inlineStr">
        <is>
          <t>Not applicable</t>
        </is>
      </c>
    </row>
    <row r="87" ht="30" customHeight="1">
      <c r="A87" s="18" t="inlineStr">
        <is>
          <t>100% / 0%</t>
        </is>
      </c>
      <c r="B87" s="18" t="inlineStr">
        <is>
          <t>PROVISIONAL</t>
        </is>
      </c>
      <c r="C87" s="19">
        <v>19</v>
      </c>
      <c r="D87" s="19">
        <v>17</v>
      </c>
      <c r="E87" s="20">
        <v>0.7647058823529411</v>
      </c>
      <c r="F87" s="18" t="inlineStr">
        <is>
          <t>52.7% to 90.4%</t>
        </is>
      </c>
      <c r="G87" s="20">
        <v>-0.10411764705882354</v>
      </c>
      <c r="H87" s="19">
        <v>-1.77</v>
      </c>
      <c r="I87" s="19">
        <v>1.8599999999999999</v>
      </c>
      <c r="J87" s="18" t="inlineStr">
        <is>
          <t>Not applicable</t>
        </is>
      </c>
    </row>
    <row r="88" ht="30" customHeight="1">
      <c r="A88" s="18" t="inlineStr">
        <is>
          <t>75% / 25%</t>
        </is>
      </c>
      <c r="B88" s="18" t="inlineStr">
        <is>
          <t>ALL</t>
        </is>
      </c>
      <c r="C88" s="19">
        <v>19</v>
      </c>
      <c r="D88" s="19">
        <v>17</v>
      </c>
      <c r="E88" s="20">
        <v>0.8235294117647058</v>
      </c>
      <c r="F88" s="18" t="inlineStr">
        <is>
          <t>59.0% to 93.8%</t>
        </is>
      </c>
      <c r="G88" s="20">
        <v>-0.02588235294117648</v>
      </c>
      <c r="H88" s="19">
        <v>-0.44000000000000017</v>
      </c>
      <c r="I88" s="19">
        <v>1.31</v>
      </c>
      <c r="J88" s="18" t="inlineStr">
        <is>
          <t>Collect more data</t>
        </is>
      </c>
    </row>
    <row r="89" ht="30" customHeight="1">
      <c r="A89" s="18" t="inlineStr">
        <is>
          <t>75% / 25%</t>
        </is>
      </c>
      <c r="B89" s="18" t="inlineStr">
        <is>
          <t>STRICT</t>
        </is>
      </c>
      <c r="C89" s="19">
        <v>0</v>
      </c>
      <c r="D89" s="19">
        <v>0</v>
      </c>
      <c r="E89" s="20" t="inlineStr">
        <is>
          <t>Unavailable</t>
        </is>
      </c>
      <c r="F89" s="18" t="inlineStr">
        <is>
          <t>Collect more data</t>
        </is>
      </c>
      <c r="G89" s="20" t="inlineStr">
        <is>
          <t>Unavailable</t>
        </is>
      </c>
      <c r="H89" s="19">
        <v>0</v>
      </c>
      <c r="I89" s="18" t="inlineStr">
        <is>
          <t>Unavailable</t>
        </is>
      </c>
      <c r="J89" s="18" t="inlineStr">
        <is>
          <t>Not applicable</t>
        </is>
      </c>
    </row>
    <row r="90" ht="30" customHeight="1">
      <c r="A90" s="18" t="inlineStr">
        <is>
          <t>75% / 25%</t>
        </is>
      </c>
      <c r="B90" s="18" t="inlineStr">
        <is>
          <t>PROVISIONAL</t>
        </is>
      </c>
      <c r="C90" s="19">
        <v>19</v>
      </c>
      <c r="D90" s="19">
        <v>17</v>
      </c>
      <c r="E90" s="20">
        <v>0.8235294117647058</v>
      </c>
      <c r="F90" s="18" t="inlineStr">
        <is>
          <t>59.0% to 93.8%</t>
        </is>
      </c>
      <c r="G90" s="20">
        <v>-0.02588235294117648</v>
      </c>
      <c r="H90" s="19">
        <v>-0.44000000000000017</v>
      </c>
      <c r="I90" s="19">
        <v>1.31</v>
      </c>
      <c r="J90" s="18" t="inlineStr">
        <is>
          <t>Not applicable</t>
        </is>
      </c>
    </row>
    <row r="91" ht="30" customHeight="1">
      <c r="A91" s="18" t="inlineStr">
        <is>
          <t>25% / 75%</t>
        </is>
      </c>
      <c r="B91" s="18" t="inlineStr">
        <is>
          <t>ALL</t>
        </is>
      </c>
      <c r="C91" s="19">
        <v>18</v>
      </c>
      <c r="D91" s="19">
        <v>18</v>
      </c>
      <c r="E91" s="20">
        <v>0.5555555555555556</v>
      </c>
      <c r="F91" s="18" t="inlineStr">
        <is>
          <t>33.7% to 75.4%</t>
        </is>
      </c>
      <c r="G91" s="20">
        <v>-0.12388888888888891</v>
      </c>
      <c r="H91" s="19">
        <v>-2.2300000000000004</v>
      </c>
      <c r="I91" s="19">
        <v>2.33</v>
      </c>
      <c r="J91" s="18" t="inlineStr">
        <is>
          <t>Collect more data</t>
        </is>
      </c>
    </row>
    <row r="92" ht="30" customHeight="1">
      <c r="A92" s="18" t="inlineStr">
        <is>
          <t>25% / 75%</t>
        </is>
      </c>
      <c r="B92" s="18" t="inlineStr">
        <is>
          <t>STRICT</t>
        </is>
      </c>
      <c r="C92" s="19">
        <v>0</v>
      </c>
      <c r="D92" s="19">
        <v>0</v>
      </c>
      <c r="E92" s="20" t="inlineStr">
        <is>
          <t>Unavailable</t>
        </is>
      </c>
      <c r="F92" s="18" t="inlineStr">
        <is>
          <t>Collect more data</t>
        </is>
      </c>
      <c r="G92" s="20" t="inlineStr">
        <is>
          <t>Unavailable</t>
        </is>
      </c>
      <c r="H92" s="19">
        <v>0</v>
      </c>
      <c r="I92" s="18" t="inlineStr">
        <is>
          <t>Unavailable</t>
        </is>
      </c>
      <c r="J92" s="18" t="inlineStr">
        <is>
          <t>Not applicable</t>
        </is>
      </c>
    </row>
    <row r="93" ht="30" customHeight="1">
      <c r="A93" s="18" t="inlineStr">
        <is>
          <t>25% / 75%</t>
        </is>
      </c>
      <c r="B93" s="18" t="inlineStr">
        <is>
          <t>PROVISIONAL</t>
        </is>
      </c>
      <c r="C93" s="19">
        <v>18</v>
      </c>
      <c r="D93" s="19">
        <v>18</v>
      </c>
      <c r="E93" s="20">
        <v>0.5555555555555556</v>
      </c>
      <c r="F93" s="18" t="inlineStr">
        <is>
          <t>33.7% to 75.4%</t>
        </is>
      </c>
      <c r="G93" s="20">
        <v>-0.12388888888888891</v>
      </c>
      <c r="H93" s="19">
        <v>-2.2300000000000004</v>
      </c>
      <c r="I93" s="19">
        <v>2.33</v>
      </c>
      <c r="J93" s="18" t="inlineStr">
        <is>
          <t>Not applicable</t>
        </is>
      </c>
    </row>
    <row r="95" ht="34" customHeight="1">
      <c r="A95" s="24" t="inlineStr">
        <is>
          <t>Weighting</t>
        </is>
      </c>
      <c r="B95" s="24" t="inlineStr">
        <is>
          <t>Tier</t>
        </is>
      </c>
      <c r="C95" s="24" t="inlineStr">
        <is>
          <t>Mean probability</t>
        </is>
      </c>
      <c r="D95" s="24" t="inlineStr">
        <is>
          <t>Win rate</t>
        </is>
      </c>
      <c r="E95" s="24" t="inlineStr">
        <is>
          <t>Calibration gap</t>
        </is>
      </c>
      <c r="F95" s="24" t="inlineStr">
        <is>
          <t>Brier</t>
        </is>
      </c>
      <c r="G95" s="24" t="inlineStr">
        <is>
          <t>Log loss</t>
        </is>
      </c>
      <c r="H95" s="24" t="inlineStr">
        <is>
          <t>Mean probability weight</t>
        </is>
      </c>
      <c r="I95" s="24" t="inlineStr">
        <is>
          <t>Min probability weight</t>
        </is>
      </c>
      <c r="J95" s="24" t="inlineStr">
        <is>
          <t>Max probability weight</t>
        </is>
      </c>
    </row>
    <row r="96" ht="30" customHeight="1">
      <c r="A96" s="18" t="inlineStr">
        <is>
          <t>50% / 50%</t>
        </is>
      </c>
      <c r="B96" s="18" t="inlineStr">
        <is>
          <t>ALL</t>
        </is>
      </c>
      <c r="C96" s="20">
        <v>0.7666086283133338</v>
      </c>
      <c r="D96" s="20">
        <v>0.8823529411764706</v>
      </c>
      <c r="E96" s="20">
        <v>-0.1157443128631368</v>
      </c>
      <c r="F96" s="19">
        <v>0.1277013725678919</v>
      </c>
      <c r="G96" s="19">
        <v>0.4204076488578445</v>
      </c>
      <c r="H96" s="20">
        <v>0.5</v>
      </c>
      <c r="I96" s="20">
        <v>0.5</v>
      </c>
      <c r="J96" s="20">
        <v>0.5</v>
      </c>
    </row>
    <row r="97" ht="30" customHeight="1">
      <c r="A97" s="18" t="inlineStr">
        <is>
          <t>100% / 0%</t>
        </is>
      </c>
      <c r="B97" s="18" t="inlineStr">
        <is>
          <t>ALL</t>
        </is>
      </c>
      <c r="C97" s="20">
        <v>0.8196314089829984</v>
      </c>
      <c r="D97" s="20">
        <v>0.7647058823529411</v>
      </c>
      <c r="E97" s="20">
        <v>0.05492552663005723</v>
      </c>
      <c r="F97" s="19">
        <v>0.1722384454195032</v>
      </c>
      <c r="G97" s="19">
        <v>0.5133417263169419</v>
      </c>
      <c r="H97" s="20">
        <v>1.0</v>
      </c>
      <c r="I97" s="20">
        <v>1.0</v>
      </c>
      <c r="J97" s="20">
        <v>1.0</v>
      </c>
    </row>
    <row r="98" ht="30" customHeight="1">
      <c r="A98" s="18" t="inlineStr">
        <is>
          <t>75% / 25%</t>
        </is>
      </c>
      <c r="B98" s="18" t="inlineStr">
        <is>
          <t>ALL</t>
        </is>
      </c>
      <c r="C98" s="20">
        <v>0.8160143176918477</v>
      </c>
      <c r="D98" s="20">
        <v>0.8235294117647058</v>
      </c>
      <c r="E98" s="20">
        <v>-0.007515094072858108</v>
      </c>
      <c r="F98" s="19">
        <v>0.13414247397731943</v>
      </c>
      <c r="G98" s="19">
        <v>0.4226932298227929</v>
      </c>
      <c r="H98" s="20">
        <v>0.75</v>
      </c>
      <c r="I98" s="20">
        <v>0.75</v>
      </c>
      <c r="J98" s="20">
        <v>0.75</v>
      </c>
    </row>
    <row r="99" ht="30" customHeight="1">
      <c r="A99" s="18" t="inlineStr">
        <is>
          <t>25% / 75%</t>
        </is>
      </c>
      <c r="B99" s="18" t="inlineStr">
        <is>
          <t>ALL</t>
        </is>
      </c>
      <c r="C99" s="20">
        <v>0.6580888384838393</v>
      </c>
      <c r="D99" s="20">
        <v>0.5555555555555556</v>
      </c>
      <c r="E99" s="20">
        <v>0.10253328292828368</v>
      </c>
      <c r="F99" s="19">
        <v>0.22577220179365373</v>
      </c>
      <c r="G99" s="19">
        <v>0.6370084231735191</v>
      </c>
      <c r="H99" s="20">
        <v>0.25</v>
      </c>
      <c r="I99" s="20">
        <v>0.25</v>
      </c>
      <c r="J99" s="20">
        <v>0.25</v>
      </c>
    </row>
  </sheetData>
  <autoFilter ref="A5:J15"/>
  <mergeCells count="8">
    <mergeCell ref="A2:J2"/>
    <mergeCell ref="A4:J4"/>
    <mergeCell ref="A17:J17"/>
    <mergeCell ref="A18:J18"/>
    <mergeCell ref="A23:J23"/>
    <mergeCell ref="A24:J24"/>
    <mergeCell ref="A55:J55"/>
    <mergeCell ref="A80:J80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Breakdowns!B46</f>
        <v>2026-W41</v>
      </c>
      <c r="B6" s="19">
        <f>Breakdowns!D46</f>
        <v>4.0</v>
      </c>
      <c r="C6" s="19">
        <f>COUNTIFS(Selections!$P$6:$P$79,A6,Selections!$M$6:$M$79,"&gt;0")</f>
        <v>4.0</v>
      </c>
      <c r="D6" s="22">
        <f>IF(C6=0,"n.a.",Breakdowns!J46)</f>
        <v>-1.48</v>
      </c>
      <c r="E6" s="22">
        <f>IF(SUM($C$6:C6)=0,"n.a.",SUM($D$6:D6))</f>
        <v>-1.48</v>
      </c>
      <c r="F6" s="20">
        <f>Breakdowns!H46</f>
        <v>0.5</v>
      </c>
    </row>
    <row r="7" ht="26" customHeight="1">
      <c r="A7" s="18" t="str">
        <f>Breakdowns!B47</f>
        <v>2026-W42</v>
      </c>
      <c r="B7" s="19">
        <f>Breakdowns!D47</f>
        <v>22.0</v>
      </c>
      <c r="C7" s="19">
        <f>COUNTIFS(Selections!$P$6:$P$79,A7,Selections!$M$6:$M$79,"&gt;0")</f>
        <v>22.0</v>
      </c>
      <c r="D7" s="22">
        <f>IF(C7=0,"n.a.",Breakdowns!J47)</f>
        <v>4.289999999999999</v>
      </c>
      <c r="E7" s="22">
        <f>IF(SUM($C$6:C7)=0,"n.a.",SUM($D$6:D7))</f>
        <v>2.809999999999999</v>
      </c>
      <c r="F7" s="20">
        <f>Breakdowns!H47</f>
        <v>0.8636363636363636</v>
      </c>
    </row>
    <row r="8" ht="26" customHeight="1">
      <c r="A8" s="18" t="str">
        <f>Breakdowns!B48</f>
        <v>2026-W43</v>
      </c>
      <c r="B8" s="19">
        <f>Breakdowns!D48</f>
        <v>34.0</v>
      </c>
      <c r="C8" s="19">
        <f>COUNTIFS(Selections!$P$6:$P$79,A8,Selections!$M$6:$M$79,"&gt;0")</f>
        <v>34.0</v>
      </c>
      <c r="D8" s="22">
        <f>IF(C8=0,"n.a.",Breakdowns!J48)</f>
        <v>1.0699999999999994</v>
      </c>
      <c r="E8" s="22">
        <f>IF(SUM($C$6:C8)=0,"n.a.",SUM($D$6:D8))</f>
        <v>3.8799999999999986</v>
      </c>
      <c r="F8" s="20">
        <f>Breakdowns!H48</f>
        <v>0.7352941176470589</v>
      </c>
    </row>
    <row r="9" ht="26" customHeight="1">
      <c r="A9" s="18" t="str">
        <f>Breakdowns!B49</f>
        <v>2026-W44</v>
      </c>
      <c r="B9" s="19">
        <f>Breakdowns!D49</f>
        <v>1.0</v>
      </c>
      <c r="C9" s="19">
        <f>COUNTIFS(Selections!$P$6:$P$79,A9,Selections!$M$6:$M$79,"&gt;0")</f>
        <v>1.0</v>
      </c>
      <c r="D9" s="22">
        <f>IF(C9=0,"n.a.",Breakdowns!J49)</f>
        <v>0.0</v>
      </c>
      <c r="E9" s="22">
        <f>IF(SUM($C$6:C9)=0,"n.a.",SUM($D$6:D9))</f>
        <v>3.8799999999999986</v>
      </c>
      <c r="F9" s="20">
        <f>Breakdowns!H49</f>
        <v>0.0</v>
      </c>
    </row>
    <row r="11">
      <c r="A11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1:H11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Full/half wins divided by all settled selections. Refunds are settled but not wins; half-losses are losses.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Probability error for the frozen event: v23-v25 profitable outcome (refunds excluded); v22, v26 and older Asian forecasts no net loss.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Candidate CLV</t>
        </is>
      </c>
      <c r="B13" s="18" t="inlineStr">
        <is>
          <t>Entry odds x Pinnacle fair closing probability - 1, for every priced candidate, shortlisted or not (CLV sheet).</t>
        </is>
      </c>
      <c r="C13" s="18" t="inlineStr">
        <is>
          <t>Uncertainty is clustered by fixture; readings require at least 30 independent fixtures. Descriptive price movements do not establish an edge.</t>
        </is>
      </c>
    </row>
    <row r="14" ht="54" customHeight="1">
      <c r="A14" s="18" t="inlineStr">
        <is>
          <t>Fair-close EV</t>
        </is>
      </c>
      <c r="B14" s="18" t="inlineStr">
        <is>
          <t>Binary reference EV only. Asian handicap fair-close EV is unavailable without a settlement-aware margin distribution.</t>
        </is>
      </c>
      <c r="C14" s="18" t="inlineStr">
        <is>
          <t>Positive indicates value relative to that observed reference. Coverage must be shown.</t>
        </is>
      </c>
    </row>
    <row r="15" ht="54" customHeight="1">
      <c r="A15" s="18" t="inlineStr">
        <is>
          <t>Verified coverage</t>
        </is>
      </c>
      <c r="B15" s="18" t="inlineStr">
        <is>
          <t>Share of verified in-scope fixtures with a usable paired candidate forecast.</t>
        </is>
      </c>
      <c r="C15" s="18" t="inlineStr">
        <is>
          <t>Use each versioned trial's registered minimum. Missing coverage remains unavailable.</t>
        </is>
      </c>
    </row>
    <row r="16" ht="54" customHeight="1">
      <c r="A16" s="18" t="inlineStr">
        <is>
          <t>Initial review</t>
        </is>
      </c>
      <c r="B16" s="18" t="inlineStr">
        <is>
          <t>Original sidecars: at least 28 collection days and 30 settled observations.</t>
        </is>
      </c>
      <c r="C16" s="18" t="inlineStr">
        <is>
          <t>An initial look permits review, not promotion or a profitability claim.</t>
        </is>
      </c>
    </row>
    <row r="17" ht="54" customHeight="1">
      <c r="A17" s="18" t="inlineStr">
        <is>
          <t>Approval review</t>
        </is>
      </c>
      <c r="B17" s="18" t="inlineStr">
        <is>
          <t>Versioned trials: registered fixture, ISO-week and coverage gates must pass.</t>
        </is>
      </c>
      <c r="C17" s="18" t="inlineStr">
        <is>
          <t>Readiness can include negative findings. Production changes require approval.</t>
        </is>
      </c>
    </row>
    <row r="18" ht="54" customHeight="1">
      <c r="A18" s="18" t="inlineStr">
        <is>
          <t>ISO week</t>
        </is>
      </c>
      <c r="B18" s="18" t="inlineStr">
        <is>
          <t>Calendar year and week, assigned by the existing grading system.</t>
        </is>
      </c>
      <c r="C18" s="18" t="inlineStr">
        <is>
          <t>This is not a competition gameweek.</t>
        </is>
      </c>
    </row>
    <row r="19" ht="54" customHeight="1">
      <c r="A19" s="18" t="inlineStr">
        <is>
          <t>Unavailable / n.a.</t>
        </is>
      </c>
      <c r="B19" s="18" t="inlineStr">
        <is>
          <t>The required input or settled sample is missing.</t>
        </is>
      </c>
      <c r="C19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74</v>
      </c>
      <c r="B8" s="19">
        <v>61</v>
      </c>
      <c r="C8" s="19">
        <v>46</v>
      </c>
      <c r="D8" s="19">
        <v>14</v>
      </c>
      <c r="E8" s="19">
        <v>13</v>
      </c>
      <c r="F8" s="20">
        <v>0.754098</v>
      </c>
      <c r="G8" s="20">
        <v>0.063607</v>
      </c>
      <c r="H8" s="19">
        <v>3.88</v>
      </c>
      <c r="I8" s="19">
        <v>46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10</v>
      </c>
      <c r="E12" s="19">
        <v>7</v>
      </c>
      <c r="F12" s="20">
        <v>0.7</v>
      </c>
      <c r="G12" s="20">
        <v>-0.08</v>
      </c>
      <c r="H12" s="19">
        <v>-0.8</v>
      </c>
      <c r="I12" s="19">
        <v>0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10</v>
      </c>
      <c r="E13" s="19">
        <v>8</v>
      </c>
      <c r="F13" s="20">
        <v>0.8</v>
      </c>
      <c r="G13" s="20">
        <v>0.074</v>
      </c>
      <c r="H13" s="19">
        <v>0.74</v>
      </c>
      <c r="I13" s="19">
        <v>0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2</v>
      </c>
      <c r="E41" s="19">
        <v>2</v>
      </c>
      <c r="F41" s="20">
        <v>1.0</v>
      </c>
      <c r="G41" s="20">
        <v>0.365</v>
      </c>
      <c r="H41" s="19">
        <v>0.73</v>
      </c>
      <c r="I41" s="19">
        <v>0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2</v>
      </c>
      <c r="E42" s="19">
        <v>2</v>
      </c>
      <c r="F42" s="20">
        <v>1.0</v>
      </c>
      <c r="G42" s="20">
        <v>0.365</v>
      </c>
      <c r="H42" s="19">
        <v>0.73</v>
      </c>
      <c r="I42" s="19">
        <v>0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9</v>
      </c>
      <c r="E43" s="19">
        <v>8</v>
      </c>
      <c r="F43" s="20">
        <v>0.888889</v>
      </c>
      <c r="G43" s="20">
        <v>0.216667</v>
      </c>
      <c r="H43" s="19">
        <v>1.95</v>
      </c>
      <c r="I43" s="19">
        <v>1</v>
      </c>
    </row>
    <row r="44" ht="30" customHeight="1">
      <c r="A44" s="18" t="inlineStr">
        <is>
          <t>2026-10-19T11:20:16.296665+00:00</t>
        </is>
      </c>
      <c r="B44" s="18" t="inlineStr">
        <is>
          <t>f7295b8c0c24a17c573629dd27429b0b04eadbc1</t>
        </is>
      </c>
      <c r="C44" s="19">
        <v>10</v>
      </c>
      <c r="D44" s="19">
        <v>10</v>
      </c>
      <c r="E44" s="19">
        <v>8</v>
      </c>
      <c r="F44" s="20">
        <v>0.8</v>
      </c>
      <c r="G44" s="20">
        <v>0.087</v>
      </c>
      <c r="H44" s="19">
        <v>0.87</v>
      </c>
      <c r="I44" s="19">
        <v>0</v>
      </c>
    </row>
    <row r="45" ht="30" customHeight="1">
      <c r="A45" s="18" t="inlineStr">
        <is>
          <t>2026-10-19T12:08:39.172353+00:00</t>
        </is>
      </c>
      <c r="B45" s="18" t="inlineStr">
        <is>
          <t>ca1e126489f9dedd7d4f5072a6bfa57835dec39c</t>
        </is>
      </c>
      <c r="C45" s="19">
        <v>10</v>
      </c>
      <c r="D45" s="19">
        <v>9</v>
      </c>
      <c r="E45" s="19">
        <v>7</v>
      </c>
      <c r="F45" s="20">
        <v>0.777778</v>
      </c>
      <c r="G45" s="20">
        <v>0.091111</v>
      </c>
      <c r="H45" s="19">
        <v>0.82</v>
      </c>
      <c r="I45" s="19">
        <v>1</v>
      </c>
    </row>
    <row r="46" ht="30" customHeight="1">
      <c r="A46" s="18" t="inlineStr">
        <is>
          <t>2026-10-19T16:28:42.464993+00:00</t>
        </is>
      </c>
      <c r="B46" s="18" t="inlineStr">
        <is>
          <t>a18515a42a8daaed253da4026cd3842636af06e7</t>
        </is>
      </c>
      <c r="C46" s="19">
        <v>12</v>
      </c>
      <c r="D46" s="19">
        <v>11</v>
      </c>
      <c r="E46" s="19">
        <v>7</v>
      </c>
      <c r="F46" s="20">
        <v>0.636364</v>
      </c>
      <c r="G46" s="20">
        <v>-0.125455</v>
      </c>
      <c r="H46" s="19">
        <v>-1.38</v>
      </c>
      <c r="I46" s="19">
        <v>1</v>
      </c>
    </row>
    <row r="47" ht="30" customHeight="1">
      <c r="A47" s="18" t="inlineStr">
        <is>
          <t>2026-10-22T10:58:13.963804+00:00</t>
        </is>
      </c>
      <c r="B47" s="18" t="inlineStr">
        <is>
          <t>93aabf61cc3a55fc007e1e56dcfc8baa6ebe3dd6</t>
        </is>
      </c>
      <c r="C47" s="19">
        <v>2</v>
      </c>
      <c r="D47" s="19">
        <v>2</v>
      </c>
      <c r="E47" s="19">
        <v>2</v>
      </c>
      <c r="F47" s="20">
        <v>1.0</v>
      </c>
      <c r="G47" s="20">
        <v>0.365</v>
      </c>
      <c r="H47" s="19">
        <v>0.73</v>
      </c>
      <c r="I47" s="19">
        <v>0</v>
      </c>
    </row>
    <row r="48" ht="30" customHeight="1">
      <c r="A48" s="18" t="inlineStr">
        <is>
          <t>2026-10-22T15:07:55.640807+00:00</t>
        </is>
      </c>
      <c r="B48" s="18" t="inlineStr">
        <is>
          <t>0117b0e0fe09a0266deb28e532f2ad9e4f4da47a</t>
        </is>
      </c>
      <c r="C48" s="19">
        <v>6</v>
      </c>
      <c r="D48" s="19">
        <v>5</v>
      </c>
      <c r="E48" s="19">
        <v>5</v>
      </c>
      <c r="F48" s="20">
        <v>1.0</v>
      </c>
      <c r="G48" s="20">
        <v>0.263</v>
      </c>
      <c r="H48" s="19">
        <v>1.315</v>
      </c>
      <c r="I48" s="19">
        <v>1</v>
      </c>
    </row>
    <row r="49" ht="30" customHeight="1">
      <c r="A49" s="18" t="inlineStr">
        <is>
          <t>2026-10-23T14:36:42.857608+00:00</t>
        </is>
      </c>
      <c r="B49" s="18" t="inlineStr">
        <is>
          <t>10a7df008090a45923c14f3c84ec260b147ea047</t>
        </is>
      </c>
      <c r="C49" s="19">
        <v>10</v>
      </c>
      <c r="D49" s="19">
        <v>8</v>
      </c>
      <c r="E49" s="19">
        <v>8</v>
      </c>
      <c r="F49" s="20">
        <v>1.0</v>
      </c>
      <c r="G49" s="20">
        <v>0.31</v>
      </c>
      <c r="H49" s="19">
        <v>2.48</v>
      </c>
      <c r="I49" s="19">
        <v>2</v>
      </c>
    </row>
    <row r="50" ht="30" customHeight="1">
      <c r="A50" s="18" t="inlineStr">
        <is>
          <t>2026-10-23T16:24:03.614429+00:00</t>
        </is>
      </c>
      <c r="B50" s="18" t="inlineStr">
        <is>
          <t>2b085cc83b2cd990e3533083f7aeef8b0415f01d</t>
        </is>
      </c>
      <c r="C50" s="19">
        <v>5</v>
      </c>
      <c r="D50" s="19">
        <v>3</v>
      </c>
      <c r="E50" s="19">
        <v>3</v>
      </c>
      <c r="F50" s="20">
        <v>1.0</v>
      </c>
      <c r="G50" s="20">
        <v>0.163333</v>
      </c>
      <c r="H50" s="19">
        <v>0.49</v>
      </c>
      <c r="I50" s="19">
        <v>2</v>
      </c>
    </row>
    <row r="51" ht="30" customHeight="1">
      <c r="A51" s="18" t="inlineStr">
        <is>
          <t>2026-10-24T14:22:17.608235+00:00</t>
        </is>
      </c>
      <c r="B51" s="18" t="inlineStr">
        <is>
          <t>089cdbb10f80fa5c2ab9bdb1d45166e2fe2090bc</t>
        </is>
      </c>
      <c r="C51" s="19">
        <v>10</v>
      </c>
      <c r="D51" s="19">
        <v>10</v>
      </c>
      <c r="E51" s="19">
        <v>8</v>
      </c>
      <c r="F51" s="20">
        <v>0.8</v>
      </c>
      <c r="G51" s="20">
        <v>0.1015</v>
      </c>
      <c r="H51" s="19">
        <v>1.015</v>
      </c>
      <c r="I51" s="19">
        <v>0</v>
      </c>
    </row>
    <row r="52" ht="30" customHeight="1">
      <c r="A52" s="18" t="inlineStr">
        <is>
          <t>2026-10-24T14:27:12.490111+00:00</t>
        </is>
      </c>
      <c r="B52" s="18" t="inlineStr">
        <is>
          <t>007f589ff28970f5c6dcc58af5d09a89aaf2fb4a</t>
        </is>
      </c>
      <c r="C52" s="19">
        <v>5</v>
      </c>
      <c r="D52" s="19">
        <v>3</v>
      </c>
      <c r="E52" s="19">
        <v>2</v>
      </c>
      <c r="F52" s="20">
        <v>0.666667</v>
      </c>
      <c r="G52" s="20">
        <v>0.13</v>
      </c>
      <c r="H52" s="19">
        <v>0.39</v>
      </c>
      <c r="I52" s="19">
        <v>2</v>
      </c>
    </row>
    <row r="53" ht="30" customHeight="1">
      <c r="A53" s="18" t="inlineStr">
        <is>
          <t>2026-10-24T14:50:28.871677+00:00</t>
        </is>
      </c>
      <c r="B53" s="18" t="inlineStr">
        <is>
          <t>ac2ae4201750060e082e75d6d2947066ddd868cd</t>
        </is>
      </c>
      <c r="C53" s="19">
        <v>10</v>
      </c>
      <c r="D53" s="19">
        <v>9</v>
      </c>
      <c r="E53" s="19">
        <v>6</v>
      </c>
      <c r="F53" s="20">
        <v>0.666667</v>
      </c>
      <c r="G53" s="20">
        <v>-0.119444</v>
      </c>
      <c r="H53" s="19">
        <v>-1.075</v>
      </c>
      <c r="I53" s="19">
        <v>1</v>
      </c>
    </row>
    <row r="54" ht="30" customHeight="1">
      <c r="A54" s="18" t="inlineStr">
        <is>
          <t>2026-10-25T10:24:47.847996+00:00</t>
        </is>
      </c>
      <c r="B54" s="18" t="inlineStr">
        <is>
          <t>b5f46a88705f2cf938a6bd462a2cc457b35f2a2d</t>
        </is>
      </c>
      <c r="C54" s="19">
        <v>16</v>
      </c>
      <c r="D54" s="19">
        <v>12</v>
      </c>
      <c r="E54" s="19">
        <v>9</v>
      </c>
      <c r="F54" s="20">
        <v>0.75</v>
      </c>
      <c r="G54" s="20">
        <v>0.038333</v>
      </c>
      <c r="H54" s="19">
        <v>0.46</v>
      </c>
      <c r="I54" s="19">
        <v>4</v>
      </c>
    </row>
    <row r="55" ht="30" customHeight="1">
      <c r="A55" s="18" t="inlineStr">
        <is>
          <t>2026-10-26T11:01:43.961218+00:00</t>
        </is>
      </c>
      <c r="B55" s="18" t="inlineStr">
        <is>
          <t>61fd07517a6df27aaf13e10dfc2e47db9451d4a2</t>
        </is>
      </c>
      <c r="C55" s="19">
        <v>2</v>
      </c>
      <c r="D55" s="19">
        <v>1</v>
      </c>
      <c r="E55" s="19">
        <v>0</v>
      </c>
      <c r="F55" s="20">
        <v>0.0</v>
      </c>
      <c r="G55" s="20">
        <v>0.0</v>
      </c>
      <c r="H55" s="19">
        <v>0.0</v>
      </c>
      <c r="I55" s="19">
        <v>1</v>
      </c>
    </row>
    <row r="56" ht="30" customHeight="1">
      <c r="A56" s="18" t="inlineStr">
        <is>
          <t>2026-10-26T11:45:55.025240+00:00</t>
        </is>
      </c>
      <c r="B56" s="18" t="inlineStr">
        <is>
          <t>be93fe1f5e1ccb0aff11da9ff35e306c9b014cc1</t>
        </is>
      </c>
      <c r="C56" s="19">
        <v>1</v>
      </c>
      <c r="D56" s="19">
        <v>0</v>
      </c>
      <c r="E56" s="19">
        <v>0</v>
      </c>
      <c r="F56" s="20"/>
      <c r="G56" s="20"/>
      <c r="H56" s="18"/>
      <c r="I56" s="19">
        <v>1</v>
      </c>
    </row>
    <row r="57" ht="30" customHeight="1">
      <c r="A57" s="18" t="inlineStr">
        <is>
          <t>2026-10-28T12:13:37.819395+00:00</t>
        </is>
      </c>
      <c r="B57" s="18" t="inlineStr">
        <is>
          <t>04e55dde9bbe885fb80dc3c1a84f550621a793c2</t>
        </is>
      </c>
      <c r="C57" s="19">
        <v>1</v>
      </c>
      <c r="D57" s="19">
        <v>0</v>
      </c>
      <c r="E57" s="19">
        <v>0</v>
      </c>
      <c r="F57" s="20"/>
      <c r="G57" s="20"/>
      <c r="H57" s="18"/>
      <c r="I57" s="19">
        <v>1</v>
      </c>
    </row>
    <row r="60">
      <c r="A60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60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2026-10-28T15:16:00.190157+00:00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2026-10-25</t>
        </is>
      </c>
      <c r="C9" s="19">
        <v>1595</v>
      </c>
      <c r="D9" s="19">
        <v>3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2026-10-25</t>
        </is>
      </c>
      <c r="C10" s="19">
        <v>1980</v>
      </c>
      <c r="D10" s="19">
        <v>3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Eredivisie</t>
        </is>
      </c>
      <c r="B11" s="18" t="inlineStr">
        <is>
          <t>2026-10-25</t>
        </is>
      </c>
      <c r="C11" s="19">
        <v>1620</v>
      </c>
      <c r="D11" s="19">
        <v>3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LaLiga</t>
        </is>
      </c>
      <c r="B12" s="18" t="inlineStr">
        <is>
          <t>2026-10-26</t>
        </is>
      </c>
      <c r="C12" s="19">
        <v>1999</v>
      </c>
      <c r="D12" s="19">
        <v>2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Ligue1</t>
        </is>
      </c>
      <c r="B13" s="18" t="inlineStr">
        <is>
          <t>2026-10-26</t>
        </is>
      </c>
      <c r="C13" s="19">
        <v>1752</v>
      </c>
      <c r="D13" s="19">
        <v>2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PrimeiraLiga</t>
        </is>
      </c>
      <c r="B14" s="18" t="inlineStr">
        <is>
          <t>2026-10-26</t>
        </is>
      </c>
      <c r="C14" s="19">
        <v>1611</v>
      </c>
      <c r="D14" s="19">
        <v>2</v>
      </c>
      <c r="E14" s="18" t="inlineStr">
        <is>
          <t>Result date only not completeness verified</t>
        </is>
      </c>
      <c r="F14" s="18" t="inlineStr">
        <is>
          <t>Source completeness unverified</t>
        </is>
      </c>
    </row>
    <row r="15" ht="44" customHeight="1">
      <c r="A15" s="18" t="inlineStr">
        <is>
          <t>SerieA</t>
        </is>
      </c>
      <c r="B15" s="18" t="inlineStr">
        <is>
          <t>2026-10-27</t>
        </is>
      </c>
      <c r="C15" s="19">
        <v>1983</v>
      </c>
      <c r="D15" s="19">
        <v>1</v>
      </c>
      <c r="E15" s="18" t="inlineStr">
        <is>
          <t>Result date only not completeness verified</t>
        </is>
      </c>
      <c r="F15" s="18" t="inlineStr">
        <is>
          <t>Source completeness unverified</t>
        </is>
      </c>
    </row>
    <row r="16" ht="44" customHeight="1">
      <c r="A16" s="18" t="inlineStr">
        <is>
          <t>SuperLig</t>
        </is>
      </c>
      <c r="B16" s="18" t="inlineStr">
        <is>
          <t>2026-10-26</t>
        </is>
      </c>
      <c r="C16" s="19">
        <v>1831</v>
      </c>
      <c r="D16" s="19">
        <v>2</v>
      </c>
      <c r="E16" s="18" t="inlineStr">
        <is>
          <t>Result date only not completeness verified</t>
        </is>
      </c>
      <c r="F16" s="18" t="inlineStr">
        <is>
          <t>Source completeness unverified</t>
        </is>
      </c>
    </row>
    <row r="17" ht="44" customHeight="1">
      <c r="A17" s="18" t="inlineStr">
        <is>
          <t>UCL</t>
        </is>
      </c>
      <c r="B17" s="18" t="inlineStr">
        <is>
          <t>2026-10-21</t>
        </is>
      </c>
      <c r="C17" s="19">
        <v>557</v>
      </c>
      <c r="D17" s="19">
        <v>7</v>
      </c>
      <c r="E17" s="18" t="inlineStr">
        <is>
          <t>Current within provider schedule</t>
        </is>
      </c>
      <c r="F17" s="18" t="inlineStr">
        <is>
          <t>See source health report</t>
        </is>
      </c>
    </row>
    <row r="18" ht="44" customHeight="1">
      <c r="A18" s="18" t="inlineStr">
        <is>
          <t>UEL</t>
        </is>
      </c>
      <c r="B18" s="18" t="inlineStr">
        <is>
          <t>2026-10-22</t>
        </is>
      </c>
      <c r="C18" s="19">
        <v>714</v>
      </c>
      <c r="D18" s="19">
        <v>6</v>
      </c>
      <c r="E18" s="18" t="inlineStr">
        <is>
          <t>Verified within 24 hours</t>
        </is>
      </c>
      <c r="F18" s="18" t="inlineStr">
        <is>
          <t>See source health report</t>
        </is>
      </c>
    </row>
    <row r="21">
      <c r="A21" s="26" t="inlineStr">
        <is>
          <t>API-Football supplementary inputs</t>
        </is>
      </c>
    </row>
    <row r="22" ht="34" customHeight="1">
      <c r="A22" s="24" t="inlineStr">
        <is>
          <t>League</t>
        </is>
      </c>
      <c r="B22" s="24" t="inlineStr">
        <is>
          <t>Source status</t>
        </is>
      </c>
      <c r="C22" s="24" t="inlineStr">
        <is>
          <t>Confirmed results</t>
        </is>
      </c>
      <c r="D22" s="24" t="inlineStr">
        <is>
          <t>Added results</t>
        </is>
      </c>
      <c r="E22" s="24" t="inlineStr">
        <is>
          <t>Conflicts held</t>
        </is>
      </c>
      <c r="F22" s="24" t="inlineStr">
        <is>
          <t>Stats observations</t>
        </is>
      </c>
    </row>
    <row r="23" ht="44" customHeight="1">
      <c r="A23" s="18" t="inlineStr">
        <is>
          <t>Bundesliga</t>
        </is>
      </c>
      <c r="B23" s="18" t="inlineStr">
        <is>
          <t>AVAILABLE</t>
        </is>
      </c>
      <c r="C23" s="19">
        <v>254</v>
      </c>
      <c r="D23" s="19">
        <v>2</v>
      </c>
      <c r="E23" s="19">
        <v>0</v>
      </c>
      <c r="F23" s="19">
        <v>51</v>
      </c>
    </row>
    <row r="24" ht="44" customHeight="1">
      <c r="A24" s="18" t="inlineStr">
        <is>
          <t>EPL</t>
        </is>
      </c>
      <c r="B24" s="18" t="inlineStr">
        <is>
          <t>AVAILABLE</t>
        </is>
      </c>
      <c r="C24" s="19">
        <v>1102</v>
      </c>
      <c r="D24" s="19">
        <v>0</v>
      </c>
      <c r="E24" s="19">
        <v>0</v>
      </c>
      <c r="F24" s="19">
        <v>151</v>
      </c>
    </row>
    <row r="25" ht="44" customHeight="1">
      <c r="A25" s="18" t="inlineStr">
        <is>
          <t>Eredivisie</t>
        </is>
      </c>
      <c r="B25" s="18" t="inlineStr">
        <is>
          <t>NOT_COLLECTED</t>
        </is>
      </c>
      <c r="C25" s="18"/>
      <c r="D25" s="18"/>
      <c r="E25" s="18"/>
      <c r="F25" s="18"/>
    </row>
    <row r="26" ht="44" customHeight="1">
      <c r="A26" s="18" t="inlineStr">
        <is>
          <t>LaLiga</t>
        </is>
      </c>
      <c r="B26" s="18" t="inlineStr">
        <is>
          <t>AVAILABLE</t>
        </is>
      </c>
      <c r="C26" s="19">
        <v>574</v>
      </c>
      <c r="D26" s="19">
        <v>0</v>
      </c>
      <c r="E26" s="19">
        <v>0</v>
      </c>
      <c r="F26" s="19">
        <v>82</v>
      </c>
    </row>
    <row r="27" ht="44" customHeight="1">
      <c r="A27" s="18" t="inlineStr">
        <is>
          <t>Ligue1</t>
        </is>
      </c>
      <c r="B27" s="18" t="inlineStr">
        <is>
          <t>AVAILABLE</t>
        </is>
      </c>
      <c r="C27" s="19">
        <v>752</v>
      </c>
      <c r="D27" s="19">
        <v>2</v>
      </c>
      <c r="E27" s="19">
        <v>0</v>
      </c>
      <c r="F27" s="19">
        <v>107</v>
      </c>
    </row>
    <row r="28" ht="44" customHeight="1">
      <c r="A28" s="18" t="inlineStr">
        <is>
          <t>PrimeiraLiga</t>
        </is>
      </c>
      <c r="B28" s="18" t="inlineStr">
        <is>
          <t>NOT_COLLECTED</t>
        </is>
      </c>
      <c r="C28" s="18"/>
      <c r="D28" s="18"/>
      <c r="E28" s="18"/>
      <c r="F28" s="18"/>
    </row>
    <row r="29" ht="44" customHeight="1">
      <c r="A29" s="18" t="inlineStr">
        <is>
          <t>SerieA</t>
        </is>
      </c>
      <c r="B29" s="18" t="inlineStr">
        <is>
          <t>AVAILABLE</t>
        </is>
      </c>
      <c r="C29" s="19">
        <v>918</v>
      </c>
      <c r="D29" s="19">
        <v>0</v>
      </c>
      <c r="E29" s="19">
        <v>0</v>
      </c>
      <c r="F29" s="19">
        <v>131</v>
      </c>
    </row>
    <row r="30" ht="44" customHeight="1">
      <c r="A30" s="18" t="inlineStr">
        <is>
          <t>SuperLig</t>
        </is>
      </c>
      <c r="B30" s="18" t="inlineStr">
        <is>
          <t>NOT_COLLECTED</t>
        </is>
      </c>
      <c r="C30" s="18"/>
      <c r="D30" s="18"/>
      <c r="E30" s="18"/>
      <c r="F30" s="18"/>
    </row>
    <row r="31" ht="44" customHeight="1">
      <c r="A31" s="18" t="inlineStr">
        <is>
          <t>UCL</t>
        </is>
      </c>
      <c r="B31" s="18" t="inlineStr">
        <is>
          <t>AVAILABLE</t>
        </is>
      </c>
      <c r="C31" s="19">
        <v>139</v>
      </c>
      <c r="D31" s="19">
        <v>0</v>
      </c>
      <c r="E31" s="19">
        <v>1</v>
      </c>
      <c r="F31" s="19">
        <v>36</v>
      </c>
    </row>
    <row r="32" ht="44" customHeight="1">
      <c r="A32" s="18" t="inlineStr">
        <is>
          <t>UEL</t>
        </is>
      </c>
      <c r="B32" s="18" t="inlineStr">
        <is>
          <t>NOT_COLLECTED</t>
        </is>
      </c>
      <c r="C32" s="18"/>
      <c r="D32" s="18"/>
      <c r="E32" s="18"/>
      <c r="F32" s="18"/>
    </row>
    <row r="35">
      <c r="A35" s="26" t="inlineStr">
        <is>
          <t>Near-close quote coverage</t>
        </is>
      </c>
    </row>
    <row r="36" ht="34" customHeight="1">
      <c r="A36" s="24" t="inlineStr">
        <is>
          <t>Bookmaker</t>
        </is>
      </c>
      <c r="B36" s="24" t="inlineStr">
        <is>
          <t>Covered selections</t>
        </is>
      </c>
      <c r="C36" s="24" t="inlineStr">
        <is>
          <t>Missing selections</t>
        </is>
      </c>
      <c r="D36" s="24" t="inlineStr">
        <is>
          <t>Pending selections</t>
        </is>
      </c>
      <c r="E36" s="24" t="inlineStr">
        <is>
          <t>Mean fair-close EV</t>
        </is>
      </c>
      <c r="F36" s="24" t="inlineStr">
        <is>
          <t>Same-book offer CLV</t>
        </is>
      </c>
    </row>
    <row r="37" ht="44" customHeight="1">
      <c r="A37" s="18" t="inlineStr">
        <is>
          <t>1xbet</t>
        </is>
      </c>
      <c r="B37" s="19">
        <v>34</v>
      </c>
      <c r="C37" s="19">
        <v>39</v>
      </c>
      <c r="D37" s="19">
        <v>1</v>
      </c>
      <c r="E37" s="20">
        <v>-0.02780450127606808</v>
      </c>
      <c r="F37" s="20">
        <v>0.009153547906679346</v>
      </c>
    </row>
    <row r="38" ht="44" customHeight="1">
      <c r="A38" s="18" t="inlineStr">
        <is>
          <t>bet365</t>
        </is>
      </c>
      <c r="B38" s="19">
        <v>0</v>
      </c>
      <c r="C38" s="19">
        <v>73</v>
      </c>
      <c r="D38" s="19">
        <v>1</v>
      </c>
      <c r="E38" s="20" t="inlineStr">
        <is>
          <t>Unavailable</t>
        </is>
      </c>
      <c r="F38" s="20" t="inlineStr">
        <is>
          <t>Unavailable</t>
        </is>
      </c>
    </row>
    <row r="39" ht="44" customHeight="1">
      <c r="A39" s="18" t="inlineStr">
        <is>
          <t>pinnacle</t>
        </is>
      </c>
      <c r="B39" s="19">
        <v>47</v>
      </c>
      <c r="C39" s="19">
        <v>26</v>
      </c>
      <c r="D39" s="19">
        <v>1</v>
      </c>
      <c r="E39" s="20">
        <v>-0.030666655948099794</v>
      </c>
      <c r="F39" s="20">
        <v>0.029113893915454298</v>
      </c>
    </row>
    <row r="42">
      <c r="A42" s="27" t="inlineStr">
        <is>
          <t>Near-close quotes: latest selections. Observed quotes are not guaranteed official closes; accepted execution is unverified.</t>
        </is>
      </c>
    </row>
    <row r="44">
      <c r="A44" s="26" t="inlineStr">
        <is>
          <t>Latest shortlist quote audit</t>
        </is>
      </c>
    </row>
    <row r="45" ht="34" customHeight="1">
      <c r="A45" s="24" t="inlineStr">
        <is>
          <t>Check</t>
        </is>
      </c>
      <c r="B45" s="24" t="inlineStr">
        <is>
          <t>Recorded value</t>
        </is>
      </c>
    </row>
    <row r="46" ht="44" customHeight="1">
      <c r="A46" s="18" t="inlineStr">
        <is>
          <t>Account availability</t>
        </is>
      </c>
      <c r="B46" s="18" t="inlineStr">
        <is>
          <t>Not verified with bookmaker accounts</t>
        </is>
      </c>
    </row>
    <row r="47" ht="44" customHeight="1">
      <c r="A47" s="18" t="inlineStr">
        <is>
          <t>Bookmakers: Pinnacle</t>
        </is>
      </c>
      <c r="B47" s="19">
        <v>1</v>
      </c>
    </row>
    <row r="48" ht="44" customHeight="1">
      <c r="A48" s="18" t="inlineStr">
        <is>
          <t>Costs recorded</t>
        </is>
      </c>
      <c r="B48" s="19">
        <v>1</v>
      </c>
    </row>
    <row r="49" ht="44" customHeight="1">
      <c r="A49" s="18" t="inlineStr">
        <is>
          <t>Exchange quotes</t>
        </is>
      </c>
      <c r="B49" s="19">
        <v>0</v>
      </c>
    </row>
    <row r="50" ht="44" customHeight="1">
      <c r="A50" s="18" t="inlineStr">
        <is>
          <t>Missing quote age</t>
        </is>
      </c>
      <c r="B50" s="19">
        <v>0</v>
      </c>
    </row>
    <row r="51" ht="44" customHeight="1">
      <c r="A51" s="18" t="inlineStr">
        <is>
          <t>Past kickoff count</t>
        </is>
      </c>
      <c r="B51" s="19">
        <v>0</v>
      </c>
    </row>
    <row r="52" ht="44" customHeight="1">
      <c r="A52" s="18" t="inlineStr">
        <is>
          <t>Quote age over 24h</t>
        </is>
      </c>
      <c r="B52" s="19">
        <v>0</v>
      </c>
    </row>
    <row r="53" ht="44" customHeight="1">
      <c r="A53" s="18" t="inlineStr">
        <is>
          <t>Selected quotes</t>
        </is>
      </c>
      <c r="B53" s="19">
        <v>1</v>
      </c>
    </row>
    <row r="54" ht="44" customHeight="1">
      <c r="A54" s="18" t="inlineStr">
        <is>
          <t>Unknown kickoff count</t>
        </is>
      </c>
      <c r="B54" s="19">
        <v>0</v>
      </c>
    </row>
    <row r="55" ht="44" customHeight="1">
      <c r="A55" s="18" t="inlineStr">
        <is>
          <t>Upcoming kickoff count</t>
        </is>
      </c>
      <c r="B55" s="19">
        <v>1</v>
      </c>
    </row>
    <row r="58">
      <c r="A58" s="26" t="inlineStr">
        <is>
          <t>Forecast capture coverage</t>
        </is>
      </c>
    </row>
    <row r="59" ht="34" customHeight="1">
      <c r="A59" s="24" t="inlineStr">
        <is>
          <t>Experiment</t>
        </is>
      </c>
      <c r="B59" s="24" t="inlineStr">
        <is>
          <t>Capture state</t>
        </is>
      </c>
      <c r="C59" s="24" t="inlineStr">
        <is>
          <t>Snapshot count</t>
        </is>
      </c>
    </row>
    <row r="60" ht="44" customHeight="1">
      <c r="A60" s="18" t="inlineStr">
        <is>
          <t>Goal-market blend</t>
        </is>
      </c>
      <c r="B60" s="18" t="inlineStr">
        <is>
          <t>Captured</t>
        </is>
      </c>
      <c r="C60" s="19">
        <v>42</v>
      </c>
    </row>
    <row r="61" ht="44" customHeight="1">
      <c r="A61" s="18" t="inlineStr">
        <is>
          <t>Goal-market blend</t>
        </is>
      </c>
      <c r="B61" s="18" t="inlineStr">
        <is>
          <t>Legacy not recorded</t>
        </is>
      </c>
      <c r="C61" s="19">
        <v>14</v>
      </c>
    </row>
    <row r="62" ht="44" customHeight="1">
      <c r="A62" s="18" t="inlineStr">
        <is>
          <t>Market-led forecasts</t>
        </is>
      </c>
      <c r="B62" s="18" t="inlineStr">
        <is>
          <t>Captured</t>
        </is>
      </c>
      <c r="C62" s="19">
        <v>42</v>
      </c>
    </row>
    <row r="63" ht="44" customHeight="1">
      <c r="A63" s="18" t="inlineStr">
        <is>
          <t>Market-led forecasts</t>
        </is>
      </c>
      <c r="B63" s="18" t="inlineStr">
        <is>
          <t>Legacy not recorded</t>
        </is>
      </c>
      <c r="C63" s="19">
        <v>14</v>
      </c>
    </row>
    <row r="64" ht="44" customHeight="1">
      <c r="A64" s="18" t="inlineStr">
        <is>
          <t>Recency comparison</t>
        </is>
      </c>
      <c r="B64" s="18" t="inlineStr">
        <is>
          <t>Captured</t>
        </is>
      </c>
      <c r="C64" s="19">
        <v>38</v>
      </c>
    </row>
    <row r="65" ht="44" customHeight="1">
      <c r="A65" s="18" t="inlineStr">
        <is>
          <t>Recency comparison</t>
        </is>
      </c>
      <c r="B65" s="18" t="inlineStr">
        <is>
          <t>Legacy not recorded</t>
        </is>
      </c>
      <c r="C65" s="19">
        <v>18</v>
      </c>
    </row>
    <row r="66" ht="44" customHeight="1">
      <c r="A66" s="18" t="inlineStr">
        <is>
          <t>EV filter sensitivity</t>
        </is>
      </c>
      <c r="B66" s="18" t="inlineStr">
        <is>
          <t>Captured</t>
        </is>
      </c>
      <c r="C66" s="19">
        <v>23</v>
      </c>
    </row>
    <row r="67" ht="44" customHeight="1">
      <c r="A67" s="18" t="inlineStr">
        <is>
          <t>EV filter sensitivity</t>
        </is>
      </c>
      <c r="B67" s="18" t="inlineStr">
        <is>
          <t>Legacy not recorded</t>
        </is>
      </c>
      <c r="C67" s="19">
        <v>19</v>
      </c>
    </row>
    <row r="68" ht="44" customHeight="1">
      <c r="A68" s="18" t="inlineStr">
        <is>
          <t>EV filter sensitivity</t>
        </is>
      </c>
      <c r="B68" s="18" t="inlineStr">
        <is>
          <t>Not generated</t>
        </is>
      </c>
      <c r="C68" s="19">
        <v>14</v>
      </c>
    </row>
    <row r="69" ht="44" customHeight="1">
      <c r="A69" s="18" t="inlineStr">
        <is>
          <t>85% market weight</t>
        </is>
      </c>
      <c r="B69" s="18" t="inlineStr">
        <is>
          <t>Captured</t>
        </is>
      </c>
      <c r="C69" s="19">
        <v>35</v>
      </c>
    </row>
    <row r="70" ht="44" customHeight="1">
      <c r="A70" s="18" t="inlineStr">
        <is>
          <t>85% market weight</t>
        </is>
      </c>
      <c r="B70" s="18" t="inlineStr">
        <is>
          <t>Legacy not recorded</t>
        </is>
      </c>
      <c r="C70" s="19">
        <v>20</v>
      </c>
    </row>
    <row r="71" ht="44" customHeight="1">
      <c r="A71" s="18" t="inlineStr">
        <is>
          <t>85% market weight</t>
        </is>
      </c>
      <c r="B71" s="18" t="inlineStr">
        <is>
          <t>Present but rejected</t>
        </is>
      </c>
      <c r="C71" s="19">
        <v>1</v>
      </c>
    </row>
    <row r="72" ht="44" customHeight="1">
      <c r="A72" s="18" t="inlineStr">
        <is>
          <t>Pinnacle totals anchor</t>
        </is>
      </c>
      <c r="B72" s="18" t="inlineStr">
        <is>
          <t>Captured</t>
        </is>
      </c>
      <c r="C72" s="19">
        <v>35</v>
      </c>
    </row>
    <row r="73" ht="44" customHeight="1">
      <c r="A73" s="18" t="inlineStr">
        <is>
          <t>Pinnacle totals anchor</t>
        </is>
      </c>
      <c r="B73" s="18" t="inlineStr">
        <is>
          <t>Legacy not recorded</t>
        </is>
      </c>
      <c r="C73" s="19">
        <v>21</v>
      </c>
    </row>
    <row r="74" ht="44" customHeight="1">
      <c r="A74" s="18" t="inlineStr">
        <is>
          <t>Stronger regularisation (L2=3)</t>
        </is>
      </c>
      <c r="B74" s="18" t="inlineStr">
        <is>
          <t>Legacy not recorded</t>
        </is>
      </c>
      <c r="C74" s="19">
        <v>56</v>
      </c>
    </row>
    <row r="75" ht="44" customHeight="1">
      <c r="A75" s="18" t="inlineStr">
        <is>
          <t>Fixed half-life (480 days)</t>
        </is>
      </c>
      <c r="B75" s="18" t="inlineStr">
        <is>
          <t>Legacy not recorded</t>
        </is>
      </c>
      <c r="C75" s="19">
        <v>56</v>
      </c>
    </row>
    <row r="76" ht="44" customHeight="1">
      <c r="A76" s="18" t="inlineStr">
        <is>
          <t>Probability / calibration policy</t>
        </is>
      </c>
      <c r="B76" s="18" t="inlineStr">
        <is>
          <t>Captured</t>
        </is>
      </c>
      <c r="C76" s="19">
        <v>15</v>
      </c>
    </row>
    <row r="77" ht="44" customHeight="1">
      <c r="A77" s="18" t="inlineStr">
        <is>
          <t>Probability / calibration policy</t>
        </is>
      </c>
      <c r="B77" s="18" t="inlineStr">
        <is>
          <t>Legacy not recorded</t>
        </is>
      </c>
      <c r="C77" s="19">
        <v>26</v>
      </c>
    </row>
    <row r="78" ht="44" customHeight="1">
      <c r="A78" s="18" t="inlineStr">
        <is>
          <t>Probability / calibration policy</t>
        </is>
      </c>
      <c r="B78" s="18" t="inlineStr">
        <is>
          <t>Not generated</t>
        </is>
      </c>
      <c r="C78" s="19">
        <v>14</v>
      </c>
    </row>
    <row r="79" ht="44" customHeight="1">
      <c r="A79" s="18" t="inlineStr">
        <is>
          <t>Probability / calibration policy</t>
        </is>
      </c>
      <c r="B79" s="18" t="inlineStr">
        <is>
          <t>Present but rejected</t>
        </is>
      </c>
      <c r="C79" s="19">
        <v>1</v>
      </c>
    </row>
    <row r="80" ht="44" customHeight="1">
      <c r="A80" s="18" t="inlineStr">
        <is>
          <t>Shortlist probability / EV weights</t>
        </is>
      </c>
      <c r="B80" s="18" t="inlineStr">
        <is>
          <t>Captured</t>
        </is>
      </c>
      <c r="C80" s="19">
        <v>7</v>
      </c>
    </row>
    <row r="81" ht="44" customHeight="1">
      <c r="A81" s="18" t="inlineStr">
        <is>
          <t>Shortlist probability / EV weights</t>
        </is>
      </c>
      <c r="B81" s="18" t="inlineStr">
        <is>
          <t>Legacy not recorded</t>
        </is>
      </c>
      <c r="C81" s="19">
        <v>35</v>
      </c>
    </row>
    <row r="82" ht="44" customHeight="1">
      <c r="A82" s="18" t="inlineStr">
        <is>
          <t>Shortlist probability / EV weights</t>
        </is>
      </c>
      <c r="B82" s="18" t="inlineStr">
        <is>
          <t>Not generated</t>
        </is>
      </c>
      <c r="C82" s="19">
        <v>14</v>
      </c>
    </row>
    <row r="85">
      <c r="A85" s="26" t="inlineStr">
        <is>
          <t>EV sensitivity results</t>
        </is>
      </c>
    </row>
    <row r="86" ht="34" customHeight="1">
      <c r="A86" s="24" t="inlineStr">
        <is>
          <t>EV floor</t>
        </is>
      </c>
      <c r="B86" s="24" t="inlineStr">
        <is>
          <t>Tier</t>
        </is>
      </c>
      <c r="C86" s="24" t="inlineStr">
        <is>
          <t>Selected</t>
        </is>
      </c>
      <c r="D86" s="24" t="inlineStr">
        <is>
          <t>Settled</t>
        </is>
      </c>
      <c r="E86" s="24" t="inlineStr">
        <is>
          <t>Simulated ROI</t>
        </is>
      </c>
      <c r="F86" s="24" t="inlineStr">
        <is>
          <t>Drawdown (units)</t>
        </is>
      </c>
    </row>
    <row r="87" ht="44" customHeight="1">
      <c r="A87" s="20">
        <v>0.015</v>
      </c>
      <c r="B87" s="18" t="inlineStr">
        <is>
          <t>ALL</t>
        </is>
      </c>
      <c r="C87" s="19">
        <v>9</v>
      </c>
      <c r="D87" s="19">
        <v>8</v>
      </c>
      <c r="E87" s="20">
        <v>0.1725</v>
      </c>
      <c r="F87" s="22">
        <v>1.0</v>
      </c>
    </row>
    <row r="88" ht="44" customHeight="1">
      <c r="A88" s="20">
        <v>0.015</v>
      </c>
      <c r="B88" s="18" t="inlineStr">
        <is>
          <t>STRICT</t>
        </is>
      </c>
      <c r="C88" s="19">
        <v>7</v>
      </c>
      <c r="D88" s="19">
        <v>6</v>
      </c>
      <c r="E88" s="20">
        <v>0.09833333333333331</v>
      </c>
      <c r="F88" s="22">
        <v>1.0</v>
      </c>
    </row>
    <row r="89" ht="44" customHeight="1">
      <c r="A89" s="20">
        <v>0.015</v>
      </c>
      <c r="B89" s="18" t="inlineStr">
        <is>
          <t>PROVISIONAL</t>
        </is>
      </c>
      <c r="C89" s="19">
        <v>2</v>
      </c>
      <c r="D89" s="19">
        <v>2</v>
      </c>
      <c r="E89" s="20">
        <v>0.395</v>
      </c>
      <c r="F89" s="22">
        <v>0.0</v>
      </c>
    </row>
    <row r="90" ht="44" customHeight="1">
      <c r="A90" s="20">
        <v>0.03</v>
      </c>
      <c r="B90" s="18" t="inlineStr">
        <is>
          <t>ALL</t>
        </is>
      </c>
      <c r="C90" s="19">
        <v>8</v>
      </c>
      <c r="D90" s="19">
        <v>7</v>
      </c>
      <c r="E90" s="20">
        <v>0.16285714285714284</v>
      </c>
      <c r="F90" s="22">
        <v>1.0</v>
      </c>
    </row>
    <row r="91" ht="44" customHeight="1">
      <c r="A91" s="20">
        <v>0.03</v>
      </c>
      <c r="B91" s="18" t="inlineStr">
        <is>
          <t>STRICT</t>
        </is>
      </c>
      <c r="C91" s="19">
        <v>6</v>
      </c>
      <c r="D91" s="19">
        <v>5</v>
      </c>
      <c r="E91" s="20">
        <v>0.06999999999999998</v>
      </c>
      <c r="F91" s="22">
        <v>1.0</v>
      </c>
    </row>
    <row r="92" ht="44" customHeight="1">
      <c r="A92" s="20">
        <v>0.03</v>
      </c>
      <c r="B92" s="18" t="inlineStr">
        <is>
          <t>PROVISIONAL</t>
        </is>
      </c>
      <c r="C92" s="19">
        <v>2</v>
      </c>
      <c r="D92" s="19">
        <v>2</v>
      </c>
      <c r="E92" s="20">
        <v>0.395</v>
      </c>
      <c r="F92" s="22">
        <v>0.0</v>
      </c>
    </row>
    <row r="93" ht="44" customHeight="1">
      <c r="A93" s="20">
        <v>0.05</v>
      </c>
      <c r="B93" s="18" t="inlineStr">
        <is>
          <t>ALL</t>
        </is>
      </c>
      <c r="C93" s="19">
        <v>7</v>
      </c>
      <c r="D93" s="19">
        <v>6</v>
      </c>
      <c r="E93" s="20">
        <v>0.14666666666666664</v>
      </c>
      <c r="F93" s="22">
        <v>1.0</v>
      </c>
    </row>
    <row r="94" ht="44" customHeight="1">
      <c r="A94" s="20">
        <v>0.05</v>
      </c>
      <c r="B94" s="18" t="inlineStr">
        <is>
          <t>STRICT</t>
        </is>
      </c>
      <c r="C94" s="19">
        <v>5</v>
      </c>
      <c r="D94" s="19">
        <v>5</v>
      </c>
      <c r="E94" s="20">
        <v>0.06999999999999998</v>
      </c>
      <c r="F94" s="22">
        <v>1.0</v>
      </c>
    </row>
    <row r="95" ht="44" customHeight="1">
      <c r="A95" s="20">
        <v>0.05</v>
      </c>
      <c r="B95" s="18" t="inlineStr">
        <is>
          <t>PROVISIONAL</t>
        </is>
      </c>
      <c r="C95" s="19">
        <v>2</v>
      </c>
      <c r="D95" s="19">
        <v>1</v>
      </c>
      <c r="E95" s="20">
        <v>0.53</v>
      </c>
      <c r="F95" s="22">
        <v>0.0</v>
      </c>
    </row>
    <row r="98">
      <c r="A98" s="26" t="inlineStr">
        <is>
          <t>Daily review observations</t>
        </is>
      </c>
    </row>
    <row r="99" ht="34" customHeight="1">
      <c r="A99" s="24" t="inlineStr">
        <is>
          <t>Review date</t>
        </is>
      </c>
      <c r="B99" s="24" t="inlineStr">
        <is>
          <t>Graded</t>
        </is>
      </c>
      <c r="C99" s="24" t="inlineStr">
        <is>
          <t>Win rate</t>
        </is>
      </c>
      <c r="D99" s="24" t="inlineStr">
        <is>
          <t>Simulated ROI</t>
        </is>
      </c>
      <c r="E99" s="24" t="inlineStr">
        <is>
          <t>Brier</t>
        </is>
      </c>
    </row>
    <row r="100" ht="44" customHeight="1">
      <c r="A100" s="18" t="inlineStr">
        <is>
          <t>2026-10-13</t>
        </is>
      </c>
      <c r="B100" s="19">
        <v>9</v>
      </c>
      <c r="C100" s="20">
        <v>0.666667</v>
      </c>
      <c r="D100" s="20">
        <v>-0.096667</v>
      </c>
      <c r="E100" s="21">
        <v>0.250532</v>
      </c>
    </row>
    <row r="101" ht="44" customHeight="1">
      <c r="A101" s="18" t="inlineStr">
        <is>
          <t>2026-10-14</t>
        </is>
      </c>
      <c r="B101" s="19">
        <v>11</v>
      </c>
      <c r="C101" s="20">
        <v>0.727273</v>
      </c>
      <c r="D101" s="20">
        <v>0.01</v>
      </c>
      <c r="E101" s="21">
        <v>0.215932</v>
      </c>
    </row>
    <row r="102" ht="44" customHeight="1">
      <c r="A102" s="18" t="inlineStr">
        <is>
          <t>2026-10-15</t>
        </is>
      </c>
      <c r="B102" s="19">
        <v>11</v>
      </c>
      <c r="C102" s="20">
        <v>0.727273</v>
      </c>
      <c r="D102" s="20">
        <v>0.01</v>
      </c>
      <c r="E102" s="21">
        <v>0.215932</v>
      </c>
    </row>
    <row r="103" ht="44" customHeight="1">
      <c r="A103" s="18" t="inlineStr">
        <is>
          <t>2026-10-16</t>
        </is>
      </c>
      <c r="B103" s="19">
        <v>12</v>
      </c>
      <c r="C103" s="20">
        <v>0.75</v>
      </c>
      <c r="D103" s="20">
        <v>0.031667</v>
      </c>
      <c r="E103" s="21">
        <v>0.199836</v>
      </c>
    </row>
    <row r="104" ht="44" customHeight="1">
      <c r="A104" s="18" t="inlineStr">
        <is>
          <t>2026-10-17</t>
        </is>
      </c>
      <c r="B104" s="19">
        <v>17</v>
      </c>
      <c r="C104" s="20">
        <v>0.764706</v>
      </c>
      <c r="D104" s="20">
        <v>0.044706</v>
      </c>
      <c r="E104" s="21">
        <v>0.178798</v>
      </c>
    </row>
    <row r="105" ht="44" customHeight="1">
      <c r="A105" s="18" t="inlineStr">
        <is>
          <t>2026-10-18</t>
        </is>
      </c>
      <c r="B105" s="19">
        <v>26</v>
      </c>
      <c r="C105" s="20">
        <v>0.807692</v>
      </c>
      <c r="D105" s="20">
        <v>0.108077</v>
      </c>
      <c r="E105" s="21">
        <v>0.161003</v>
      </c>
    </row>
    <row r="106" ht="44" customHeight="1">
      <c r="A106" s="18" t="inlineStr">
        <is>
          <t>2026-10-19</t>
        </is>
      </c>
      <c r="B106" s="19">
        <v>30</v>
      </c>
      <c r="C106" s="20">
        <v>0.733333</v>
      </c>
      <c r="D106" s="20">
        <v>0.011333</v>
      </c>
      <c r="E106" s="21">
        <v>0.175695</v>
      </c>
    </row>
    <row r="107" ht="44" customHeight="1">
      <c r="A107" s="18" t="inlineStr">
        <is>
          <t>2026-10-20</t>
        </is>
      </c>
      <c r="B107" s="19">
        <v>30</v>
      </c>
      <c r="C107" s="20">
        <v>0.733333</v>
      </c>
      <c r="D107" s="20">
        <v>0.011333</v>
      </c>
      <c r="E107" s="21">
        <v>0.175695</v>
      </c>
    </row>
    <row r="108" ht="44" customHeight="1">
      <c r="A108" s="18" t="inlineStr">
        <is>
          <t>2026-10-21</t>
        </is>
      </c>
      <c r="B108" s="19">
        <v>38</v>
      </c>
      <c r="C108" s="20">
        <v>0.736842</v>
      </c>
      <c r="D108" s="20">
        <v>0.011316</v>
      </c>
      <c r="E108" s="21">
        <v>0.176926</v>
      </c>
    </row>
    <row r="109" ht="44" customHeight="1">
      <c r="A109" s="18" t="inlineStr">
        <is>
          <t>2026-10-22</t>
        </is>
      </c>
      <c r="B109" s="19">
        <v>38</v>
      </c>
      <c r="C109" s="20">
        <v>0.736842</v>
      </c>
      <c r="D109" s="20">
        <v>0.011316</v>
      </c>
      <c r="E109" s="21">
        <v>0.176926</v>
      </c>
    </row>
    <row r="110" ht="44" customHeight="1">
      <c r="A110" s="18" t="inlineStr">
        <is>
          <t>2026-10-23</t>
        </is>
      </c>
      <c r="B110" s="19">
        <v>40</v>
      </c>
      <c r="C110" s="20">
        <v>0.75</v>
      </c>
      <c r="D110" s="20">
        <v>0.03125</v>
      </c>
      <c r="E110" s="21">
        <v>0.169745</v>
      </c>
    </row>
    <row r="111" ht="44" customHeight="1">
      <c r="A111" s="18" t="inlineStr">
        <is>
          <t>2026-10-24</t>
        </is>
      </c>
      <c r="B111" s="19">
        <v>40</v>
      </c>
      <c r="C111" s="20">
        <v>0.75</v>
      </c>
      <c r="D111" s="20">
        <v>0.03125</v>
      </c>
      <c r="E111" s="21">
        <v>0.169745</v>
      </c>
    </row>
    <row r="112" ht="44" customHeight="1">
      <c r="A112" s="18" t="inlineStr">
        <is>
          <t>2026-10-25</t>
        </is>
      </c>
      <c r="B112" s="19">
        <v>59</v>
      </c>
      <c r="C112" s="20">
        <v>0.762712</v>
      </c>
      <c r="D112" s="20">
        <v>0.05678</v>
      </c>
      <c r="E112" s="21">
        <v>0.154528</v>
      </c>
    </row>
    <row r="113" ht="44" customHeight="1">
      <c r="A113" s="18" t="inlineStr">
        <is>
          <t>2026-10-26</t>
        </is>
      </c>
      <c r="B113" s="19">
        <v>59</v>
      </c>
      <c r="C113" s="20">
        <v>0.762712</v>
      </c>
      <c r="D113" s="20">
        <v>0.05678</v>
      </c>
      <c r="E113" s="21">
        <v>0.154528</v>
      </c>
    </row>
    <row r="114" ht="44" customHeight="1">
      <c r="A114" s="18" t="inlineStr">
        <is>
          <t>2026-10-27</t>
        </is>
      </c>
      <c r="B114" s="19">
        <v>60</v>
      </c>
      <c r="C114" s="20">
        <v>0.766667</v>
      </c>
      <c r="D114" s="20">
        <v>0.064667</v>
      </c>
      <c r="E114" s="21">
        <v>0.153157</v>
      </c>
    </row>
    <row r="115" ht="44" customHeight="1">
      <c r="A115" s="18" t="inlineStr">
        <is>
          <t>2026-10-28</t>
        </is>
      </c>
      <c r="B115" s="19">
        <v>61</v>
      </c>
      <c r="C115" s="20">
        <v>0.754098</v>
      </c>
      <c r="D115" s="20">
        <v>0.063607</v>
      </c>
      <c r="E115" s="21">
        <v>0.151455</v>
      </c>
    </row>
    <row r="118">
      <c r="A118" s="26" t="inlineStr">
        <is>
          <t>Dependency versions</t>
        </is>
      </c>
    </row>
    <row r="119" ht="34" customHeight="1">
      <c r="A119" s="24" t="inlineStr">
        <is>
          <t>Dependency</t>
        </is>
      </c>
      <c r="B119" s="24" t="inlineStr">
        <is>
          <t>Version</t>
        </is>
      </c>
    </row>
    <row r="120" ht="44" customHeight="1">
      <c r="A120" s="18" t="inlineStr">
        <is>
          <t>PyYAML</t>
        </is>
      </c>
      <c r="B120" s="18" t="inlineStr">
        <is>
          <t>NOT_INSTALLED</t>
        </is>
      </c>
    </row>
    <row r="121" ht="44" customHeight="1">
      <c r="A121" s="18" t="inlineStr">
        <is>
          <t>coverage</t>
        </is>
      </c>
      <c r="B121" s="18" t="inlineStr">
        <is>
          <t>NOT_INSTALLED</t>
        </is>
      </c>
    </row>
    <row r="122" ht="44" customHeight="1">
      <c r="A122" s="18" t="inlineStr">
        <is>
          <t>numpy</t>
        </is>
      </c>
      <c r="B122" s="18" t="inlineStr">
        <is>
          <t>2.5.4</t>
        </is>
      </c>
    </row>
    <row r="123" ht="44" customHeight="1">
      <c r="A123" s="18" t="inlineStr">
        <is>
          <t>pandas</t>
        </is>
      </c>
      <c r="B123" s="18" t="inlineStr">
        <is>
          <t>3.1.0</t>
        </is>
      </c>
    </row>
    <row r="124" ht="44" customHeight="1">
      <c r="A124" s="18" t="inlineStr">
        <is>
          <t>python</t>
        </is>
      </c>
      <c r="B124" s="18" t="inlineStr">
        <is>
          <t>3.12.15</t>
        </is>
      </c>
    </row>
    <row r="125" ht="44" customHeight="1">
      <c r="A125" s="18" t="inlineStr">
        <is>
          <t>python-dotenv</t>
        </is>
      </c>
      <c r="B125" s="18" t="inlineStr">
        <is>
          <t>1.2.4</t>
        </is>
      </c>
    </row>
    <row r="126" ht="44" customHeight="1">
      <c r="A126" s="18" t="inlineStr">
        <is>
          <t>rapidfuzz</t>
        </is>
      </c>
      <c r="B126" s="18" t="inlineStr">
        <is>
          <t>3.14.6</t>
        </is>
      </c>
    </row>
    <row r="127" ht="44" customHeight="1">
      <c r="A127" s="18" t="inlineStr">
        <is>
          <t>requests</t>
        </is>
      </c>
      <c r="B127" s="18" t="inlineStr">
        <is>
          <t>2.34.2</t>
        </is>
      </c>
    </row>
    <row r="128" ht="44" customHeight="1">
      <c r="A128" s="18" t="inlineStr">
        <is>
          <t>scipy</t>
        </is>
      </c>
      <c r="B128" s="18" t="inlineStr">
        <is>
          <t>1.18.1</t>
        </is>
      </c>
    </row>
    <row r="131">
      <c r="A131" s="31" t="inlineStr">
        <is>
          <t>Back to dashboard</t>
        </is>
      </c>
    </row>
  </sheetData>
  <mergeCells count="12">
    <mergeCell ref="A2:F2"/>
    <mergeCell ref="A4:F4"/>
    <mergeCell ref="A5:F5"/>
    <mergeCell ref="A7:F7"/>
    <mergeCell ref="A21:F21"/>
    <mergeCell ref="A35:F35"/>
    <mergeCell ref="A42:F42"/>
    <mergeCell ref="A44:F44"/>
    <mergeCell ref="A58:F58"/>
    <mergeCell ref="A85:F85"/>
    <mergeCell ref="A98:F98"/>
    <mergeCell ref="A118:F118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E15">
    <cfRule type="expression" priority="101" dxfId="4">
      <formula>OR(E15="Stale",E15="Source unavailable",E15="Refresh failed")</formula>
    </cfRule>
    <cfRule type="expression" priority="102" dxfId="3">
      <formula>OR(E15="Result date only not completeness verified")</formula>
    </cfRule>
  </conditionalFormatting>
  <conditionalFormatting sqref="E16">
    <cfRule type="expression" priority="101" dxfId="4">
      <formula>OR(E16="Stale",E16="Source unavailable",E16="Refresh failed")</formula>
    </cfRule>
    <cfRule type="expression" priority="102" dxfId="3">
      <formula>OR(E16="Result date only not completeness verified")</formula>
    </cfRule>
  </conditionalFormatting>
  <conditionalFormatting sqref="E17">
    <cfRule type="expression" priority="101" dxfId="4">
      <formula>OR(E17="Stale",E17="Source unavailable",E17="Refresh failed")</formula>
    </cfRule>
    <cfRule type="expression" priority="102" dxfId="3">
      <formula>OR(E17="Result date only not completeness verified")</formula>
    </cfRule>
  </conditionalFormatting>
  <conditionalFormatting sqref="E18">
    <cfRule type="expression" priority="101" dxfId="4">
      <formula>OR(E18="Stale",E18="Source unavailable",E18="Refresh failed")</formula>
    </cfRule>
    <cfRule type="expression" priority="102" dxfId="3">
      <formula>OR(E18="Result date only not completeness verified")</formula>
    </cfRule>
  </conditionalFormatting>
  <conditionalFormatting sqref="B60">
    <cfRule type="expression" priority="101" dxfId="4">
      <formula>OR(B60="Capture failed",B60="Invalid",B60="Hash mismatch")</formula>
    </cfRule>
    <cfRule type="expression" priority="102" dxfId="3">
      <formula>OR(B60="Legacy not recorded",B60="Missing",B60="Not captured")</formula>
    </cfRule>
  </conditionalFormatting>
  <conditionalFormatting sqref="B61">
    <cfRule type="expression" priority="101" dxfId="4">
      <formula>OR(B61="Capture failed",B61="Invalid",B61="Hash mismatch")</formula>
    </cfRule>
    <cfRule type="expression" priority="102" dxfId="3">
      <formula>OR(B61="Legacy not recorded",B61="Missing",B61="Not captured")</formula>
    </cfRule>
  </conditionalFormatting>
  <conditionalFormatting sqref="B62">
    <cfRule type="expression" priority="101" dxfId="4">
      <formula>OR(B62="Capture failed",B62="Invalid",B62="Hash mismatch")</formula>
    </cfRule>
    <cfRule type="expression" priority="102" dxfId="3">
      <formula>OR(B62="Legacy not recorded",B62="Missing",B62="Not captured")</formula>
    </cfRule>
  </conditionalFormatting>
  <conditionalFormatting sqref="B63">
    <cfRule type="expression" priority="101" dxfId="4">
      <formula>OR(B63="Capture failed",B63="Invalid",B63="Hash mismatch")</formula>
    </cfRule>
    <cfRule type="expression" priority="102" dxfId="3">
      <formula>OR(B63="Legacy not recorded",B63="Missing",B63="Not captured")</formula>
    </cfRule>
  </conditionalFormatting>
  <conditionalFormatting sqref="B64">
    <cfRule type="expression" priority="101" dxfId="4">
      <formula>OR(B64="Capture failed",B64="Invalid",B64="Hash mismatch")</formula>
    </cfRule>
    <cfRule type="expression" priority="102" dxfId="3">
      <formula>OR(B64="Legacy not recorded",B64="Missing",B64="Not captured")</formula>
    </cfRule>
  </conditionalFormatting>
  <conditionalFormatting sqref="B65">
    <cfRule type="expression" priority="101" dxfId="4">
      <formula>OR(B65="Capture failed",B65="Invalid",B65="Hash mismatch")</formula>
    </cfRule>
    <cfRule type="expression" priority="102" dxfId="3">
      <formula>OR(B65="Legacy not recorded",B65="Missing",B65="Not captured")</formula>
    </cfRule>
  </conditionalFormatting>
  <conditionalFormatting sqref="B66">
    <cfRule type="expression" priority="101" dxfId="4">
      <formula>OR(B66="Capture failed",B66="Invalid",B66="Hash mismatch")</formula>
    </cfRule>
    <cfRule type="expression" priority="102" dxfId="3">
      <formula>OR(B66="Legacy not recorded",B66="Missing",B66="Not captured")</formula>
    </cfRule>
  </conditionalFormatting>
  <conditionalFormatting sqref="B67">
    <cfRule type="expression" priority="101" dxfId="4">
      <formula>OR(B67="Capture failed",B67="Invalid",B67="Hash mismatch")</formula>
    </cfRule>
    <cfRule type="expression" priority="102" dxfId="3">
      <formula>OR(B67="Legacy not recorded",B67="Missing",B67="Not captured")</formula>
    </cfRule>
  </conditionalFormatting>
  <conditionalFormatting sqref="B68">
    <cfRule type="expression" priority="101" dxfId="4">
      <formula>OR(B68="Capture failed",B68="Invalid",B68="Hash mismatch")</formula>
    </cfRule>
    <cfRule type="expression" priority="102" dxfId="3">
      <formula>OR(B68="Legacy not recorded",B68="Missing",B68="Not captured")</formula>
    </cfRule>
  </conditionalFormatting>
  <conditionalFormatting sqref="B69">
    <cfRule type="expression" priority="101" dxfId="4">
      <formula>OR(B69="Capture failed",B69="Invalid",B69="Hash mismatch")</formula>
    </cfRule>
    <cfRule type="expression" priority="102" dxfId="3">
      <formula>OR(B69="Legacy not recorded",B69="Missing",B69="Not captured")</formula>
    </cfRule>
  </conditionalFormatting>
  <conditionalFormatting sqref="B70">
    <cfRule type="expression" priority="101" dxfId="4">
      <formula>OR(B70="Capture failed",B70="Invalid",B70="Hash mismatch")</formula>
    </cfRule>
    <cfRule type="expression" priority="102" dxfId="3">
      <formula>OR(B70="Legacy not recorded",B70="Missing",B70="Not captured")</formula>
    </cfRule>
  </conditionalFormatting>
  <conditionalFormatting sqref="B71">
    <cfRule type="expression" priority="101" dxfId="4">
      <formula>OR(B71="Capture failed",B71="Invalid",B71="Hash mismatch")</formula>
    </cfRule>
    <cfRule type="expression" priority="102" dxfId="3">
      <formula>OR(B71="Legacy not recorded",B71="Missing",B71="Not captured")</formula>
    </cfRule>
  </conditionalFormatting>
  <conditionalFormatting sqref="B72">
    <cfRule type="expression" priority="101" dxfId="4">
      <formula>OR(B72="Capture failed",B72="Invalid",B72="Hash mismatch")</formula>
    </cfRule>
    <cfRule type="expression" priority="102" dxfId="3">
      <formula>OR(B72="Legacy not recorded",B72="Missing",B72="Not captured")</formula>
    </cfRule>
  </conditionalFormatting>
  <conditionalFormatting sqref="B73">
    <cfRule type="expression" priority="101" dxfId="4">
      <formula>OR(B73="Capture failed",B73="Invalid",B73="Hash mismatch")</formula>
    </cfRule>
    <cfRule type="expression" priority="102" dxfId="3">
      <formula>OR(B73="Legacy not recorded",B73="Missing",B73="Not captured")</formula>
    </cfRule>
  </conditionalFormatting>
  <conditionalFormatting sqref="B74">
    <cfRule type="expression" priority="101" dxfId="4">
      <formula>OR(B74="Capture failed",B74="Invalid",B74="Hash mismatch")</formula>
    </cfRule>
    <cfRule type="expression" priority="102" dxfId="3">
      <formula>OR(B74="Legacy not recorded",B74="Missing",B74="Not captured")</formula>
    </cfRule>
  </conditionalFormatting>
  <conditionalFormatting sqref="B75">
    <cfRule type="expression" priority="101" dxfId="4">
      <formula>OR(B75="Capture failed",B75="Invalid",B75="Hash mismatch")</formula>
    </cfRule>
    <cfRule type="expression" priority="102" dxfId="3">
      <formula>OR(B75="Legacy not recorded",B75="Missing",B75="Not captured")</formula>
    </cfRule>
  </conditionalFormatting>
  <conditionalFormatting sqref="B76">
    <cfRule type="expression" priority="101" dxfId="4">
      <formula>OR(B76="Capture failed",B76="Invalid",B76="Hash mismatch")</formula>
    </cfRule>
    <cfRule type="expression" priority="102" dxfId="3">
      <formula>OR(B76="Legacy not recorded",B76="Missing",B76="Not captured")</formula>
    </cfRule>
  </conditionalFormatting>
  <conditionalFormatting sqref="B77">
    <cfRule type="expression" priority="101" dxfId="4">
      <formula>OR(B77="Capture failed",B77="Invalid",B77="Hash mismatch")</formula>
    </cfRule>
    <cfRule type="expression" priority="102" dxfId="3">
      <formula>OR(B77="Legacy not recorded",B77="Missing",B77="Not captured")</formula>
    </cfRule>
  </conditionalFormatting>
  <conditionalFormatting sqref="B78">
    <cfRule type="expression" priority="101" dxfId="4">
      <formula>OR(B78="Capture failed",B78="Invalid",B78="Hash mismatch")</formula>
    </cfRule>
    <cfRule type="expression" priority="102" dxfId="3">
      <formula>OR(B78="Legacy not recorded",B78="Missing",B78="Not captured")</formula>
    </cfRule>
  </conditionalFormatting>
  <conditionalFormatting sqref="B79">
    <cfRule type="expression" priority="101" dxfId="4">
      <formula>OR(B79="Capture failed",B79="Invalid",B79="Hash mismatch")</formula>
    </cfRule>
    <cfRule type="expression" priority="102" dxfId="3">
      <formula>OR(B79="Legacy not recorded",B79="Missing",B79="Not captured")</formula>
    </cfRule>
  </conditionalFormatting>
  <conditionalFormatting sqref="B80">
    <cfRule type="expression" priority="101" dxfId="4">
      <formula>OR(B80="Capture failed",B80="Invalid",B80="Hash mismatch")</formula>
    </cfRule>
    <cfRule type="expression" priority="102" dxfId="3">
      <formula>OR(B80="Legacy not recorded",B80="Missing",B80="Not captured")</formula>
    </cfRule>
  </conditionalFormatting>
  <conditionalFormatting sqref="B81">
    <cfRule type="expression" priority="101" dxfId="4">
      <formula>OR(B81="Capture failed",B81="Invalid",B81="Hash mismatch")</formula>
    </cfRule>
    <cfRule type="expression" priority="102" dxfId="3">
      <formula>OR(B81="Legacy not recorded",B81="Missing",B81="Not captured")</formula>
    </cfRule>
  </conditionalFormatting>
  <conditionalFormatting sqref="B82">
    <cfRule type="expression" priority="101" dxfId="4">
      <formula>OR(B82="Capture failed",B82="Invalid",B82="Hash mismatch")</formula>
    </cfRule>
    <cfRule type="expression" priority="102" dxfId="3">
      <formula>OR(B82="Legacy not recorded",B82="Missing",B82="Not captured")</formula>
    </cfRule>
  </conditionalFormatting>
  <hyperlinks>
    <hyperlink ref="A131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  <row r="42" ht="56" customHeight="1">
      <c r="A42" s="18" t="inlineStr">
        <is>
          <t>f7295b8c0c24a17c573629dd27429b0b04eadbc1</t>
        </is>
      </c>
      <c r="B42" s="18" t="inlineStr">
        <is>
          <t>2026-10-19T11:20:39Z</t>
        </is>
      </c>
      <c r="C42" s="18" t="inlineStr">
        <is>
          <t>CAPTURED</t>
        </is>
      </c>
      <c r="D42" s="18" t="inlineStr">
        <is>
          <t>CAPTURED</t>
        </is>
      </c>
      <c r="E42" s="18" t="inlineStr">
        <is>
          <t>CAPTURED</t>
        </is>
      </c>
      <c r="F42" s="18" t="inlineStr">
        <is>
          <t>CAPTURED</t>
        </is>
      </c>
      <c r="G42" s="18" t="inlineStr">
        <is>
          <t>CAPTURED</t>
        </is>
      </c>
      <c r="H42" s="18" t="inlineStr">
        <is>
          <t>CAPTURED</t>
        </is>
      </c>
      <c r="I42" s="18" t="inlineStr">
        <is>
          <t>LEGACY_NOT_RECORDED</t>
        </is>
      </c>
      <c r="J42" s="18" t="inlineStr">
        <is>
          <t>LEGACY_NOT_RECORDED</t>
        </is>
      </c>
      <c r="K42" s="18" t="inlineStr">
        <is>
          <t>CAPTURED</t>
        </is>
      </c>
      <c r="L42" s="18" t="inlineStr">
        <is>
          <t>CAPTURED</t>
        </is>
      </c>
    </row>
    <row r="43" ht="56" customHeight="1">
      <c r="A43" s="18" t="inlineStr">
        <is>
          <t>ca1e126489f9dedd7d4f5072a6bfa57835dec39c</t>
        </is>
      </c>
      <c r="B43" s="18" t="inlineStr">
        <is>
          <t>2026-10-19T13:00:42Z</t>
        </is>
      </c>
      <c r="C43" s="18" t="inlineStr">
        <is>
          <t>CAPTURED</t>
        </is>
      </c>
      <c r="D43" s="18" t="inlineStr">
        <is>
          <t>CAPTURED</t>
        </is>
      </c>
      <c r="E43" s="18" t="inlineStr">
        <is>
          <t>CAPTURED</t>
        </is>
      </c>
      <c r="F43" s="18" t="inlineStr">
        <is>
          <t>CAPTURED</t>
        </is>
      </c>
      <c r="G43" s="18" t="inlineStr">
        <is>
          <t>CAPTURED</t>
        </is>
      </c>
      <c r="H43" s="18" t="inlineStr">
        <is>
          <t>CAPTURED</t>
        </is>
      </c>
      <c r="I43" s="18" t="inlineStr">
        <is>
          <t>LEGACY_NOT_RECORDED</t>
        </is>
      </c>
      <c r="J43" s="18" t="inlineStr">
        <is>
          <t>LEGACY_NOT_RECORDED</t>
        </is>
      </c>
      <c r="K43" s="18" t="inlineStr">
        <is>
          <t>CAPTURED</t>
        </is>
      </c>
      <c r="L43" s="18" t="inlineStr">
        <is>
          <t>CAPTURED</t>
        </is>
      </c>
    </row>
    <row r="44" ht="56" customHeight="1">
      <c r="A44" s="18" t="inlineStr">
        <is>
          <t>a18515a42a8daaed253da4026cd3842636af06e7</t>
        </is>
      </c>
      <c r="B44" s="18" t="inlineStr">
        <is>
          <t>2026-10-19T16:41:24Z</t>
        </is>
      </c>
      <c r="C44" s="18" t="inlineStr">
        <is>
          <t>CAPTURED</t>
        </is>
      </c>
      <c r="D44" s="18" t="inlineStr">
        <is>
          <t>CAPTURED</t>
        </is>
      </c>
      <c r="E44" s="18" t="inlineStr">
        <is>
          <t>CAPTURED</t>
        </is>
      </c>
      <c r="F44" s="18" t="inlineStr">
        <is>
          <t>CAPTURED</t>
        </is>
      </c>
      <c r="G44" s="18" t="inlineStr">
        <is>
          <t>CAPTURED</t>
        </is>
      </c>
      <c r="H44" s="18" t="inlineStr">
        <is>
          <t>CAPTURED</t>
        </is>
      </c>
      <c r="I44" s="18" t="inlineStr">
        <is>
          <t>LEGACY_NOT_RECORDED</t>
        </is>
      </c>
      <c r="J44" s="18" t="inlineStr">
        <is>
          <t>LEGACY_NOT_RECORDED</t>
        </is>
      </c>
      <c r="K44" s="18" t="inlineStr">
        <is>
          <t>CAPTURED</t>
        </is>
      </c>
      <c r="L44" s="18" t="inlineStr">
        <is>
          <t>CAPTURED</t>
        </is>
      </c>
    </row>
    <row r="45" ht="56" customHeight="1">
      <c r="A45" s="18" t="inlineStr">
        <is>
          <t>e93027ea804f64efe276f7e7fc3db8013e20cb3e</t>
        </is>
      </c>
      <c r="B45" s="18" t="inlineStr">
        <is>
          <t>2026-10-22T10:58:33Z</t>
        </is>
      </c>
      <c r="C45" s="18" t="inlineStr">
        <is>
          <t>CAPTURED</t>
        </is>
      </c>
      <c r="D45" s="18" t="inlineStr">
        <is>
          <t>CAPTURED</t>
        </is>
      </c>
      <c r="E45" s="18" t="inlineStr">
        <is>
          <t>CAPTURED</t>
        </is>
      </c>
      <c r="F45" s="18" t="inlineStr">
        <is>
          <t>CAPTURED</t>
        </is>
      </c>
      <c r="G45" s="18" t="inlineStr">
        <is>
          <t>CAPTURED</t>
        </is>
      </c>
      <c r="H45" s="18" t="inlineStr">
        <is>
          <t>CAPTURED</t>
        </is>
      </c>
      <c r="I45" s="18" t="inlineStr">
        <is>
          <t>LEGACY_NOT_RECORDED</t>
        </is>
      </c>
      <c r="J45" s="18" t="inlineStr">
        <is>
          <t>LEGACY_NOT_RECORDED</t>
        </is>
      </c>
      <c r="K45" s="18" t="inlineStr">
        <is>
          <t>CAPTURED</t>
        </is>
      </c>
      <c r="L45" s="18" t="inlineStr">
        <is>
          <t>CAPTURED</t>
        </is>
      </c>
    </row>
    <row r="46" ht="56" customHeight="1">
      <c r="A46" s="18" t="inlineStr">
        <is>
          <t>4c569effb9e7261783c7d1cc1a5b93cb0f40d309</t>
        </is>
      </c>
      <c r="B46" s="18" t="inlineStr">
        <is>
          <t>2026-10-22T10:58:33Z</t>
        </is>
      </c>
      <c r="C46" s="18" t="inlineStr">
        <is>
          <t>CAPTURED</t>
        </is>
      </c>
      <c r="D46" s="18" t="inlineStr">
        <is>
          <t>CAPTURED</t>
        </is>
      </c>
      <c r="E46" s="18" t="inlineStr">
        <is>
          <t>CAPTURED</t>
        </is>
      </c>
      <c r="F46" s="18" t="inlineStr">
        <is>
          <t>CAPTURED</t>
        </is>
      </c>
      <c r="G46" s="18" t="inlineStr">
        <is>
          <t>CAPTURED</t>
        </is>
      </c>
      <c r="H46" s="18" t="inlineStr">
        <is>
          <t>CAPTURED</t>
        </is>
      </c>
      <c r="I46" s="18" t="inlineStr">
        <is>
          <t>LEGACY_NOT_RECORDED</t>
        </is>
      </c>
      <c r="J46" s="18" t="inlineStr">
        <is>
          <t>LEGACY_NOT_RECORDED</t>
        </is>
      </c>
      <c r="K46" s="18" t="inlineStr">
        <is>
          <t>CAPTURED</t>
        </is>
      </c>
      <c r="L46" s="18" t="inlineStr">
        <is>
          <t>CAPTURED</t>
        </is>
      </c>
    </row>
    <row r="47" ht="56" customHeight="1">
      <c r="A47" s="18" t="inlineStr">
        <is>
          <t>4613e5b8880d2d0ce751532e86eacc4600631a47</t>
        </is>
      </c>
      <c r="B47" s="18" t="inlineStr">
        <is>
          <t>2026-10-22T10:58:33Z</t>
        </is>
      </c>
      <c r="C47" s="18" t="inlineStr">
        <is>
          <t>CAPTURED</t>
        </is>
      </c>
      <c r="D47" s="18" t="inlineStr">
        <is>
          <t>CAPTURED</t>
        </is>
      </c>
      <c r="E47" s="18" t="inlineStr">
        <is>
          <t>CAPTURED</t>
        </is>
      </c>
      <c r="F47" s="18" t="inlineStr">
        <is>
          <t>CAPTURED</t>
        </is>
      </c>
      <c r="G47" s="18" t="inlineStr">
        <is>
          <t>CAPTURED</t>
        </is>
      </c>
      <c r="H47" s="18" t="inlineStr">
        <is>
          <t>CAPTURED</t>
        </is>
      </c>
      <c r="I47" s="18" t="inlineStr">
        <is>
          <t>LEGACY_NOT_RECORDED</t>
        </is>
      </c>
      <c r="J47" s="18" t="inlineStr">
        <is>
          <t>LEGACY_NOT_RECORDED</t>
        </is>
      </c>
      <c r="K47" s="18" t="inlineStr">
        <is>
          <t>CAPTURED</t>
        </is>
      </c>
      <c r="L47" s="18" t="inlineStr">
        <is>
          <t>CAPTURED</t>
        </is>
      </c>
    </row>
    <row r="48" ht="56" customHeight="1">
      <c r="A48" s="18" t="inlineStr">
        <is>
          <t>d737a7a239cba647c6a18877351a8ec1e81a6350</t>
        </is>
      </c>
      <c r="B48" s="18" t="inlineStr">
        <is>
          <t>2026-10-22T10:58:33Z</t>
        </is>
      </c>
      <c r="C48" s="18" t="inlineStr">
        <is>
          <t>CAPTURED</t>
        </is>
      </c>
      <c r="D48" s="18" t="inlineStr">
        <is>
          <t>CAPTURED</t>
        </is>
      </c>
      <c r="E48" s="18" t="inlineStr">
        <is>
          <t>CAPTURED</t>
        </is>
      </c>
      <c r="F48" s="18" t="inlineStr">
        <is>
          <t>NOT_GENERATED</t>
        </is>
      </c>
      <c r="G48" s="18" t="inlineStr">
        <is>
          <t>CAPTURED</t>
        </is>
      </c>
      <c r="H48" s="18" t="inlineStr">
        <is>
          <t>CAPTURED</t>
        </is>
      </c>
      <c r="I48" s="18" t="inlineStr">
        <is>
          <t>LEGACY_NOT_RECORDED</t>
        </is>
      </c>
      <c r="J48" s="18" t="inlineStr">
        <is>
          <t>LEGACY_NOT_RECORDED</t>
        </is>
      </c>
      <c r="K48" s="18" t="inlineStr">
        <is>
          <t>NOT_GENERATED</t>
        </is>
      </c>
      <c r="L48" s="18" t="inlineStr">
        <is>
          <t>NOT_GENERATED</t>
        </is>
      </c>
    </row>
    <row r="49" ht="56" customHeight="1">
      <c r="A49" s="18" t="inlineStr">
        <is>
          <t>93aabf61cc3a55fc007e1e56dcfc8baa6ebe3dd6</t>
        </is>
      </c>
      <c r="B49" s="18" t="inlineStr">
        <is>
          <t>2026-10-22T10:58:33Z</t>
        </is>
      </c>
      <c r="C49" s="18" t="inlineStr">
        <is>
          <t>CAPTURED</t>
        </is>
      </c>
      <c r="D49" s="18" t="inlineStr">
        <is>
          <t>CAPTURED</t>
        </is>
      </c>
      <c r="E49" s="18" t="inlineStr">
        <is>
          <t>CAPTURED</t>
        </is>
      </c>
      <c r="F49" s="18" t="inlineStr">
        <is>
          <t>NOT_GENERATED</t>
        </is>
      </c>
      <c r="G49" s="18" t="inlineStr">
        <is>
          <t>CAPTURED</t>
        </is>
      </c>
      <c r="H49" s="18" t="inlineStr">
        <is>
          <t>CAPTURED</t>
        </is>
      </c>
      <c r="I49" s="18" t="inlineStr">
        <is>
          <t>LEGACY_NOT_RECORDED</t>
        </is>
      </c>
      <c r="J49" s="18" t="inlineStr">
        <is>
          <t>LEGACY_NOT_RECORDED</t>
        </is>
      </c>
      <c r="K49" s="18" t="inlineStr">
        <is>
          <t>NOT_GENERATED</t>
        </is>
      </c>
      <c r="L49" s="18" t="inlineStr">
        <is>
          <t>NOT_GENERATED</t>
        </is>
      </c>
    </row>
    <row r="50" ht="56" customHeight="1">
      <c r="A50" s="18" t="inlineStr">
        <is>
          <t>0117b0e0fe09a0266deb28e532f2ad9e4f4da47a</t>
        </is>
      </c>
      <c r="B50" s="18" t="inlineStr">
        <is>
          <t>2026-10-23T10:23:48Z</t>
        </is>
      </c>
      <c r="C50" s="18" t="inlineStr">
        <is>
          <t>CAPTURED</t>
        </is>
      </c>
      <c r="D50" s="18" t="inlineStr">
        <is>
          <t>CAPTURED</t>
        </is>
      </c>
      <c r="E50" s="18" t="inlineStr">
        <is>
          <t>CAPTURED</t>
        </is>
      </c>
      <c r="F50" s="18" t="inlineStr">
        <is>
          <t>NOT_GENERATED</t>
        </is>
      </c>
      <c r="G50" s="18" t="inlineStr">
        <is>
          <t>CAPTURED</t>
        </is>
      </c>
      <c r="H50" s="18" t="inlineStr">
        <is>
          <t>CAPTURED</t>
        </is>
      </c>
      <c r="I50" s="18" t="inlineStr">
        <is>
          <t>LEGACY_NOT_RECORDED</t>
        </is>
      </c>
      <c r="J50" s="18" t="inlineStr">
        <is>
          <t>LEGACY_NOT_RECORDED</t>
        </is>
      </c>
      <c r="K50" s="18" t="inlineStr">
        <is>
          <t>NOT_GENERATED</t>
        </is>
      </c>
      <c r="L50" s="18" t="inlineStr">
        <is>
          <t>NOT_GENERATED</t>
        </is>
      </c>
    </row>
    <row r="51" ht="56" customHeight="1">
      <c r="A51" s="18" t="inlineStr">
        <is>
          <t>10a7df008090a45923c14f3c84ec260b147ea047</t>
        </is>
      </c>
      <c r="B51" s="18" t="inlineStr">
        <is>
          <t>2026-10-23T14:56:42Z</t>
        </is>
      </c>
      <c r="C51" s="18" t="inlineStr">
        <is>
          <t>CAPTURED</t>
        </is>
      </c>
      <c r="D51" s="18" t="inlineStr">
        <is>
          <t>CAPTURED</t>
        </is>
      </c>
      <c r="E51" s="18" t="inlineStr">
        <is>
          <t>CAPTURED</t>
        </is>
      </c>
      <c r="F51" s="18" t="inlineStr">
        <is>
          <t>NOT_GENERATED</t>
        </is>
      </c>
      <c r="G51" s="18" t="inlineStr">
        <is>
          <t>CAPTURED</t>
        </is>
      </c>
      <c r="H51" s="18" t="inlineStr">
        <is>
          <t>CAPTURED</t>
        </is>
      </c>
      <c r="I51" s="18" t="inlineStr">
        <is>
          <t>LEGACY_NOT_RECORDED</t>
        </is>
      </c>
      <c r="J51" s="18" t="inlineStr">
        <is>
          <t>LEGACY_NOT_RECORDED</t>
        </is>
      </c>
      <c r="K51" s="18" t="inlineStr">
        <is>
          <t>NOT_GENERATED</t>
        </is>
      </c>
      <c r="L51" s="18" t="inlineStr">
        <is>
          <t>NOT_GENERATED</t>
        </is>
      </c>
    </row>
    <row r="52" ht="56" customHeight="1">
      <c r="A52" s="18" t="inlineStr">
        <is>
          <t>2b085cc83b2cd990e3533083f7aeef8b0415f01d</t>
        </is>
      </c>
      <c r="B52" s="18" t="inlineStr">
        <is>
          <t>2026-10-25T10:25:17Z</t>
        </is>
      </c>
      <c r="C52" s="18" t="inlineStr">
        <is>
          <t>CAPTURED</t>
        </is>
      </c>
      <c r="D52" s="18" t="inlineStr">
        <is>
          <t>CAPTURED</t>
        </is>
      </c>
      <c r="E52" s="18" t="inlineStr">
        <is>
          <t>CAPTURED</t>
        </is>
      </c>
      <c r="F52" s="18" t="inlineStr">
        <is>
          <t>NOT_GENERATED</t>
        </is>
      </c>
      <c r="G52" s="18" t="inlineStr">
        <is>
          <t>CAPTURED</t>
        </is>
      </c>
      <c r="H52" s="18" t="inlineStr">
        <is>
          <t>CAPTURED</t>
        </is>
      </c>
      <c r="I52" s="18" t="inlineStr">
        <is>
          <t>LEGACY_NOT_RECORDED</t>
        </is>
      </c>
      <c r="J52" s="18" t="inlineStr">
        <is>
          <t>LEGACY_NOT_RECORDED</t>
        </is>
      </c>
      <c r="K52" s="18" t="inlineStr">
        <is>
          <t>NOT_GENERATED</t>
        </is>
      </c>
      <c r="L52" s="18" t="inlineStr">
        <is>
          <t>NOT_GENERATED</t>
        </is>
      </c>
    </row>
    <row r="53" ht="56" customHeight="1">
      <c r="A53" s="18" t="inlineStr">
        <is>
          <t>089cdbb10f80fa5c2ab9bdb1d45166e2fe2090bc</t>
        </is>
      </c>
      <c r="B53" s="18" t="inlineStr">
        <is>
          <t>2026-10-25T10:25:17Z</t>
        </is>
      </c>
      <c r="C53" s="18" t="inlineStr">
        <is>
          <t>CAPTURED</t>
        </is>
      </c>
      <c r="D53" s="18" t="inlineStr">
        <is>
          <t>CAPTURED</t>
        </is>
      </c>
      <c r="E53" s="18" t="inlineStr">
        <is>
          <t>CAPTURED</t>
        </is>
      </c>
      <c r="F53" s="18" t="inlineStr">
        <is>
          <t>NOT_GENERATED</t>
        </is>
      </c>
      <c r="G53" s="18" t="inlineStr">
        <is>
          <t>CAPTURED</t>
        </is>
      </c>
      <c r="H53" s="18" t="inlineStr">
        <is>
          <t>CAPTURED</t>
        </is>
      </c>
      <c r="I53" s="18" t="inlineStr">
        <is>
          <t>LEGACY_NOT_RECORDED</t>
        </is>
      </c>
      <c r="J53" s="18" t="inlineStr">
        <is>
          <t>LEGACY_NOT_RECORDED</t>
        </is>
      </c>
      <c r="K53" s="18" t="inlineStr">
        <is>
          <t>NOT_GENERATED</t>
        </is>
      </c>
      <c r="L53" s="18" t="inlineStr">
        <is>
          <t>NOT_GENERATED</t>
        </is>
      </c>
    </row>
    <row r="54" ht="56" customHeight="1">
      <c r="A54" s="18" t="inlineStr">
        <is>
          <t>007f589ff28970f5c6dcc58af5d09a89aaf2fb4a</t>
        </is>
      </c>
      <c r="B54" s="18" t="inlineStr">
        <is>
          <t>2026-10-25T10:25:17Z</t>
        </is>
      </c>
      <c r="C54" s="18" t="inlineStr">
        <is>
          <t>CAPTURED</t>
        </is>
      </c>
      <c r="D54" s="18" t="inlineStr">
        <is>
          <t>CAPTURED</t>
        </is>
      </c>
      <c r="E54" s="18" t="inlineStr">
        <is>
          <t>CAPTURED</t>
        </is>
      </c>
      <c r="F54" s="18" t="inlineStr">
        <is>
          <t>NOT_GENERATED</t>
        </is>
      </c>
      <c r="G54" s="18" t="inlineStr">
        <is>
          <t>CAPTURED</t>
        </is>
      </c>
      <c r="H54" s="18" t="inlineStr">
        <is>
          <t>CAPTURED</t>
        </is>
      </c>
      <c r="I54" s="18" t="inlineStr">
        <is>
          <t>LEGACY_NOT_RECORDED</t>
        </is>
      </c>
      <c r="J54" s="18" t="inlineStr">
        <is>
          <t>LEGACY_NOT_RECORDED</t>
        </is>
      </c>
      <c r="K54" s="18" t="inlineStr">
        <is>
          <t>NOT_GENERATED</t>
        </is>
      </c>
      <c r="L54" s="18" t="inlineStr">
        <is>
          <t>NOT_GENERATED</t>
        </is>
      </c>
    </row>
    <row r="55" ht="56" customHeight="1">
      <c r="A55" s="18" t="inlineStr">
        <is>
          <t>ac2ae4201750060e082e75d6d2947066ddd868cd</t>
        </is>
      </c>
      <c r="B55" s="18" t="inlineStr">
        <is>
          <t>2026-10-25T10:25:17Z</t>
        </is>
      </c>
      <c r="C55" s="18" t="inlineStr">
        <is>
          <t>CAPTURED</t>
        </is>
      </c>
      <c r="D55" s="18" t="inlineStr">
        <is>
          <t>CAPTURED</t>
        </is>
      </c>
      <c r="E55" s="18" t="inlineStr">
        <is>
          <t>CAPTURED</t>
        </is>
      </c>
      <c r="F55" s="18" t="inlineStr">
        <is>
          <t>NOT_GENERATED</t>
        </is>
      </c>
      <c r="G55" s="18" t="inlineStr">
        <is>
          <t>CAPTURED</t>
        </is>
      </c>
      <c r="H55" s="18" t="inlineStr">
        <is>
          <t>CAPTURED</t>
        </is>
      </c>
      <c r="I55" s="18" t="inlineStr">
        <is>
          <t>LEGACY_NOT_RECORDED</t>
        </is>
      </c>
      <c r="J55" s="18" t="inlineStr">
        <is>
          <t>LEGACY_NOT_RECORDED</t>
        </is>
      </c>
      <c r="K55" s="18" t="inlineStr">
        <is>
          <t>NOT_GENERATED</t>
        </is>
      </c>
      <c r="L55" s="18" t="inlineStr">
        <is>
          <t>NOT_GENERATED</t>
        </is>
      </c>
    </row>
    <row r="56" ht="56" customHeight="1">
      <c r="A56" s="18" t="inlineStr">
        <is>
          <t>b5f46a88705f2cf938a6bd462a2cc457b35f2a2d</t>
        </is>
      </c>
      <c r="B56" s="18" t="inlineStr">
        <is>
          <t>2026-10-25T10:25:17Z</t>
        </is>
      </c>
      <c r="C56" s="18" t="inlineStr">
        <is>
          <t>CAPTURED</t>
        </is>
      </c>
      <c r="D56" s="18" t="inlineStr">
        <is>
          <t>CAPTURED</t>
        </is>
      </c>
      <c r="E56" s="18" t="inlineStr">
        <is>
          <t>CAPTURED</t>
        </is>
      </c>
      <c r="F56" s="18" t="inlineStr">
        <is>
          <t>NOT_GENERATED</t>
        </is>
      </c>
      <c r="G56" s="18" t="inlineStr">
        <is>
          <t>CAPTURED</t>
        </is>
      </c>
      <c r="H56" s="18" t="inlineStr">
        <is>
          <t>CAPTURED</t>
        </is>
      </c>
      <c r="I56" s="18" t="inlineStr">
        <is>
          <t>LEGACY_NOT_RECORDED</t>
        </is>
      </c>
      <c r="J56" s="18" t="inlineStr">
        <is>
          <t>LEGACY_NOT_RECORDED</t>
        </is>
      </c>
      <c r="K56" s="18" t="inlineStr">
        <is>
          <t>NOT_GENERATED</t>
        </is>
      </c>
      <c r="L56" s="18" t="inlineStr">
        <is>
          <t>NOT_GENERATED</t>
        </is>
      </c>
    </row>
    <row r="57" ht="56" customHeight="1">
      <c r="A57" s="18" t="inlineStr">
        <is>
          <t>61fd07517a6df27aaf13e10dfc2e47db9451d4a2</t>
        </is>
      </c>
      <c r="B57" s="18" t="inlineStr">
        <is>
          <t>2026-10-26T11:01:53Z</t>
        </is>
      </c>
      <c r="C57" s="18" t="inlineStr">
        <is>
          <t>CAPTURED</t>
        </is>
      </c>
      <c r="D57" s="18" t="inlineStr">
        <is>
          <t>CAPTURED</t>
        </is>
      </c>
      <c r="E57" s="18" t="inlineStr">
        <is>
          <t>CAPTURED</t>
        </is>
      </c>
      <c r="F57" s="18" t="inlineStr">
        <is>
          <t>NOT_GENERATED</t>
        </is>
      </c>
      <c r="G57" s="18" t="inlineStr">
        <is>
          <t>CAPTURED</t>
        </is>
      </c>
      <c r="H57" s="18" t="inlineStr">
        <is>
          <t>CAPTURED</t>
        </is>
      </c>
      <c r="I57" s="18" t="inlineStr">
        <is>
          <t>LEGACY_NOT_RECORDED</t>
        </is>
      </c>
      <c r="J57" s="18" t="inlineStr">
        <is>
          <t>LEGACY_NOT_RECORDED</t>
        </is>
      </c>
      <c r="K57" s="18" t="inlineStr">
        <is>
          <t>NOT_GENERATED</t>
        </is>
      </c>
      <c r="L57" s="18" t="inlineStr">
        <is>
          <t>NOT_GENERATED</t>
        </is>
      </c>
    </row>
    <row r="58" ht="56" customHeight="1">
      <c r="A58" s="18" t="inlineStr">
        <is>
          <t>be93fe1f5e1ccb0aff11da9ff35e306c9b014cc1</t>
        </is>
      </c>
      <c r="B58" s="18" t="inlineStr">
        <is>
          <t>2026-10-26T11:46:02Z</t>
        </is>
      </c>
      <c r="C58" s="18" t="inlineStr">
        <is>
          <t>CAPTURED</t>
        </is>
      </c>
      <c r="D58" s="18" t="inlineStr">
        <is>
          <t>CAPTURED</t>
        </is>
      </c>
      <c r="E58" s="18" t="inlineStr">
        <is>
          <t>CAPTURED</t>
        </is>
      </c>
      <c r="F58" s="18" t="inlineStr">
        <is>
          <t>NOT_GENERATED</t>
        </is>
      </c>
      <c r="G58" s="18" t="inlineStr">
        <is>
          <t>CAPTURED</t>
        </is>
      </c>
      <c r="H58" s="18" t="inlineStr">
        <is>
          <t>CAPTURED</t>
        </is>
      </c>
      <c r="I58" s="18" t="inlineStr">
        <is>
          <t>LEGACY_NOT_RECORDED</t>
        </is>
      </c>
      <c r="J58" s="18" t="inlineStr">
        <is>
          <t>LEGACY_NOT_RECORDED</t>
        </is>
      </c>
      <c r="K58" s="18" t="inlineStr">
        <is>
          <t>NOT_GENERATED</t>
        </is>
      </c>
      <c r="L58" s="18" t="inlineStr">
        <is>
          <t>NOT_GENERATED</t>
        </is>
      </c>
    </row>
    <row r="59" ht="56" customHeight="1">
      <c r="A59" s="18" t="inlineStr">
        <is>
          <t>026e1ab4c40e3e64dd34bad82c62ace7981ad77e</t>
        </is>
      </c>
      <c r="B59" s="18" t="inlineStr">
        <is>
          <t>2026-10-27T09:58:34Z</t>
        </is>
      </c>
      <c r="C59" s="18" t="inlineStr">
        <is>
          <t>CAPTURED</t>
        </is>
      </c>
      <c r="D59" s="18" t="inlineStr">
        <is>
          <t>CAPTURED</t>
        </is>
      </c>
      <c r="E59" s="18" t="inlineStr">
        <is>
          <t>CAPTURED</t>
        </is>
      </c>
      <c r="F59" s="18" t="inlineStr">
        <is>
          <t>NOT_GENERATED</t>
        </is>
      </c>
      <c r="G59" s="18" t="inlineStr">
        <is>
          <t>CAPTURED</t>
        </is>
      </c>
      <c r="H59" s="18" t="inlineStr">
        <is>
          <t>CAPTURED</t>
        </is>
      </c>
      <c r="I59" s="18" t="inlineStr">
        <is>
          <t>LEGACY_NOT_RECORDED</t>
        </is>
      </c>
      <c r="J59" s="18" t="inlineStr">
        <is>
          <t>LEGACY_NOT_RECORDED</t>
        </is>
      </c>
      <c r="K59" s="18" t="inlineStr">
        <is>
          <t>NOT_GENERATED</t>
        </is>
      </c>
      <c r="L59" s="18" t="inlineStr">
        <is>
          <t>NOT_GENERATED</t>
        </is>
      </c>
    </row>
    <row r="60" ht="56" customHeight="1">
      <c r="A60" s="18" t="inlineStr">
        <is>
          <t>d414de1a572b09b2e2e902bd2da96a1ecf41906a</t>
        </is>
      </c>
      <c r="B60" s="18" t="inlineStr">
        <is>
          <t>2026-10-27T11:35:21Z</t>
        </is>
      </c>
      <c r="C60" s="18" t="inlineStr">
        <is>
          <t>CAPTURED</t>
        </is>
      </c>
      <c r="D60" s="18" t="inlineStr">
        <is>
          <t>CAPTURED</t>
        </is>
      </c>
      <c r="E60" s="18" t="inlineStr">
        <is>
          <t>CAPTURED</t>
        </is>
      </c>
      <c r="F60" s="18" t="inlineStr">
        <is>
          <t>NOT_GENERATED</t>
        </is>
      </c>
      <c r="G60" s="18" t="inlineStr">
        <is>
          <t>CAPTURED</t>
        </is>
      </c>
      <c r="H60" s="18" t="inlineStr">
        <is>
          <t>CAPTURED</t>
        </is>
      </c>
      <c r="I60" s="18" t="inlineStr">
        <is>
          <t>LEGACY_NOT_RECORDED</t>
        </is>
      </c>
      <c r="J60" s="18" t="inlineStr">
        <is>
          <t>LEGACY_NOT_RECORDED</t>
        </is>
      </c>
      <c r="K60" s="18" t="inlineStr">
        <is>
          <t>NOT_GENERATED</t>
        </is>
      </c>
      <c r="L60" s="18" t="inlineStr">
        <is>
          <t>NOT_GENERATED</t>
        </is>
      </c>
    </row>
    <row r="61" ht="56" customHeight="1">
      <c r="A61" s="18" t="inlineStr">
        <is>
          <t>04e55dde9bbe885fb80dc3c1a84f550621a793c2</t>
        </is>
      </c>
      <c r="B61" s="18" t="inlineStr">
        <is>
          <t>2026-10-28T12:13:49Z</t>
        </is>
      </c>
      <c r="C61" s="18" t="inlineStr">
        <is>
          <t>CAPTURED</t>
        </is>
      </c>
      <c r="D61" s="18" t="inlineStr">
        <is>
          <t>CAPTURED</t>
        </is>
      </c>
      <c r="E61" s="18" t="inlineStr">
        <is>
          <t>CAPTURED</t>
        </is>
      </c>
      <c r="F61" s="18" t="inlineStr">
        <is>
          <t>NOT_GENERATED</t>
        </is>
      </c>
      <c r="G61" s="18" t="inlineStr">
        <is>
          <t>CAPTURED</t>
        </is>
      </c>
      <c r="H61" s="18" t="inlineStr">
        <is>
          <t>CAPTURED</t>
        </is>
      </c>
      <c r="I61" s="18" t="inlineStr">
        <is>
          <t>LEGACY_NOT_RECORDED</t>
        </is>
      </c>
      <c r="J61" s="18" t="inlineStr">
        <is>
          <t>LEGACY_NOT_RECORDED</t>
        </is>
      </c>
      <c r="K61" s="18" t="inlineStr">
        <is>
          <t>NOT_GENERATED</t>
        </is>
      </c>
      <c r="L61" s="18" t="inlineStr">
        <is>
          <t>NOT_GENERATED</t>
        </is>
      </c>
    </row>
  </sheetData>
  <autoFilter ref="A5:H61"/>
  <mergeCells count="2">
    <mergeCell ref="A2:H2"/>
    <mergeCell ref="A4:H4"/>
  </mergeCells>
</worksheet>
</file>

<file path=xl/worksheets/sheet13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30" customWidth="1"/>
    <col min="2" max="2" width="22" customWidth="1"/>
    <col min="3" max="3" width="11" customWidth="1"/>
    <col min="4" max="4" width="11" customWidth="1"/>
    <col min="5" max="5" width="16" customWidth="1"/>
    <col min="6" max="6" width="13" customWidth="1"/>
    <col min="7" max="7" width="11" customWidth="1"/>
    <col min="8" max="8" width="16" customWidth="1"/>
    <col min="9" max="9" width="13" customWidth="1"/>
    <col min="10" max="10" width="30" customWidth="1"/>
  </cols>
  <sheetData>
    <row r="2" ht="28" customHeight="1">
      <c r="A2" s="25" t="inlineStr">
        <is>
          <t>Closing-line value</t>
        </is>
      </c>
    </row>
    <row r="4" ht="48" customHeight="1">
      <c r="A4" s="27" t="inlineStr">
        <is>
          <t>CLV = entry odds x Pinnacle fair closing probability - 1, for every priced candidate (shortlisted or not). The t-ratio uses fixture-clustered uncertainty and is descriptive, not proof of a profitable edge. Near-kickoff quotes are not guaranteed official closing prices; candidates from one fixture are not independent.</t>
        </is>
      </c>
    </row>
    <row r="5">
      <c r="A5" s="27" t="inlineStr">
        <is>
          <t>Generated UTC: 2026-10-28T15:16:00.190157+00:00; 1423 candidates on 136 fixtures. Source: performance/clv_report.</t>
        </is>
      </c>
    </row>
    <row r="7">
      <c r="A7" s="26" t="inlineStr">
        <is>
          <t>Headline</t>
        </is>
      </c>
    </row>
    <row r="8" ht="34" customHeight="1">
      <c r="A8" s="24" t="inlineStr">
        <is>
          <t>Measure</t>
        </is>
      </c>
      <c r="B8" s="24" t="inlineStr">
        <is>
          <t>Scope</t>
        </is>
      </c>
      <c r="C8" s="24" t="inlineStr">
        <is>
          <t>n</t>
        </is>
      </c>
      <c r="D8" s="24" t="inlineStr">
        <is>
          <t>Fixtures</t>
        </is>
      </c>
      <c r="E8" s="24" t="inlineStr">
        <is>
          <t>Mean CLV</t>
        </is>
      </c>
      <c r="F8" s="24" t="inlineStr">
        <is>
          <t>Positive</t>
        </is>
      </c>
      <c r="G8" s="24" t="inlineStr">
        <is>
          <t>t</t>
        </is>
      </c>
      <c r="H8" s="24"/>
      <c r="I8" s="24"/>
      <c r="J8" s="24" t="inlineStr">
        <is>
          <t>Reading</t>
        </is>
      </c>
    </row>
    <row r="9" ht="30" customHeight="1">
      <c r="A9" s="18" t="inlineStr">
        <is>
          <t>CLV vs Pinnacle fair close</t>
        </is>
      </c>
      <c r="B9" s="18" t="inlineStr">
        <is>
          <t>All candidates</t>
        </is>
      </c>
      <c r="C9" s="19">
        <v>1423</v>
      </c>
      <c r="D9" s="19">
        <v>136</v>
      </c>
      <c r="E9" s="20">
        <v>-0.032554035776928766</v>
      </c>
      <c r="F9" s="20">
        <v>0.27898805340829236</v>
      </c>
      <c r="G9" s="22">
        <v>-11.904459359835858</v>
      </c>
      <c r="H9" s="18"/>
      <c r="I9" s="18"/>
      <c r="J9" s="18" t="inlineStr">
        <is>
          <t>Negative (t &lt;= -2)</t>
        </is>
      </c>
    </row>
    <row r="10" ht="30" customHeight="1">
      <c r="A10" s="18" t="inlineStr">
        <is>
          <t>CLV vs Pinnacle fair close</t>
        </is>
      </c>
      <c r="B10" s="18" t="inlineStr">
        <is>
          <t>Shortlisted picks</t>
        </is>
      </c>
      <c r="C10" s="19">
        <v>64</v>
      </c>
      <c r="D10" s="19">
        <v>52</v>
      </c>
      <c r="E10" s="20">
        <v>-0.028089299446986342</v>
      </c>
      <c r="F10" s="20">
        <v>0.234375</v>
      </c>
      <c r="G10" s="22">
        <v>-3.2155349002498825</v>
      </c>
      <c r="H10" s="18"/>
      <c r="I10" s="18"/>
      <c r="J10" s="18" t="inlineStr">
        <is>
          <t>Negative (t &lt;= -2)</t>
        </is>
      </c>
    </row>
    <row r="11" ht="30" customHeight="1">
      <c r="A11" s="18" t="inlineStr">
        <is>
          <t>Same-book price CLV</t>
        </is>
      </c>
      <c r="B11" s="18" t="inlineStr">
        <is>
          <t>Where the entry book was quoted</t>
        </is>
      </c>
      <c r="C11" s="19">
        <v>857</v>
      </c>
      <c r="D11" s="19">
        <v>130</v>
      </c>
      <c r="E11" s="20">
        <v>0.007629260563868786</v>
      </c>
      <c r="F11" s="20">
        <v>0.5262543757292882</v>
      </c>
      <c r="G11" s="22">
        <v>2.9455452109620124</v>
      </c>
      <c r="H11" s="18"/>
      <c r="I11" s="18"/>
      <c r="J11" s="18" t="inlineStr">
        <is>
          <t>Positive (t &gt;= 2)</t>
        </is>
      </c>
    </row>
    <row r="13">
      <c r="A13" s="26" t="inlineStr">
        <is>
          <t>Does the closing price move towards the model?</t>
        </is>
      </c>
    </row>
    <row r="14" ht="34" customHeight="1">
      <c r="A14" s="24" t="inlineStr">
        <is>
          <t>Test</t>
        </is>
      </c>
      <c r="B14" s="24" t="inlineStr">
        <is>
          <t>Scope</t>
        </is>
      </c>
      <c r="C14" s="24" t="inlineStr">
        <is>
          <t>n</t>
        </is>
      </c>
      <c r="D14" s="24"/>
      <c r="E14" s="24" t="inlineStr">
        <is>
          <t>Correlation</t>
        </is>
      </c>
      <c r="F14" s="24" t="inlineStr">
        <is>
          <t>Same direction</t>
        </is>
      </c>
      <c r="G14" s="24"/>
      <c r="H14" s="24"/>
      <c r="I14" s="24"/>
      <c r="J14" s="24" t="inlineStr">
        <is>
          <t>Reading</t>
        </is>
      </c>
    </row>
    <row r="15" ht="30" customHeight="1">
      <c r="A15" s="18" t="inlineStr">
        <is>
          <t>Model gap vs later price move</t>
        </is>
      </c>
      <c r="B15" s="18" t="inlineStr">
        <is>
          <t>Fixture averages, binary markets</t>
        </is>
      </c>
      <c r="C15" s="19">
        <v>136</v>
      </c>
      <c r="D15" s="18"/>
      <c r="E15" s="21">
        <v>-0.09566069162638342</v>
      </c>
      <c r="F15" s="20">
        <v>0.6102941176470589</v>
      </c>
      <c r="G15" s="18"/>
      <c r="H15" s="18"/>
      <c r="I15" s="18"/>
      <c r="J15" s="18" t="inlineStr">
        <is>
          <t>Descriptive only; no significance test</t>
        </is>
      </c>
    </row>
    <row r="18">
      <c r="A18" s="26" t="inlineStr">
        <is>
          <t>By market and entry bookmaker</t>
        </is>
      </c>
    </row>
    <row r="19" ht="34" customHeight="1">
      <c r="A19" s="24" t="inlineStr">
        <is>
          <t>Market</t>
        </is>
      </c>
      <c r="B19" s="24" t="inlineStr">
        <is>
          <t>Entry bookmaker</t>
        </is>
      </c>
      <c r="C19" s="24" t="inlineStr">
        <is>
          <t>n</t>
        </is>
      </c>
      <c r="D19" s="24" t="inlineStr">
        <is>
          <t>Fixtures</t>
        </is>
      </c>
      <c r="E19" s="24" t="inlineStr">
        <is>
          <t>Mean CLV</t>
        </is>
      </c>
      <c r="F19" s="24" t="inlineStr">
        <is>
          <t>Positive</t>
        </is>
      </c>
      <c r="G19" s="24" t="inlineStr">
        <is>
          <t>t</t>
        </is>
      </c>
      <c r="H19" s="24" t="inlineStr">
        <is>
          <t>Same-book CLV</t>
        </is>
      </c>
      <c r="I19" s="24" t="inlineStr">
        <is>
          <t>Same-book n</t>
        </is>
      </c>
      <c r="J19" s="24" t="inlineStr">
        <is>
          <t>Reading</t>
        </is>
      </c>
    </row>
    <row r="20" ht="30" customHeight="1">
      <c r="A20" s="18" t="inlineStr">
        <is>
          <t>Asian handicap</t>
        </is>
      </c>
      <c r="B20" s="18" t="inlineStr">
        <is>
          <t>Pinnacle</t>
        </is>
      </c>
      <c r="C20" s="19">
        <v>328</v>
      </c>
      <c r="D20" s="19">
        <v>18</v>
      </c>
      <c r="E20" s="20">
        <v>-0.03938739634815748</v>
      </c>
      <c r="F20" s="20">
        <v>0.25609756097560976</v>
      </c>
      <c r="G20" s="22">
        <v>-18.086965127556986</v>
      </c>
      <c r="H20" s="20">
        <v>0.00040504496400254724</v>
      </c>
      <c r="I20" s="19">
        <v>328</v>
      </c>
      <c r="J20" s="18" t="inlineStr">
        <is>
          <t>Small sample</t>
        </is>
      </c>
    </row>
    <row r="21" ht="30" customHeight="1">
      <c r="A21" s="18" t="inlineStr">
        <is>
          <t>1X2</t>
        </is>
      </c>
      <c r="B21" s="18" t="inlineStr">
        <is>
          <t>1xBet</t>
        </is>
      </c>
      <c r="C21" s="19">
        <v>246</v>
      </c>
      <c r="D21" s="19">
        <v>102</v>
      </c>
      <c r="E21" s="20">
        <v>-0.02259718434546991</v>
      </c>
      <c r="F21" s="20">
        <v>0.4105691056910569</v>
      </c>
      <c r="G21" s="22">
        <v>-5.863391037354201</v>
      </c>
      <c r="H21" s="20">
        <v>0.029647209394258814</v>
      </c>
      <c r="I21" s="19">
        <v>184</v>
      </c>
      <c r="J21" s="18" t="inlineStr">
        <is>
          <t>Negative (t &lt;= -2)</t>
        </is>
      </c>
    </row>
    <row r="22" ht="30" customHeight="1">
      <c r="A22" s="18" t="inlineStr">
        <is>
          <t>1X2</t>
        </is>
      </c>
      <c r="B22" s="18" t="inlineStr">
        <is>
          <t>Pinnacle</t>
        </is>
      </c>
      <c r="C22" s="19">
        <v>224</v>
      </c>
      <c r="D22" s="19">
        <v>93</v>
      </c>
      <c r="E22" s="20">
        <v>-0.03954523517568332</v>
      </c>
      <c r="F22" s="20">
        <v>0.28125</v>
      </c>
      <c r="G22" s="22">
        <v>-8.754140014942328</v>
      </c>
      <c r="H22" s="20">
        <v>0.0005136865782930036</v>
      </c>
      <c r="I22" s="19">
        <v>224</v>
      </c>
      <c r="J22" s="18" t="inlineStr">
        <is>
          <t>Negative (t &lt;= -2)</t>
        </is>
      </c>
    </row>
    <row r="23" ht="30" customHeight="1">
      <c r="A23" s="18" t="inlineStr">
        <is>
          <t>Double chance</t>
        </is>
      </c>
      <c r="B23" s="18" t="inlineStr">
        <is>
          <t>Pinnacle</t>
        </is>
      </c>
      <c r="C23" s="19">
        <v>214</v>
      </c>
      <c r="D23" s="19">
        <v>82</v>
      </c>
      <c r="E23" s="20">
        <v>-0.030521436745133145</v>
      </c>
      <c r="F23" s="20">
        <v>0.1308411214953271</v>
      </c>
      <c r="G23" s="22">
        <v>-13.377902772715554</v>
      </c>
      <c r="H23" s="20">
        <v>-0.006869909168476786</v>
      </c>
      <c r="I23" s="19">
        <v>46</v>
      </c>
      <c r="J23" s="18" t="inlineStr">
        <is>
          <t>Negative (t &lt;= -2)</t>
        </is>
      </c>
    </row>
    <row r="24" ht="30" customHeight="1">
      <c r="A24" s="18" t="inlineStr">
        <is>
          <t>Double chance</t>
        </is>
      </c>
      <c r="B24" s="18" t="inlineStr">
        <is>
          <t>1xBet</t>
        </is>
      </c>
      <c r="C24" s="19">
        <v>175</v>
      </c>
      <c r="D24" s="19">
        <v>64</v>
      </c>
      <c r="E24" s="20">
        <v>-0.03607459696305066</v>
      </c>
      <c r="F24" s="20">
        <v>0.15428571428571428</v>
      </c>
      <c r="G24" s="22">
        <v>-17.584601591573183</v>
      </c>
      <c r="H24" s="20">
        <v>0.02609626740648781</v>
      </c>
      <c r="I24" s="19">
        <v>60</v>
      </c>
      <c r="J24" s="18" t="inlineStr">
        <is>
          <t>Negative (t &lt;= -2)</t>
        </is>
      </c>
    </row>
    <row r="25" ht="30" customHeight="1">
      <c r="A25" s="18" t="inlineStr">
        <is>
          <t>Asian handicap</t>
        </is>
      </c>
      <c r="B25" s="18" t="inlineStr">
        <is>
          <t>1xBet</t>
        </is>
      </c>
      <c r="C25" s="19">
        <v>82</v>
      </c>
      <c r="D25" s="19">
        <v>17</v>
      </c>
      <c r="E25" s="20">
        <v>-0.05628574959703182</v>
      </c>
      <c r="F25" s="20">
        <v>0.2682926829268293</v>
      </c>
      <c r="G25" s="22">
        <v>-7.0982512834798746</v>
      </c>
      <c r="H25" s="20"/>
      <c r="I25" s="19">
        <v>0</v>
      </c>
      <c r="J25" s="18" t="inlineStr">
        <is>
          <t>Small sample</t>
        </is>
      </c>
    </row>
    <row r="26" ht="30" customHeight="1">
      <c r="A26" s="18" t="inlineStr">
        <is>
          <t>1X2</t>
        </is>
      </c>
      <c r="B26" s="18" t="inlineStr">
        <is>
          <t>Betfair</t>
        </is>
      </c>
      <c r="C26" s="19">
        <v>41</v>
      </c>
      <c r="D26" s="19">
        <v>34</v>
      </c>
      <c r="E26" s="20">
        <v>0.004796019031165723</v>
      </c>
      <c r="F26" s="20">
        <v>0.4878048780487805</v>
      </c>
      <c r="G26" s="22">
        <v>0.2619409908776814</v>
      </c>
      <c r="H26" s="20"/>
      <c r="I26" s="19">
        <v>0</v>
      </c>
      <c r="J26" s="18" t="inlineStr">
        <is>
          <t>Not distinguishable from zero</t>
        </is>
      </c>
    </row>
    <row r="27" ht="30" customHeight="1">
      <c r="A27" s="18" t="inlineStr">
        <is>
          <t>1X2</t>
        </is>
      </c>
      <c r="B27" s="18" t="inlineStr">
        <is>
          <t>Unibet (SE)</t>
        </is>
      </c>
      <c r="C27" s="19">
        <v>17</v>
      </c>
      <c r="D27" s="19">
        <v>15</v>
      </c>
      <c r="E27" s="20">
        <v>-0.037103222567191924</v>
      </c>
      <c r="F27" s="20">
        <v>0.5294117647058824</v>
      </c>
      <c r="G27" s="22">
        <v>-1.8233234252063997</v>
      </c>
      <c r="H27" s="20"/>
      <c r="I27" s="19">
        <v>0</v>
      </c>
      <c r="J27" s="18" t="inlineStr">
        <is>
          <t>Small sample</t>
        </is>
      </c>
    </row>
    <row r="28" ht="30" customHeight="1">
      <c r="A28" s="18" t="inlineStr">
        <is>
          <t>1X2</t>
        </is>
      </c>
      <c r="B28" s="18" t="inlineStr">
        <is>
          <t>Unibet (NL)</t>
        </is>
      </c>
      <c r="C28" s="19">
        <v>16</v>
      </c>
      <c r="D28" s="19">
        <v>16</v>
      </c>
      <c r="E28" s="20">
        <v>0.021583582951760112</v>
      </c>
      <c r="F28" s="20">
        <v>0.5625</v>
      </c>
      <c r="G28" s="22">
        <v>0.502795632889905</v>
      </c>
      <c r="H28" s="20"/>
      <c r="I28" s="19">
        <v>0</v>
      </c>
      <c r="J28" s="18" t="inlineStr">
        <is>
          <t>Small sample</t>
        </is>
      </c>
    </row>
    <row r="29" ht="30" customHeight="1">
      <c r="A29" s="18" t="inlineStr">
        <is>
          <t>1X2</t>
        </is>
      </c>
      <c r="B29" s="18" t="inlineStr">
        <is>
          <t>Matchbook</t>
        </is>
      </c>
      <c r="C29" s="19">
        <v>14</v>
      </c>
      <c r="D29" s="19">
        <v>14</v>
      </c>
      <c r="E29" s="20">
        <v>-0.0331637146595265</v>
      </c>
      <c r="F29" s="20">
        <v>0.2857142857142857</v>
      </c>
      <c r="G29" s="22">
        <v>-1.199471622829777</v>
      </c>
      <c r="H29" s="20"/>
      <c r="I29" s="19">
        <v>0</v>
      </c>
      <c r="J29" s="18" t="inlineStr">
        <is>
          <t>Small sample</t>
        </is>
      </c>
    </row>
    <row r="30" ht="30" customHeight="1">
      <c r="A30" s="18" t="inlineStr">
        <is>
          <t>1X2</t>
        </is>
      </c>
      <c r="B30" s="18" t="inlineStr">
        <is>
          <t>Coolbet</t>
        </is>
      </c>
      <c r="C30" s="19">
        <v>12</v>
      </c>
      <c r="D30" s="19">
        <v>12</v>
      </c>
      <c r="E30" s="20">
        <v>0.06443822042825657</v>
      </c>
      <c r="F30" s="20">
        <v>0.75</v>
      </c>
      <c r="G30" s="22">
        <v>1.6595061855770286</v>
      </c>
      <c r="H30" s="20"/>
      <c r="I30" s="19">
        <v>0</v>
      </c>
      <c r="J30" s="18" t="inlineStr">
        <is>
          <t>Small sample</t>
        </is>
      </c>
    </row>
    <row r="31" ht="30" customHeight="1">
      <c r="A31" s="18" t="inlineStr">
        <is>
          <t>1X2</t>
        </is>
      </c>
      <c r="B31" s="18" t="inlineStr">
        <is>
          <t>Nordic Bet</t>
        </is>
      </c>
      <c r="C31" s="19">
        <v>9</v>
      </c>
      <c r="D31" s="19">
        <v>9</v>
      </c>
      <c r="E31" s="20">
        <v>0.010329997595692099</v>
      </c>
      <c r="F31" s="20">
        <v>0.5555555555555556</v>
      </c>
      <c r="G31" s="22">
        <v>0.15896963310845477</v>
      </c>
      <c r="H31" s="20"/>
      <c r="I31" s="19">
        <v>0</v>
      </c>
      <c r="J31" s="18" t="inlineStr">
        <is>
          <t>Small sample</t>
        </is>
      </c>
    </row>
    <row r="32" ht="30" customHeight="1">
      <c r="A32" s="18" t="inlineStr">
        <is>
          <t>Goal totals</t>
        </is>
      </c>
      <c r="B32" s="18" t="inlineStr">
        <is>
          <t>Pinnacle</t>
        </is>
      </c>
      <c r="C32" s="19">
        <v>8</v>
      </c>
      <c r="D32" s="19">
        <v>8</v>
      </c>
      <c r="E32" s="20">
        <v>-0.03978137494605734</v>
      </c>
      <c r="F32" s="20">
        <v>0.125</v>
      </c>
      <c r="G32" s="22">
        <v>-2.793678269987625</v>
      </c>
      <c r="H32" s="20">
        <v>-0.02010858328667707</v>
      </c>
      <c r="I32" s="19">
        <v>8</v>
      </c>
      <c r="J32" s="18" t="inlineStr">
        <is>
          <t>Small sample</t>
        </is>
      </c>
    </row>
    <row r="33" ht="30" customHeight="1">
      <c r="A33" s="18" t="inlineStr">
        <is>
          <t>1X2</t>
        </is>
      </c>
      <c r="B33" s="18" t="inlineStr">
        <is>
          <t>Tipico</t>
        </is>
      </c>
      <c r="C33" s="19">
        <v>8</v>
      </c>
      <c r="D33" s="19">
        <v>8</v>
      </c>
      <c r="E33" s="20">
        <v>-0.09632021006561466</v>
      </c>
      <c r="F33" s="20">
        <v>0.25</v>
      </c>
      <c r="G33" s="22">
        <v>-2.655537832904031</v>
      </c>
      <c r="H33" s="20"/>
      <c r="I33" s="19">
        <v>0</v>
      </c>
      <c r="J33" s="18" t="inlineStr">
        <is>
          <t>Small sample</t>
        </is>
      </c>
    </row>
    <row r="34" ht="30" customHeight="1">
      <c r="A34" s="18" t="inlineStr">
        <is>
          <t>1X2</t>
        </is>
      </c>
      <c r="B34" s="18" t="inlineStr">
        <is>
          <t>LeoVegas (SE)</t>
        </is>
      </c>
      <c r="C34" s="19">
        <v>6</v>
      </c>
      <c r="D34" s="19">
        <v>4</v>
      </c>
      <c r="E34" s="20">
        <v>0.021874811291622775</v>
      </c>
      <c r="F34" s="20">
        <v>0.6666666666666666</v>
      </c>
      <c r="G34" s="22">
        <v>0.42694411633106255</v>
      </c>
      <c r="H34" s="20"/>
      <c r="I34" s="19">
        <v>0</v>
      </c>
      <c r="J34" s="18" t="inlineStr">
        <is>
          <t>Small sample</t>
        </is>
      </c>
    </row>
    <row r="35" ht="30" customHeight="1">
      <c r="A35" s="18" t="inlineStr">
        <is>
          <t>1X2</t>
        </is>
      </c>
      <c r="B35" s="18" t="inlineStr">
        <is>
          <t>BetOnline.ag</t>
        </is>
      </c>
      <c r="C35" s="19">
        <v>6</v>
      </c>
      <c r="D35" s="19">
        <v>6</v>
      </c>
      <c r="E35" s="20">
        <v>-0.07253122489801984</v>
      </c>
      <c r="F35" s="20">
        <v>0.3333333333333333</v>
      </c>
      <c r="G35" s="22">
        <v>-1.6405519325411488</v>
      </c>
      <c r="H35" s="20"/>
      <c r="I35" s="19">
        <v>0</v>
      </c>
      <c r="J35" s="18" t="inlineStr">
        <is>
          <t>Small sample</t>
        </is>
      </c>
    </row>
    <row r="36" ht="30" customHeight="1">
      <c r="A36" s="18" t="inlineStr">
        <is>
          <t>Goal totals</t>
        </is>
      </c>
      <c r="B36" s="18" t="inlineStr">
        <is>
          <t>1xBet</t>
        </is>
      </c>
      <c r="C36" s="19">
        <v>4</v>
      </c>
      <c r="D36" s="19">
        <v>4</v>
      </c>
      <c r="E36" s="20">
        <v>-0.030523271076378672</v>
      </c>
      <c r="F36" s="20">
        <v>0.25</v>
      </c>
      <c r="G36" s="22">
        <v>-1.3476850843888881</v>
      </c>
      <c r="H36" s="20">
        <v>0.005437412713733991</v>
      </c>
      <c r="I36" s="19">
        <v>4</v>
      </c>
      <c r="J36" s="18" t="inlineStr">
        <is>
          <t>Small sample</t>
        </is>
      </c>
    </row>
    <row r="37" ht="30" customHeight="1">
      <c r="A37" s="18" t="inlineStr">
        <is>
          <t>1X2</t>
        </is>
      </c>
      <c r="B37" s="18" t="inlineStr">
        <is>
          <t>GTbets</t>
        </is>
      </c>
      <c r="C37" s="19">
        <v>3</v>
      </c>
      <c r="D37" s="19">
        <v>3</v>
      </c>
      <c r="E37" s="20">
        <v>0.06471329033640687</v>
      </c>
      <c r="F37" s="20">
        <v>0.6666666666666666</v>
      </c>
      <c r="G37" s="22">
        <v>1.2442400621601746</v>
      </c>
      <c r="H37" s="20"/>
      <c r="I37" s="19">
        <v>0</v>
      </c>
      <c r="J37" s="18" t="inlineStr">
        <is>
          <t>Small sample</t>
        </is>
      </c>
    </row>
    <row r="38" ht="30" customHeight="1">
      <c r="A38" s="18" t="inlineStr">
        <is>
          <t>1X2</t>
        </is>
      </c>
      <c r="B38" s="18" t="inlineStr">
        <is>
          <t>Betsson</t>
        </is>
      </c>
      <c r="C38" s="19">
        <v>3</v>
      </c>
      <c r="D38" s="19">
        <v>3</v>
      </c>
      <c r="E38" s="20">
        <v>-0.01348758266387077</v>
      </c>
      <c r="F38" s="20">
        <v>0.6666666666666666</v>
      </c>
      <c r="G38" s="22">
        <v>-0.13812929541074642</v>
      </c>
      <c r="H38" s="20"/>
      <c r="I38" s="19">
        <v>0</v>
      </c>
      <c r="J38" s="18" t="inlineStr">
        <is>
          <t>Small sample</t>
        </is>
      </c>
    </row>
    <row r="39" ht="30" customHeight="1">
      <c r="A39" s="18" t="inlineStr">
        <is>
          <t>BTTS</t>
        </is>
      </c>
      <c r="B39" s="18" t="inlineStr">
        <is>
          <t>Pinnacle</t>
        </is>
      </c>
      <c r="C39" s="19">
        <v>2</v>
      </c>
      <c r="D39" s="19">
        <v>2</v>
      </c>
      <c r="E39" s="20">
        <v>-0.09195392498078281</v>
      </c>
      <c r="F39" s="20">
        <v>0.5</v>
      </c>
      <c r="G39" s="22">
        <v>-0.9216493829761946</v>
      </c>
      <c r="H39" s="20">
        <v>-0.05435265378636467</v>
      </c>
      <c r="I39" s="19">
        <v>2</v>
      </c>
      <c r="J39" s="18" t="inlineStr">
        <is>
          <t>Small sample</t>
        </is>
      </c>
    </row>
    <row r="40" ht="30" customHeight="1">
      <c r="A40" s="18" t="inlineStr">
        <is>
          <t>BTTS</t>
        </is>
      </c>
      <c r="B40" s="18" t="inlineStr">
        <is>
          <t>1xBet</t>
        </is>
      </c>
      <c r="C40" s="19">
        <v>2</v>
      </c>
      <c r="D40" s="19">
        <v>2</v>
      </c>
      <c r="E40" s="20">
        <v>-0.13318389336712672</v>
      </c>
      <c r="F40" s="20">
        <v>0.0</v>
      </c>
      <c r="G40" s="22">
        <v>-1.2818042959986233</v>
      </c>
      <c r="H40" s="20">
        <v>-0.16666666666666674</v>
      </c>
      <c r="I40" s="19">
        <v>1</v>
      </c>
      <c r="J40" s="18" t="inlineStr">
        <is>
          <t>Small sample</t>
        </is>
      </c>
    </row>
    <row r="41" ht="30" customHeight="1">
      <c r="A41" s="18" t="inlineStr">
        <is>
          <t>BTTS</t>
        </is>
      </c>
      <c r="B41" s="18" t="inlineStr">
        <is>
          <t>Matchbook</t>
        </is>
      </c>
      <c r="C41" s="19">
        <v>1</v>
      </c>
      <c r="D41" s="19">
        <v>1</v>
      </c>
      <c r="E41" s="20">
        <v>0.032548831729307004</v>
      </c>
      <c r="F41" s="20">
        <v>1.0</v>
      </c>
      <c r="G41" s="22"/>
      <c r="H41" s="20"/>
      <c r="I41" s="19">
        <v>0</v>
      </c>
      <c r="J41" s="18" t="inlineStr">
        <is>
          <t>Small sample</t>
        </is>
      </c>
    </row>
    <row r="42" ht="30" customHeight="1">
      <c r="A42" s="18" t="inlineStr">
        <is>
          <t>Goal totals</t>
        </is>
      </c>
      <c r="B42" s="18" t="inlineStr">
        <is>
          <t>Coolbet</t>
        </is>
      </c>
      <c r="C42" s="19">
        <v>1</v>
      </c>
      <c r="D42" s="19">
        <v>1</v>
      </c>
      <c r="E42" s="20">
        <v>-0.02360969838403104</v>
      </c>
      <c r="F42" s="20">
        <v>0.0</v>
      </c>
      <c r="G42" s="22"/>
      <c r="H42" s="20"/>
      <c r="I42" s="19">
        <v>0</v>
      </c>
      <c r="J42" s="18" t="inlineStr">
        <is>
          <t>Small sample</t>
        </is>
      </c>
    </row>
    <row r="43" ht="30" customHeight="1">
      <c r="A43" s="18" t="inlineStr">
        <is>
          <t>Goal totals</t>
        </is>
      </c>
      <c r="B43" s="18" t="inlineStr">
        <is>
          <t>Codere (IT)</t>
        </is>
      </c>
      <c r="C43" s="19">
        <v>1</v>
      </c>
      <c r="D43" s="19">
        <v>1</v>
      </c>
      <c r="E43" s="20">
        <v>-0.0388657968467806</v>
      </c>
      <c r="F43" s="20">
        <v>0.0</v>
      </c>
      <c r="G43" s="22"/>
      <c r="H43" s="20"/>
      <c r="I43" s="19">
        <v>0</v>
      </c>
      <c r="J43" s="18" t="inlineStr">
        <is>
          <t>Small sample</t>
        </is>
      </c>
    </row>
    <row r="46">
      <c r="A46" s="26" t="inlineStr">
        <is>
          <t>By hours before kickoff at entry</t>
        </is>
      </c>
    </row>
    <row r="47" ht="34" customHeight="1">
      <c r="A47" s="24" t="inlineStr">
        <is>
          <t>Group</t>
        </is>
      </c>
      <c r="B47" s="24"/>
      <c r="C47" s="24" t="inlineStr">
        <is>
          <t>n</t>
        </is>
      </c>
      <c r="D47" s="24" t="inlineStr">
        <is>
          <t>Fixtures</t>
        </is>
      </c>
      <c r="E47" s="24" t="inlineStr">
        <is>
          <t>Mean CLV</t>
        </is>
      </c>
      <c r="F47" s="24" t="inlineStr">
        <is>
          <t>Positive</t>
        </is>
      </c>
      <c r="G47" s="24" t="inlineStr">
        <is>
          <t>t</t>
        </is>
      </c>
      <c r="H47" s="24" t="inlineStr">
        <is>
          <t>Same-book CLV</t>
        </is>
      </c>
      <c r="I47" s="24" t="inlineStr">
        <is>
          <t>Same-book n</t>
        </is>
      </c>
      <c r="J47" s="24" t="inlineStr">
        <is>
          <t>Reading</t>
        </is>
      </c>
    </row>
    <row r="48" ht="30" customHeight="1">
      <c r="A48" s="18" t="inlineStr">
        <is>
          <t>&lt;6h</t>
        </is>
      </c>
      <c r="B48" s="18"/>
      <c r="C48" s="19">
        <v>709</v>
      </c>
      <c r="D48" s="19">
        <v>104</v>
      </c>
      <c r="E48" s="20">
        <v>-0.03660433598426338</v>
      </c>
      <c r="F48" s="20">
        <v>0.23695345557122707</v>
      </c>
      <c r="G48" s="22">
        <v>-15.73155372525293</v>
      </c>
      <c r="H48" s="20">
        <v>0.006383617369563249</v>
      </c>
      <c r="I48" s="19">
        <v>458</v>
      </c>
      <c r="J48" s="18" t="inlineStr">
        <is>
          <t>Negative (t &lt;= -2)</t>
        </is>
      </c>
    </row>
    <row r="49" ht="30" customHeight="1">
      <c r="A49" s="18" t="inlineStr">
        <is>
          <t>6-24h</t>
        </is>
      </c>
      <c r="B49" s="18"/>
      <c r="C49" s="19">
        <v>354</v>
      </c>
      <c r="D49" s="19">
        <v>41</v>
      </c>
      <c r="E49" s="20">
        <v>-0.034499677616087326</v>
      </c>
      <c r="F49" s="20">
        <v>0.24858757062146894</v>
      </c>
      <c r="G49" s="22">
        <v>-9.33806049611644</v>
      </c>
      <c r="H49" s="20">
        <v>0.006375166040511836</v>
      </c>
      <c r="I49" s="19">
        <v>235</v>
      </c>
      <c r="J49" s="18" t="inlineStr">
        <is>
          <t>Negative (t &lt;= -2)</t>
        </is>
      </c>
    </row>
    <row r="50" ht="30" customHeight="1">
      <c r="A50" s="18" t="inlineStr">
        <is>
          <t>48h+</t>
        </is>
      </c>
      <c r="B50" s="18"/>
      <c r="C50" s="19">
        <v>296</v>
      </c>
      <c r="D50" s="19">
        <v>84</v>
      </c>
      <c r="E50" s="20">
        <v>-0.019589737700509514</v>
      </c>
      <c r="F50" s="20">
        <v>0.4189189189189189</v>
      </c>
      <c r="G50" s="22">
        <v>-2.3651546677680675</v>
      </c>
      <c r="H50" s="20">
        <v>0.0212902605290496</v>
      </c>
      <c r="I50" s="19">
        <v>144</v>
      </c>
      <c r="J50" s="18" t="inlineStr">
        <is>
          <t>Negative (t &lt;= -2)</t>
        </is>
      </c>
    </row>
    <row r="51" ht="30" customHeight="1">
      <c r="A51" s="18" t="inlineStr">
        <is>
          <t>24-48h</t>
        </is>
      </c>
      <c r="B51" s="18"/>
      <c r="C51" s="19">
        <v>64</v>
      </c>
      <c r="D51" s="19">
        <v>25</v>
      </c>
      <c r="E51" s="20">
        <v>-0.03688235097314331</v>
      </c>
      <c r="F51" s="20">
        <v>0.265625</v>
      </c>
      <c r="G51" s="22">
        <v>-1.7245347997448484</v>
      </c>
      <c r="H51" s="20">
        <v>-0.04746909938639213</v>
      </c>
      <c r="I51" s="19">
        <v>20</v>
      </c>
      <c r="J51" s="18" t="inlineStr">
        <is>
          <t>Small sample</t>
        </is>
      </c>
    </row>
    <row r="54">
      <c r="A54" s="26" t="inlineStr">
        <is>
          <t>Shortlisted vs not selected</t>
        </is>
      </c>
    </row>
    <row r="55" ht="34" customHeight="1">
      <c r="A55" s="24" t="inlineStr">
        <is>
          <t>Group</t>
        </is>
      </c>
      <c r="B55" s="24"/>
      <c r="C55" s="24" t="inlineStr">
        <is>
          <t>n</t>
        </is>
      </c>
      <c r="D55" s="24" t="inlineStr">
        <is>
          <t>Fixtures</t>
        </is>
      </c>
      <c r="E55" s="24" t="inlineStr">
        <is>
          <t>Mean CLV</t>
        </is>
      </c>
      <c r="F55" s="24" t="inlineStr">
        <is>
          <t>Positive</t>
        </is>
      </c>
      <c r="G55" s="24" t="inlineStr">
        <is>
          <t>t</t>
        </is>
      </c>
      <c r="H55" s="24" t="inlineStr">
        <is>
          <t>Same-book CLV</t>
        </is>
      </c>
      <c r="I55" s="24" t="inlineStr">
        <is>
          <t>Same-book n</t>
        </is>
      </c>
      <c r="J55" s="24" t="inlineStr">
        <is>
          <t>Reading</t>
        </is>
      </c>
    </row>
    <row r="56" ht="30" customHeight="1">
      <c r="A56" s="18" t="inlineStr">
        <is>
          <t>not selected</t>
        </is>
      </c>
      <c r="B56" s="18"/>
      <c r="C56" s="19">
        <v>1359</v>
      </c>
      <c r="D56" s="19">
        <v>136</v>
      </c>
      <c r="E56" s="20">
        <v>-0.0327642956188098</v>
      </c>
      <c r="F56" s="20">
        <v>0.28108903605592345</v>
      </c>
      <c r="G56" s="22">
        <v>-11.407661744656812</v>
      </c>
      <c r="H56" s="20">
        <v>0.007833061846146731</v>
      </c>
      <c r="I56" s="19">
        <v>806</v>
      </c>
      <c r="J56" s="18" t="inlineStr">
        <is>
          <t>Negative (t &lt;= -2)</t>
        </is>
      </c>
    </row>
    <row r="57" ht="30" customHeight="1">
      <c r="A57" s="18" t="inlineStr">
        <is>
          <t>shortlisted</t>
        </is>
      </c>
      <c r="B57" s="18"/>
      <c r="C57" s="19">
        <v>64</v>
      </c>
      <c r="D57" s="19">
        <v>52</v>
      </c>
      <c r="E57" s="20">
        <v>-0.028089299446986342</v>
      </c>
      <c r="F57" s="20">
        <v>0.234375</v>
      </c>
      <c r="G57" s="22">
        <v>-3.2155349002498825</v>
      </c>
      <c r="H57" s="20">
        <v>0.004408401083162416</v>
      </c>
      <c r="I57" s="19">
        <v>51</v>
      </c>
      <c r="J57" s="18" t="inlineStr">
        <is>
          <t>Negative (t &lt;= -2)</t>
        </is>
      </c>
    </row>
    <row r="60">
      <c r="A60" s="26" t="inlineStr">
        <is>
          <t>By league</t>
        </is>
      </c>
    </row>
    <row r="61" ht="34" customHeight="1">
      <c r="A61" s="24" t="inlineStr">
        <is>
          <t>Group</t>
        </is>
      </c>
      <c r="B61" s="24"/>
      <c r="C61" s="24" t="inlineStr">
        <is>
          <t>n</t>
        </is>
      </c>
      <c r="D61" s="24" t="inlineStr">
        <is>
          <t>Fixtures</t>
        </is>
      </c>
      <c r="E61" s="24" t="inlineStr">
        <is>
          <t>Mean CLV</t>
        </is>
      </c>
      <c r="F61" s="24" t="inlineStr">
        <is>
          <t>Positive</t>
        </is>
      </c>
      <c r="G61" s="24" t="inlineStr">
        <is>
          <t>t</t>
        </is>
      </c>
      <c r="H61" s="24" t="inlineStr">
        <is>
          <t>Same-book CLV</t>
        </is>
      </c>
      <c r="I61" s="24" t="inlineStr">
        <is>
          <t>Same-book n</t>
        </is>
      </c>
      <c r="J61" s="24" t="inlineStr">
        <is>
          <t>Reading</t>
        </is>
      </c>
    </row>
    <row r="62" ht="30" customHeight="1">
      <c r="A62" s="18" t="inlineStr">
        <is>
          <t>UEFA Champions League</t>
        </is>
      </c>
      <c r="B62" s="18"/>
      <c r="C62" s="19">
        <v>327</v>
      </c>
      <c r="D62" s="19">
        <v>23</v>
      </c>
      <c r="E62" s="20">
        <v>-0.03650846672296491</v>
      </c>
      <c r="F62" s="20">
        <v>0.3180428134556575</v>
      </c>
      <c r="G62" s="22">
        <v>-5.2414792954623834</v>
      </c>
      <c r="H62" s="20">
        <v>0.002308054198645843</v>
      </c>
      <c r="I62" s="19">
        <v>194</v>
      </c>
      <c r="J62" s="18" t="inlineStr">
        <is>
          <t>Small sample</t>
        </is>
      </c>
    </row>
    <row r="63" ht="30" customHeight="1">
      <c r="A63" s="18" t="inlineStr">
        <is>
          <t>Serie A</t>
        </is>
      </c>
      <c r="B63" s="18"/>
      <c r="C63" s="19">
        <v>240</v>
      </c>
      <c r="D63" s="19">
        <v>20</v>
      </c>
      <c r="E63" s="20">
        <v>-0.02679691605547903</v>
      </c>
      <c r="F63" s="20">
        <v>0.3125</v>
      </c>
      <c r="G63" s="22">
        <v>-3.427849051091672</v>
      </c>
      <c r="H63" s="20">
        <v>0.010735885243956054</v>
      </c>
      <c r="I63" s="19">
        <v>159</v>
      </c>
      <c r="J63" s="18" t="inlineStr">
        <is>
          <t>Small sample</t>
        </is>
      </c>
    </row>
    <row r="64" ht="30" customHeight="1">
      <c r="A64" s="18" t="inlineStr">
        <is>
          <t>La Liga</t>
        </is>
      </c>
      <c r="B64" s="18"/>
      <c r="C64" s="19">
        <v>221</v>
      </c>
      <c r="D64" s="19">
        <v>17</v>
      </c>
      <c r="E64" s="20">
        <v>-0.033595887547028996</v>
      </c>
      <c r="F64" s="20">
        <v>0.248868778280543</v>
      </c>
      <c r="G64" s="22">
        <v>-8.03789509807613</v>
      </c>
      <c r="H64" s="20">
        <v>0.0034362920469933472</v>
      </c>
      <c r="I64" s="19">
        <v>137</v>
      </c>
      <c r="J64" s="18" t="inlineStr">
        <is>
          <t>Small sample</t>
        </is>
      </c>
    </row>
    <row r="65" ht="30" customHeight="1">
      <c r="A65" s="18" t="inlineStr">
        <is>
          <t>Bundesliga</t>
        </is>
      </c>
      <c r="B65" s="18"/>
      <c r="C65" s="19">
        <v>206</v>
      </c>
      <c r="D65" s="19">
        <v>16</v>
      </c>
      <c r="E65" s="20">
        <v>-0.03417691477215487</v>
      </c>
      <c r="F65" s="20">
        <v>0.2766990291262136</v>
      </c>
      <c r="G65" s="22">
        <v>-6.28294087592758</v>
      </c>
      <c r="H65" s="20">
        <v>0.011464541483792197</v>
      </c>
      <c r="I65" s="19">
        <v>127</v>
      </c>
      <c r="J65" s="18" t="inlineStr">
        <is>
          <t>Small sample</t>
        </is>
      </c>
    </row>
    <row r="66" ht="30" customHeight="1">
      <c r="A66" s="18" t="inlineStr">
        <is>
          <t>Premier League</t>
        </is>
      </c>
      <c r="B66" s="18"/>
      <c r="C66" s="19">
        <v>203</v>
      </c>
      <c r="D66" s="19">
        <v>18</v>
      </c>
      <c r="E66" s="20">
        <v>-0.033305555712984866</v>
      </c>
      <c r="F66" s="20">
        <v>0.22167487684729065</v>
      </c>
      <c r="G66" s="22">
        <v>-4.17600968935532</v>
      </c>
      <c r="H66" s="20">
        <v>0.0059867969616587986</v>
      </c>
      <c r="I66" s="19">
        <v>112</v>
      </c>
      <c r="J66" s="18" t="inlineStr">
        <is>
          <t>Small sample</t>
        </is>
      </c>
    </row>
    <row r="67" ht="30" customHeight="1">
      <c r="A67" s="18" t="inlineStr">
        <is>
          <t>UEFA Europa League</t>
        </is>
      </c>
      <c r="B67" s="18"/>
      <c r="C67" s="19">
        <v>90</v>
      </c>
      <c r="D67" s="19">
        <v>18</v>
      </c>
      <c r="E67" s="20">
        <v>-0.029265742952778517</v>
      </c>
      <c r="F67" s="20">
        <v>0.25555555555555554</v>
      </c>
      <c r="G67" s="22">
        <v>-4.225379439242074</v>
      </c>
      <c r="H67" s="20">
        <v>0.015496675340858615</v>
      </c>
      <c r="I67" s="19">
        <v>36</v>
      </c>
      <c r="J67" s="18" t="inlineStr">
        <is>
          <t>Small sample</t>
        </is>
      </c>
    </row>
    <row r="68" ht="30" customHeight="1">
      <c r="A68" s="18" t="inlineStr">
        <is>
          <t>Ligue 1</t>
        </is>
      </c>
      <c r="B68" s="18"/>
      <c r="C68" s="19">
        <v>89</v>
      </c>
      <c r="D68" s="19">
        <v>11</v>
      </c>
      <c r="E68" s="20">
        <v>-0.025588681832237063</v>
      </c>
      <c r="F68" s="20">
        <v>0.3258426966292135</v>
      </c>
      <c r="G68" s="22">
        <v>-1.8711828481052037</v>
      </c>
      <c r="H68" s="20">
        <v>0.02749283882699231</v>
      </c>
      <c r="I68" s="19">
        <v>45</v>
      </c>
      <c r="J68" s="18" t="inlineStr">
        <is>
          <t>Small sample</t>
        </is>
      </c>
    </row>
    <row r="69" ht="30" customHeight="1">
      <c r="A69" s="18" t="inlineStr">
        <is>
          <t>Primeira Liga</t>
        </is>
      </c>
      <c r="B69" s="18"/>
      <c r="C69" s="19">
        <v>35</v>
      </c>
      <c r="D69" s="19">
        <v>7</v>
      </c>
      <c r="E69" s="20">
        <v>-0.04082112208655955</v>
      </c>
      <c r="F69" s="20">
        <v>0.17142857142857143</v>
      </c>
      <c r="G69" s="22">
        <v>-5.934865481123298</v>
      </c>
      <c r="H69" s="20">
        <v>0.00048356162760591865</v>
      </c>
      <c r="I69" s="19">
        <v>35</v>
      </c>
      <c r="J69" s="18" t="inlineStr">
        <is>
          <t>Small sample</t>
        </is>
      </c>
    </row>
    <row r="70" ht="30" customHeight="1">
      <c r="A70" s="18" t="inlineStr">
        <is>
          <t>Eredivisie</t>
        </is>
      </c>
      <c r="B70" s="18"/>
      <c r="C70" s="19">
        <v>12</v>
      </c>
      <c r="D70" s="19">
        <v>6</v>
      </c>
      <c r="E70" s="20">
        <v>-0.03238768469192963</v>
      </c>
      <c r="F70" s="20">
        <v>0.25</v>
      </c>
      <c r="G70" s="22">
        <v>-9.869649901545841</v>
      </c>
      <c r="H70" s="20">
        <v>-0.0021470600106675564</v>
      </c>
      <c r="I70" s="19">
        <v>12</v>
      </c>
      <c r="J70" s="18" t="inlineStr">
        <is>
          <t>Small sample</t>
        </is>
      </c>
    </row>
    <row r="73">
      <c r="A73" s="31" t="inlineStr">
        <is>
          <t>Back to dashboard</t>
        </is>
      </c>
    </row>
  </sheetData>
  <mergeCells count="9">
    <mergeCell ref="A2:J2"/>
    <mergeCell ref="A4:J4"/>
    <mergeCell ref="A5:J5"/>
    <mergeCell ref="A7:J7"/>
    <mergeCell ref="A13:J13"/>
    <mergeCell ref="A18:J18"/>
    <mergeCell ref="A46:J46"/>
    <mergeCell ref="A54:J54"/>
    <mergeCell ref="A60:J60"/>
  </mergeCells>
  <conditionalFormatting sqref="J9">
    <cfRule type="expression" priority="101" dxfId="5">
      <formula>OR(J9="Positive (t &gt;= 2)",J9="Model carries information")</formula>
    </cfRule>
    <cfRule type="expression" priority="102" dxfId="4">
      <formula>OR(J9="Negative (t &lt;= -2)",J9="No information beyond the market")</formula>
    </cfRule>
    <cfRule type="expression" priority="103" dxfId="3">
      <formula>OR(J9="Small sample",J9="Not distinguishable from zero")</formula>
    </cfRule>
  </conditionalFormatting>
  <conditionalFormatting sqref="J10">
    <cfRule type="expression" priority="101" dxfId="5">
      <formula>OR(J10="Positive (t &gt;= 2)",J10="Model carries information")</formula>
    </cfRule>
    <cfRule type="expression" priority="102" dxfId="4">
      <formula>OR(J10="Negative (t &lt;= -2)",J10="No information beyond the market")</formula>
    </cfRule>
    <cfRule type="expression" priority="103" dxfId="3">
      <formula>OR(J10="Small sample",J10="Not distinguishable from zero")</formula>
    </cfRule>
  </conditionalFormatting>
  <conditionalFormatting sqref="J11">
    <cfRule type="expression" priority="101" dxfId="5">
      <formula>OR(J11="Positive (t &gt;= 2)",J11="Model carries information")</formula>
    </cfRule>
    <cfRule type="expression" priority="102" dxfId="4">
      <formula>OR(J11="Negative (t &lt;= -2)",J11="No information beyond the market")</formula>
    </cfRule>
    <cfRule type="expression" priority="103" dxfId="3">
      <formula>OR(J11="Small sample",J11="Not distinguishable from zero")</formula>
    </cfRule>
  </conditionalFormatting>
  <conditionalFormatting sqref="J15">
    <cfRule type="expression" priority="101" dxfId="5">
      <formula>OR(J15="Positive (t &gt;= 2)",J15="Model carries information")</formula>
    </cfRule>
    <cfRule type="expression" priority="102" dxfId="4">
      <formula>OR(J15="Negative (t &lt;= -2)",J15="No information beyond the market")</formula>
    </cfRule>
    <cfRule type="expression" priority="103" dxfId="3">
      <formula>OR(J15="Small sample",J15="Not distinguishable from zero")</formula>
    </cfRule>
  </conditionalFormatting>
  <conditionalFormatting sqref="J20">
    <cfRule type="expression" priority="101" dxfId="5">
      <formula>OR(J20="Positive (t &gt;= 2)",J20="Model carries information")</formula>
    </cfRule>
    <cfRule type="expression" priority="102" dxfId="4">
      <formula>OR(J20="Negative (t &lt;= -2)",J20="No information beyond the market")</formula>
    </cfRule>
    <cfRule type="expression" priority="103" dxfId="3">
      <formula>OR(J20="Small sample",J20="Not distinguishable from zero")</formula>
    </cfRule>
  </conditionalFormatting>
  <conditionalFormatting sqref="J21">
    <cfRule type="expression" priority="101" dxfId="5">
      <formula>OR(J21="Positive (t &gt;= 2)",J21="Model carries information")</formula>
    </cfRule>
    <cfRule type="expression" priority="102" dxfId="4">
      <formula>OR(J21="Negative (t &lt;= -2)",J21="No information beyond the market")</formula>
    </cfRule>
    <cfRule type="expression" priority="103" dxfId="3">
      <formula>OR(J21="Small sample",J21="Not distinguishable from zero")</formula>
    </cfRule>
  </conditionalFormatting>
  <conditionalFormatting sqref="J22">
    <cfRule type="expression" priority="101" dxfId="5">
      <formula>OR(J22="Positive (t &gt;= 2)",J22="Model carries information")</formula>
    </cfRule>
    <cfRule type="expression" priority="102" dxfId="4">
      <formula>OR(J22="Negative (t &lt;= -2)",J22="No information beyond the market")</formula>
    </cfRule>
    <cfRule type="expression" priority="103" dxfId="3">
      <formula>OR(J22="Small sample",J22="Not distinguishable from zero")</formula>
    </cfRule>
  </conditionalFormatting>
  <conditionalFormatting sqref="J23">
    <cfRule type="expression" priority="101" dxfId="5">
      <formula>OR(J23="Positive (t &gt;= 2)",J23="Model carries information")</formula>
    </cfRule>
    <cfRule type="expression" priority="102" dxfId="4">
      <formula>OR(J23="Negative (t &lt;= -2)",J23="No information beyond the market")</formula>
    </cfRule>
    <cfRule type="expression" priority="103" dxfId="3">
      <formula>OR(J23="Small sample",J23="Not distinguishable from zero")</formula>
    </cfRule>
  </conditionalFormatting>
  <conditionalFormatting sqref="J24">
    <cfRule type="expression" priority="101" dxfId="5">
      <formula>OR(J24="Positive (t &gt;= 2)",J24="Model carries information")</formula>
    </cfRule>
    <cfRule type="expression" priority="102" dxfId="4">
      <formula>OR(J24="Negative (t &lt;= -2)",J24="No information beyond the market")</formula>
    </cfRule>
    <cfRule type="expression" priority="103" dxfId="3">
      <formula>OR(J24="Small sample",J24="Not distinguishable from zero")</formula>
    </cfRule>
  </conditionalFormatting>
  <conditionalFormatting sqref="J25">
    <cfRule type="expression" priority="101" dxfId="5">
      <formula>OR(J25="Positive (t &gt;= 2)",J25="Model carries information")</formula>
    </cfRule>
    <cfRule type="expression" priority="102" dxfId="4">
      <formula>OR(J25="Negative (t &lt;= -2)",J25="No information beyond the market")</formula>
    </cfRule>
    <cfRule type="expression" priority="103" dxfId="3">
      <formula>OR(J25="Small sample",J25="Not distinguishable from zero")</formula>
    </cfRule>
  </conditionalFormatting>
  <conditionalFormatting sqref="J26">
    <cfRule type="expression" priority="101" dxfId="5">
      <formula>OR(J26="Positive (t &gt;= 2)",J26="Model carries information")</formula>
    </cfRule>
    <cfRule type="expression" priority="102" dxfId="4">
      <formula>OR(J26="Negative (t &lt;= -2)",J26="No information beyond the market")</formula>
    </cfRule>
    <cfRule type="expression" priority="103" dxfId="3">
      <formula>OR(J26="Small sample",J26="Not distinguishable from zero")</formula>
    </cfRule>
  </conditionalFormatting>
  <conditionalFormatting sqref="J27">
    <cfRule type="expression" priority="101" dxfId="5">
      <formula>OR(J27="Positive (t &gt;= 2)",J27="Model carries information")</formula>
    </cfRule>
    <cfRule type="expression" priority="102" dxfId="4">
      <formula>OR(J27="Negative (t &lt;= -2)",J27="No information beyond the market")</formula>
    </cfRule>
    <cfRule type="expression" priority="103" dxfId="3">
      <formula>OR(J27="Small sample",J27="Not distinguishable from zero")</formula>
    </cfRule>
  </conditionalFormatting>
  <conditionalFormatting sqref="J28">
    <cfRule type="expression" priority="101" dxfId="5">
      <formula>OR(J28="Positive (t &gt;= 2)",J28="Model carries information")</formula>
    </cfRule>
    <cfRule type="expression" priority="102" dxfId="4">
      <formula>OR(J28="Negative (t &lt;= -2)",J28="No information beyond the market")</formula>
    </cfRule>
    <cfRule type="expression" priority="103" dxfId="3">
      <formula>OR(J28="Small sample",J28="Not distinguishable from zero")</formula>
    </cfRule>
  </conditionalFormatting>
  <conditionalFormatting sqref="J29">
    <cfRule type="expression" priority="101" dxfId="5">
      <formula>OR(J29="Positive (t &gt;= 2)",J29="Model carries information")</formula>
    </cfRule>
    <cfRule type="expression" priority="102" dxfId="4">
      <formula>OR(J29="Negative (t &lt;= -2)",J29="No information beyond the market")</formula>
    </cfRule>
    <cfRule type="expression" priority="103" dxfId="3">
      <formula>OR(J29="Small sample",J29="Not distinguishable from zero")</formula>
    </cfRule>
  </conditionalFormatting>
  <conditionalFormatting sqref="J30">
    <cfRule type="expression" priority="101" dxfId="5">
      <formula>OR(J30="Positive (t &gt;= 2)",J30="Model carries information")</formula>
    </cfRule>
    <cfRule type="expression" priority="102" dxfId="4">
      <formula>OR(J30="Negative (t &lt;= -2)",J30="No information beyond the market")</formula>
    </cfRule>
    <cfRule type="expression" priority="103" dxfId="3">
      <formula>OR(J30="Small sample",J30="Not distinguishable from zero")</formula>
    </cfRule>
  </conditionalFormatting>
  <conditionalFormatting sqref="J31">
    <cfRule type="expression" priority="101" dxfId="5">
      <formula>OR(J31="Positive (t &gt;= 2)",J31="Model carries information")</formula>
    </cfRule>
    <cfRule type="expression" priority="102" dxfId="4">
      <formula>OR(J31="Negative (t &lt;= -2)",J31="No information beyond the market")</formula>
    </cfRule>
    <cfRule type="expression" priority="103" dxfId="3">
      <formula>OR(J31="Small sample",J31="Not distinguishable from zero")</formula>
    </cfRule>
  </conditionalFormatting>
  <conditionalFormatting sqref="J32">
    <cfRule type="expression" priority="101" dxfId="5">
      <formula>OR(J32="Positive (t &gt;= 2)",J32="Model carries information")</formula>
    </cfRule>
    <cfRule type="expression" priority="102" dxfId="4">
      <formula>OR(J32="Negative (t &lt;= -2)",J32="No information beyond the market")</formula>
    </cfRule>
    <cfRule type="expression" priority="103" dxfId="3">
      <formula>OR(J32="Small sample",J32="Not distinguishable from zero")</formula>
    </cfRule>
  </conditionalFormatting>
  <conditionalFormatting sqref="J33">
    <cfRule type="expression" priority="101" dxfId="5">
      <formula>OR(J33="Positive (t &gt;= 2)",J33="Model carries information")</formula>
    </cfRule>
    <cfRule type="expression" priority="102" dxfId="4">
      <formula>OR(J33="Negative (t &lt;= -2)",J33="No information beyond the market")</formula>
    </cfRule>
    <cfRule type="expression" priority="103" dxfId="3">
      <formula>OR(J33="Small sample",J33="Not distinguishable from zero")</formula>
    </cfRule>
  </conditionalFormatting>
  <conditionalFormatting sqref="J34">
    <cfRule type="expression" priority="101" dxfId="5">
      <formula>OR(J34="Positive (t &gt;= 2)",J34="Model carries information")</formula>
    </cfRule>
    <cfRule type="expression" priority="102" dxfId="4">
      <formula>OR(J34="Negative (t &lt;= -2)",J34="No information beyond the market")</formula>
    </cfRule>
    <cfRule type="expression" priority="103" dxfId="3">
      <formula>OR(J34="Small sample",J34="Not distinguishable from zero")</formula>
    </cfRule>
  </conditionalFormatting>
  <conditionalFormatting sqref="J35">
    <cfRule type="expression" priority="101" dxfId="5">
      <formula>OR(J35="Positive (t &gt;= 2)",J35="Model carries information")</formula>
    </cfRule>
    <cfRule type="expression" priority="102" dxfId="4">
      <formula>OR(J35="Negative (t &lt;= -2)",J35="No information beyond the market")</formula>
    </cfRule>
    <cfRule type="expression" priority="103" dxfId="3">
      <formula>OR(J35="Small sample",J35="Not distinguishable from zero")</formula>
    </cfRule>
  </conditionalFormatting>
  <conditionalFormatting sqref="J36">
    <cfRule type="expression" priority="101" dxfId="5">
      <formula>OR(J36="Positive (t &gt;= 2)",J36="Model carries information")</formula>
    </cfRule>
    <cfRule type="expression" priority="102" dxfId="4">
      <formula>OR(J36="Negative (t &lt;= -2)",J36="No information beyond the market")</formula>
    </cfRule>
    <cfRule type="expression" priority="103" dxfId="3">
      <formula>OR(J36="Small sample",J36="Not distinguishable from zero")</formula>
    </cfRule>
  </conditionalFormatting>
  <conditionalFormatting sqref="J37">
    <cfRule type="expression" priority="101" dxfId="5">
      <formula>OR(J37="Positive (t &gt;= 2)",J37="Model carries information")</formula>
    </cfRule>
    <cfRule type="expression" priority="102" dxfId="4">
      <formula>OR(J37="Negative (t &lt;= -2)",J37="No information beyond the market")</formula>
    </cfRule>
    <cfRule type="expression" priority="103" dxfId="3">
      <formula>OR(J37="Small sample",J37="Not distinguishable from zero")</formula>
    </cfRule>
  </conditionalFormatting>
  <conditionalFormatting sqref="J38">
    <cfRule type="expression" priority="101" dxfId="5">
      <formula>OR(J38="Positive (t &gt;= 2)",J38="Model carries information")</formula>
    </cfRule>
    <cfRule type="expression" priority="102" dxfId="4">
      <formula>OR(J38="Negative (t &lt;= -2)",J38="No information beyond the market")</formula>
    </cfRule>
    <cfRule type="expression" priority="103" dxfId="3">
      <formula>OR(J38="Small sample",J38="Not distinguishable from zero")</formula>
    </cfRule>
  </conditionalFormatting>
  <conditionalFormatting sqref="J39">
    <cfRule type="expression" priority="101" dxfId="5">
      <formula>OR(J39="Positive (t &gt;= 2)",J39="Model carries information")</formula>
    </cfRule>
    <cfRule type="expression" priority="102" dxfId="4">
      <formula>OR(J39="Negative (t &lt;= -2)",J39="No information beyond the market")</formula>
    </cfRule>
    <cfRule type="expression" priority="103" dxfId="3">
      <formula>OR(J39="Small sample",J39="Not distinguishable from zero")</formula>
    </cfRule>
  </conditionalFormatting>
  <conditionalFormatting sqref="J40">
    <cfRule type="expression" priority="101" dxfId="5">
      <formula>OR(J40="Positive (t &gt;= 2)",J40="Model carries information")</formula>
    </cfRule>
    <cfRule type="expression" priority="102" dxfId="4">
      <formula>OR(J40="Negative (t &lt;= -2)",J40="No information beyond the market")</formula>
    </cfRule>
    <cfRule type="expression" priority="103" dxfId="3">
      <formula>OR(J40="Small sample",J40="Not distinguishable from zero")</formula>
    </cfRule>
  </conditionalFormatting>
  <conditionalFormatting sqref="J41">
    <cfRule type="expression" priority="101" dxfId="5">
      <formula>OR(J41="Positive (t &gt;= 2)",J41="Model carries information")</formula>
    </cfRule>
    <cfRule type="expression" priority="102" dxfId="4">
      <formula>OR(J41="Negative (t &lt;= -2)",J41="No information beyond the market")</formula>
    </cfRule>
    <cfRule type="expression" priority="103" dxfId="3">
      <formula>OR(J41="Small sample",J41="Not distinguishable from zero")</formula>
    </cfRule>
  </conditionalFormatting>
  <conditionalFormatting sqref="J42">
    <cfRule type="expression" priority="101" dxfId="5">
      <formula>OR(J42="Positive (t &gt;= 2)",J42="Model carries information")</formula>
    </cfRule>
    <cfRule type="expression" priority="102" dxfId="4">
      <formula>OR(J42="Negative (t &lt;= -2)",J42="No information beyond the market")</formula>
    </cfRule>
    <cfRule type="expression" priority="103" dxfId="3">
      <formula>OR(J42="Small sample",J42="Not distinguishable from zero")</formula>
    </cfRule>
  </conditionalFormatting>
  <conditionalFormatting sqref="J43">
    <cfRule type="expression" priority="101" dxfId="5">
      <formula>OR(J43="Positive (t &gt;= 2)",J43="Model carries information")</formula>
    </cfRule>
    <cfRule type="expression" priority="102" dxfId="4">
      <formula>OR(J43="Negative (t &lt;= -2)",J43="No information beyond the market")</formula>
    </cfRule>
    <cfRule type="expression" priority="103" dxfId="3">
      <formula>OR(J43="Small sample",J43="Not distinguishable from zero")</formula>
    </cfRule>
  </conditionalFormatting>
  <conditionalFormatting sqref="J48">
    <cfRule type="expression" priority="101" dxfId="5">
      <formula>OR(J48="Positive (t &gt;= 2)",J48="Model carries information")</formula>
    </cfRule>
    <cfRule type="expression" priority="102" dxfId="4">
      <formula>OR(J48="Negative (t &lt;= -2)",J48="No information beyond the market")</formula>
    </cfRule>
    <cfRule type="expression" priority="103" dxfId="3">
      <formula>OR(J48="Small sample",J48="Not distinguishable from zero")</formula>
    </cfRule>
  </conditionalFormatting>
  <conditionalFormatting sqref="J49">
    <cfRule type="expression" priority="101" dxfId="5">
      <formula>OR(J49="Positive (t &gt;= 2)",J49="Model carries information")</formula>
    </cfRule>
    <cfRule type="expression" priority="102" dxfId="4">
      <formula>OR(J49="Negative (t &lt;= -2)",J49="No information beyond the market")</formula>
    </cfRule>
    <cfRule type="expression" priority="103" dxfId="3">
      <formula>OR(J49="Small sample",J49="Not distinguishable from zero")</formula>
    </cfRule>
  </conditionalFormatting>
  <conditionalFormatting sqref="J50">
    <cfRule type="expression" priority="101" dxfId="5">
      <formula>OR(J50="Positive (t &gt;= 2)",J50="Model carries information")</formula>
    </cfRule>
    <cfRule type="expression" priority="102" dxfId="4">
      <formula>OR(J50="Negative (t &lt;= -2)",J50="No information beyond the market")</formula>
    </cfRule>
    <cfRule type="expression" priority="103" dxfId="3">
      <formula>OR(J50="Small sample",J50="Not distinguishable from zero")</formula>
    </cfRule>
  </conditionalFormatting>
  <conditionalFormatting sqref="J51">
    <cfRule type="expression" priority="101" dxfId="5">
      <formula>OR(J51="Positive (t &gt;= 2)",J51="Model carries information")</formula>
    </cfRule>
    <cfRule type="expression" priority="102" dxfId="4">
      <formula>OR(J51="Negative (t &lt;= -2)",J51="No information beyond the market")</formula>
    </cfRule>
    <cfRule type="expression" priority="103" dxfId="3">
      <formula>OR(J51="Small sample",J51="Not distinguishable from zero")</formula>
    </cfRule>
  </conditionalFormatting>
  <conditionalFormatting sqref="J56">
    <cfRule type="expression" priority="101" dxfId="5">
      <formula>OR(J56="Positive (t &gt;= 2)",J56="Model carries information")</formula>
    </cfRule>
    <cfRule type="expression" priority="102" dxfId="4">
      <formula>OR(J56="Negative (t &lt;= -2)",J56="No information beyond the market")</formula>
    </cfRule>
    <cfRule type="expression" priority="103" dxfId="3">
      <formula>OR(J56="Small sample",J56="Not distinguishable from zero")</formula>
    </cfRule>
  </conditionalFormatting>
  <conditionalFormatting sqref="J57">
    <cfRule type="expression" priority="101" dxfId="5">
      <formula>OR(J57="Positive (t &gt;= 2)",J57="Model carries information")</formula>
    </cfRule>
    <cfRule type="expression" priority="102" dxfId="4">
      <formula>OR(J57="Negative (t &lt;= -2)",J57="No information beyond the market")</formula>
    </cfRule>
    <cfRule type="expression" priority="103" dxfId="3">
      <formula>OR(J57="Small sample",J57="Not distinguishable from zero")</formula>
    </cfRule>
  </conditionalFormatting>
  <conditionalFormatting sqref="J62">
    <cfRule type="expression" priority="101" dxfId="5">
      <formula>OR(J62="Positive (t &gt;= 2)",J62="Model carries information")</formula>
    </cfRule>
    <cfRule type="expression" priority="102" dxfId="4">
      <formula>OR(J62="Negative (t &lt;= -2)",J62="No information beyond the market")</formula>
    </cfRule>
    <cfRule type="expression" priority="103" dxfId="3">
      <formula>OR(J62="Small sample",J62="Not distinguishable from zero")</formula>
    </cfRule>
  </conditionalFormatting>
  <conditionalFormatting sqref="J63">
    <cfRule type="expression" priority="101" dxfId="5">
      <formula>OR(J63="Positive (t &gt;= 2)",J63="Model carries information")</formula>
    </cfRule>
    <cfRule type="expression" priority="102" dxfId="4">
      <formula>OR(J63="Negative (t &lt;= -2)",J63="No information beyond the market")</formula>
    </cfRule>
    <cfRule type="expression" priority="103" dxfId="3">
      <formula>OR(J63="Small sample",J63="Not distinguishable from zero")</formula>
    </cfRule>
  </conditionalFormatting>
  <conditionalFormatting sqref="J64">
    <cfRule type="expression" priority="101" dxfId="5">
      <formula>OR(J64="Positive (t &gt;= 2)",J64="Model carries information")</formula>
    </cfRule>
    <cfRule type="expression" priority="102" dxfId="4">
      <formula>OR(J64="Negative (t &lt;= -2)",J64="No information beyond the market")</formula>
    </cfRule>
    <cfRule type="expression" priority="103" dxfId="3">
      <formula>OR(J64="Small sample",J64="Not distinguishable from zero")</formula>
    </cfRule>
  </conditionalFormatting>
  <conditionalFormatting sqref="J65">
    <cfRule type="expression" priority="101" dxfId="5">
      <formula>OR(J65="Positive (t &gt;= 2)",J65="Model carries information")</formula>
    </cfRule>
    <cfRule type="expression" priority="102" dxfId="4">
      <formula>OR(J65="Negative (t &lt;= -2)",J65="No information beyond the market")</formula>
    </cfRule>
    <cfRule type="expression" priority="103" dxfId="3">
      <formula>OR(J65="Small sample",J65="Not distinguishable from zero")</formula>
    </cfRule>
  </conditionalFormatting>
  <conditionalFormatting sqref="J66">
    <cfRule type="expression" priority="101" dxfId="5">
      <formula>OR(J66="Positive (t &gt;= 2)",J66="Model carries information")</formula>
    </cfRule>
    <cfRule type="expression" priority="102" dxfId="4">
      <formula>OR(J66="Negative (t &lt;= -2)",J66="No information beyond the market")</formula>
    </cfRule>
    <cfRule type="expression" priority="103" dxfId="3">
      <formula>OR(J66="Small sample",J66="Not distinguishable from zero")</formula>
    </cfRule>
  </conditionalFormatting>
  <conditionalFormatting sqref="J67">
    <cfRule type="expression" priority="101" dxfId="5">
      <formula>OR(J67="Positive (t &gt;= 2)",J67="Model carries information")</formula>
    </cfRule>
    <cfRule type="expression" priority="102" dxfId="4">
      <formula>OR(J67="Negative (t &lt;= -2)",J67="No information beyond the market")</formula>
    </cfRule>
    <cfRule type="expression" priority="103" dxfId="3">
      <formula>OR(J67="Small sample",J67="Not distinguishable from zero")</formula>
    </cfRule>
  </conditionalFormatting>
  <conditionalFormatting sqref="J68">
    <cfRule type="expression" priority="101" dxfId="5">
      <formula>OR(J68="Positive (t &gt;= 2)",J68="Model carries information")</formula>
    </cfRule>
    <cfRule type="expression" priority="102" dxfId="4">
      <formula>OR(J68="Negative (t &lt;= -2)",J68="No information beyond the market")</formula>
    </cfRule>
    <cfRule type="expression" priority="103" dxfId="3">
      <formula>OR(J68="Small sample",J68="Not distinguishable from zero")</formula>
    </cfRule>
  </conditionalFormatting>
  <conditionalFormatting sqref="J69">
    <cfRule type="expression" priority="101" dxfId="5">
      <formula>OR(J69="Positive (t &gt;= 2)",J69="Model carries information")</formula>
    </cfRule>
    <cfRule type="expression" priority="102" dxfId="4">
      <formula>OR(J69="Negative (t &lt;= -2)",J69="No information beyond the market")</formula>
    </cfRule>
    <cfRule type="expression" priority="103" dxfId="3">
      <formula>OR(J69="Small sample",J69="Not distinguishable from zero")</formula>
    </cfRule>
  </conditionalFormatting>
  <conditionalFormatting sqref="J70">
    <cfRule type="expression" priority="101" dxfId="5">
      <formula>OR(J70="Positive (t &gt;= 2)",J70="Model carries information")</formula>
    </cfRule>
    <cfRule type="expression" priority="102" dxfId="4">
      <formula>OR(J70="Negative (t &lt;= -2)",J70="No information beyond the market")</formula>
    </cfRule>
    <cfRule type="expression" priority="103" dxfId="3">
      <formula>OR(J70="Small sample",J70="Not distinguishable from zero")</formula>
    </cfRule>
  </conditionalFormatting>
  <hyperlinks>
    <hyperlink ref="A73" location="'Dashboard'!A1" display="Back to dashboard"/>
  </hyperlinks>
</worksheet>
</file>