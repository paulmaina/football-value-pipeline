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17.0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2.4799999999999986</v>
                </pt>
                <pt idx="3">
                  <v>2.4799999999999986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2.0899999999999994</c:v>
                </c:pt>
                <c:pt idx="48">
                  <c:v>2.0899999999999994</c:v>
                </c:pt>
                <c:pt idx="49">
                  <c:v>2.4799999999999995</c:v>
                </c:pt>
                <c:pt idx="50">
                  <c:v>2.4799999999999995</c:v>
                </c:pt>
                <c:pt idx="51">
                  <c:v>2.4799999999999995</c:v>
                </c:pt>
                <c:pt idx="52">
                  <c:v>2.4799999999999995</c:v>
                </c:pt>
                <c:pt idx="53">
                  <c:v>2.4799999999999995</c:v>
                </c:pt>
                <c:pt idx="54">
                  <c:v>2.4799999999999995</c:v>
                </c:pt>
                <c:pt idx="55">
                  <c:v>2.4799999999999995</c:v>
                </c:pt>
                <c:pt idx="56">
                  <c:v>2.4799999999999995</c:v>
                </c:pt>
                <c:pt idx="57">
                  <c:v>2.4799999999999995</c:v>
                </c:pt>
                <c:pt idx="58">
                  <c:v>2.4799999999999995</c:v>
                </c:pt>
                <c:pt idx="59">
                  <c:v>2.4799999999999995</c:v>
                </c:pt>
                <c:pt idx="60">
                  <c:v>2.4799999999999995</c:v>
                </c:pt>
                <c:pt idx="61">
                  <c:v>2.4799999999999995</c:v>
                </c:pt>
                <c:pt idx="62">
                  <c:v>2.4799999999999995</c:v>
                </c:pt>
                <c:pt idx="63">
                  <c:v>2.4799999999999995</c:v>
                </c:pt>
                <c:pt idx="64">
                  <c:v>2.4799999999999995</c:v>
                </c:pt>
                <c:pt idx="65">
                  <c:v>2.4799999999999995</c:v>
                </c:pt>
                <c:pt idx="66">
                  <c:v>2.4799999999999995</c:v>
                </c:pt>
                <c:pt idx="67">
                  <c:v>2.4799999999999995</c:v>
                </c:pt>
                <c:pt idx="68">
                  <c:v>2.4799999999999995</c:v>
                </c:pt>
                <c:pt idx="69">
                  <c:v>2.4799999999999995</c:v>
                </c:pt>
                <c:pt idx="70">
                  <c:v>2.4799999999999995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0.7609135641638696</c:v>
                </c:pt>
                <c:pt idx="4">
                  <c:v>0.839551821559349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0.75</c:v>
                </c:pt>
                <c:pt idx="4">
                  <c:v>0.8571428571428571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16</v>
      </c>
      <c r="F7" s="20">
        <f>Breakdowns!H7</f>
        <v>0.9375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43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28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0.7674418604651163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0.05767441860465114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2.479999999999999</v>
      </c>
      <c r="C14" s="18"/>
      <c r="D14" s="18" t="inlineStr">
        <is>
          <t>43 settled; 28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0.1603999220550352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0.592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0.56488185928</v>
      </c>
      <c r="C17" s="18"/>
      <c r="D17" s="18" t="inlineStr">
        <is>
          <t>Over 1.5</t>
        </is>
      </c>
      <c r="E17" s="18">
        <f>COUNT(Predictions!J6:J244)</f>
        <v>125</v>
      </c>
      <c r="F17" s="20">
        <f>IF(E17=0,"n.a.",AVERAGE(Predictions!J6:J244))</f>
        <v>0.816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0.622551917005606</v>
      </c>
      <c r="C18" s="18"/>
      <c r="D18" s="18" t="inlineStr">
        <is>
          <t>Under 3.5</t>
        </is>
      </c>
      <c r="E18" s="18">
        <f>COUNT(Predictions!K6:K244)</f>
        <v>125</v>
      </c>
      <c r="F18" s="20">
        <f>IF(E18=0,"n.a.",AVERAGE(Predictions!K6:K244))</f>
        <v>0.608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0.8684646153075517</v>
      </c>
      <c r="C19" s="18"/>
      <c r="D19" s="18" t="inlineStr">
        <is>
          <t>BTTS Yes</t>
        </is>
      </c>
      <c r="E19" s="18">
        <f>COUNT(Predictions!L6:L244)</f>
        <v>125</v>
      </c>
      <c r="F19" s="20">
        <f>IF(E19=0,"n.a.",AVERAGE(Predictions!L6:L244))</f>
        <v>0.552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125</v>
      </c>
      <c r="F20" s="20">
        <f>IF(E20=0,"n.a.",AVERAGE(Predictions!M6:M244))</f>
        <v>0.552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33 wins from 43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2026-10-25T10:26:57.031798+00:00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UNVERIFIED_FIXTURE_OR_RESULT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2.0899999999999994</v>
      </c>
      <c r="G57" s="22">
        <f>$B$4+F57</f>
        <v>102.09</v>
      </c>
      <c r="H57" s="22">
        <f>MAX($B$4,$G$10:G57)</f>
        <v>102.81</v>
      </c>
      <c r="I57" s="22">
        <f>H57-G57</f>
        <v>0.7199999999999989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UNVERIFIED_FIXTURE_OR_RESULT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2.0899999999999994</v>
      </c>
      <c r="G58" s="22">
        <f>$B$4+F58</f>
        <v>102.09</v>
      </c>
      <c r="H58" s="22">
        <f>MAX($B$4,$G$10:G58)</f>
        <v>102.81</v>
      </c>
      <c r="I58" s="22">
        <f>H58-G58</f>
        <v>0.7199999999999989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2.4799999999999995</v>
      </c>
      <c r="G59" s="22">
        <f>$B$4+F59</f>
        <v>102.48</v>
      </c>
      <c r="H59" s="22">
        <f>MAX($B$4,$G$10:G59)</f>
        <v>102.81</v>
      </c>
      <c r="I59" s="22">
        <f>H59-G59</f>
        <v>0.3299999999999983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2.4799999999999995</v>
      </c>
      <c r="G60" s="22">
        <f>$B$4+F60</f>
        <v>102.48</v>
      </c>
      <c r="H60" s="22">
        <f>MAX($B$4,$G$10:G60)</f>
        <v>102.81</v>
      </c>
      <c r="I60" s="22">
        <f>H60-G60</f>
        <v>0.3299999999999983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2.4799999999999995</v>
      </c>
      <c r="G61" s="22">
        <f>$B$4+F61</f>
        <v>102.48</v>
      </c>
      <c r="H61" s="22">
        <f>MAX($B$4,$G$10:G61)</f>
        <v>102.81</v>
      </c>
      <c r="I61" s="22">
        <f>H61-G61</f>
        <v>0.3299999999999983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2.4799999999999995</v>
      </c>
      <c r="G62" s="22">
        <f>$B$4+F62</f>
        <v>102.48</v>
      </c>
      <c r="H62" s="22">
        <f>MAX($B$4,$G$10:G62)</f>
        <v>102.81</v>
      </c>
      <c r="I62" s="22">
        <f>H62-G62</f>
        <v>0.3299999999999983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PENDING_KICKOFF_OR_FINAL_SCORE</t>
        </is>
      </c>
      <c r="D63" s="22" t="str">
        <f>IF(ISNUMBER(Selections!M59),Selections!M59,"")</f>
        <v/>
      </c>
      <c r="E63" s="22" t="str">
        <f>IF(ISNUMBER(Selections!N59),Selections!N59,"")</f>
        <v/>
      </c>
      <c r="F63" s="22">
        <f>SUM($E$10:E63)</f>
        <v>2.4799999999999995</v>
      </c>
      <c r="G63" s="22">
        <f>$B$4+F63</f>
        <v>102.48</v>
      </c>
      <c r="H63" s="22">
        <f>MAX($B$4,$G$10:G63)</f>
        <v>102.81</v>
      </c>
      <c r="I63" s="22">
        <f>H63-G63</f>
        <v>0.3299999999999983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PENDING_KICKOFF_OR_FINAL_SCORE</t>
        </is>
      </c>
      <c r="D64" s="22" t="str">
        <f>IF(ISNUMBER(Selections!M60),Selections!M60,"")</f>
        <v/>
      </c>
      <c r="E64" s="22" t="str">
        <f>IF(ISNUMBER(Selections!N60),Selections!N60,"")</f>
        <v/>
      </c>
      <c r="F64" s="22">
        <f>SUM($E$10:E64)</f>
        <v>2.4799999999999995</v>
      </c>
      <c r="G64" s="22">
        <f>$B$4+F64</f>
        <v>102.48</v>
      </c>
      <c r="H64" s="22">
        <f>MAX($B$4,$G$10:G64)</f>
        <v>102.81</v>
      </c>
      <c r="I64" s="22">
        <f>H64-G64</f>
        <v>0.3299999999999983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PENDING_KICKOFF_OR_FINAL_SCORE</t>
        </is>
      </c>
      <c r="D65" s="22" t="str">
        <f>IF(ISNUMBER(Selections!M61),Selections!M61,"")</f>
        <v/>
      </c>
      <c r="E65" s="22" t="str">
        <f>IF(ISNUMBER(Selections!N61),Selections!N61,"")</f>
        <v/>
      </c>
      <c r="F65" s="22">
        <f>SUM($E$10:E65)</f>
        <v>2.4799999999999995</v>
      </c>
      <c r="G65" s="22">
        <f>$B$4+F65</f>
        <v>102.48</v>
      </c>
      <c r="H65" s="22">
        <f>MAX($B$4,$G$10:G65)</f>
        <v>102.81</v>
      </c>
      <c r="I65" s="22">
        <f>H65-G65</f>
        <v>0.3299999999999983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PENDING_KICKOFF_OR_FINAL_SCORE</t>
        </is>
      </c>
      <c r="D66" s="22" t="str">
        <f>IF(ISNUMBER(Selections!M62),Selections!M62,"")</f>
        <v/>
      </c>
      <c r="E66" s="22" t="str">
        <f>IF(ISNUMBER(Selections!N62),Selections!N62,"")</f>
        <v/>
      </c>
      <c r="F66" s="22">
        <f>SUM($E$10:E66)</f>
        <v>2.4799999999999995</v>
      </c>
      <c r="G66" s="22">
        <f>$B$4+F66</f>
        <v>102.48</v>
      </c>
      <c r="H66" s="22">
        <f>MAX($B$4,$G$10:G66)</f>
        <v>102.81</v>
      </c>
      <c r="I66" s="22">
        <f>H66-G66</f>
        <v>0.3299999999999983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PENDING_KICKOFF_OR_FINAL_SCORE</t>
        </is>
      </c>
      <c r="D67" s="22" t="str">
        <f>IF(ISNUMBER(Selections!M63),Selections!M63,"")</f>
        <v/>
      </c>
      <c r="E67" s="22" t="str">
        <f>IF(ISNUMBER(Selections!N63),Selections!N63,"")</f>
        <v/>
      </c>
      <c r="F67" s="22">
        <f>SUM($E$10:E67)</f>
        <v>2.4799999999999995</v>
      </c>
      <c r="G67" s="22">
        <f>$B$4+F67</f>
        <v>102.48</v>
      </c>
      <c r="H67" s="22">
        <f>MAX($B$4,$G$10:G67)</f>
        <v>102.81</v>
      </c>
      <c r="I67" s="22">
        <f>H67-G67</f>
        <v>0.3299999999999983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PENDING_KICKOFF_OR_FINAL_SCORE</t>
        </is>
      </c>
      <c r="D68" s="22" t="str">
        <f>IF(ISNUMBER(Selections!M64),Selections!M64,"")</f>
        <v/>
      </c>
      <c r="E68" s="22" t="str">
        <f>IF(ISNUMBER(Selections!N64),Selections!N64,"")</f>
        <v/>
      </c>
      <c r="F68" s="22">
        <f>SUM($E$10:E68)</f>
        <v>2.4799999999999995</v>
      </c>
      <c r="G68" s="22">
        <f>$B$4+F68</f>
        <v>102.48</v>
      </c>
      <c r="H68" s="22">
        <f>MAX($B$4,$G$10:G68)</f>
        <v>102.81</v>
      </c>
      <c r="I68" s="22">
        <f>H68-G68</f>
        <v>0.3299999999999983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PENDING_KICKOFF_OR_FINAL_SCORE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2.4799999999999995</v>
      </c>
      <c r="G69" s="22">
        <f>$B$4+F69</f>
        <v>102.48</v>
      </c>
      <c r="H69" s="22">
        <f>MAX($B$4,$G$10:G69)</f>
        <v>102.81</v>
      </c>
      <c r="I69" s="22">
        <f>H69-G69</f>
        <v>0.3299999999999983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PENDING_KICKOFF_OR_FINAL_SCORE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2.4799999999999995</v>
      </c>
      <c r="G70" s="22">
        <f>$B$4+F70</f>
        <v>102.48</v>
      </c>
      <c r="H70" s="22">
        <f>MAX($B$4,$G$10:G70)</f>
        <v>102.81</v>
      </c>
      <c r="I70" s="22">
        <f>H70-G70</f>
        <v>0.3299999999999983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PENDING_KICKOFF_OR_FINAL_SCORE</t>
        </is>
      </c>
      <c r="D71" s="22" t="str">
        <f>IF(ISNUMBER(Selections!M67),Selections!M67,"")</f>
        <v/>
      </c>
      <c r="E71" s="22" t="str">
        <f>IF(ISNUMBER(Selections!N67),Selections!N67,"")</f>
        <v/>
      </c>
      <c r="F71" s="22">
        <f>SUM($E$10:E71)</f>
        <v>2.4799999999999995</v>
      </c>
      <c r="G71" s="22">
        <f>$B$4+F71</f>
        <v>102.48</v>
      </c>
      <c r="H71" s="22">
        <f>MAX($B$4,$G$10:G71)</f>
        <v>102.81</v>
      </c>
      <c r="I71" s="22">
        <f>H71-G71</f>
        <v>0.3299999999999983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PENDING_KICKOFF_OR_FINAL_SCORE</t>
        </is>
      </c>
      <c r="D72" s="22" t="str">
        <f>IF(ISNUMBER(Selections!M68),Selections!M68,"")</f>
        <v/>
      </c>
      <c r="E72" s="22" t="str">
        <f>IF(ISNUMBER(Selections!N68),Selections!N68,"")</f>
        <v/>
      </c>
      <c r="F72" s="22">
        <f>SUM($E$10:E72)</f>
        <v>2.4799999999999995</v>
      </c>
      <c r="G72" s="22">
        <f>$B$4+F72</f>
        <v>102.48</v>
      </c>
      <c r="H72" s="22">
        <f>MAX($B$4,$G$10:G72)</f>
        <v>102.81</v>
      </c>
      <c r="I72" s="22">
        <f>H72-G72</f>
        <v>0.3299999999999983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PENDING_KICKOFF_OR_FINAL_SCORE</t>
        </is>
      </c>
      <c r="D73" s="22" t="str">
        <f>IF(ISNUMBER(Selections!M69),Selections!M69,"")</f>
        <v/>
      </c>
      <c r="E73" s="22" t="str">
        <f>IF(ISNUMBER(Selections!N69),Selections!N69,"")</f>
        <v/>
      </c>
      <c r="F73" s="22">
        <f>SUM($E$10:E73)</f>
        <v>2.4799999999999995</v>
      </c>
      <c r="G73" s="22">
        <f>$B$4+F73</f>
        <v>102.48</v>
      </c>
      <c r="H73" s="22">
        <f>MAX($B$4,$G$10:G73)</f>
        <v>102.81</v>
      </c>
      <c r="I73" s="22">
        <f>H73-G73</f>
        <v>0.3299999999999983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PENDING_KICKOFF_OR_FINAL_SCORE</t>
        </is>
      </c>
      <c r="D74" s="22" t="str">
        <f>IF(ISNUMBER(Selections!M70),Selections!M70,"")</f>
        <v/>
      </c>
      <c r="E74" s="22" t="str">
        <f>IF(ISNUMBER(Selections!N70),Selections!N70,"")</f>
        <v/>
      </c>
      <c r="F74" s="22">
        <f>SUM($E$10:E74)</f>
        <v>2.4799999999999995</v>
      </c>
      <c r="G74" s="22">
        <f>$B$4+F74</f>
        <v>102.48</v>
      </c>
      <c r="H74" s="22">
        <f>MAX($B$4,$G$10:G74)</f>
        <v>102.81</v>
      </c>
      <c r="I74" s="22">
        <f>H74-G74</f>
        <v>0.3299999999999983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PENDING_KICKOFF_OR_FINAL_SCORE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2.4799999999999995</v>
      </c>
      <c r="G75" s="22">
        <f>$B$4+F75</f>
        <v>102.48</v>
      </c>
      <c r="H75" s="22">
        <f>MAX($B$4,$G$10:G75)</f>
        <v>102.81</v>
      </c>
      <c r="I75" s="22">
        <f>H75-G75</f>
        <v>0.3299999999999983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PENDING_KICKOFF_OR_FINAL_SCORE</t>
        </is>
      </c>
      <c r="D76" s="22" t="str">
        <f>IF(ISNUMBER(Selections!M72),Selections!M72,"")</f>
        <v/>
      </c>
      <c r="E76" s="22" t="str">
        <f>IF(ISNUMBER(Selections!N72),Selections!N72,"")</f>
        <v/>
      </c>
      <c r="F76" s="22">
        <f>SUM($E$10:E76)</f>
        <v>2.4799999999999995</v>
      </c>
      <c r="G76" s="22">
        <f>$B$4+F76</f>
        <v>102.48</v>
      </c>
      <c r="H76" s="22">
        <f>MAX($B$4,$G$10:G76)</f>
        <v>102.81</v>
      </c>
      <c r="I76" s="22">
        <f>H76-G76</f>
        <v>0.3299999999999983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PENDING_KICKOFF_OR_FINAL_SCORE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2.4799999999999995</v>
      </c>
      <c r="G77" s="22">
        <f>$B$4+F77</f>
        <v>102.48</v>
      </c>
      <c r="H77" s="22">
        <f>MAX($B$4,$G$10:G77)</f>
        <v>102.81</v>
      </c>
      <c r="I77" s="22">
        <f>H77-G77</f>
        <v>0.3299999999999983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PENDING_KICKOFF_OR_FINAL_SCORE</t>
        </is>
      </c>
      <c r="D78" s="22" t="str">
        <f>IF(ISNUMBER(Selections!M74),Selections!M74,"")</f>
        <v/>
      </c>
      <c r="E78" s="22" t="str">
        <f>IF(ISNUMBER(Selections!N74),Selections!N74,"")</f>
        <v/>
      </c>
      <c r="F78" s="22">
        <f>SUM($E$10:E78)</f>
        <v>2.4799999999999995</v>
      </c>
      <c r="G78" s="22">
        <f>$B$4+F78</f>
        <v>102.48</v>
      </c>
      <c r="H78" s="22">
        <f>MAX($B$4,$G$10:G78)</f>
        <v>102.81</v>
      </c>
      <c r="I78" s="22">
        <f>H78-G78</f>
        <v>0.3299999999999983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PENDING_KICKOFF_OR_FINAL_SCORE</t>
        </is>
      </c>
      <c r="D79" s="22" t="str">
        <f>IF(ISNUMBER(Selections!M75),Selections!M75,"")</f>
        <v/>
      </c>
      <c r="E79" s="22" t="str">
        <f>IF(ISNUMBER(Selections!N75),Selections!N75,"")</f>
        <v/>
      </c>
      <c r="F79" s="22">
        <f>SUM($E$10:E79)</f>
        <v>2.4799999999999995</v>
      </c>
      <c r="G79" s="22">
        <f>$B$4+F79</f>
        <v>102.48</v>
      </c>
      <c r="H79" s="22">
        <f>MAX($B$4,$G$10:G79)</f>
        <v>102.81</v>
      </c>
      <c r="I79" s="22">
        <f>H79-G79</f>
        <v>0.3299999999999983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2.4799999999999995</v>
      </c>
      <c r="G80" s="22">
        <f>$B$4+F80</f>
        <v>102.48</v>
      </c>
      <c r="H80" s="22">
        <f>MAX($B$4,$G$10:G80)</f>
        <v>102.81</v>
      </c>
      <c r="I80" s="22">
        <f>H80-G80</f>
        <v>0.3299999999999983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43</v>
      </c>
      <c r="E6" s="19">
        <f>(COUNTIFS(Selections!$K$6:$K$76,"WON")+COUNTIFS(Selections!$K$6:$K$76,"HALF_WON"))</f>
        <v>33</v>
      </c>
      <c r="F6" s="19">
        <f>(COUNTIFS(Selections!$K$6:$K$76,"LOST")+COUNTIFS(Selections!$K$6:$K$76,"HALF_LOST"))</f>
        <v>10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28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0.7674418604651163</v>
      </c>
      <c r="I6" s="22">
        <f>SUM(Selections!$M$6:$M$76)</f>
        <v>43</v>
      </c>
      <c r="J6" s="22">
        <f>SUM(Selections!$N$6:$N$76)</f>
        <v>2.479999999999999</v>
      </c>
      <c r="K6" s="20">
        <f>IF(SUM(Selections!$M$6:$M$76)=0,"n.a.",SUM(Selections!$N$6:$N$76)/SUM(Selections!$M$6:$M$76))</f>
        <v>0.05767441860465114</v>
      </c>
      <c r="L6" s="21">
        <f>IF(SUM(Selections!$T$6:$T$76)=0,"n.a.",SUM(Selections!$O$6:$O$76)/SUM(Selections!$T$6:$T$76))</f>
        <v>0.1603999220550352</v>
      </c>
      <c r="M6" s="20">
        <f>IF(SUM(Selections!$T$6:$T$76)=0,"n.a.",SUM(Selections!$S$6:$S$76)/SUM(Selections!$T$6:$T$76))</f>
        <v>0.7653598623127856</v>
      </c>
      <c r="N6" s="20">
        <f>IF(SUM(Selections!$T$6:$T$76)=0,"n.a.",(SUMIFS(Selections!$L$6:$L$76,Selections!$T$6:$T$76,1))/SUM(Selections!$T$6:$T$76))</f>
        <v>0.7674418604651163</v>
      </c>
      <c r="O6" s="20">
        <f>IF(SUM(Selections!$T$6:$T$76)=0,"n.a.",(SUM(Selections!$S$6:$S$76)-(SUMIFS(Selections!$L$6:$L$76,Selections!$T$6:$T$76,1)))/SUM(Selections!$T$6:$T$76))</f>
        <v>-0.0020819981523306774</v>
      </c>
      <c r="P6" s="19">
        <f>SUM(Selections!$T$6:$T$76)</f>
        <v>43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16</v>
      </c>
      <c r="E7" s="19">
        <f>(COUNTIFS(Selections!$F$6:$F$76,"STRICT",Selections!$K$6:$K$76,"WON")+COUNTIFS(Selections!$F$6:$F$76,"STRICT",Selections!$K$6:$K$76,"HALF_WON"))</f>
        <v>15</v>
      </c>
      <c r="F7" s="19">
        <f>(COUNTIFS(Selections!$F$6:$F$76,"STRICT",Selections!$K$6:$K$76,"LOST")+COUNTIFS(Selections!$F$6:$F$76,"STRICT",Selections!$K$6:$K$76,"HALF_LOST"))</f>
        <v>1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26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0.9375</v>
      </c>
      <c r="I7" s="22">
        <f>SUMIFS(Selections!$M$6:$M$76,Selections!$F$6:$F$76,"STRICT")</f>
        <v>16</v>
      </c>
      <c r="J7" s="22">
        <f>SUMIFS(Selections!$N$6:$N$76,Selections!$F$6:$F$76,"STRICT")</f>
        <v>5.37</v>
      </c>
      <c r="K7" s="20">
        <f>IF(SUMIFS(Selections!$M$6:$M$76,Selections!$F$6:$F$76,"STRICT")=0,"n.a.",SUMIFS(Selections!$N$6:$N$76,Selections!$F$6:$F$76,"STRICT")/SUMIFS(Selections!$M$6:$M$76,Selections!$F$6:$F$76,"STRICT"))</f>
        <v>0.335625</v>
      </c>
      <c r="L7" s="21">
        <f>IF(SUMIFS(Selections!$T$6:$T$76,Selections!$F$6:$F$76,"STRICT")=0,"n.a.",SUMIFS(Selections!$O$6:$O$76,Selections!$F$6:$F$76,"STRICT")/SUMIFS(Selections!$T$6:$T$76,Selections!$F$6:$F$76,"STRICT"))</f>
        <v>0.07701504676375671</v>
      </c>
      <c r="M7" s="20">
        <f>IF(SUMIFS(Selections!$T$6:$T$76,Selections!$F$6:$F$76,"STRICT")=0,"n.a.",SUMIFS(Selections!$S$6:$S$76,Selections!$F$6:$F$76,"STRICT")/SUMIFS(Selections!$T$6:$T$76,Selections!$F$6:$F$76,"STRICT"))</f>
        <v>0.7746620841262966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0.9375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-0.16283791587370344</v>
      </c>
      <c r="P7" s="19">
        <f>SUMIFS(Selections!$T$6:$T$76,Selections!$F$6:$F$76,"STRICT")</f>
        <v>16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4</v>
      </c>
      <c r="E9" s="19">
        <f>(COUNTIFS(Selections!$C$6:$C$76,"Bundesliga",Selections!$K$6:$K$76,"WON")+COUNTIFS(Selections!$C$6:$C$76,"Bundesliga",Selections!$K$6:$K$76,"HALF_WON"))</f>
        <v>4</v>
      </c>
      <c r="F9" s="19">
        <f>(COUNTIFS(Selections!$C$6:$C$76,"Bundesliga",Selections!$K$6:$K$76,"LOST")+COUNTIFS(Selections!$C$6:$C$76,"Bundesliga",Selections!$K$6:$K$76,"HALF_LOST"))</f>
        <v>0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4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1.0</v>
      </c>
      <c r="I9" s="22">
        <f>SUMIFS(Selections!$M$6:$M$76,Selections!$C$6:$C$76,"Bundesliga")</f>
        <v>4</v>
      </c>
      <c r="J9" s="22">
        <f>SUMIFS(Selections!$N$6:$N$76,Selections!$C$6:$C$76,"Bundesliga")</f>
        <v>1.3599999999999999</v>
      </c>
      <c r="K9" s="20">
        <f>IF(SUMIFS(Selections!$M$6:$M$76,Selections!$C$6:$C$76,"Bundesliga")=0,"n.a.",SUMIFS(Selections!$N$6:$N$76,Selections!$C$6:$C$76,"Bundesliga")/SUMIFS(Selections!$M$6:$M$76,Selections!$C$6:$C$76,"Bundesliga"))</f>
        <v>0.33999999999999997</v>
      </c>
      <c r="L9" s="21">
        <f>IF(SUMIFS(Selections!$T$6:$T$76,Selections!$C$6:$C$76,"Bundesliga")=0,"n.a.",SUMIFS(Selections!$O$6:$O$76,Selections!$C$6:$C$76,"Bundesliga")/SUMIFS(Selections!$T$6:$T$76,Selections!$C$6:$C$76,"Bundesliga"))</f>
        <v>0.04034464395720855</v>
      </c>
      <c r="M9" s="20">
        <f>IF(SUMIFS(Selections!$T$6:$T$76,Selections!$C$6:$C$76,"Bundesliga")=0,"n.a.",SUMIFS(Selections!$S$6:$S$76,Selections!$C$6:$C$76,"Bundesliga")/SUMIFS(Selections!$T$6:$T$76,Selections!$C$6:$C$76,"Bundesliga"))</f>
        <v>0.8014881141549439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1.0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-0.19851188584505608</v>
      </c>
      <c r="P9" s="19">
        <f>SUMIFS(Selections!$T$6:$T$76,Selections!$C$6:$C$76,"Bundesliga")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0</v>
      </c>
      <c r="E10" s="19">
        <f>(COUNTIFS(Selections!$C$6:$C$76,"Eredivisie",Selections!$K$6:$K$76,"WON")+COUNTIFS(Selections!$C$6:$C$76,"Eredivisie",Selections!$K$6:$K$76,"HALF_WON"))</f>
        <v>0</v>
      </c>
      <c r="F10" s="19">
        <f>(COUNTIFS(Selections!$C$6:$C$76,"Eredivisie",Selections!$K$6:$K$76,"LOST")+COUNTIFS(Selections!$C$6:$C$76,"Eredivisie",Selections!$K$6:$K$76,"HALF_LOST"))</f>
        <v>0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3</v>
      </c>
      <c r="H10" s="20" t="str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n.a.</v>
      </c>
      <c r="I10" s="22">
        <f>SUMIFS(Selections!$M$6:$M$76,Selections!$C$6:$C$76,"Eredivisie")</f>
        <v>0</v>
      </c>
      <c r="J10" s="22">
        <f>SUMIFS(Selections!$N$6:$N$76,Selections!$C$6:$C$76,"Eredivisie")</f>
        <v>0</v>
      </c>
      <c r="K10" s="20" t="str">
        <f>IF(SUMIFS(Selections!$M$6:$M$76,Selections!$C$6:$C$76,"Eredivisie")=0,"n.a.",SUMIFS(Selections!$N$6:$N$76,Selections!$C$6:$C$76,"Eredivisie")/SUMIFS(Selections!$M$6:$M$76,Selections!$C$6:$C$76,"Eredivisie"))</f>
        <v>n.a.</v>
      </c>
      <c r="L10" s="21" t="str">
        <f>IF(SUMIFS(Selections!$T$6:$T$76,Selections!$C$6:$C$76,"Eredivisie")=0,"n.a.",SUMIFS(Selections!$O$6:$O$76,Selections!$C$6:$C$76,"Eredivisie")/SUMIFS(Selections!$T$6:$T$76,Selections!$C$6:$C$76,"Eredivisie"))</f>
        <v>n.a.</v>
      </c>
      <c r="M10" s="20" t="str">
        <f>IF(SUMIFS(Selections!$T$6:$T$76,Selections!$C$6:$C$76,"Eredivisie")=0,"n.a.",SUMIFS(Selections!$S$6:$S$76,Selections!$C$6:$C$76,"Eredivisie")/SUMIFS(Selections!$T$6:$T$76,Selections!$C$6:$C$76,"Eredivisie"))</f>
        <v>n.a.</v>
      </c>
      <c r="N10" s="20" t="str">
        <f>IF(SUMIFS(Selections!$T$6:$T$76,Selections!$C$6:$C$76,"Eredivisie")=0,"n.a.",(SUMIFS(Selections!$L$6:$L$76,Selections!$C$6:$C$76,"Eredivisie",Selections!$T$6:$T$76,1))/SUMIFS(Selections!$T$6:$T$76,Selections!$C$6:$C$76,"Eredivisie"))</f>
        <v>n.a.</v>
      </c>
      <c r="O10" s="20" t="str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n.a.</v>
      </c>
      <c r="P10" s="19">
        <f>SUMIFS(Selections!$T$6:$T$76,Selections!$C$6:$C$76,"Eredivisie")</f>
        <v>0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9</v>
      </c>
      <c r="E11" s="19">
        <f>(COUNTIFS(Selections!$C$6:$C$76,"La Liga",Selections!$K$6:$K$76,"WON")+COUNTIFS(Selections!$C$6:$C$76,"La Liga",Selections!$K$6:$K$76,"HALF_WON"))</f>
        <v>9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4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9</v>
      </c>
      <c r="J11" s="22">
        <f>SUMIFS(Selections!$N$6:$N$76,Selections!$C$6:$C$76,"La Liga")</f>
        <v>3.13</v>
      </c>
      <c r="K11" s="20">
        <f>IF(SUMIFS(Selections!$M$6:$M$76,Selections!$C$6:$C$76,"La Liga")=0,"n.a.",SUMIFS(Selections!$N$6:$N$76,Selections!$C$6:$C$76,"La Liga")/SUMIFS(Selections!$M$6:$M$76,Selections!$C$6:$C$76,"La Liga"))</f>
        <v>0.34777777777777774</v>
      </c>
      <c r="L11" s="21">
        <f>IF(SUMIFS(Selections!$T$6:$T$76,Selections!$C$6:$C$76,"La Liga")=0,"n.a.",SUMIFS(Selections!$O$6:$O$76,Selections!$C$6:$C$76,"La Liga")/SUMIFS(Selections!$T$6:$T$76,Selections!$C$6:$C$76,"La Liga"))</f>
        <v>0.044367028038894724</v>
      </c>
      <c r="M11" s="20">
        <f>IF(SUMIFS(Selections!$T$6:$T$76,Selections!$C$6:$C$76,"La Liga")=0,"n.a.",SUMIFS(Selections!$S$6:$S$76,Selections!$C$6:$C$76,"La Liga")/SUMIFS(Selections!$T$6:$T$76,Selections!$C$6:$C$76,"La Liga"))</f>
        <v>0.8033798432499445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-0.1966201567500555</v>
      </c>
      <c r="P11" s="19">
        <f>SUMIFS(Selections!$T$6:$T$76,Selections!$C$6:$C$76,"La Liga")</f>
        <v>9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(n=9).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E12" s="19">
        <f>(COUNTIFS(Selections!$C$6:$C$76,"Ligue 1",Selections!$K$6:$K$76,"WON")+COUNTIFS(Selections!$C$6:$C$76,"Ligue 1",Selections!$K$6:$K$76,"HALF_WON"))</f>
        <v>1</v>
      </c>
      <c r="F12" s="19">
        <f>(COUNTIFS(Selections!$C$6:$C$76,"Ligue 1",Selections!$K$6:$K$76,"LOST")+COUNTIFS(Selections!$C$6:$C$76,"Ligue 1",Selections!$K$6:$K$76,"HALF_LOST"))</f>
        <v>1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0.5</v>
      </c>
      <c r="I12" s="22">
        <f>SUMIFS(Selections!$M$6:$M$76,Selections!$C$6:$C$76,"Ligue 1")</f>
        <v>2</v>
      </c>
      <c r="J12" s="22">
        <f>SUMIFS(Selections!$N$6:$N$76,Selections!$C$6:$C$76,"Ligue 1")</f>
        <v>-0.33000000000000007</v>
      </c>
      <c r="K12" s="20">
        <f>IF(SUMIFS(Selections!$M$6:$M$76,Selections!$C$6:$C$76,"Ligue 1")=0,"n.a.",SUMIFS(Selections!$N$6:$N$76,Selections!$C$6:$C$76,"Ligue 1")/SUMIFS(Selections!$M$6:$M$76,Selections!$C$6:$C$76,"Ligue 1"))</f>
        <v>-0.16500000000000004</v>
      </c>
      <c r="L12" s="21">
        <f>IF(SUMIFS(Selections!$T$6:$T$76,Selections!$C$6:$C$76,"Ligue 1")=0,"n.a.",SUMIFS(Selections!$O$6:$O$76,Selections!$C$6:$C$76,"Ligue 1")/SUMIFS(Selections!$T$6:$T$76,Selections!$C$6:$C$76,"Ligue 1"))</f>
        <v>0.37925018842161284</v>
      </c>
      <c r="M12" s="20">
        <f>IF(SUMIFS(Selections!$T$6:$T$76,Selections!$C$6:$C$76,"Ligue 1")=0,"n.a.",SUMIFS(Selections!$S$6:$S$76,Selections!$C$6:$C$76,"Ligue 1")/SUMIFS(Selections!$T$6:$T$76,Selections!$C$6:$C$76,"Ligue 1"))</f>
        <v>0.6960953243674277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0.5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0.19609532436742771</v>
      </c>
      <c r="P12" s="19">
        <f>SUMIFS(Selections!$T$6:$T$76,Selections!$C$6:$C$76,"Ligue 1")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8</v>
      </c>
      <c r="E13" s="19">
        <f>(COUNTIFS(Selections!$C$6:$C$76,"Premier League",Selections!$K$6:$K$76,"WON")+COUNTIFS(Selections!$C$6:$C$76,"Premier League",Selections!$K$6:$K$76,"HALF_WON"))</f>
        <v>4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2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0.5</v>
      </c>
      <c r="I13" s="22">
        <f>SUMIFS(Selections!$M$6:$M$76,Selections!$C$6:$C$76,"Premier League")</f>
        <v>8</v>
      </c>
      <c r="J13" s="22">
        <f>SUMIFS(Selections!$N$6:$N$76,Selections!$C$6:$C$76,"Premier League")</f>
        <v>-2.88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-0.36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0.2868849432918297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0.772907446218384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0.5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0.27290744621838403</v>
      </c>
      <c r="P13" s="19">
        <f>SUMIFS(Selections!$T$6:$T$76,Selections!$C$6:$C$76,"Premier League")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0</v>
      </c>
      <c r="E14" s="19">
        <f>(COUNTIFS(Selections!$C$6:$C$76,"Primeira Liga",Selections!$K$6:$K$76,"WON")+COUNTIFS(Selections!$C$6:$C$76,"Primeira Liga",Selections!$K$6:$K$76,"HALF_WON"))</f>
        <v>0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3</v>
      </c>
      <c r="H14" s="20" t="str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n.a.</v>
      </c>
      <c r="I14" s="22">
        <f>SUMIFS(Selections!$M$6:$M$76,Selections!$C$6:$C$76,"Primeira Liga")</f>
        <v>0</v>
      </c>
      <c r="J14" s="22">
        <f>SUMIFS(Selections!$N$6:$N$76,Selections!$C$6:$C$76,"Primeira Liga")</f>
        <v>0</v>
      </c>
      <c r="K14" s="20" t="str">
        <f>IF(SUMIFS(Selections!$M$6:$M$76,Selections!$C$6:$C$76,"Primeira Liga")=0,"n.a.",SUMIFS(Selections!$N$6:$N$76,Selections!$C$6:$C$76,"Primeira Liga")/SUMIFS(Selections!$M$6:$M$76,Selections!$C$6:$C$76,"Primeira Liga"))</f>
        <v>n.a.</v>
      </c>
      <c r="L14" s="21" t="str">
        <f>IF(SUMIFS(Selections!$T$6:$T$76,Selections!$C$6:$C$76,"Primeira Liga")=0,"n.a.",SUMIFS(Selections!$O$6:$O$76,Selections!$C$6:$C$76,"Primeira Liga")/SUMIFS(Selections!$T$6:$T$76,Selections!$C$6:$C$76,"Primeira Liga"))</f>
        <v>n.a.</v>
      </c>
      <c r="M14" s="20" t="str">
        <f>IF(SUMIFS(Selections!$T$6:$T$76,Selections!$C$6:$C$76,"Primeira Liga")=0,"n.a.",SUMIFS(Selections!$S$6:$S$76,Selections!$C$6:$C$76,"Primeira Liga")/SUMIFS(Selections!$T$6:$T$76,Selections!$C$6:$C$76,"Primeira Liga"))</f>
        <v>n.a.</v>
      </c>
      <c r="N14" s="20" t="str">
        <f>IF(SUMIFS(Selections!$T$6:$T$76,Selections!$C$6:$C$76,"Primeira Liga")=0,"n.a.",(SUMIFS(Selections!$L$6:$L$76,Selections!$C$6:$C$76,"Primeira Liga",Selections!$T$6:$T$76,1))/SUMIFS(Selections!$T$6:$T$76,Selections!$C$6:$C$76,"Primeira Liga"))</f>
        <v>n.a.</v>
      </c>
      <c r="O14" s="20" t="str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n.a.</v>
      </c>
      <c r="P14" s="19">
        <f>SUMIFS(Selections!$T$6:$T$76,Selections!$C$6:$C$76,"Primeira Liga")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8</v>
      </c>
      <c r="E15" s="19">
        <f>(COUNTIFS(Selections!$C$6:$C$76,"Serie A",Selections!$K$6:$K$76,"WON")+COUNTIFS(Selections!$C$6:$C$76,"Serie A",Selections!$K$6:$K$76,"HALF_WON"))</f>
        <v>5</v>
      </c>
      <c r="F15" s="19">
        <f>(COUNTIFS(Selections!$C$6:$C$76,"Serie A",Selections!$K$6:$K$76,"LOST")+COUNTIFS(Selections!$C$6:$C$76,"Serie A",Selections!$K$6:$K$76,"HALF_LOST"))</f>
        <v>3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5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0.625</v>
      </c>
      <c r="I15" s="22">
        <f>SUMIFS(Selections!$M$6:$M$76,Selections!$C$6:$C$76,"Serie A")</f>
        <v>8</v>
      </c>
      <c r="J15" s="22">
        <f>SUMIFS(Selections!$N$6:$N$76,Selections!$C$6:$C$76,"Serie A")</f>
        <v>-0.8099999999999999</v>
      </c>
      <c r="K15" s="20">
        <f>IF(SUMIFS(Selections!$M$6:$M$76,Selections!$C$6:$C$76,"Serie A")=0,"n.a.",SUMIFS(Selections!$N$6:$N$76,Selections!$C$6:$C$76,"Serie A")/SUMIFS(Selections!$M$6:$M$76,Selections!$C$6:$C$76,"Serie A"))</f>
        <v>-0.10124999999999999</v>
      </c>
      <c r="L15" s="21">
        <f>IF(SUMIFS(Selections!$T$6:$T$76,Selections!$C$6:$C$76,"Serie A")=0,"n.a.",SUMIFS(Selections!$O$6:$O$76,Selections!$C$6:$C$76,"Serie A")/SUMIFS(Selections!$T$6:$T$76,Selections!$C$6:$C$76,"Serie A"))</f>
        <v>0.19389774525622908</v>
      </c>
      <c r="M15" s="20">
        <f>IF(SUMIFS(Selections!$T$6:$T$76,Selections!$C$6:$C$76,"Serie A")=0,"n.a.",SUMIFS(Selections!$S$6:$S$76,Selections!$C$6:$C$76,"Serie A")/SUMIFS(Selections!$T$6:$T$76,Selections!$C$6:$C$76,"Serie A"))</f>
        <v>0.7030485207574799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0.625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0.07804852075747992</v>
      </c>
      <c r="P15" s="19">
        <f>SUMIFS(Selections!$T$6:$T$76,Selections!$C$6:$C$76,"Serie A")</f>
        <v>8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(n=8).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E18" s="19">
        <f>(COUNTIFS(Selections!$E$6:$E$76,"Asian Handicap Away +1.25",Selections!$K$6:$K$76,"WON")+COUNTIFS(Selections!$E$6:$E$76,"Asian Handicap Away +1.25",Selections!$K$6:$K$76,"HALF_WON"))</f>
        <v>0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H18" s="20" t="str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n.a.</v>
      </c>
      <c r="I18" s="22">
        <f>SUMIFS(Selections!$M$6:$M$76,Selections!$E$6:$E$76,"Asian Handicap Away +1.25")</f>
        <v>0</v>
      </c>
      <c r="J18" s="22">
        <f>SUMIFS(Selections!$N$6:$N$76,Selections!$E$6:$E$76,"Asian Handicap Away +1.25")</f>
        <v>0</v>
      </c>
      <c r="K18" s="20" t="str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n.a.</v>
      </c>
      <c r="L18" s="21" t="str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n.a.</v>
      </c>
      <c r="M18" s="20" t="str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n.a.</v>
      </c>
      <c r="N18" s="20" t="str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n.a.</v>
      </c>
      <c r="O18" s="20" t="str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n.a.</v>
      </c>
      <c r="P18" s="19">
        <f>SUMIFS(Selections!$T$6:$T$76,Selections!$E$6:$E$76,"Asian Handicap Away +1.25")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2</v>
      </c>
      <c r="E19" s="19">
        <f>(COUNTIFS(Selections!$E$6:$E$76,"Asian Handicap Away +2.00",Selections!$K$6:$K$76,"WON")+COUNTIFS(Selections!$E$6:$E$76,"Asian Handicap Away +2.00",Selections!$K$6:$K$76,"HALF_WON"))</f>
        <v>2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1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2</v>
      </c>
      <c r="J19" s="22">
        <f>SUMIFS(Selections!$N$6:$N$76,Selections!$E$6:$E$76,"Asian Handicap Away +2.00")</f>
        <v>1.01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0.505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0.032851447961947756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0.8206244398763556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-0.17937556012364442</v>
      </c>
      <c r="P19" s="19">
        <f>SUMIFS(Selections!$T$6:$T$76,Selections!$E$6:$E$76,"Asian Handicap Away +2.00")</f>
        <v>2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(n=2).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E21" s="19">
        <f>(COUNTIFS(Selections!$E$6:$E$76,"Asian Handicap Home +1.25",Selections!$K$6:$K$76,"WON")+COUNTIFS(Selections!$E$6:$E$76,"Asian Handicap Home +1.25",Selections!$K$6:$K$76,"HALF_WON"))</f>
        <v>0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H21" s="20" t="str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n.a.</v>
      </c>
      <c r="I21" s="22">
        <f>SUMIFS(Selections!$M$6:$M$76,Selections!$E$6:$E$76,"Asian Handicap Home +1.25")</f>
        <v>0</v>
      </c>
      <c r="J21" s="22">
        <f>SUMIFS(Selections!$N$6:$N$76,Selections!$E$6:$E$76,"Asian Handicap Home +1.25")</f>
        <v>0</v>
      </c>
      <c r="K21" s="20" t="str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n.a.</v>
      </c>
      <c r="L21" s="21" t="str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n.a.</v>
      </c>
      <c r="M21" s="20" t="str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n.a.</v>
      </c>
      <c r="N21" s="20" t="str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n.a.</v>
      </c>
      <c r="O21" s="20" t="str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n.a.</v>
      </c>
      <c r="P21" s="19">
        <f>SUMIFS(Selections!$T$6:$T$76,Selections!$E$6:$E$76,"Asian Handicap Home +1.25")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E23" s="19">
        <f>(COUNTIFS(Selections!$E$6:$E$76,"Asian Handicap Home +2.25",Selections!$K$6:$K$76,"WON")+COUNTIFS(Selections!$E$6:$E$76,"Asian Handicap Home +2.25",Selections!$K$6:$K$76,"HALF_WON"))</f>
        <v>0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H23" s="20" t="str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n.a.</v>
      </c>
      <c r="I23" s="22">
        <f>SUMIFS(Selections!$M$6:$M$76,Selections!$E$6:$E$76,"Asian Handicap Home +2.25")</f>
        <v>0</v>
      </c>
      <c r="J23" s="22">
        <f>SUMIFS(Selections!$N$6:$N$76,Selections!$E$6:$E$76,"Asian Handicap Home +2.25")</f>
        <v>0</v>
      </c>
      <c r="K23" s="20" t="str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n.a.</v>
      </c>
      <c r="L23" s="21" t="str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n.a.</v>
      </c>
      <c r="M23" s="20" t="str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n.a.</v>
      </c>
      <c r="N23" s="20" t="str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n.a.</v>
      </c>
      <c r="O23" s="20" t="str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n.a.</v>
      </c>
      <c r="P23" s="19">
        <f>SUMIFS(Selections!$T$6:$T$76,Selections!$E$6:$E$76,"Asian Handicap Home +2.25")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1</v>
      </c>
      <c r="E24" s="19">
        <f>(COUNTIFS(Selections!$E$6:$E$76,"Away win",Selections!$K$6:$K$76,"WON")+COUNTIFS(Selections!$E$6:$E$76,"Away win",Selections!$K$6:$K$76,"HALF_WON"))</f>
        <v>0</v>
      </c>
      <c r="F24" s="19">
        <f>(COUNTIFS(Selections!$E$6:$E$76,"Away win",Selections!$K$6:$K$76,"LOST")+COUNTIFS(Selections!$E$6:$E$76,"Away win",Selections!$K$6:$K$76,"HALF_LOST"))</f>
        <v>1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3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0.0</v>
      </c>
      <c r="I24" s="22">
        <f>SUMIFS(Selections!$M$6:$M$76,Selections!$E$6:$E$76,"Away win")</f>
        <v>1</v>
      </c>
      <c r="J24" s="22">
        <f>SUMIFS(Selections!$N$6:$N$76,Selections!$E$6:$E$76,"Away win")</f>
        <v>-1.0</v>
      </c>
      <c r="K24" s="20">
        <f>IF(SUMIFS(Selections!$M$6:$M$76,Selections!$E$6:$E$76,"Away win")=0,"n.a.",SUMIFS(Selections!$N$6:$N$76,Selections!$E$6:$E$76,"Away win")/SUMIFS(Selections!$M$6:$M$76,Selections!$E$6:$E$76,"Away win"))</f>
        <v>-1.0</v>
      </c>
      <c r="L24" s="21">
        <f>IF(SUMIFS(Selections!$T$6:$T$76,Selections!$E$6:$E$76,"Away win")=0,"n.a.",SUMIFS(Selections!$O$6:$O$76,Selections!$E$6:$E$76,"Away win")/SUMIFS(Selections!$T$6:$T$76,Selections!$E$6:$E$76,"Away win"))</f>
        <v>0.4253283778022773</v>
      </c>
      <c r="M24" s="20">
        <f>IF(SUMIFS(Selections!$T$6:$T$76,Selections!$E$6:$E$76,"Away win")=0,"n.a.",SUMIFS(Selections!$S$6:$S$76,Selections!$E$6:$E$76,"Away win")/SUMIFS(Selections!$T$6:$T$76,Selections!$E$6:$E$76,"Away win"))</f>
        <v>0.6521720461674797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0.0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0.6521720461674797</v>
      </c>
      <c r="P24" s="19">
        <f>SUMIFS(Selections!$T$6:$T$76,Selections!$E$6:$E$76,"Away win")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6</v>
      </c>
      <c r="E27" s="19">
        <f>(COUNTIFS(Selections!$E$6:$E$76,"Double Chance 12",Selections!$K$6:$K$76,"WON")+COUNTIFS(Selections!$E$6:$E$76,"Double Chance 12",Selections!$K$6:$K$76,"HALF_WON"))</f>
        <v>5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2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0.8333333333333334</v>
      </c>
      <c r="I27" s="22">
        <f>SUMIFS(Selections!$M$6:$M$76,Selections!$E$6:$E$76,"Double Chance 12")</f>
        <v>6</v>
      </c>
      <c r="J27" s="22">
        <f>SUMIFS(Selections!$N$6:$N$76,Selections!$E$6:$E$76,"Double Chance 12")</f>
        <v>0.15999999999999992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0.026666666666666655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0.14009739195753312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0.7831522470696245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0.8333333333333334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-0.050181086263708874</v>
      </c>
      <c r="P27" s="19">
        <f>SUMIFS(Selections!$T$6:$T$76,Selections!$E$6:$E$76,"Double Chance 12")</f>
        <v>6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(n=6).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6</v>
      </c>
      <c r="E28" s="19">
        <f>(COUNTIFS(Selections!$E$6:$E$76,"Double Chance 1X",Selections!$K$6:$K$76,"WON")+COUNTIFS(Selections!$E$6:$E$76,"Double Chance 1X",Selections!$K$6:$K$76,"HALF_WON"))</f>
        <v>5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5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0.8333333333333334</v>
      </c>
      <c r="I28" s="22">
        <f>SUMIFS(Selections!$M$6:$M$76,Selections!$E$6:$E$76,"Double Chance 1X")</f>
        <v>6</v>
      </c>
      <c r="J28" s="22">
        <f>SUMIFS(Selections!$N$6:$N$76,Selections!$E$6:$E$76,"Double Chance 1X")</f>
        <v>0.3599999999999999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0.05999999999999998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0.09731680945661371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0.7747393130999134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0.8333333333333334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-0.058594020233419974</v>
      </c>
      <c r="P28" s="19">
        <f>SUMIFS(Selections!$T$6:$T$76,Selections!$E$6:$E$76,"Double Chance 1X")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6</v>
      </c>
      <c r="E29" s="19">
        <f>(COUNTIFS(Selections!$E$6:$E$76,"Double Chance X2",Selections!$K$6:$K$76,"WON")+COUNTIFS(Selections!$E$6:$E$76,"Double Chance X2",Selections!$K$6:$K$76,"HALF_WON"))</f>
        <v>4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2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0.6666666666666666</v>
      </c>
      <c r="I29" s="22">
        <f>SUMIFS(Selections!$M$6:$M$76,Selections!$E$6:$E$76,"Double Chance X2")</f>
        <v>6</v>
      </c>
      <c r="J29" s="22">
        <f>SUMIFS(Selections!$N$6:$N$76,Selections!$E$6:$E$76,"Double Chance X2")</f>
        <v>0.48999999999999955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0.0816666666666666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0.17653423559167636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0.6361239193244564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0.6666666666666666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-0.030542747342210186</v>
      </c>
      <c r="P29" s="19">
        <f>SUMIFS(Selections!$T$6:$T$76,Selections!$E$6:$E$76,"Double Chance X2")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5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0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4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1.0</v>
      </c>
      <c r="I30" s="22">
        <f>SUMIFS(Selections!$M$6:$M$76,Selections!$E$6:$E$76,"Home win")</f>
        <v>5</v>
      </c>
      <c r="J30" s="22">
        <f>SUMIFS(Selections!$N$6:$N$76,Selections!$E$6:$E$76,"Home win")</f>
        <v>2.5300000000000002</v>
      </c>
      <c r="K30" s="20">
        <f>IF(SUMIFS(Selections!$M$6:$M$76,Selections!$E$6:$E$76,"Home win")=0,"n.a.",SUMIFS(Selections!$N$6:$N$76,Selections!$E$6:$E$76,"Home win")/SUMIFS(Selections!$M$6:$M$76,Selections!$E$6:$E$76,"Home win"))</f>
        <v>0.506</v>
      </c>
      <c r="L30" s="21">
        <f>IF(SUMIFS(Selections!$T$6:$T$76,Selections!$E$6:$E$76,"Home win")=0,"n.a.",SUMIFS(Selections!$O$6:$O$76,Selections!$E$6:$E$76,"Home win")/SUMIFS(Selections!$T$6:$T$76,Selections!$E$6:$E$76,"Home win"))</f>
        <v>0.08395111444229483</v>
      </c>
      <c r="M30" s="20">
        <f>IF(SUMIFS(Selections!$T$6:$T$76,Selections!$E$6:$E$76,"Home win")=0,"n.a.",SUMIFS(Selections!$S$6:$S$76,Selections!$E$6:$E$76,"Home win")/SUMIFS(Selections!$T$6:$T$76,Selections!$E$6:$E$76,"Home win"))</f>
        <v>0.717377401189973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1.0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-0.28262259881002705</v>
      </c>
      <c r="P30" s="19">
        <f>SUMIFS(Selections!$T$6:$T$76,Selections!$E$6:$E$76,"Home win")</f>
        <v>5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(n=5).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7</v>
      </c>
      <c r="E31" s="19">
        <f>(COUNTIFS(Selections!$E$6:$E$76,"Over 1.5",Selections!$K$6:$K$76,"WON")+COUNTIFS(Selections!$E$6:$E$76,"Over 1.5",Selections!$K$6:$K$76,"HALF_WON"))</f>
        <v>6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5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0.8571428571428571</v>
      </c>
      <c r="I31" s="22">
        <f>SUMIFS(Selections!$M$6:$M$76,Selections!$E$6:$E$76,"Over 1.5")</f>
        <v>7</v>
      </c>
      <c r="J31" s="22">
        <f>SUMIFS(Selections!$N$6:$N$76,Selections!$E$6:$E$76,"Over 1.5")</f>
        <v>0.3699999999999999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0.05285714285714284</v>
      </c>
      <c r="L31" s="21">
        <f>IF(SUMIFS(Selections!$T$6:$T$76,Selections!$E$6:$E$76,"Over 1.5")=0,"n.a.",SUMIFS(Selections!$O$6:$O$76,Selections!$E$6:$E$76,"Over 1.5")/SUMIFS(Selections!$T$6:$T$76,Selections!$E$6:$E$76,"Over 1.5"))</f>
        <v>0.10055086387512366</v>
      </c>
      <c r="M31" s="20">
        <f>IF(SUMIFS(Selections!$T$6:$T$76,Selections!$E$6:$E$76,"Over 1.5")=0,"n.a.",SUMIFS(Selections!$S$6:$S$76,Selections!$E$6:$E$76,"Over 1.5")/SUMIFS(Selections!$T$6:$T$76,Selections!$E$6:$E$76,"Over 1.5"))</f>
        <v>0.8713387230316535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0.8571428571428571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0.0141958658887964</v>
      </c>
      <c r="P31" s="19">
        <f>SUMIFS(Selections!$T$6:$T$76,Selections!$E$6:$E$76,"Over 1.5")</f>
        <v>7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(n=7).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0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0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0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16</v>
      </c>
      <c r="H36" s="20" t="str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n.a.</v>
      </c>
      <c r="I36" s="22">
        <f>SUMIFS(Selections!$M$6:$M$76,Selections!$G$6:$G$76,"48h-two-per-market-group-probability-ev-corners-cards-v25")</f>
        <v>0</v>
      </c>
      <c r="J36" s="22">
        <f>SUMIFS(Selections!$N$6:$N$76,Selections!$G$6:$G$76,"48h-two-per-market-group-probability-ev-corners-cards-v25")</f>
        <v>0</v>
      </c>
      <c r="K36" s="20" t="str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n.a.</v>
      </c>
      <c r="L36" s="21" t="str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n.a.</v>
      </c>
      <c r="M36" s="20" t="str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n.a.</v>
      </c>
      <c r="N36" s="20" t="str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n.a.</v>
      </c>
      <c r="O36" s="20" t="str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n.a.</v>
      </c>
      <c r="P36" s="19">
        <f>SUMIFS(Selections!$T$6:$T$76,Selections!$G$6:$G$76,"48h-two-per-market-group-probability-ev-corners-cards-v25")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0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0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0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4</v>
      </c>
      <c r="H37" s="20" t="str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n.a.</v>
      </c>
      <c r="I37" s="22">
        <f>SUMIFS(Selections!$M$6:$M$76,Selections!$G$6:$G$76,"48h-two-per-market-group-probability-ev-v24")</f>
        <v>0</v>
      </c>
      <c r="J37" s="22">
        <f>SUMIFS(Selections!$N$6:$N$76,Selections!$G$6:$G$76,"48h-two-per-market-group-probability-ev-v24")</f>
        <v>0</v>
      </c>
      <c r="K37" s="20" t="str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n.a.</v>
      </c>
      <c r="L37" s="21" t="str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n.a.</v>
      </c>
      <c r="M37" s="20" t="str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n.a.</v>
      </c>
      <c r="N37" s="20" t="str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n.a.</v>
      </c>
      <c r="O37" s="20" t="str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n.a.</v>
      </c>
      <c r="P37" s="19">
        <f>SUMIFS(Selections!$T$6:$T$76,Selections!$G$6:$G$76,"48h-two-per-market-group-probability-ev-v24")</f>
        <v>0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(n=0).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5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5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3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5</v>
      </c>
      <c r="J38" s="22">
        <f>SUMIFS(Selections!$N$6:$N$76,Selections!$G$6:$G$76,"48h-zero-tolerance-ev1-common-no-loss75-v22")</f>
        <v>2.05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0.41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0.034805060012258346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0.817534603615597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-0.18246539638440296</v>
      </c>
      <c r="P38" s="19">
        <f>SUMIFS(Selections!$T$6:$T$76,Selections!$G$6:$G$76,"48h-zero-tolerance-ev1-common-no-loss75-v22")</f>
        <v>5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(n=5).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17</v>
      </c>
      <c r="E47" s="19">
        <f>(COUNTIFS(Selections!$P$6:$P$76,"2026-W43",Selections!$K$6:$K$76,"WON")+COUNTIFS(Selections!$P$6:$P$76,"2026-W43",Selections!$K$6:$K$76,"HALF_WON"))</f>
        <v>12</v>
      </c>
      <c r="F47" s="19">
        <f>(COUNTIFS(Selections!$P$6:$P$76,"2026-W43",Selections!$K$6:$K$76,"LOST")+COUNTIFS(Selections!$P$6:$P$76,"2026-W43",Selections!$K$6:$K$76,"HALF_LOST"))</f>
        <v>5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24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0.7058823529411765</v>
      </c>
      <c r="I47" s="22">
        <f>SUMIFS(Selections!$M$6:$M$76,Selections!$P$6:$P$76,"2026-W43")</f>
        <v>17</v>
      </c>
      <c r="J47" s="22">
        <f>SUMIFS(Selections!$N$6:$N$76,Selections!$P$6:$P$76,"2026-W43")</f>
        <v>-0.3300000000000004</v>
      </c>
      <c r="K47" s="20">
        <f>IF(SUMIFS(Selections!$M$6:$M$76,Selections!$P$6:$P$76,"2026-W43")=0,"n.a.",SUMIFS(Selections!$N$6:$N$76,Selections!$P$6:$P$76,"2026-W43")/SUMIFS(Selections!$M$6:$M$76,Selections!$P$6:$P$76,"2026-W43"))</f>
        <v>-0.01941176470588238</v>
      </c>
      <c r="L47" s="21">
        <f>IF(SUMIFS(Selections!$T$6:$T$76,Selections!$P$6:$P$76,"2026-W43")=0,"n.a.",SUMIFS(Selections!$O$6:$O$76,Selections!$P$6:$P$76,"2026-W43")/SUMIFS(Selections!$T$6:$T$76,Selections!$P$6:$P$76,"2026-W43"))</f>
        <v>0.15947722192582992</v>
      </c>
      <c r="M47" s="20">
        <f>IF(SUMIFS(Selections!$T$6:$T$76,Selections!$P$6:$P$76,"2026-W43")=0,"n.a.",SUMIFS(Selections!$S$6:$S$76,Selections!$P$6:$P$76,"2026-W43")/SUMIFS(Selections!$T$6:$T$76,Selections!$P$6:$P$76,"2026-W43"))</f>
        <v>0.7472453702861689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0.7058823529411765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0.04136301734499237</v>
      </c>
      <c r="P47" s="19">
        <f>SUMIFS(Selections!$T$6:$T$76,Selections!$P$6:$P$76,"2026-W43")</f>
        <v>17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(n=17).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1</v>
      </c>
      <c r="E6" s="20">
        <f>IF(D6=0,"n.a.",SUMIFS(Selections!$S$6:$S$76,Selections!$S$6:$S$76,"&gt;="&amp;B6,Selections!$S$6:$S$76,"&lt;"&amp;C6,Selections!$T$6:$T$76,1)/D6)</f>
        <v>0.45373358817867715</v>
      </c>
      <c r="F6" s="20">
        <f>IF(D6=0,"n.a.",SUMIFS(Selections!$L$6:$L$76,Selections!$S$6:$S$76,"&gt;="&amp;B6,Selections!$S$6:$S$76,"&lt;"&amp;C6,Selections!$T$6:$T$76,1)/D6)</f>
        <v>0.0</v>
      </c>
      <c r="G6" s="20">
        <f>IF(D6=0,"n.a.",E6-F6)</f>
        <v>0.45373358817867715</v>
      </c>
      <c r="H6" s="21">
        <f>IF(D6=0,"n.a.",SUMIFS(Selections!$O$6:$O$76,Selections!$S$6:$S$76,"&gt;="&amp;B6,Selections!$S$6:$S$76,"&lt;"&amp;C6,Selections!$T$6:$T$76,1)/D6)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1</v>
      </c>
      <c r="E7" s="20">
        <f>IF(D7=0,"n.a.",SUMIFS(Selections!$S$6:$S$76,Selections!$S$6:$S$76,"&gt;="&amp;B7,Selections!$S$6:$S$76,"&lt;"&amp;C7,Selections!$T$6:$T$76,1)/D7)</f>
        <v>0.5493193451423081</v>
      </c>
      <c r="F7" s="20">
        <f>IF(D7=0,"n.a.",SUMIFS(Selections!$L$6:$L$76,Selections!$S$6:$S$76,"&gt;="&amp;B7,Selections!$S$6:$S$76,"&lt;"&amp;C7,Selections!$T$6:$T$76,1)/D7)</f>
        <v>1.0</v>
      </c>
      <c r="G7" s="20">
        <f>IF(D7=0,"n.a.",E7-F7)</f>
        <v>-0.45068065485769193</v>
      </c>
      <c r="H7" s="21">
        <f>IF(D7=0,"n.a.",SUMIFS(Selections!$O$6:$O$76,Selections!$S$6:$S$76,"&gt;="&amp;B7,Selections!$S$6:$S$76,"&lt;"&amp;C7,Selections!$T$6:$T$76,1)/D7)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8</v>
      </c>
      <c r="E8" s="20">
        <f>IF(D8=0,"n.a.",SUMIFS(Selections!$S$6:$S$76,Selections!$S$6:$S$76,"&gt;="&amp;B8,Selections!$S$6:$S$76,"&lt;"&amp;C8,Selections!$T$6:$T$76,1)/D8)</f>
        <v>0.6487583343163</v>
      </c>
      <c r="F8" s="20">
        <f>IF(D8=0,"n.a.",SUMIFS(Selections!$L$6:$L$76,Selections!$S$6:$S$76,"&gt;="&amp;B8,Selections!$S$6:$S$76,"&lt;"&amp;C8,Selections!$T$6:$T$76,1)/D8)</f>
        <v>0.625</v>
      </c>
      <c r="G8" s="20">
        <f>IF(D8=0,"n.a.",E8-F8)</f>
        <v>0.023758334316300034</v>
      </c>
      <c r="H8" s="21">
        <f>IF(D8=0,"n.a.",SUMIFS(Selections!$O$6:$O$76,Selections!$S$6:$S$76,"&gt;="&amp;B8,Selections!$S$6:$S$76,"&lt;"&amp;C8,Selections!$T$6:$T$76,1)/D8)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16</v>
      </c>
      <c r="E9" s="20">
        <f>IF(D9=0,"n.a.",SUMIFS(Selections!$S$6:$S$76,Selections!$S$6:$S$76,"&gt;="&amp;B9,Selections!$S$6:$S$76,"&lt;"&amp;C9,Selections!$T$6:$T$76,1)/D9)</f>
        <v>0.7609135641638696</v>
      </c>
      <c r="F9" s="20">
        <f>IF(D9=0,"n.a.",SUMIFS(Selections!$L$6:$L$76,Selections!$S$6:$S$76,"&gt;="&amp;B9,Selections!$S$6:$S$76,"&lt;"&amp;C9,Selections!$T$6:$T$76,1)/D9)</f>
        <v>0.75</v>
      </c>
      <c r="G9" s="20">
        <f>IF(D9=0,"n.a.",E9-F9)</f>
        <v>0.010913564163869571</v>
      </c>
      <c r="H9" s="21">
        <f>IF(D9=0,"n.a.",SUMIFS(Selections!$O$6:$O$76,Selections!$S$6:$S$76,"&gt;="&amp;B9,Selections!$S$6:$S$76,"&lt;"&amp;C9,Selections!$T$6:$T$76,1)/D9)</f>
        <v>0.18588174389454942</v>
      </c>
      <c r="I9" s="18" t="inlineStr">
        <is>
          <t>Collect more scored forecasts (n=16).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14</v>
      </c>
      <c r="E10" s="20">
        <f>IF(D10=0,"n.a.",SUMIFS(Selections!$S$6:$S$76,Selections!$S$6:$S$76,"&gt;="&amp;B10,Selections!$S$6:$S$76,"&lt;"&amp;C10,Selections!$T$6:$T$76,1)/D10)</f>
        <v>0.839551821559349</v>
      </c>
      <c r="F10" s="20">
        <f>IF(D10=0,"n.a.",SUMIFS(Selections!$L$6:$L$76,Selections!$S$6:$S$76,"&gt;="&amp;B10,Selections!$S$6:$S$76,"&lt;"&amp;C10,Selections!$T$6:$T$76,1)/D10)</f>
        <v>0.8571428571428571</v>
      </c>
      <c r="G10" s="20">
        <f>IF(D10=0,"n.a.",E10-F10)</f>
        <v>-0.017591035583508052</v>
      </c>
      <c r="H10" s="21">
        <f>IF(D10=0,"n.a.",SUMIFS(Selections!$O$6:$O$76,Selections!$S$6:$S$76,"&gt;="&amp;B10,Selections!$S$6:$S$76,"&lt;"&amp;C10,Selections!$T$6:$T$76,1)/D10)</f>
        <v>0.12219055829703243</v>
      </c>
      <c r="I10" s="18" t="inlineStr">
        <is>
          <t>Collect more scored forecasts (n=14).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3</v>
      </c>
      <c r="E11" s="20">
        <f>IF(D11=0,"n.a.",SUMIFS(Selections!$S$6:$S$76,Selections!$S$6:$S$76,"&gt;="&amp;B11,Selections!$S$6:$S$76,"&lt;"&amp;C11,Selections!$T$6:$T$76,1)/D11)</f>
        <v>0.9296706477151994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-0.07032935228480064</v>
      </c>
      <c r="H11" s="21">
        <f>IF(D11=0,"n.a.",SUMIFS(Selections!$O$6:$O$76,Selections!$S$6:$S$76,"&gt;="&amp;B11,Selections!$S$6:$S$76,"&lt;"&amp;C11,Selections!$T$6:$T$76,1)/D11)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UNVERIFIED_FIXTURE_OR_RESULT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UNVERIFIED_FIXTURE_OR_RESULT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b5f46a88705f2cf938a6bd462a2cc457b35f2a2d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/>
      <c r="K59" s="18" t="inlineStr">
        <is>
          <t>PENDING_KICKOFF_OR_FINAL_SCORE</t>
        </is>
      </c>
      <c r="L59" s="18"/>
      <c r="M59" s="22" t="str">
        <f>IF(AND(ISNUMBER(L59),ISNUMBER(I59),I59&gt;1),'ROI Plan'!$B$5,"")</f>
        <v/>
      </c>
      <c r="N59" s="22" t="str">
        <f>IF(ISNUMBER(M59),M59*IF(K59="HALF_WON",(I59-1)/2-U59,IF(K59="HALF_LOST",-0.5-U59,IF(K59="REFUNDED",-U59,I59*L59-1-U59))),"")</f>
        <v/>
      </c>
      <c r="O59" s="21">
        <f>IF(AND(ISNUMBER(L59),ISNUMBER(H59)),(H59-L59)^2,"")</f>
      </c>
      <c r="P59" s="18" t="inlineStr">
        <is>
          <t>2026-W43</t>
        </is>
      </c>
      <c r="Q59" s="18" t="inlineStr">
        <is>
          <t>007f589ff28970f5c6dcc58af5d09a89aaf2fb4a</t>
        </is>
      </c>
      <c r="R59" s="18"/>
      <c r="S59" s="20">
        <f>IF(AND(ISNUMBER(L59),ISNUMBER(H59)),H59,"")</f>
      </c>
      <c r="T59" s="19">
        <f>IF(AND(ISNUMBER(L59),ISNUMBER(H59)),1,0)</f>
        <v>0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/>
      <c r="K60" s="18" t="inlineStr">
        <is>
          <t>PENDING_KICKOFF_OR_FINAL_SCORE</t>
        </is>
      </c>
      <c r="L60" s="18"/>
      <c r="M60" s="22" t="str">
        <f>IF(AND(ISNUMBER(L60),ISNUMBER(I60),I60&gt;1),'ROI Plan'!$B$5,"")</f>
        <v/>
      </c>
      <c r="N60" s="22" t="str">
        <f>IF(ISNUMBER(M60),M60*IF(K60="HALF_WON",(I60-1)/2-U60,IF(K60="HALF_LOST",-0.5-U60,IF(K60="REFUNDED",-U60,I60*L60-1-U60))),"")</f>
        <v/>
      </c>
      <c r="O60" s="21">
        <f>IF(AND(ISNUMBER(L60),ISNUMBER(H60)),(H60-L60)^2,"")</f>
      </c>
      <c r="P60" s="18" t="inlineStr">
        <is>
          <t>2026-W43</t>
        </is>
      </c>
      <c r="Q60" s="18" t="inlineStr">
        <is>
          <t>089cdbb10f80fa5c2ab9bdb1d45166e2fe2090bc</t>
        </is>
      </c>
      <c r="R60" s="18"/>
      <c r="S60" s="20">
        <f>IF(AND(ISNUMBER(L60),ISNUMBER(H60)),H60,"")</f>
      </c>
      <c r="T60" s="19">
        <f>IF(AND(ISNUMBER(L60),ISNUMBER(H60)),1,0)</f>
        <v>0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/>
      <c r="K61" s="18" t="inlineStr">
        <is>
          <t>PENDING_KICKOFF_OR_FINAL_SCORE</t>
        </is>
      </c>
      <c r="L61" s="18"/>
      <c r="M61" s="22" t="str">
        <f>IF(AND(ISNUMBER(L61),ISNUMBER(I61),I61&gt;1),'ROI Plan'!$B$5,"")</f>
        <v/>
      </c>
      <c r="N61" s="22" t="str">
        <f>IF(ISNUMBER(M61),M61*IF(K61="HALF_WON",(I61-1)/2-U61,IF(K61="HALF_LOST",-0.5-U61,IF(K61="REFUNDED",-U61,I61*L61-1-U61))),"")</f>
        <v/>
      </c>
      <c r="O61" s="21">
        <f>IF(AND(ISNUMBER(L61),ISNUMBER(H61)),(H61-L61)^2,"")</f>
      </c>
      <c r="P61" s="18" t="inlineStr">
        <is>
          <t>2026-W43</t>
        </is>
      </c>
      <c r="Q61" s="18" t="inlineStr">
        <is>
          <t>089cdbb10f80fa5c2ab9bdb1d45166e2fe2090bc</t>
        </is>
      </c>
      <c r="R61" s="18"/>
      <c r="S61" s="20">
        <f>IF(AND(ISNUMBER(L61),ISNUMBER(H61)),H61,"")</f>
      </c>
      <c r="T61" s="19">
        <f>IF(AND(ISNUMBER(L61),ISNUMBER(H61)),1,0)</f>
        <v>0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/>
      <c r="K62" s="18" t="inlineStr">
        <is>
          <t>PENDING_KICKOFF_OR_FINAL_SCORE</t>
        </is>
      </c>
      <c r="L62" s="18"/>
      <c r="M62" s="22" t="str">
        <f>IF(AND(ISNUMBER(L62),ISNUMBER(I62),I62&gt;1),'ROI Plan'!$B$5,"")</f>
        <v/>
      </c>
      <c r="N62" s="22" t="str">
        <f>IF(ISNUMBER(M62),M62*IF(K62="HALF_WON",(I62-1)/2-U62,IF(K62="HALF_LOST",-0.5-U62,IF(K62="REFUNDED",-U62,I62*L62-1-U62))),"")</f>
        <v/>
      </c>
      <c r="O62" s="21">
        <f>IF(AND(ISNUMBER(L62),ISNUMBER(H62)),(H62-L62)^2,"")</f>
      </c>
      <c r="P62" s="18" t="inlineStr">
        <is>
          <t>2026-W43</t>
        </is>
      </c>
      <c r="Q62" s="18" t="inlineStr">
        <is>
          <t>b5f46a88705f2cf938a6bd462a2cc457b35f2a2d</t>
        </is>
      </c>
      <c r="R62" s="18"/>
      <c r="S62" s="20">
        <f>IF(AND(ISNUMBER(L62),ISNUMBER(H62)),H62,"")</f>
      </c>
      <c r="T62" s="19">
        <f>IF(AND(ISNUMBER(L62),ISNUMBER(H62)),1,0)</f>
        <v>0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/>
      <c r="K63" s="18" t="inlineStr">
        <is>
          <t>PENDING_KICKOFF_OR_FINAL_SCORE</t>
        </is>
      </c>
      <c r="L63" s="18"/>
      <c r="M63" s="22" t="str">
        <f>IF(AND(ISNUMBER(L63),ISNUMBER(I63),I63&gt;1),'ROI Plan'!$B$5,"")</f>
        <v/>
      </c>
      <c r="N63" s="22" t="str">
        <f>IF(ISNUMBER(M63),M63*IF(K63="HALF_WON",(I63-1)/2-U63,IF(K63="HALF_LOST",-0.5-U63,IF(K63="REFUNDED",-U63,I63*L63-1-U63))),"")</f>
        <v/>
      </c>
      <c r="O63" s="21">
        <f>IF(AND(ISNUMBER(L63),ISNUMBER(H63)),(H63-L63)^2,"")</f>
      </c>
      <c r="P63" s="18" t="inlineStr">
        <is>
          <t>2026-W43</t>
        </is>
      </c>
      <c r="Q63" s="18" t="inlineStr">
        <is>
          <t>b5f46a88705f2cf938a6bd462a2cc457b35f2a2d</t>
        </is>
      </c>
      <c r="R63" s="18"/>
      <c r="S63" s="20">
        <f>IF(AND(ISNUMBER(L63),ISNUMBER(H63)),H63,"")</f>
      </c>
      <c r="T63" s="19">
        <f>IF(AND(ISNUMBER(L63),ISNUMBER(H63)),1,0)</f>
        <v>0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/>
      <c r="K64" s="18" t="inlineStr">
        <is>
          <t>PENDING_KICKOFF_OR_FINAL_SCORE</t>
        </is>
      </c>
      <c r="L64" s="18"/>
      <c r="M64" s="22" t="str">
        <f>IF(AND(ISNUMBER(L64),ISNUMBER(I64),I64&gt;1),'ROI Plan'!$B$5,"")</f>
        <v/>
      </c>
      <c r="N64" s="22" t="str">
        <f>IF(ISNUMBER(M64),M64*IF(K64="HALF_WON",(I64-1)/2-U64,IF(K64="HALF_LOST",-0.5-U64,IF(K64="REFUNDED",-U64,I64*L64-1-U64))),"")</f>
        <v/>
      </c>
      <c r="O64" s="21">
        <f>IF(AND(ISNUMBER(L64),ISNUMBER(H64)),(H64-L64)^2,"")</f>
      </c>
      <c r="P64" s="18" t="inlineStr">
        <is>
          <t>2026-W43</t>
        </is>
      </c>
      <c r="Q64" s="18" t="inlineStr">
        <is>
          <t>b5f46a88705f2cf938a6bd462a2cc457b35f2a2d</t>
        </is>
      </c>
      <c r="R64" s="18"/>
      <c r="S64" s="20">
        <f>IF(AND(ISNUMBER(L64),ISNUMBER(H64)),H64,"")</f>
      </c>
      <c r="T64" s="19">
        <f>IF(AND(ISNUMBER(L64),ISNUMBER(H64)),1,0)</f>
        <v>0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PENDING_KICKOFF_OR_FINAL_SCORE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PENDING_KICKOFF_OR_FINAL_SCORE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/>
      <c r="K67" s="18" t="inlineStr">
        <is>
          <t>PENDING_KICKOFF_OR_FINAL_SCORE</t>
        </is>
      </c>
      <c r="L67" s="18"/>
      <c r="M67" s="22" t="str">
        <f>IF(AND(ISNUMBER(L67),ISNUMBER(I67),I67&gt;1),'ROI Plan'!$B$5,"")</f>
        <v/>
      </c>
      <c r="N67" s="22" t="str">
        <f>IF(ISNUMBER(M67),M67*IF(K67="HALF_WON",(I67-1)/2-U67,IF(K67="HALF_LOST",-0.5-U67,IF(K67="REFUNDED",-U67,I67*L67-1-U67))),"")</f>
        <v/>
      </c>
      <c r="O67" s="21">
        <f>IF(AND(ISNUMBER(L67),ISNUMBER(H67)),(H67-L67)^2,"")</f>
      </c>
      <c r="P67" s="18" t="inlineStr">
        <is>
          <t>2026-W43</t>
        </is>
      </c>
      <c r="Q67" s="18" t="inlineStr">
        <is>
          <t>b5f46a88705f2cf938a6bd462a2cc457b35f2a2d</t>
        </is>
      </c>
      <c r="R67" s="18"/>
      <c r="S67" s="20">
        <f>IF(AND(ISNUMBER(L67),ISNUMBER(H67)),H67,"")</f>
      </c>
      <c r="T67" s="19">
        <f>IF(AND(ISNUMBER(L67),ISNUMBER(H67)),1,0)</f>
        <v>0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/>
      <c r="K68" s="18" t="inlineStr">
        <is>
          <t>PENDING_KICKOFF_OR_FINAL_SCORE</t>
        </is>
      </c>
      <c r="L68" s="18"/>
      <c r="M68" s="22" t="str">
        <f>IF(AND(ISNUMBER(L68),ISNUMBER(I68),I68&gt;1),'ROI Plan'!$B$5,"")</f>
        <v/>
      </c>
      <c r="N68" s="22" t="str">
        <f>IF(ISNUMBER(M68),M68*IF(K68="HALF_WON",(I68-1)/2-U68,IF(K68="HALF_LOST",-0.5-U68,IF(K68="REFUNDED",-U68,I68*L68-1-U68))),"")</f>
        <v/>
      </c>
      <c r="O68" s="21">
        <f>IF(AND(ISNUMBER(L68),ISNUMBER(H68)),(H68-L68)^2,"")</f>
      </c>
      <c r="P68" s="18" t="inlineStr">
        <is>
          <t>2026-W43</t>
        </is>
      </c>
      <c r="Q68" s="18" t="inlineStr">
        <is>
          <t>b5f46a88705f2cf938a6bd462a2cc457b35f2a2d</t>
        </is>
      </c>
      <c r="R68" s="18"/>
      <c r="S68" s="20">
        <f>IF(AND(ISNUMBER(L68),ISNUMBER(H68)),H68,"")</f>
      </c>
      <c r="T68" s="19">
        <f>IF(AND(ISNUMBER(L68),ISNUMBER(H68)),1,0)</f>
        <v>0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/>
      <c r="K69" s="18" t="inlineStr">
        <is>
          <t>PENDING_KICKOFF_OR_FINAL_SCORE</t>
        </is>
      </c>
      <c r="L69" s="18"/>
      <c r="M69" s="22" t="str">
        <f>IF(AND(ISNUMBER(L69),ISNUMBER(I69),I69&gt;1),'ROI Plan'!$B$5,"")</f>
        <v/>
      </c>
      <c r="N69" s="22" t="str">
        <f>IF(ISNUMBER(M69),M69*IF(K69="HALF_WON",(I69-1)/2-U69,IF(K69="HALF_LOST",-0.5-U69,IF(K69="REFUNDED",-U69,I69*L69-1-U69))),"")</f>
        <v/>
      </c>
      <c r="O69" s="21">
        <f>IF(AND(ISNUMBER(L69),ISNUMBER(H69)),(H69-L69)^2,"")</f>
      </c>
      <c r="P69" s="18" t="inlineStr">
        <is>
          <t>2026-W43</t>
        </is>
      </c>
      <c r="Q69" s="18" t="inlineStr">
        <is>
          <t>b5f46a88705f2cf938a6bd462a2cc457b35f2a2d</t>
        </is>
      </c>
      <c r="R69" s="18"/>
      <c r="S69" s="20">
        <f>IF(AND(ISNUMBER(L69),ISNUMBER(H69)),H69,"")</f>
      </c>
      <c r="T69" s="19">
        <f>IF(AND(ISNUMBER(L69),ISNUMBER(H69)),1,0)</f>
        <v>0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/>
      <c r="K70" s="18" t="inlineStr">
        <is>
          <t>PENDING_KICKOFF_OR_FINAL_SCORE</t>
        </is>
      </c>
      <c r="L70" s="18"/>
      <c r="M70" s="22" t="str">
        <f>IF(AND(ISNUMBER(L70),ISNUMBER(I70),I70&gt;1),'ROI Plan'!$B$5,"")</f>
        <v/>
      </c>
      <c r="N70" s="22" t="str">
        <f>IF(ISNUMBER(M70),M70*IF(K70="HALF_WON",(I70-1)/2-U70,IF(K70="HALF_LOST",-0.5-U70,IF(K70="REFUNDED",-U70,I70*L70-1-U70))),"")</f>
        <v/>
      </c>
      <c r="O70" s="21">
        <f>IF(AND(ISNUMBER(L70),ISNUMBER(H70)),(H70-L70)^2,"")</f>
      </c>
      <c r="P70" s="18" t="inlineStr">
        <is>
          <t>2026-W43</t>
        </is>
      </c>
      <c r="Q70" s="18" t="inlineStr">
        <is>
          <t>b5f46a88705f2cf938a6bd462a2cc457b35f2a2d</t>
        </is>
      </c>
      <c r="R70" s="18"/>
      <c r="S70" s="20">
        <f>IF(AND(ISNUMBER(L70),ISNUMBER(H70)),H70,"")</f>
      </c>
      <c r="T70" s="19">
        <f>IF(AND(ISNUMBER(L70),ISNUMBER(H70)),1,0)</f>
        <v>0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/>
      <c r="K71" s="18" t="inlineStr">
        <is>
          <t>PENDING_KICKOFF_OR_FINAL_SCORE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/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/>
      <c r="K72" s="18" t="inlineStr">
        <is>
          <t>PENDING_KICKOFF_OR_FINAL_SCORE</t>
        </is>
      </c>
      <c r="L72" s="18"/>
      <c r="M72" s="22" t="str">
        <f>IF(AND(ISNUMBER(L72),ISNUMBER(I72),I72&gt;1),'ROI Plan'!$B$5,"")</f>
        <v/>
      </c>
      <c r="N72" s="22" t="str">
        <f>IF(ISNUMBER(M72),M72*IF(K72="HALF_WON",(I72-1)/2-U72,IF(K72="HALF_LOST",-0.5-U72,IF(K72="REFUNDED",-U72,I72*L72-1-U72))),"")</f>
        <v/>
      </c>
      <c r="O72" s="21">
        <f>IF(AND(ISNUMBER(L72),ISNUMBER(H72)),(H72-L72)^2,"")</f>
      </c>
      <c r="P72" s="18" t="inlineStr">
        <is>
          <t>2026-W43</t>
        </is>
      </c>
      <c r="Q72" s="18" t="inlineStr">
        <is>
          <t>b5f46a88705f2cf938a6bd462a2cc457b35f2a2d</t>
        </is>
      </c>
      <c r="R72" s="18"/>
      <c r="S72" s="20">
        <f>IF(AND(ISNUMBER(L72),ISNUMBER(H72)),H72,"")</f>
      </c>
      <c r="T72" s="19">
        <f>IF(AND(ISNUMBER(L72),ISNUMBER(H72)),1,0)</f>
        <v>0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PENDING_KICKOFF_OR_FINAL_SCORE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/>
      <c r="K74" s="18" t="inlineStr">
        <is>
          <t>PENDING_KICKOFF_OR_FINAL_SCORE</t>
        </is>
      </c>
      <c r="L74" s="18"/>
      <c r="M74" s="22" t="str">
        <f>IF(AND(ISNUMBER(L74),ISNUMBER(I74),I74&gt;1),'ROI Plan'!$B$5,"")</f>
        <v/>
      </c>
      <c r="N74" s="22" t="str">
        <f>IF(ISNUMBER(M74),M74*IF(K74="HALF_WON",(I74-1)/2-U74,IF(K74="HALF_LOST",-0.5-U74,IF(K74="REFUNDED",-U74,I74*L74-1-U74))),"")</f>
        <v/>
      </c>
      <c r="O74" s="21">
        <f>IF(AND(ISNUMBER(L74),ISNUMBER(H74)),(H74-L74)^2,"")</f>
      </c>
      <c r="P74" s="18" t="inlineStr">
        <is>
          <t>2026-W43</t>
        </is>
      </c>
      <c r="Q74" s="18" t="inlineStr">
        <is>
          <t>b5f46a88705f2cf938a6bd462a2cc457b35f2a2d</t>
        </is>
      </c>
      <c r="R74" s="18"/>
      <c r="S74" s="20">
        <f>IF(AND(ISNUMBER(L74),ISNUMBER(H74)),H74,"")</f>
      </c>
      <c r="T74" s="19">
        <f>IF(AND(ISNUMBER(L74),ISNUMBER(H74)),1,0)</f>
        <v>0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/>
      <c r="K75" s="18" t="inlineStr">
        <is>
          <t>PENDING_KICKOFF_OR_FINAL_SCORE</t>
        </is>
      </c>
      <c r="L75" s="18"/>
      <c r="M75" s="22" t="str">
        <f>IF(AND(ISNUMBER(L75),ISNUMBER(I75),I75&gt;1),'ROI Plan'!$B$5,"")</f>
        <v/>
      </c>
      <c r="N75" s="22" t="str">
        <f>IF(ISNUMBER(M75),M75*IF(K75="HALF_WON",(I75-1)/2-U75,IF(K75="HALF_LOST",-0.5-U75,IF(K75="REFUNDED",-U75,I75*L75-1-U75))),"")</f>
        <v/>
      </c>
      <c r="O75" s="21">
        <f>IF(AND(ISNUMBER(L75),ISNUMBER(H75)),(H75-L75)^2,"")</f>
      </c>
      <c r="P75" s="18" t="inlineStr">
        <is>
          <t>2026-W43</t>
        </is>
      </c>
      <c r="Q75" s="18" t="inlineStr">
        <is>
          <t>b5f46a88705f2cf938a6bd462a2cc457b35f2a2d</t>
        </is>
      </c>
      <c r="R75" s="18"/>
      <c r="S75" s="20">
        <f>IF(AND(ISNUMBER(L75),ISNUMBER(H75)),H75,"")</f>
      </c>
      <c r="T75" s="19">
        <f>IF(AND(ISNUMBER(L75),ISNUMBER(H75)),1,0)</f>
        <v>0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UNVERIFIED_FIXTURE_OR_RESULT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UNVERIFIED_FIXTURE_OR_RESULT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UNVERIFIED_FIXTURE_OR_RESULT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UNVERIFIED_FIXTURE_OR_RESULT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UNVERIFIED_FIXTURE_OR_RESULT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UNVERIFIED_FIXTURE_OR_RESULT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007f589ff28970f5c6dcc58af5d09a89aaf2fb4a</t>
        </is>
      </c>
      <c r="P164" s="18"/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007f589ff28970f5c6dcc58af5d09a89aaf2fb4a</t>
        </is>
      </c>
      <c r="P168" s="18"/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9425e536c27cdb34914535517891f53a7af4191b</t>
        </is>
      </c>
      <c r="P175" s="18"/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9425e536c27cdb34914535517891f53a7af4191b</t>
        </is>
      </c>
      <c r="P176" s="18"/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007f589ff28970f5c6dcc58af5d09a89aaf2fb4a</t>
        </is>
      </c>
      <c r="P179" s="18"/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4613e5b8880d2d0ce751532e86eacc4600631a47</t>
        </is>
      </c>
      <c r="P184" s="18"/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2026-W43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2026-W43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2026-W43</t>
        </is>
      </c>
      <c r="O190" s="18" t="inlineStr">
        <is>
          <t>007f589ff28970f5c6dcc58af5d09a89aaf2fb4a</t>
        </is>
      </c>
      <c r="P190" s="18"/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2026-W43</t>
        </is>
      </c>
      <c r="O193" s="18" t="inlineStr">
        <is>
          <t>7a6c9d44b7c20308d3ed85270f7cabc2a98df58e</t>
        </is>
      </c>
      <c r="P193" s="18"/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2026-W43</t>
        </is>
      </c>
      <c r="O194" s="18" t="inlineStr">
        <is>
          <t>7a6c9d44b7c20308d3ed85270f7cabc2a98df58e</t>
        </is>
      </c>
      <c r="P194" s="18"/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2026-W43</t>
        </is>
      </c>
      <c r="O195" s="18" t="inlineStr">
        <is>
          <t>007f589ff28970f5c6dcc58af5d09a89aaf2fb4a</t>
        </is>
      </c>
      <c r="P195" s="18"/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69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206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57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0.9661016949152542</v>
      </c>
      <c r="H10" s="18" t="inlineStr">
        <is>
          <t>Approval review</t>
        </is>
      </c>
      <c r="I10" s="18" t="inlineStr">
        <is>
          <t>243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0.15254237288135594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57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0.9661016949152542</v>
      </c>
      <c r="H12" s="18" t="inlineStr">
        <is>
          <t>Approval review</t>
        </is>
      </c>
      <c r="I12" s="18" t="inlineStr">
        <is>
          <t>243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57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0.9661016949152542</v>
      </c>
      <c r="H13" s="18" t="inlineStr">
        <is>
          <t>Approval review</t>
        </is>
      </c>
      <c r="I13" s="18" t="inlineStr">
        <is>
          <t>243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17.0</v>
      </c>
      <c r="C8" s="19">
        <f>COUNTIFS(Selections!$P$6:$P$76,A8,Selections!$M$6:$M$76,"&gt;0")</f>
        <v>17.0</v>
      </c>
      <c r="D8" s="22">
        <f>IF(C8=0,"n.a.",Breakdowns!J47)</f>
        <v>-0.3300000000000004</v>
      </c>
      <c r="E8" s="22">
        <f>IF(SUM($C$6:C8)=0,"n.a.",SUM($D$6:D8))</f>
        <v>2.4799999999999986</v>
      </c>
      <c r="F8" s="20">
        <f>Breakdowns!H47</f>
        <v>0.7058823529411765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2.4799999999999986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43</v>
      </c>
      <c r="C8" s="19">
        <v>33</v>
      </c>
      <c r="D8" s="19">
        <v>10</v>
      </c>
      <c r="E8" s="19">
        <v>28</v>
      </c>
      <c r="F8" s="20">
        <v>0.767442</v>
      </c>
      <c r="G8" s="20">
        <v>0.057674</v>
      </c>
      <c r="H8" s="19">
        <v>2.48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3</v>
      </c>
      <c r="E48" s="19">
        <v>3</v>
      </c>
      <c r="F48" s="20">
        <v>1.0</v>
      </c>
      <c r="G48" s="20">
        <v>0.34</v>
      </c>
      <c r="H48" s="19">
        <v>1.02</v>
      </c>
      <c r="I48" s="19">
        <v>3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4</v>
      </c>
      <c r="E49" s="19">
        <v>4</v>
      </c>
      <c r="F49" s="20">
        <v>1.0</v>
      </c>
      <c r="G49" s="20">
        <v>0.4625</v>
      </c>
      <c r="H49" s="19">
        <v>1.85</v>
      </c>
      <c r="I49" s="19">
        <v>6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0</v>
      </c>
      <c r="E50" s="19">
        <v>0</v>
      </c>
      <c r="F50" s="20"/>
      <c r="G50" s="20"/>
      <c r="H50" s="18"/>
      <c r="I50" s="19">
        <v>5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0</v>
      </c>
      <c r="E51" s="19">
        <v>0</v>
      </c>
      <c r="F51" s="20"/>
      <c r="G51" s="20"/>
      <c r="H51" s="18"/>
      <c r="I51" s="19">
        <v>10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0</v>
      </c>
      <c r="E52" s="19">
        <v>0</v>
      </c>
      <c r="F52" s="20"/>
      <c r="G52" s="20"/>
      <c r="H52" s="18"/>
      <c r="I52" s="19">
        <v>5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0</v>
      </c>
      <c r="E53" s="19">
        <v>0</v>
      </c>
      <c r="F53" s="20"/>
      <c r="G53" s="20"/>
      <c r="H53" s="18"/>
      <c r="I53" s="19">
        <v>10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0</v>
      </c>
      <c r="E54" s="19">
        <v>0</v>
      </c>
      <c r="F54" s="20"/>
      <c r="G54" s="20"/>
      <c r="H54" s="18"/>
      <c r="I54" s="19">
        <v>16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2026-10-25T10:26:57.031798+00:00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3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25</v>
      </c>
      <c r="C35" s="19">
        <v>25</v>
      </c>
      <c r="D35" s="19">
        <v>21</v>
      </c>
      <c r="E35" s="20">
        <v>-0.037017674215010794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50</v>
      </c>
      <c r="D36" s="19">
        <v>21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32</v>
      </c>
      <c r="C37" s="19">
        <v>18</v>
      </c>
      <c r="D37" s="19">
        <v>21</v>
      </c>
      <c r="E37" s="20">
        <v>-0.039410502940714694</v>
      </c>
      <c r="F37" s="20">
        <v>0.012462583404922789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0</v>
      </c>
    </row>
    <row r="52" ht="44" customHeight="1">
      <c r="A52" s="18" t="inlineStr">
        <is>
          <t>Upcoming kickoff count</t>
        </is>
      </c>
      <c r="B52" s="19">
        <v>16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43</v>
      </c>
      <c r="C110" s="20">
        <v>0.767442</v>
      </c>
      <c r="D110" s="20">
        <v>0.057674</v>
      </c>
      <c r="E110" s="21">
        <v>0.1604</v>
      </c>
    </row>
    <row r="113">
      <c r="A113" s="26" t="inlineStr">
        <is>
          <t>Dependency versions</t>
        </is>
      </c>
    </row>
    <row r="114" ht="34" customHeight="1">
      <c r="A114" s="24" t="inlineStr">
        <is>
          <t>Dependency</t>
        </is>
      </c>
      <c r="B114" s="24" t="inlineStr">
        <is>
          <t>Version</t>
        </is>
      </c>
    </row>
    <row r="115" ht="44" customHeight="1">
      <c r="A115" s="18" t="inlineStr">
        <is>
          <t>python</t>
        </is>
      </c>
      <c r="B115" s="18" t="inlineStr">
        <is>
          <t>3.12.15</t>
        </is>
      </c>
    </row>
    <row r="116" ht="44" customHeight="1">
      <c r="A116" s="18" t="inlineStr">
        <is>
          <t>numpy</t>
        </is>
      </c>
      <c r="B116" s="18" t="inlineStr">
        <is>
          <t>2.5.4</t>
        </is>
      </c>
    </row>
    <row r="117" ht="44" customHeight="1">
      <c r="A117" s="18" t="inlineStr">
        <is>
          <t>pandas</t>
        </is>
      </c>
      <c r="B117" s="18" t="inlineStr">
        <is>
          <t>3.1.0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19" ht="44" customHeight="1">
      <c r="A119" s="18" t="inlineStr">
        <is>
          <t>requests</t>
        </is>
      </c>
      <c r="B119" s="18" t="inlineStr">
        <is>
          <t>2.34.2</t>
        </is>
      </c>
    </row>
    <row r="120" ht="44" customHeight="1">
      <c r="A120" s="18" t="inlineStr">
        <is>
          <t>rapidfuzz</t>
        </is>
      </c>
      <c r="B120" s="18" t="inlineStr">
        <is>
          <t>3.14.6</t>
        </is>
      </c>
    </row>
    <row r="121" ht="44" customHeight="1">
      <c r="A121" s="18" t="inlineStr">
        <is>
          <t>python-dotenv</t>
        </is>
      </c>
      <c r="B121" s="18" t="inlineStr">
        <is>
          <t>1.2.4</t>
        </is>
      </c>
    </row>
    <row r="122" ht="44" customHeight="1">
      <c r="A122" s="18" t="inlineStr">
        <is>
          <t>coverage</t>
        </is>
      </c>
      <c r="B122" s="18" t="inlineStr">
        <is>
          <t>7.17.0</t>
        </is>
      </c>
    </row>
    <row r="123" ht="44" customHeight="1">
      <c r="A123" s="18" t="inlineStr">
        <is>
          <t>PyYAML</t>
        </is>
      </c>
      <c r="B123" s="18" t="inlineStr">
        <is>
          <t>6.0.3</t>
        </is>
      </c>
    </row>
    <row r="126">
      <c r="A126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3:F11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2026-10-25T10:26:57.031798+00:00; 1138 candidates on 109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1138</v>
      </c>
      <c r="D9" s="19">
        <v>109</v>
      </c>
      <c r="E9" s="20">
        <v>-0.032940369438864456</v>
      </c>
      <c r="F9" s="20">
        <v>0.28031634446397186</v>
      </c>
      <c r="G9" s="22">
        <v>-9.966050200360048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55</v>
      </c>
      <c r="D10" s="19">
        <v>43</v>
      </c>
      <c r="E10" s="20">
        <v>-0.032329502506294065</v>
      </c>
      <c r="F10" s="20">
        <v>0.21818181818181817</v>
      </c>
      <c r="G10" s="22">
        <v>-3.2934343414906238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641</v>
      </c>
      <c r="D11" s="19">
        <v>103</v>
      </c>
      <c r="E11" s="20">
        <v>0.0074968181855175646</v>
      </c>
      <c r="F11" s="20">
        <v>0.5382215288611545</v>
      </c>
      <c r="G11" s="22">
        <v>2.3494803713070134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109</v>
      </c>
      <c r="D15" s="18"/>
      <c r="E15" s="21">
        <v>-0.1136376321428173</v>
      </c>
      <c r="F15" s="20">
        <v>0.5871559633027523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-22.61310952882397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199</v>
      </c>
      <c r="D21" s="19">
        <v>85</v>
      </c>
      <c r="E21" s="20">
        <v>-0.02527695848178401</v>
      </c>
      <c r="F21" s="20">
        <v>0.39195979899497485</v>
      </c>
      <c r="G21" s="22">
        <v>-5.8556099393084935</v>
      </c>
      <c r="H21" s="20">
        <v>0.027913528559348828</v>
      </c>
      <c r="I21" s="19">
        <v>148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160</v>
      </c>
      <c r="D23" s="19">
        <v>64</v>
      </c>
      <c r="E23" s="20">
        <v>-0.030864774521662447</v>
      </c>
      <c r="F23" s="20">
        <v>0.15</v>
      </c>
      <c r="G23" s="22">
        <v>-10.479724552645271</v>
      </c>
      <c r="H23" s="20">
        <v>-0.010557658831947977</v>
      </c>
      <c r="I23" s="19">
        <v>28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153</v>
      </c>
      <c r="D24" s="19">
        <v>66</v>
      </c>
      <c r="E24" s="20">
        <v>-0.03971820859295357</v>
      </c>
      <c r="F24" s="20">
        <v>0.2679738562091503</v>
      </c>
      <c r="G24" s="22">
        <v>-6.348390842561725</v>
      </c>
      <c r="H24" s="20">
        <v>0.0014108261310115699</v>
      </c>
      <c r="I24" s="19">
        <v>153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-0.05879656589185669</v>
      </c>
      <c r="F25" s="20">
        <v>0.25</v>
      </c>
      <c r="G25" s="22">
        <v>-5.670352018969304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578</v>
      </c>
      <c r="D48" s="19">
        <v>88</v>
      </c>
      <c r="E48" s="20">
        <v>-0.03772317971275602</v>
      </c>
      <c r="F48" s="20">
        <v>0.24394463667820068</v>
      </c>
      <c r="G48" s="22">
        <v>-13.87932156000729</v>
      </c>
      <c r="H48" s="20">
        <v>0.007976852672158644</v>
      </c>
      <c r="I48" s="19">
        <v>361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-0.03512940266384144</v>
      </c>
      <c r="F49" s="20">
        <v>0.23703703703703705</v>
      </c>
      <c r="G49" s="22">
        <v>-8.12319533802188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232</v>
      </c>
      <c r="D50" s="19">
        <v>67</v>
      </c>
      <c r="E50" s="20">
        <v>-0.019208739857568234</v>
      </c>
      <c r="F50" s="20">
        <v>0.4224137931034483</v>
      </c>
      <c r="G50" s="22">
        <v>-1.867721485895306</v>
      </c>
      <c r="H50" s="20">
        <v>0.020289969578707115</v>
      </c>
      <c r="I50" s="19">
        <v>91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1083</v>
      </c>
      <c r="D56" s="19">
        <v>109</v>
      </c>
      <c r="E56" s="20">
        <v>-0.03297139222860718</v>
      </c>
      <c r="F56" s="20">
        <v>0.283471837488458</v>
      </c>
      <c r="G56" s="22">
        <v>-9.460185081602495</v>
      </c>
      <c r="H56" s="20">
        <v>0.007926807042841436</v>
      </c>
      <c r="I56" s="19">
        <v>599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55</v>
      </c>
      <c r="D57" s="19">
        <v>43</v>
      </c>
      <c r="E57" s="20">
        <v>-0.032329502506294065</v>
      </c>
      <c r="F57" s="20">
        <v>0.21818181818181817</v>
      </c>
      <c r="G57" s="22">
        <v>-3.2934343414906238</v>
      </c>
      <c r="H57" s="20">
        <v>0.0013643580536842124</v>
      </c>
      <c r="I57" s="19">
        <v>42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-6.060923613314705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157</v>
      </c>
      <c r="D64" s="19">
        <v>13</v>
      </c>
      <c r="E64" s="20">
        <v>-0.029038235787885894</v>
      </c>
      <c r="F64" s="20">
        <v>0.29936305732484075</v>
      </c>
      <c r="G64" s="22">
        <v>-2.551161323696456</v>
      </c>
      <c r="H64" s="20">
        <v>0.005404771251576232</v>
      </c>
      <c r="I64" s="19">
        <v>93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-0.03548431906835178</v>
      </c>
      <c r="F65" s="20">
        <v>0.2222222222222222</v>
      </c>
      <c r="G65" s="22">
        <v>-3.3131380676886337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5</v>
      </c>
      <c r="D69" s="19">
        <v>2</v>
      </c>
      <c r="E69" s="20">
        <v>-0.03427680933240147</v>
      </c>
      <c r="F69" s="20">
        <v>0.2</v>
      </c>
      <c r="G69" s="22">
        <v>-1.359266160667851</v>
      </c>
      <c r="H69" s="20">
        <v>0.0028408223925284527</v>
      </c>
      <c r="I69" s="19">
        <v>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4</v>
      </c>
      <c r="D70" s="19">
        <v>2</v>
      </c>
      <c r="E70" s="20">
        <v>-0.03796802327278015</v>
      </c>
      <c r="F70" s="20">
        <v>0.0</v>
      </c>
      <c r="G70" s="22">
        <v>-13.73202576414083</v>
      </c>
      <c r="H70" s="20">
        <v>-0.008161604922794025</v>
      </c>
      <c r="I70" s="19">
        <v>4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