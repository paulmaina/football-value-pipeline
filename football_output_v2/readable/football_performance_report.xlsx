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  <c:pt idx="71">
                  <c:v>3.3499999999999996</c:v>
                </c:pt>
                <c:pt idx="72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2026-10-26T20:53:56.437621+00:00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11:46:02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PENDING_KICKOFF_OR_FINAL_SCORE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3.3499999999999996</v>
      </c>
      <c r="G81" s="22">
        <f>$B$4+F81</f>
        <v>103.35</v>
      </c>
      <c r="H81" s="22">
        <f>MAX($B$4,$G$10:G81)</f>
        <v>104.12</v>
      </c>
      <c r="I81" s="22">
        <f>H81-G81</f>
        <v>0.7700000000000102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3.3499999999999996</v>
      </c>
      <c r="G82" s="22">
        <f>$B$4+F82</f>
        <v>103.35</v>
      </c>
      <c r="H82" s="22">
        <f>MAX($B$4,$G$10:G82)</f>
        <v>104.12</v>
      </c>
      <c r="I82" s="22">
        <f>H82-G82</f>
        <v>0.7700000000000102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59</v>
      </c>
      <c r="E6" s="19">
        <f>(COUNTIFS(Selections!$K$6:$K$78,"WON")+COUNTIFS(Selections!$K$6:$K$78,"HALF_WON"))</f>
        <v>45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14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0.7627118644067796</v>
      </c>
      <c r="I6" s="22">
        <f>SUM(Selections!$M$6:$M$78)</f>
        <v>59</v>
      </c>
      <c r="J6" s="22">
        <f>SUM(Selections!$N$6:$N$78)</f>
        <v>3.349999999999999</v>
      </c>
      <c r="K6" s="20">
        <f>IF(SUM(Selections!$M$6:$M$78)=0,"n.a.",SUM(Selections!$N$6:$N$78)/SUM(Selections!$M$6:$M$78))</f>
        <v>0.05677966101694914</v>
      </c>
      <c r="L6" s="21">
        <f>IF(SUM(Selections!$T$6:$T$78)=0,"n.a.",SUM(Selections!$O$6:$O$78)/SUM(Selections!$T$6:$T$78))</f>
        <v>0.15452821676612882</v>
      </c>
      <c r="M6" s="20">
        <f>IF(SUM(Selections!$T$6:$T$78)=0,"n.a.",SUM(Selections!$S$6:$S$78)/SUM(Selections!$T$6:$T$78))</f>
        <v>0.7469193764575441</v>
      </c>
      <c r="N6" s="20">
        <f>IF(SUM(Selections!$T$6:$T$78)=0,"n.a.",(SUMIFS(Selections!$L$6:$L$78,Selections!$T$6:$T$78,1))/SUM(Selections!$T$6:$T$78))</f>
        <v>0.7627118644067796</v>
      </c>
      <c r="O6" s="20">
        <f>IF(SUM(Selections!$T$6:$T$78)=0,"n.a.",(SUM(Selections!$S$6:$S$78)-(SUMIFS(Selections!$L$6:$L$78,Selections!$T$6:$T$78,1)))/SUM(Selections!$T$6:$T$78))</f>
        <v>-0.01579248794923549</v>
      </c>
      <c r="P6" s="19">
        <f>SUM(Selections!$T$6:$T$78)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32</v>
      </c>
      <c r="E7" s="19">
        <f>(COUNTIFS(Selections!$F$6:$F$78,"STRICT",Selections!$K$6:$K$78,"WON")+COUNTIFS(Selections!$F$6:$F$78,"STRICT",Selections!$K$6:$K$78,"HALF_WON"))</f>
        <v>27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12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0.84375</v>
      </c>
      <c r="I7" s="22">
        <f>SUMIFS(Selections!$M$6:$M$78,Selections!$F$6:$F$78,"STRICT")</f>
        <v>32</v>
      </c>
      <c r="J7" s="22">
        <f>SUMIFS(Selections!$N$6:$N$78,Selections!$F$6:$F$78,"STRICT")</f>
        <v>6.239999999999999</v>
      </c>
      <c r="K7" s="20">
        <f>IF(SUMIFS(Selections!$M$6:$M$78,Selections!$F$6:$F$78,"STRICT")=0,"n.a.",SUMIFS(Selections!$N$6:$N$78,Selections!$F$6:$F$78,"STRICT")/SUMIFS(Selections!$M$6:$M$78,Selections!$F$6:$F$78,"STRICT"))</f>
        <v>0.19499999999999998</v>
      </c>
      <c r="L7" s="21">
        <f>IF(SUMIFS(Selections!$T$6:$T$78,Selections!$F$6:$F$78,"STRICT")=0,"n.a.",SUMIFS(Selections!$O$6:$O$78,Selections!$F$6:$F$78,"STRICT")/SUMIFS(Selections!$T$6:$T$78,Selections!$F$6:$F$78,"STRICT"))</f>
        <v>0.10788152778297483</v>
      </c>
      <c r="M7" s="20">
        <f>IF(SUMIFS(Selections!$T$6:$T$78,Selections!$F$6:$F$78,"STRICT")=0,"n.a.",SUMIFS(Selections!$S$6:$S$78,Selections!$F$6:$F$78,"STRICT")/SUMIFS(Selections!$T$6:$T$78,Selections!$F$6:$F$78,"STRICT"))</f>
        <v>0.7360113274239396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0.84375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-0.1077386725760604</v>
      </c>
      <c r="P7" s="19">
        <f>SUMIFS(Selections!$T$6:$T$78,Selections!$F$6:$F$78,"STRICT")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11</v>
      </c>
      <c r="E15" s="19">
        <f>(COUNTIFS(Selections!$C$6:$C$78,"Serie A",Selections!$K$6:$K$78,"WON")+COUNTIFS(Selections!$C$6:$C$78,"Serie A",Selections!$K$6:$K$78,"HALF_WON"))</f>
        <v>7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3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0.6363636363636364</v>
      </c>
      <c r="I15" s="22">
        <f>SUMIFS(Selections!$M$6:$M$78,Selections!$C$6:$C$78,"Serie A")</f>
        <v>11</v>
      </c>
      <c r="J15" s="22">
        <f>SUMIFS(Selections!$N$6:$N$78,Selections!$C$6:$C$78,"Serie A")</f>
        <v>-1.48</v>
      </c>
      <c r="K15" s="20">
        <f>IF(SUMIFS(Selections!$M$6:$M$78,Selections!$C$6:$C$78,"Serie A")=0,"n.a.",SUMIFS(Selections!$N$6:$N$78,Selections!$C$6:$C$78,"Serie A")/SUMIFS(Selections!$M$6:$M$78,Selections!$C$6:$C$78,"Serie A"))</f>
        <v>-0.13454545454545455</v>
      </c>
      <c r="L15" s="21">
        <f>IF(SUMIFS(Selections!$T$6:$T$78,Selections!$C$6:$C$78,"Serie A")=0,"n.a.",SUMIFS(Selections!$O$6:$O$78,Selections!$C$6:$C$78,"Serie A")/SUMIFS(Selections!$T$6:$T$78,Selections!$C$6:$C$78,"Serie A"))</f>
        <v>0.1788072951869352</v>
      </c>
      <c r="M15" s="20">
        <f>IF(SUMIFS(Selections!$T$6:$T$78,Selections!$C$6:$C$78,"Serie A")=0,"n.a.",SUMIFS(Selections!$S$6:$S$78,Selections!$C$6:$C$78,"Serie A")/SUMIFS(Selections!$T$6:$T$78,Selections!$C$6:$C$78,"Serie A"))</f>
        <v>0.7120542223761966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0.6363636363636364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0.07569058601256029</v>
      </c>
      <c r="P15" s="19">
        <f>SUMIFS(Selections!$T$6:$T$78,Selections!$C$6:$C$78,"Serie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0</v>
      </c>
      <c r="E26" s="19">
        <f>(COUNTIFS(Selections!$E$6:$E$78,"Corners Under 10.5",Selections!$K$6:$K$78,"WON")+COUNTIFS(Selections!$E$6:$E$78,"Corners Under 10.5",Selections!$K$6:$K$78,"HALF_WON"))</f>
        <v>0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2</v>
      </c>
      <c r="H26" s="20" t="str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n.a.</v>
      </c>
      <c r="I26" s="22">
        <f>SUMIFS(Selections!$M$6:$M$78,Selections!$E$6:$E$78,"Corners Under 10.5")</f>
        <v>0</v>
      </c>
      <c r="J26" s="22">
        <f>SUMIFS(Selections!$N$6:$N$78,Selections!$E$6:$E$78,"Corners Under 10.5")</f>
        <v>0</v>
      </c>
      <c r="K26" s="20" t="str">
        <f>IF(SUMIFS(Selections!$M$6:$M$78,Selections!$E$6:$E$78,"Corners Under 10.5")=0,"n.a.",SUMIFS(Selections!$N$6:$N$78,Selections!$E$6:$E$78,"Corners Under 10.5")/SUMIFS(Selections!$M$6:$M$78,Selections!$E$6:$E$78,"Corners Under 10.5"))</f>
        <v>n.a.</v>
      </c>
      <c r="L26" s="21" t="str">
        <f>IF(SUMIFS(Selections!$T$6:$T$78,Selections!$E$6:$E$78,"Corners Under 10.5")=0,"n.a.",SUMIFS(Selections!$O$6:$O$78,Selections!$E$6:$E$78,"Corners Under 10.5")/SUMIFS(Selections!$T$6:$T$78,Selections!$E$6:$E$78,"Corners Under 10.5"))</f>
        <v>n.a.</v>
      </c>
      <c r="M26" s="20" t="str">
        <f>IF(SUMIFS(Selections!$T$6:$T$78,Selections!$E$6:$E$78,"Corners Under 10.5")=0,"n.a.",SUMIFS(Selections!$S$6:$S$78,Selections!$E$6:$E$78,"Corners Under 10.5")/SUMIFS(Selections!$T$6:$T$78,Selections!$E$6:$E$78,"Corners Under 10.5"))</f>
        <v>n.a.</v>
      </c>
      <c r="N26" s="20" t="str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n.a.</v>
      </c>
      <c r="O26" s="20" t="str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n.a.</v>
      </c>
      <c r="P26" s="19">
        <f>SUMIFS(Selections!$T$6:$T$78,Selections!$E$6:$E$78,"Corners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11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8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5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0.7272727272727273</v>
      </c>
      <c r="I36" s="22">
        <f>SUMIFS(Selections!$M$6:$M$78,Selections!$G$6:$G$78,"48h-two-per-market-group-probability-ev-corners-cards-v25")</f>
        <v>11</v>
      </c>
      <c r="J36" s="22">
        <f>SUMIFS(Selections!$N$6:$N$78,Selections!$G$6:$G$78,"48h-two-per-market-group-probability-ev-corners-cards-v25")</f>
        <v>-0.07000000000000028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-0.00636363636363639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0.13575065975882694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0.7073244539634654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0.7272727272727273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-0.019948273309261855</v>
      </c>
      <c r="P36" s="19">
        <f>SUMIFS(Selections!$T$6:$T$78,Selections!$G$6:$G$78,"48h-two-per-market-group-probability-ev-corners-cards-v25")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33</v>
      </c>
      <c r="E48" s="19">
        <f>(COUNTIFS(Selections!$P$6:$P$78,"2026-W43",Selections!$K$6:$K$78,"WON")+COUNTIFS(Selections!$P$6:$P$78,"2026-W43",Selections!$K$6:$K$78,"HALF_WON"))</f>
        <v>24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8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0.7272727272727273</v>
      </c>
      <c r="I48" s="22">
        <f>SUMIFS(Selections!$M$6:$M$78,Selections!$P$6:$P$78,"2026-W43")</f>
        <v>33</v>
      </c>
      <c r="J48" s="22">
        <f>SUMIFS(Selections!$N$6:$N$78,Selections!$P$6:$P$78,"2026-W43")</f>
        <v>0.5399999999999994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0.016363636363636344</v>
      </c>
      <c r="L48" s="21">
        <f>IF(SUMIFS(Selections!$T$6:$T$78,Selections!$P$6:$P$78,"2026-W43")=0,"n.a.",SUMIFS(Selections!$O$6:$O$78,Selections!$P$6:$P$78,"2026-W43")/SUMIFS(Selections!$T$6:$T$78,Selections!$P$6:$P$78,"2026-W43"))</f>
        <v>0.1494266943507332</v>
      </c>
      <c r="M48" s="20">
        <f>IF(SUMIFS(Selections!$T$6:$T$78,Selections!$P$6:$P$78,"2026-W43")=0,"n.a.",SUMIFS(Selections!$S$6:$S$78,Selections!$P$6:$P$78,"2026-W43")/SUMIFS(Selections!$T$6:$T$78,Selections!$P$6:$P$78,"2026-W43"))</f>
        <v>0.7230588008003089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0.7272727272727273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-0.004213926472418361</v>
      </c>
      <c r="P48" s="19">
        <f>SUMIFS(Selections!$T$6:$T$78,Selections!$P$6:$P$78,"2026-W43")</f>
        <v>33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20</v>
      </c>
      <c r="E9" s="20">
        <f>IF(D9=0,"n.a.",SUMIFS(Selections!$S$6:$S$78,Selections!$S$6:$S$78,"&gt;="&amp;B9,Selections!$S$6:$S$78,"&lt;"&amp;C9,Selections!$T$6:$T$78,1)/D9)</f>
        <v>0.7622108195869741</v>
      </c>
      <c r="F9" s="20">
        <f>IF(D9=0,"n.a.",SUMIFS(Selections!$L$6:$L$78,Selections!$S$6:$S$78,"&gt;="&amp;B9,Selections!$S$6:$S$78,"&lt;"&amp;C9,Selections!$T$6:$T$78,1)/D9)</f>
        <v>0.8</v>
      </c>
      <c r="G9" s="20">
        <f>IF(D9=0,"n.a.",E9-F9)</f>
        <v>-0.037789180413025925</v>
      </c>
      <c r="H9" s="21">
        <f>IF(D9=0,"n.a.",SUMIFS(Selections!$O$6:$O$78,Selections!$S$6:$S$78,"&gt;="&amp;B9,Selections!$S$6:$S$78,"&lt;"&amp;C9,Selections!$T$6:$T$78,1)/D9)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PENDING_KICKOFF_OR_FINAL_SCORE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33.0</v>
      </c>
      <c r="C8" s="19">
        <f>COUNTIFS(Selections!$P$6:$P$78,A8,Selections!$M$6:$M$78,"&gt;0")</f>
        <v>33.0</v>
      </c>
      <c r="D8" s="22">
        <f>IF(C8=0,"n.a.",Breakdowns!J48)</f>
        <v>0.5399999999999994</v>
      </c>
      <c r="E8" s="22">
        <f>IF(SUM($C$6:C8)=0,"n.a.",SUM($D$6:D8))</f>
        <v>3.3499999999999988</v>
      </c>
      <c r="F8" s="20">
        <f>Breakdowns!H48</f>
        <v>0.7272727272727273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3.3499999999999988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59</v>
      </c>
      <c r="C8" s="19">
        <v>45</v>
      </c>
      <c r="D8" s="19">
        <v>14</v>
      </c>
      <c r="E8" s="19">
        <v>14</v>
      </c>
      <c r="F8" s="20">
        <v>0.762712</v>
      </c>
      <c r="G8" s="20">
        <v>0.05678</v>
      </c>
      <c r="H8" s="19">
        <v>3.35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2026-10-26T20:53:56.437621+00:00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34</v>
      </c>
      <c r="C35" s="19">
        <v>38</v>
      </c>
      <c r="D35" s="19">
        <v>1</v>
      </c>
      <c r="E35" s="20">
        <v>-0.02780450127606808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72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46</v>
      </c>
      <c r="C37" s="19">
        <v>26</v>
      </c>
      <c r="D37" s="19">
        <v>1</v>
      </c>
      <c r="E37" s="20">
        <v>-0.030666655948099794</v>
      </c>
      <c r="F37" s="20">
        <v>0.014734308422460327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Bookmakers: Pinnacle</t>
        </is>
      </c>
      <c r="B49" s="19">
        <v>1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0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39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39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35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11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32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32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53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53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11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11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7.17.0</t>
        </is>
      </c>
    </row>
    <row r="124" ht="44" customHeight="1">
      <c r="A124" s="18" t="inlineStr">
        <is>
          <t>PyYAML</t>
        </is>
      </c>
      <c r="B124" s="18" t="inlineStr">
        <is>
          <t>6.0.3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</sheetData>
  <autoFilter ref="A5:H58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2026-10-26T20:53:56.437621+00:00;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</v>
      </c>
      <c r="F20" s="20">
        <v>0.24193548387096775</v>
      </c>
      <c r="G20" s="22">
        <v>-20.70567520042048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-7.159954322598129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-15.629925179977672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-0.03599651136288459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-0.033305555712984866</v>
      </c>
      <c r="F65" s="20">
        <v>0.22167487684729065</v>
      </c>
      <c r="G65" s="22">
        <v>-4.17600968935532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