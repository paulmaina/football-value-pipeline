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33.0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3.3499999999999988</v>
                </pt>
                <pt idx="3">
                  <v>3.3499999999999988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1.8099999999999998</c:v>
                </c:pt>
                <c:pt idx="66">
                  <c:v>2.03</c:v>
                </c:pt>
                <c:pt idx="67">
                  <c:v>2.03</c:v>
                </c:pt>
                <c:pt idx="68">
                  <c:v>3.1199999999999997</c:v>
                </c:pt>
                <c:pt idx="69">
                  <c:v>3.3499999999999996</c:v>
                </c:pt>
                <c:pt idx="70">
                  <c:v>3.3499999999999996</c:v>
                </c:pt>
                <c:pt idx="71">
                  <c:v>3.3499999999999996</c:v>
                </c:pt>
                <c:pt idx="72">
                  <c:v>3.3499999999999996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0.7622108195869741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32</v>
      </c>
      <c r="F7" s="20">
        <f>Breakdowns!H7</f>
        <v>0.84375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59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0.7627118644067796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0.05677966101694914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3.349999999999999</v>
      </c>
      <c r="C14" s="18"/>
      <c r="D14" s="18" t="inlineStr">
        <is>
          <t>59 settled; 14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0.15452821676612882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0.5741935483870968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0.5763020844516129</v>
      </c>
      <c r="C17" s="18"/>
      <c r="D17" s="18" t="inlineStr">
        <is>
          <t>Over 1.5</t>
        </is>
      </c>
      <c r="E17" s="18">
        <f>COUNT(Predictions!J6:J244)</f>
        <v>155</v>
      </c>
      <c r="F17" s="20">
        <f>IF(E17=0,"n.a.",AVERAGE(Predictions!J6:J244))</f>
        <v>0.8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0.6402486613269721</v>
      </c>
      <c r="C18" s="18"/>
      <c r="D18" s="18" t="inlineStr">
        <is>
          <t>Under 3.5</t>
        </is>
      </c>
      <c r="E18" s="18">
        <f>COUNT(Predictions!K6:K244)</f>
        <v>155</v>
      </c>
      <c r="F18" s="20">
        <f>IF(E18=0,"n.a.",AVERAGE(Predictions!K6:K244))</f>
        <v>0.632258064516129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0.8530551374305387</v>
      </c>
      <c r="C19" s="18"/>
      <c r="D19" s="18" t="inlineStr">
        <is>
          <t>BTTS Yes</t>
        </is>
      </c>
      <c r="E19" s="18">
        <f>COUNT(Predictions!L6:L244)</f>
        <v>155</v>
      </c>
      <c r="F19" s="20">
        <f>IF(E19=0,"n.a.",AVERAGE(Predictions!L6:L244))</f>
        <v>0.5741935483870968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155</v>
      </c>
      <c r="F20" s="20">
        <f>IF(E20=0,"n.a.",AVERAGE(Predictions!M6:M244))</f>
        <v>0.5741935483870968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45 wins from 59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2026-10-26T21:07:15.221661+00:00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2026-10-26 11:46:02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AWAITING_COUNT_RESULT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1.8099999999999998</v>
      </c>
      <c r="G75" s="22">
        <f>$B$4+F75</f>
        <v>101.81</v>
      </c>
      <c r="H75" s="22">
        <f>MAX($B$4,$G$10:G75)</f>
        <v>104.12</v>
      </c>
      <c r="I75" s="22">
        <f>H75-G75</f>
        <v>2.3100000000000023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2.03</v>
      </c>
      <c r="G76" s="22">
        <f>$B$4+F76</f>
        <v>102.03</v>
      </c>
      <c r="H76" s="22">
        <f>MAX($B$4,$G$10:G76)</f>
        <v>104.12</v>
      </c>
      <c r="I76" s="22">
        <f>H76-G76</f>
        <v>2.0900000000000034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2.03</v>
      </c>
      <c r="G77" s="22">
        <f>$B$4+F77</f>
        <v>102.03</v>
      </c>
      <c r="H77" s="22">
        <f>MAX($B$4,$G$10:G77)</f>
        <v>104.12</v>
      </c>
      <c r="I77" s="22">
        <f>H77-G77</f>
        <v>2.0900000000000034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3.1199999999999997</v>
      </c>
      <c r="G78" s="22">
        <f>$B$4+F78</f>
        <v>103.12</v>
      </c>
      <c r="H78" s="22">
        <f>MAX($B$4,$G$10:G78)</f>
        <v>104.12</v>
      </c>
      <c r="I78" s="22">
        <f>H78-G78</f>
        <v>1.0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3.3499999999999996</v>
      </c>
      <c r="G79" s="22">
        <f>$B$4+F79</f>
        <v>103.35</v>
      </c>
      <c r="H79" s="22">
        <f>MAX($B$4,$G$10:G79)</f>
        <v>104.12</v>
      </c>
      <c r="I79" s="22">
        <f>H79-G79</f>
        <v>0.7700000000000102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3.3499999999999996</v>
      </c>
      <c r="G80" s="22">
        <f>$B$4+F80</f>
        <v>103.35</v>
      </c>
      <c r="H80" s="22">
        <f>MAX($B$4,$G$10:G80)</f>
        <v>104.12</v>
      </c>
      <c r="I80" s="22">
        <f>H80-G80</f>
        <v>0.7700000000000102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PENDING_KICKOFF_OR_FINAL_SCORE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3.3499999999999996</v>
      </c>
      <c r="G81" s="22">
        <f>$B$4+F81</f>
        <v>103.35</v>
      </c>
      <c r="H81" s="22">
        <f>MAX($B$4,$G$10:G81)</f>
        <v>104.12</v>
      </c>
      <c r="I81" s="22">
        <f>H81-G81</f>
        <v>0.7700000000000102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3.3499999999999996</v>
      </c>
      <c r="G82" s="22">
        <f>$B$4+F82</f>
        <v>103.35</v>
      </c>
      <c r="H82" s="22">
        <f>MAX($B$4,$G$10:G82)</f>
        <v>104.12</v>
      </c>
      <c r="I82" s="22">
        <f>H82-G82</f>
        <v>0.7700000000000102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59</v>
      </c>
      <c r="E6" s="19">
        <f>(COUNTIFS(Selections!$K$6:$K$78,"WON")+COUNTIFS(Selections!$K$6:$K$78,"HALF_WON"))</f>
        <v>45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14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0.7627118644067796</v>
      </c>
      <c r="I6" s="22">
        <f>SUM(Selections!$M$6:$M$78)</f>
        <v>59</v>
      </c>
      <c r="J6" s="22">
        <f>SUM(Selections!$N$6:$N$78)</f>
        <v>3.349999999999999</v>
      </c>
      <c r="K6" s="20">
        <f>IF(SUM(Selections!$M$6:$M$78)=0,"n.a.",SUM(Selections!$N$6:$N$78)/SUM(Selections!$M$6:$M$78))</f>
        <v>0.05677966101694914</v>
      </c>
      <c r="L6" s="21">
        <f>IF(SUM(Selections!$T$6:$T$78)=0,"n.a.",SUM(Selections!$O$6:$O$78)/SUM(Selections!$T$6:$T$78))</f>
        <v>0.15452821676612882</v>
      </c>
      <c r="M6" s="20">
        <f>IF(SUM(Selections!$T$6:$T$78)=0,"n.a.",SUM(Selections!$S$6:$S$78)/SUM(Selections!$T$6:$T$78))</f>
        <v>0.7469193764575441</v>
      </c>
      <c r="N6" s="20">
        <f>IF(SUM(Selections!$T$6:$T$78)=0,"n.a.",(SUMIFS(Selections!$L$6:$L$78,Selections!$T$6:$T$78,1))/SUM(Selections!$T$6:$T$78))</f>
        <v>0.7627118644067796</v>
      </c>
      <c r="O6" s="20">
        <f>IF(SUM(Selections!$T$6:$T$78)=0,"n.a.",(SUM(Selections!$S$6:$S$78)-(SUMIFS(Selections!$L$6:$L$78,Selections!$T$6:$T$78,1)))/SUM(Selections!$T$6:$T$78))</f>
        <v>-0.01579248794923549</v>
      </c>
      <c r="P6" s="19">
        <f>SUM(Selections!$T$6:$T$78)</f>
        <v>59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32</v>
      </c>
      <c r="E7" s="19">
        <f>(COUNTIFS(Selections!$F$6:$F$78,"STRICT",Selections!$K$6:$K$78,"WON")+COUNTIFS(Selections!$F$6:$F$78,"STRICT",Selections!$K$6:$K$78,"HALF_WON"))</f>
        <v>27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12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0.84375</v>
      </c>
      <c r="I7" s="22">
        <f>SUMIFS(Selections!$M$6:$M$78,Selections!$F$6:$F$78,"STRICT")</f>
        <v>32</v>
      </c>
      <c r="J7" s="22">
        <f>SUMIFS(Selections!$N$6:$N$78,Selections!$F$6:$F$78,"STRICT")</f>
        <v>6.239999999999999</v>
      </c>
      <c r="K7" s="20">
        <f>IF(SUMIFS(Selections!$M$6:$M$78,Selections!$F$6:$F$78,"STRICT")=0,"n.a.",SUMIFS(Selections!$N$6:$N$78,Selections!$F$6:$F$78,"STRICT")/SUMIFS(Selections!$M$6:$M$78,Selections!$F$6:$F$78,"STRICT"))</f>
        <v>0.19499999999999998</v>
      </c>
      <c r="L7" s="21">
        <f>IF(SUMIFS(Selections!$T$6:$T$78,Selections!$F$6:$F$78,"STRICT")=0,"n.a.",SUMIFS(Selections!$O$6:$O$78,Selections!$F$6:$F$78,"STRICT")/SUMIFS(Selections!$T$6:$T$78,Selections!$F$6:$F$78,"STRICT"))</f>
        <v>0.10788152778297483</v>
      </c>
      <c r="M7" s="20">
        <f>IF(SUMIFS(Selections!$T$6:$T$78,Selections!$F$6:$F$78,"STRICT")=0,"n.a.",SUMIFS(Selections!$S$6:$S$78,Selections!$F$6:$F$78,"STRICT")/SUMIFS(Selections!$T$6:$T$78,Selections!$F$6:$F$78,"STRICT"))</f>
        <v>0.7360113274239396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0.84375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-0.1077386725760604</v>
      </c>
      <c r="P7" s="19">
        <f>SUMIFS(Selections!$T$6:$T$78,Selections!$F$6:$F$78,"STRICT")</f>
        <v>32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11</v>
      </c>
      <c r="E15" s="19">
        <f>(COUNTIFS(Selections!$C$6:$C$78,"Serie A",Selections!$K$6:$K$78,"WON")+COUNTIFS(Selections!$C$6:$C$78,"Serie A",Selections!$K$6:$K$78,"HALF_WON"))</f>
        <v>7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3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0.6363636363636364</v>
      </c>
      <c r="I15" s="22">
        <f>SUMIFS(Selections!$M$6:$M$78,Selections!$C$6:$C$78,"Serie A")</f>
        <v>11</v>
      </c>
      <c r="J15" s="22">
        <f>SUMIFS(Selections!$N$6:$N$78,Selections!$C$6:$C$78,"Serie A")</f>
        <v>-1.48</v>
      </c>
      <c r="K15" s="20">
        <f>IF(SUMIFS(Selections!$M$6:$M$78,Selections!$C$6:$C$78,"Serie A")=0,"n.a.",SUMIFS(Selections!$N$6:$N$78,Selections!$C$6:$C$78,"Serie A")/SUMIFS(Selections!$M$6:$M$78,Selections!$C$6:$C$78,"Serie A"))</f>
        <v>-0.13454545454545455</v>
      </c>
      <c r="L15" s="21">
        <f>IF(SUMIFS(Selections!$T$6:$T$78,Selections!$C$6:$C$78,"Serie A")=0,"n.a.",SUMIFS(Selections!$O$6:$O$78,Selections!$C$6:$C$78,"Serie A")/SUMIFS(Selections!$T$6:$T$78,Selections!$C$6:$C$78,"Serie A"))</f>
        <v>0.1788072951869352</v>
      </c>
      <c r="M15" s="20">
        <f>IF(SUMIFS(Selections!$T$6:$T$78,Selections!$C$6:$C$78,"Serie A")=0,"n.a.",SUMIFS(Selections!$S$6:$S$78,Selections!$C$6:$C$78,"Serie A")/SUMIFS(Selections!$T$6:$T$78,Selections!$C$6:$C$78,"Serie A"))</f>
        <v>0.7120542223761966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0.6363636363636364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0.07569058601256029</v>
      </c>
      <c r="P15" s="19">
        <f>SUMIFS(Selections!$T$6:$T$78,Selections!$C$6:$C$78,"Serie A")</f>
        <v>11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(n=11).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0</v>
      </c>
      <c r="E26" s="19">
        <f>(COUNTIFS(Selections!$E$6:$E$78,"Corners Under 10.5",Selections!$K$6:$K$78,"WON")+COUNTIFS(Selections!$E$6:$E$78,"Corners Under 10.5",Selections!$K$6:$K$78,"HALF_WON"))</f>
        <v>0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2</v>
      </c>
      <c r="H26" s="20" t="str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n.a.</v>
      </c>
      <c r="I26" s="22">
        <f>SUMIFS(Selections!$M$6:$M$78,Selections!$E$6:$E$78,"Corners Under 10.5")</f>
        <v>0</v>
      </c>
      <c r="J26" s="22">
        <f>SUMIFS(Selections!$N$6:$N$78,Selections!$E$6:$E$78,"Corners Under 10.5")</f>
        <v>0</v>
      </c>
      <c r="K26" s="20" t="str">
        <f>IF(SUMIFS(Selections!$M$6:$M$78,Selections!$E$6:$E$78,"Corners Under 10.5")=0,"n.a.",SUMIFS(Selections!$N$6:$N$78,Selections!$E$6:$E$78,"Corners Under 10.5")/SUMIFS(Selections!$M$6:$M$78,Selections!$E$6:$E$78,"Corners Under 10.5"))</f>
        <v>n.a.</v>
      </c>
      <c r="L26" s="21" t="str">
        <f>IF(SUMIFS(Selections!$T$6:$T$78,Selections!$E$6:$E$78,"Corners Under 10.5")=0,"n.a.",SUMIFS(Selections!$O$6:$O$78,Selections!$E$6:$E$78,"Corners Under 10.5")/SUMIFS(Selections!$T$6:$T$78,Selections!$E$6:$E$78,"Corners Under 10.5"))</f>
        <v>n.a.</v>
      </c>
      <c r="M26" s="20" t="str">
        <f>IF(SUMIFS(Selections!$T$6:$T$78,Selections!$E$6:$E$78,"Corners Under 10.5")=0,"n.a.",SUMIFS(Selections!$S$6:$S$78,Selections!$E$6:$E$78,"Corners Under 10.5")/SUMIFS(Selections!$T$6:$T$78,Selections!$E$6:$E$78,"Corners Under 10.5"))</f>
        <v>n.a.</v>
      </c>
      <c r="N26" s="20" t="str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n.a.</v>
      </c>
      <c r="O26" s="20" t="str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n.a.</v>
      </c>
      <c r="P26" s="19">
        <f>SUMIFS(Selections!$T$6:$T$78,Selections!$E$6:$E$78,"Corners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11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8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5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0.7272727272727273</v>
      </c>
      <c r="I36" s="22">
        <f>SUMIFS(Selections!$M$6:$M$78,Selections!$G$6:$G$78,"48h-two-per-market-group-probability-ev-corners-cards-v25")</f>
        <v>11</v>
      </c>
      <c r="J36" s="22">
        <f>SUMIFS(Selections!$N$6:$N$78,Selections!$G$6:$G$78,"48h-two-per-market-group-probability-ev-corners-cards-v25")</f>
        <v>-0.07000000000000028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-0.00636363636363639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0.13575065975882694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0.7073244539634654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0.7272727272727273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-0.019948273309261855</v>
      </c>
      <c r="P36" s="19">
        <f>SUMIFS(Selections!$T$6:$T$78,Selections!$G$6:$G$78,"48h-two-per-market-group-probability-ev-corners-cards-v25")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33</v>
      </c>
      <c r="E48" s="19">
        <f>(COUNTIFS(Selections!$P$6:$P$78,"2026-W43",Selections!$K$6:$K$78,"WON")+COUNTIFS(Selections!$P$6:$P$78,"2026-W43",Selections!$K$6:$K$78,"HALF_WON"))</f>
        <v>24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8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0.7272727272727273</v>
      </c>
      <c r="I48" s="22">
        <f>SUMIFS(Selections!$M$6:$M$78,Selections!$P$6:$P$78,"2026-W43")</f>
        <v>33</v>
      </c>
      <c r="J48" s="22">
        <f>SUMIFS(Selections!$N$6:$N$78,Selections!$P$6:$P$78,"2026-W43")</f>
        <v>0.5399999999999994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0.016363636363636344</v>
      </c>
      <c r="L48" s="21">
        <f>IF(SUMIFS(Selections!$T$6:$T$78,Selections!$P$6:$P$78,"2026-W43")=0,"n.a.",SUMIFS(Selections!$O$6:$O$78,Selections!$P$6:$P$78,"2026-W43")/SUMIFS(Selections!$T$6:$T$78,Selections!$P$6:$P$78,"2026-W43"))</f>
        <v>0.1494266943507332</v>
      </c>
      <c r="M48" s="20">
        <f>IF(SUMIFS(Selections!$T$6:$T$78,Selections!$P$6:$P$78,"2026-W43")=0,"n.a.",SUMIFS(Selections!$S$6:$S$78,Selections!$P$6:$P$78,"2026-W43")/SUMIFS(Selections!$T$6:$T$78,Selections!$P$6:$P$78,"2026-W43"))</f>
        <v>0.7230588008003089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0.7272727272727273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-0.004213926472418361</v>
      </c>
      <c r="P48" s="19">
        <f>SUMIFS(Selections!$T$6:$T$78,Selections!$P$6:$P$78,"2026-W43")</f>
        <v>33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20</v>
      </c>
      <c r="E9" s="20">
        <f>IF(D9=0,"n.a.",SUMIFS(Selections!$S$6:$S$78,Selections!$S$6:$S$78,"&gt;="&amp;B9,Selections!$S$6:$S$78,"&lt;"&amp;C9,Selections!$T$6:$T$78,1)/D9)</f>
        <v>0.7622108195869741</v>
      </c>
      <c r="F9" s="20">
        <f>IF(D9=0,"n.a.",SUMIFS(Selections!$L$6:$L$78,Selections!$S$6:$S$78,"&gt;="&amp;B9,Selections!$S$6:$S$78,"&lt;"&amp;C9,Selections!$T$6:$T$78,1)/D9)</f>
        <v>0.8</v>
      </c>
      <c r="G9" s="20">
        <f>IF(D9=0,"n.a.",E9-F9)</f>
        <v>-0.037789180413025925</v>
      </c>
      <c r="H9" s="21">
        <f>IF(D9=0,"n.a.",SUMIFS(Selections!$O$6:$O$78,Selections!$S$6:$S$78,"&gt;="&amp;B9,Selections!$S$6:$S$78,"&lt;"&amp;C9,Selections!$T$6:$T$78,1)/D9)</f>
        <v>0.1596593131633631</v>
      </c>
      <c r="I9" s="18" t="inlineStr">
        <is>
          <t>Collect more scored forecasts (n=20).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AWAITING_COUNT_RESULT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PENDING_KICKOFF_OR_FINAL_SCORE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0.9761904761904762</v>
      </c>
      <c r="H10" s="18" t="inlineStr">
        <is>
          <t>Approval review</t>
        </is>
      </c>
      <c r="I10" s="18" t="inlineStr">
        <is>
          <t>218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0.14285714285714285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0.9761904761904762</v>
      </c>
      <c r="H12" s="18" t="inlineStr">
        <is>
          <t>Approval review</t>
        </is>
      </c>
      <c r="I12" s="18" t="inlineStr">
        <is>
          <t>218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0.9761904761904762</v>
      </c>
      <c r="H13" s="18" t="inlineStr">
        <is>
          <t>Approval review</t>
        </is>
      </c>
      <c r="I13" s="18" t="inlineStr">
        <is>
          <t>218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33.0</v>
      </c>
      <c r="C8" s="19">
        <f>COUNTIFS(Selections!$P$6:$P$78,A8,Selections!$M$6:$M$78,"&gt;0")</f>
        <v>33.0</v>
      </c>
      <c r="D8" s="22">
        <f>IF(C8=0,"n.a.",Breakdowns!J48)</f>
        <v>0.5399999999999994</v>
      </c>
      <c r="E8" s="22">
        <f>IF(SUM($C$6:C8)=0,"n.a.",SUM($D$6:D8))</f>
        <v>3.3499999999999988</v>
      </c>
      <c r="F8" s="20">
        <f>Breakdowns!H48</f>
        <v>0.7272727272727273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3.3499999999999988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59</v>
      </c>
      <c r="C8" s="19">
        <v>45</v>
      </c>
      <c r="D8" s="19">
        <v>14</v>
      </c>
      <c r="E8" s="19">
        <v>14</v>
      </c>
      <c r="F8" s="20">
        <v>0.762712</v>
      </c>
      <c r="G8" s="20">
        <v>0.05678</v>
      </c>
      <c r="H8" s="19">
        <v>3.35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11</v>
      </c>
      <c r="E54" s="19">
        <v>8</v>
      </c>
      <c r="F54" s="20">
        <v>0.727273</v>
      </c>
      <c r="G54" s="20">
        <v>-0.006364</v>
      </c>
      <c r="H54" s="19">
        <v>-0.07</v>
      </c>
      <c r="I54" s="19">
        <v>5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2026-10-26T21:07:15.221661+00:00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8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2026-10-25</t>
        </is>
      </c>
      <c r="C12" s="19">
        <v>1998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2026-10-25</t>
        </is>
      </c>
      <c r="C13" s="19">
        <v>1751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7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5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4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37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119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62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80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100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22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34</v>
      </c>
      <c r="C35" s="19">
        <v>38</v>
      </c>
      <c r="D35" s="19">
        <v>1</v>
      </c>
      <c r="E35" s="20">
        <v>-0.02780450127606808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72</v>
      </c>
      <c r="D36" s="19">
        <v>1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46</v>
      </c>
      <c r="C37" s="19">
        <v>26</v>
      </c>
      <c r="D37" s="19">
        <v>1</v>
      </c>
      <c r="E37" s="20">
        <v>-0.030666655948099794</v>
      </c>
      <c r="F37" s="20">
        <v>0.014734308422460327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</v>
      </c>
    </row>
    <row r="49" ht="44" customHeight="1">
      <c r="A49" s="18" t="inlineStr">
        <is>
          <t>Bookmakers: Pinnacle</t>
        </is>
      </c>
      <c r="B49" s="19">
        <v>1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</v>
      </c>
    </row>
    <row r="52" ht="44" customHeight="1">
      <c r="A52" s="18" t="inlineStr">
        <is>
          <t>Upcoming kickoff count</t>
        </is>
      </c>
      <c r="B52" s="19">
        <v>0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39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39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35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11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32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32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53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53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11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11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1" ht="44" customHeight="1">
      <c r="A111" s="18" t="inlineStr">
        <is>
          <t>2026-10-26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4">
      <c r="A114" s="26" t="inlineStr">
        <is>
          <t>Dependency versions</t>
        </is>
      </c>
    </row>
    <row r="115" ht="34" customHeight="1">
      <c r="A115" s="24" t="inlineStr">
        <is>
          <t>Dependency</t>
        </is>
      </c>
      <c r="B115" s="24" t="inlineStr">
        <is>
          <t>Version</t>
        </is>
      </c>
    </row>
    <row r="116" ht="44" customHeight="1">
      <c r="A116" s="18" t="inlineStr">
        <is>
          <t>python</t>
        </is>
      </c>
      <c r="B116" s="18" t="inlineStr">
        <is>
          <t>3.12.15</t>
        </is>
      </c>
    </row>
    <row r="117" ht="44" customHeight="1">
      <c r="A117" s="18" t="inlineStr">
        <is>
          <t>numpy</t>
        </is>
      </c>
      <c r="B117" s="18" t="inlineStr">
        <is>
          <t>2.5.4</t>
        </is>
      </c>
    </row>
    <row r="118" ht="44" customHeight="1">
      <c r="A118" s="18" t="inlineStr">
        <is>
          <t>pandas</t>
        </is>
      </c>
      <c r="B118" s="18" t="inlineStr">
        <is>
          <t>3.1.0</t>
        </is>
      </c>
    </row>
    <row r="119" ht="44" customHeight="1">
      <c r="A119" s="18" t="inlineStr">
        <is>
          <t>scipy</t>
        </is>
      </c>
      <c r="B119" s="18" t="inlineStr">
        <is>
          <t>1.18.1</t>
        </is>
      </c>
    </row>
    <row r="120" ht="44" customHeight="1">
      <c r="A120" s="18" t="inlineStr">
        <is>
          <t>requests</t>
        </is>
      </c>
      <c r="B120" s="18" t="inlineStr">
        <is>
          <t>2.34.2</t>
        </is>
      </c>
    </row>
    <row r="121" ht="44" customHeight="1">
      <c r="A121" s="18" t="inlineStr">
        <is>
          <t>rapidfuzz</t>
        </is>
      </c>
      <c r="B121" s="18" t="inlineStr">
        <is>
          <t>3.14.6</t>
        </is>
      </c>
    </row>
    <row r="122" ht="44" customHeight="1">
      <c r="A122" s="18" t="inlineStr">
        <is>
          <t>python-dotenv</t>
        </is>
      </c>
      <c r="B122" s="18" t="inlineStr">
        <is>
          <t>1.2.4</t>
        </is>
      </c>
    </row>
    <row r="123" ht="44" customHeight="1">
      <c r="A123" s="18" t="inlineStr">
        <is>
          <t>coverage</t>
        </is>
      </c>
      <c r="B123" s="18" t="inlineStr">
        <is>
          <t>NOT_INSTALLED</t>
        </is>
      </c>
    </row>
    <row r="124" ht="44" customHeight="1">
      <c r="A124" s="18" t="inlineStr">
        <is>
          <t>PyYAML</t>
        </is>
      </c>
      <c r="B124" s="18" t="inlineStr">
        <is>
          <t>NOT_INSTALLED</t>
        </is>
      </c>
    </row>
    <row r="127">
      <c r="A127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4:F11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7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</sheetData>
  <autoFilter ref="A5:H58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2026-10-26T21:07:15.221661+00:00; 1376 candidates on 133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1376</v>
      </c>
      <c r="D9" s="19">
        <v>133</v>
      </c>
      <c r="E9" s="20">
        <v>-0.03274642082773921</v>
      </c>
      <c r="F9" s="20">
        <v>0.2754360465116279</v>
      </c>
      <c r="G9" s="22">
        <v>-11.713486798710084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824</v>
      </c>
      <c r="D11" s="19">
        <v>127</v>
      </c>
      <c r="E11" s="20">
        <v>0.007429215813202136</v>
      </c>
      <c r="F11" s="20">
        <v>0.529126213592233</v>
      </c>
      <c r="G11" s="22">
        <v>2.8392863246721123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133</v>
      </c>
      <c r="D15" s="18"/>
      <c r="E15" s="21">
        <v>-0.09782435117087487</v>
      </c>
      <c r="F15" s="20">
        <v>0.6015037593984962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310</v>
      </c>
      <c r="D20" s="19">
        <v>17</v>
      </c>
      <c r="E20" s="20">
        <v>-0.04052069632601771</v>
      </c>
      <c r="F20" s="20">
        <v>0.24193548387096775</v>
      </c>
      <c r="G20" s="22">
        <v>-20.70567520042048</v>
      </c>
      <c r="H20" s="20">
        <v>-0.0012033032040851546</v>
      </c>
      <c r="I20" s="19">
        <v>310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237</v>
      </c>
      <c r="D21" s="19">
        <v>99</v>
      </c>
      <c r="E21" s="20">
        <v>-0.02260227777420532</v>
      </c>
      <c r="F21" s="20">
        <v>0.4092827004219409</v>
      </c>
      <c r="G21" s="22">
        <v>-5.678347327104944</v>
      </c>
      <c r="H21" s="20">
        <v>0.03044222102562871</v>
      </c>
      <c r="I21" s="19">
        <v>178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215</v>
      </c>
      <c r="D22" s="19">
        <v>90</v>
      </c>
      <c r="E22" s="20">
        <v>-0.03899684659949059</v>
      </c>
      <c r="F22" s="20">
        <v>0.27906976744186046</v>
      </c>
      <c r="G22" s="22">
        <v>-8.370138471244983</v>
      </c>
      <c r="H22" s="20">
        <v>0.001119596501495756</v>
      </c>
      <c r="I22" s="19">
        <v>215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205</v>
      </c>
      <c r="D23" s="19">
        <v>79</v>
      </c>
      <c r="E23" s="20">
        <v>-0.030934312555478696</v>
      </c>
      <c r="F23" s="20">
        <v>0.13170731707317074</v>
      </c>
      <c r="G23" s="22">
        <v>-13.286302587052933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-7.159954322598129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-15.629925179977672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324</v>
      </c>
      <c r="D49" s="19">
        <v>39</v>
      </c>
      <c r="E49" s="20">
        <v>-0.03599651136288459</v>
      </c>
      <c r="F49" s="20">
        <v>0.23148148148148148</v>
      </c>
      <c r="G49" s="22">
        <v>-9.857767218943463</v>
      </c>
      <c r="H49" s="20">
        <v>0.004146594935900756</v>
      </c>
      <c r="I49" s="19">
        <v>213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284</v>
      </c>
      <c r="D50" s="19">
        <v>81</v>
      </c>
      <c r="E50" s="20">
        <v>-0.018509639822468844</v>
      </c>
      <c r="F50" s="20">
        <v>0.4225352112676056</v>
      </c>
      <c r="G50" s="22">
        <v>-2.153854465768168</v>
      </c>
      <c r="H50" s="20">
        <v>0.024021129767916805</v>
      </c>
      <c r="I50" s="19">
        <v>135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1312</v>
      </c>
      <c r="D56" s="19">
        <v>133</v>
      </c>
      <c r="E56" s="20">
        <v>-0.03297359748045886</v>
      </c>
      <c r="F56" s="20">
        <v>0.2774390243902439</v>
      </c>
      <c r="G56" s="22">
        <v>-11.214774646435504</v>
      </c>
      <c r="H56" s="20">
        <v>0.00762851924299777</v>
      </c>
      <c r="I56" s="19">
        <v>773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221</v>
      </c>
      <c r="D63" s="19">
        <v>17</v>
      </c>
      <c r="E63" s="20">
        <v>-0.033595887547028996</v>
      </c>
      <c r="F63" s="20">
        <v>0.248868778280543</v>
      </c>
      <c r="G63" s="22">
        <v>-8.03789509807613</v>
      </c>
      <c r="H63" s="20">
        <v>0.0034362920469933472</v>
      </c>
      <c r="I63" s="19">
        <v>137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-0.033305555712984866</v>
      </c>
      <c r="F65" s="20">
        <v>0.22167487684729065</v>
      </c>
      <c r="G65" s="22">
        <v>-4.17600968935532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