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5.0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-0.8700000000000001</v>
                </pt>
                <pt idx="2">
                  <v>-0.8700000000000001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  <c:pt idx="20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1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4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9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0.6666666666666666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-0.09666666666666668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-0.8700000000000001</v>
      </c>
      <c r="C14" s="18"/>
      <c r="D14" s="18" t="inlineStr">
        <is>
          <t>9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0.25053182411845815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IF(COUNT(Predictions!H6:H115)=0,"n.a.",AVERAGE(Predictions!H6:H115))</f>
        <v>0.6071428571428571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IF(COUNT(Predictions!I6:I115)=0,"n.a.",AVERAGE(Predictions!I6:I115))</f>
        <v>0.5850162907142857</v>
      </c>
      <c r="C17" s="18"/>
      <c r="D17" s="18" t="inlineStr">
        <is>
          <t>Over 1.5</t>
        </is>
      </c>
      <c r="E17" s="18">
        <f>COUNT(Predictions!J6:J115)</f>
        <v>28</v>
      </c>
      <c r="F17" s="20">
        <f>IF(E17=0,"n.a.",AVERAGE(Predictions!J6:J115))</f>
        <v>0.9285714285714286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0.35419734749908977</v>
      </c>
      <c r="C18" s="18"/>
      <c r="D18" s="18" t="inlineStr">
        <is>
          <t>Under 3.5</t>
        </is>
      </c>
      <c r="E18" s="18">
        <f>COUNT(Predictions!K6:K115)</f>
        <v>28</v>
      </c>
      <c r="F18" s="20">
        <f>IF(E18=0,"n.a.",AVERAGE(Predictions!K6:K115))</f>
        <v>0.5714285714285714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0.879418401317257</v>
      </c>
      <c r="C19" s="18"/>
      <c r="D19" s="18" t="inlineStr">
        <is>
          <t>BTTS Yes</t>
        </is>
      </c>
      <c r="E19" s="18">
        <f>COUNT(Predictions!L6:L115)</f>
        <v>28</v>
      </c>
      <c r="F19" s="20">
        <f>IF(E19=0,"n.a.",AVERAGE(Predictions!L6:L115))</f>
        <v>0.5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COUNT(Predictions!M6:M115)</f>
        <v>28</v>
      </c>
      <c r="F20" s="20">
        <f>IF(E20=0,"n.a.",AVERAGE(Predictions!M6:M115))</f>
        <v>0.5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6 wins from 9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2026-10-14T19:12:42.935797+00:00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2</v>
      </c>
      <c r="C36" s="18"/>
      <c r="D36" s="18" t="inlineStr">
        <is>
          <t>Run or check the forward review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18:20:17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PENDING_KICKOFF_OR_FINAL_SCORE</t>
        </is>
      </c>
      <c r="D21" s="22" t="str">
        <f>IF(ISNUMBER(Selections!M17),Selections!M17,"")</f>
        <v/>
      </c>
      <c r="E21" s="22" t="str">
        <f>IF(ISNUMBER(Selections!N17),Selections!N17,"")</f>
        <v/>
      </c>
      <c r="F21" s="22">
        <f>SUM($E$10:E21)</f>
        <v>-0.8700000000000001</v>
      </c>
      <c r="G21" s="22">
        <f>$B$4+F21</f>
        <v>99.13</v>
      </c>
      <c r="H21" s="22">
        <f>MAX($B$4,$G$10:G21)</f>
        <v>100</v>
      </c>
      <c r="I21" s="22">
        <f>H21-G21</f>
        <v>0.8700000000000045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PENDING_KICKOFF_OR_FINAL_SCORE</t>
        </is>
      </c>
      <c r="D22" s="22" t="str">
        <f>IF(ISNUMBER(Selections!M18),Selections!M18,"")</f>
        <v/>
      </c>
      <c r="E22" s="22" t="str">
        <f>IF(ISNUMBER(Selections!N18),Selections!N18,"")</f>
        <v/>
      </c>
      <c r="F22" s="22">
        <f>SUM($E$10:E22)</f>
        <v>-0.8700000000000001</v>
      </c>
      <c r="G22" s="22">
        <f>$B$4+F22</f>
        <v>99.13</v>
      </c>
      <c r="H22" s="22">
        <f>MAX($B$4,$G$10:G22)</f>
        <v>100</v>
      </c>
      <c r="I22" s="22">
        <f>H22-G22</f>
        <v>0.8700000000000045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-0.8700000000000001</v>
      </c>
      <c r="G23" s="22">
        <f>$B$4+F23</f>
        <v>99.13</v>
      </c>
      <c r="H23" s="22">
        <f>MAX($B$4,$G$10:G23)</f>
        <v>100</v>
      </c>
      <c r="I23" s="22">
        <f>H23-G23</f>
        <v>0.8700000000000045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-0.8700000000000001</v>
      </c>
      <c r="G24" s="22">
        <f>$B$4+F24</f>
        <v>99.13</v>
      </c>
      <c r="H24" s="22">
        <f>MAX($B$4,$G$10:G24)</f>
        <v>100</v>
      </c>
      <c r="I24" s="22">
        <f>H24-G24</f>
        <v>0.8700000000000045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-0.8700000000000001</v>
      </c>
      <c r="G25" s="22">
        <f>$B$4+F25</f>
        <v>99.13</v>
      </c>
      <c r="H25" s="22">
        <f>MAX($B$4,$G$10:G25)</f>
        <v>100</v>
      </c>
      <c r="I25" s="22">
        <f>H25-G25</f>
        <v>0.8700000000000045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-0.8700000000000001</v>
      </c>
      <c r="G26" s="22">
        <f>$B$4+F26</f>
        <v>99.13</v>
      </c>
      <c r="H26" s="22">
        <f>MAX($B$4,$G$10:G26)</f>
        <v>100</v>
      </c>
      <c r="I26" s="22">
        <f>H26-G26</f>
        <v>0.8700000000000045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-0.8700000000000001</v>
      </c>
      <c r="G27" s="22">
        <f>$B$4+F27</f>
        <v>99.13</v>
      </c>
      <c r="H27" s="22">
        <f>MAX($B$4,$G$10:G27)</f>
        <v>100</v>
      </c>
      <c r="I27" s="22">
        <f>H27-G27</f>
        <v>0.8700000000000045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-0.8700000000000001</v>
      </c>
      <c r="G28" s="22">
        <f>$B$4+F28</f>
        <v>99.13</v>
      </c>
      <c r="H28" s="22">
        <f>MAX($B$4,$G$10:G28)</f>
        <v>100</v>
      </c>
      <c r="I28" s="22">
        <f>H28-G28</f>
        <v>0.8700000000000045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-0.8700000000000001</v>
      </c>
      <c r="G29" s="22">
        <f>$B$4+F29</f>
        <v>99.13</v>
      </c>
      <c r="H29" s="22">
        <f>MAX($B$4,$G$10:G29)</f>
        <v>100</v>
      </c>
      <c r="I29" s="22">
        <f>H29-G29</f>
        <v>0.8700000000000045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-0.8700000000000001</v>
      </c>
      <c r="G30" s="22">
        <f>$B$4+F30</f>
        <v>99.13</v>
      </c>
      <c r="H30" s="22">
        <f>MAX($B$4,$G$10:G30)</f>
        <v>100</v>
      </c>
      <c r="I30" s="22">
        <f>H30-G30</f>
        <v>0.8700000000000045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9</v>
      </c>
      <c r="E6" s="19">
        <f>COUNTIFS(Selections!$K$6:$K$26,"WON")</f>
        <v>6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12</v>
      </c>
      <c r="H6" s="20">
        <f>IF((COUNTIFS(Selections!$K$6:$K$26,"WON")+COUNTIFS(Selections!$K$6:$K$26,"LOST"))=0,"n.a.",COUNTIFS(Selections!$K$6:$K$26,"WON")/(COUNTIFS(Selections!$K$6:$K$26,"WON")+COUNTIFS(Selections!$K$6:$K$26,"LOST")))</f>
        <v>0.6666666666666666</v>
      </c>
      <c r="I6" s="22">
        <f>SUM(Selections!$M$6:$M$26)</f>
        <v>9</v>
      </c>
      <c r="J6" s="22">
        <f>SUM(Selections!$N$6:$N$26)</f>
        <v>-0.8700000000000001</v>
      </c>
      <c r="K6" s="20">
        <f>IF(SUM(Selections!$M$6:$M$26)=0,"n.a.",SUM(Selections!$N$6:$N$26)/SUM(Selections!$M$6:$M$26))</f>
        <v>-0.09666666666666668</v>
      </c>
      <c r="L6" s="21">
        <f>IF(SUM(Selections!$T$6:$T$26)=0,"n.a.",SUM(Selections!$O$6:$O$26)/SUM(Selections!$T$6:$T$26))</f>
        <v>0.25053182411845815</v>
      </c>
      <c r="M6" s="20">
        <f>IF(SUM(Selections!$T$6:$T$26)=0,"n.a.",SUM(Selections!$S$6:$S$26)/SUM(Selections!$T$6:$T$26))</f>
        <v>0.8039940028539501</v>
      </c>
      <c r="N6" s="20">
        <f>IF(SUM(Selections!$T$6:$T$26)=0,"n.a.",(SUMIFS(Selections!$L$6:$L$26,Selections!$T$6:$T$26,1))/SUM(Selections!$T$6:$T$26))</f>
        <v>0.6666666666666666</v>
      </c>
      <c r="O6" s="20">
        <f>IF(SUM(Selections!$T$6:$T$26)=0,"n.a.",(SUM(Selections!$S$6:$S$26)-(SUMIFS(Selections!$L$6:$L$26,Selections!$T$6:$T$26,1)))/SUM(Selections!$T$6:$T$26))</f>
        <v>0.13732733618728343</v>
      </c>
      <c r="P6" s="19">
        <f>SUM(Selections!$T$6:$T$26)</f>
        <v>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4</v>
      </c>
      <c r="E7" s="19">
        <f>COUNTIFS(Selections!$F$6:$F$26,"STRICT",Selections!$K$6:$K$26,"WON")</f>
        <v>4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7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4</v>
      </c>
      <c r="J7" s="22">
        <f>SUMIFS(Selections!$N$6:$N$26,Selections!$F$6:$F$26,"STRICT")</f>
        <v>1.6099999999999999</v>
      </c>
      <c r="K7" s="20">
        <f>IF(SUMIFS(Selections!$M$6:$M$26,Selections!$F$6:$F$26,"STRICT")=0,"n.a.",SUMIFS(Selections!$N$6:$N$26,Selections!$F$6:$F$26,"STRICT")/SUMIFS(Selections!$M$6:$M$26,Selections!$F$6:$F$26,"STRICT"))</f>
        <v>0.40249999999999997</v>
      </c>
      <c r="L7" s="21">
        <f>IF(SUMIFS(Selections!$T$6:$T$26,Selections!$F$6:$F$26,"STRICT")=0,"n.a.",SUMIFS(Selections!$O$6:$O$26,Selections!$F$6:$F$26,"STRICT")/SUMIFS(Selections!$T$6:$T$26,Selections!$F$6:$F$26,"STRICT"))</f>
        <v>0.05954074059867185</v>
      </c>
      <c r="M7" s="20">
        <f>IF(SUMIFS(Selections!$T$6:$T$26,Selections!$F$6:$F$26,"STRICT")=0,"n.a.",SUMIFS(Selections!$S$6:$S$26,Selections!$F$6:$F$26,"STRICT")/SUMIFS(Selections!$T$6:$T$26,Selections!$F$6:$F$26,"STRICT"))</f>
        <v>0.7786491041410677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-0.2213508958589323</v>
      </c>
      <c r="P7" s="19">
        <f>SUMIFS(Selections!$T$6:$T$26,Selections!$F$6:$F$26,"STRICT")</f>
        <v>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2</v>
      </c>
      <c r="E12" s="19">
        <f>COUNTIFS(Selections!$C$6:$C$26,"UEFA Champions League",Selections!$K$6:$K$26,"WON")</f>
        <v>2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3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2</v>
      </c>
      <c r="J12" s="22">
        <f>SUMIFS(Selections!$N$6:$N$26,Selections!$C$6:$C$26,"UEFA Champions League")</f>
        <v>0.6399999999999999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0.31999999999999995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0.044846252190532905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0.8251595146393822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-0.1748404853606178</v>
      </c>
      <c r="P12" s="19">
        <f>SUMIFS(Selections!$T$6:$T$26,Selections!$C$6:$C$26,"UEFA Champions League")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1</v>
      </c>
      <c r="E15" s="19">
        <f>COUNTIFS(Selections!$E$6:$E$26,"Home win",Selections!$K$6:$K$26,"WON")</f>
        <v>1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3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1</v>
      </c>
      <c r="J15" s="22">
        <f>SUMIFS(Selections!$N$6:$N$26,Selections!$E$6:$E$26,"Home win")</f>
        <v>0.6299999999999999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0.6299999999999999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0.10094383319457502</v>
      </c>
      <c r="M15" s="20">
        <f>IF(SUMIFS(Selections!$T$6:$T$26,Selections!$E$6:$E$26,"Home win")=0,"n.a.",SUMIFS(Selections!$S$6:$S$26,Selections!$E$6:$E$26,"Home win")/SUMIFS(Selections!$T$6:$T$26,Selections!$E$6:$E$26,"Home win"))</f>
        <v>0.6822834074295536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-0.3177165925704464</v>
      </c>
      <c r="P15" s="19">
        <f>SUMIFS(Selections!$T$6:$T$26,Selections!$E$6:$E$26,"Home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3</v>
      </c>
      <c r="E16" s="19">
        <f>COUNTIFS(Selections!$E$6:$E$26,"Over 1.5",Selections!$K$6:$K$26,"WON")</f>
        <v>3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6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3</v>
      </c>
      <c r="J16" s="22">
        <f>SUMIFS(Selections!$N$6:$N$26,Selections!$E$6:$E$26,"Over 1.5")</f>
        <v>0.73</v>
      </c>
      <c r="K16" s="20">
        <f>IF(SUMIFS(Selections!$M$6:$M$26,Selections!$E$6:$E$26,"Over 1.5")=0,"n.a.",SUMIFS(Selections!$N$6:$N$26,Selections!$E$6:$E$26,"Over 1.5")/SUMIFS(Selections!$M$6:$M$26,Selections!$E$6:$E$26,"Over 1.5"))</f>
        <v>0.24333333333333332</v>
      </c>
      <c r="L16" s="21">
        <f>IF(SUMIFS(Selections!$T$6:$T$26,Selections!$E$6:$E$26,"Over 1.5")=0,"n.a.",SUMIFS(Selections!$O$6:$O$26,Selections!$E$6:$E$26,"Over 1.5")/SUMIFS(Selections!$T$6:$T$26,Selections!$E$6:$E$26,"Over 1.5"))</f>
        <v>0.020227084911165257</v>
      </c>
      <c r="M16" s="20">
        <f>IF(SUMIFS(Selections!$T$6:$T$26,Selections!$E$6:$E$26,"Over 1.5")=0,"n.a.",SUMIFS(Selections!$S$6:$S$26,Selections!$E$6:$E$26,"Over 1.5")/SUMIFS(Selections!$T$6:$T$26,Selections!$E$6:$E$26,"Over 1.5"))</f>
        <v>0.8753960821368366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-0.12460391786316338</v>
      </c>
      <c r="P16" s="19">
        <f>SUMIFS(Selections!$T$6:$T$26,Selections!$E$6:$E$26,"Over 1.5")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4</v>
      </c>
      <c r="E19" s="19">
        <f>COUNTIFS(Selections!$G$6:$G$26,"72h-ucl-v3",Selections!$K$6:$K$26,"WON")</f>
        <v>3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4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0.75</v>
      </c>
      <c r="I19" s="22">
        <f>SUMIFS(Selections!$M$6:$M$26,Selections!$G$6:$G$26,"72h-ucl-v3")</f>
        <v>4</v>
      </c>
      <c r="J19" s="22">
        <f>SUMIFS(Selections!$N$6:$N$26,Selections!$G$6:$G$26,"72h-ucl-v3")</f>
        <v>-0.020000000000000018</v>
      </c>
      <c r="K19" s="20">
        <f>IF(SUMIFS(Selections!$M$6:$M$26,Selections!$G$6:$G$26,"72h-ucl-v3")=0,"n.a.",SUMIFS(Selections!$N$6:$N$26,Selections!$G$6:$G$26,"72h-ucl-v3")/SUMIFS(Selections!$M$6:$M$26,Selections!$G$6:$G$26,"72h-ucl-v3"))</f>
        <v>-0.0050000000000000044</v>
      </c>
      <c r="L19" s="21">
        <f>IF(SUMIFS(Selections!$T$6:$T$26,Selections!$G$6:$G$26,"72h-ucl-v3")=0,"n.a.",SUMIFS(Selections!$O$6:$O$26,Selections!$G$6:$G$26,"72h-ucl-v3")/SUMIFS(Selections!$T$6:$T$26,Selections!$G$6:$G$26,"72h-ucl-v3"))</f>
        <v>0.17685702320972962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0.7968587073827849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0.75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0.04685870738278486</v>
      </c>
      <c r="P19" s="19">
        <f>SUMIFS(Selections!$T$6:$T$26,Selections!$G$6:$G$26,"72h-ucl-v3")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5</v>
      </c>
      <c r="E22" s="19">
        <f>COUNTIFS(Selections!$P$6:$P$26,"2026-W42",Selections!$K$6:$K$26,"WON")</f>
        <v>4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10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</v>
      </c>
      <c r="I22" s="22">
        <f>SUMIFS(Selections!$M$6:$M$26,Selections!$P$6:$P$26,"2026-W42")</f>
        <v>5</v>
      </c>
      <c r="J22" s="22">
        <f>SUMIFS(Selections!$N$6:$N$26,Selections!$P$6:$P$26,"2026-W42")</f>
        <v>0.6099999999999999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0.12199999999999997</v>
      </c>
      <c r="L22" s="21">
        <f>IF(SUMIFS(Selections!$T$6:$T$26,Selections!$P$6:$P$26,"2026-W42")=0,"n.a.",SUMIFS(Selections!$O$6:$O$26,Selections!$P$6:$P$26,"2026-W42")/SUMIFS(Selections!$T$6:$T$26,Selections!$P$6:$P$26,"2026-W42"))</f>
        <v>0.18766448976327427</v>
      </c>
      <c r="M22" s="20">
        <f>IF(SUMIFS(Selections!$T$6:$T$26,Selections!$P$6:$P$26,"2026-W42")=0,"n.a.",SUMIFS(Selections!$S$6:$S$26,Selections!$P$6:$P$26,"2026-W42")/SUMIFS(Selections!$T$6:$T$26,Selections!$P$6:$P$26,"2026-W42"))</f>
        <v>0.7902703498074164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-0.00972965019258365</v>
      </c>
      <c r="P22" s="19">
        <f>SUMIFS(Selections!$T$6:$T$26,Selections!$P$6:$P$26,"2026-W42")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1</v>
      </c>
      <c r="E8" s="20">
        <f>IF(D8=0,"n.a.",SUMIFS(Selections!$S$6:$S$26,Selections!$S$6:$S$26,"&gt;="&amp;B8,Selections!$S$6:$S$26,"&lt;"&amp;C8,Selections!$T$6:$T$26,1)/D8)</f>
        <v>0.6822834074295536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-0.3177165925704464</v>
      </c>
      <c r="H8" s="21">
        <f>IF(D8=0,"n.a.",SUMIFS(Selections!$O$6:$O$26,Selections!$S$6:$S$26,"&gt;="&amp;B8,Selections!$S$6:$S$26,"&lt;"&amp;C8,Selections!$T$6:$T$26,1)/D8)</f>
        <v>0.10094383319457502</v>
      </c>
      <c r="I8" s="18" t="inlineStr">
        <is>
          <t>Collect more scored forecasts (n=1).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1</v>
      </c>
      <c r="E11" s="20">
        <f>IF(D11=0,"n.a.",SUMIFS(Selections!$S$6:$S$26,Selections!$S$6:$S$26,"&gt;="&amp;B11,Selections!$S$6:$S$26,"&lt;"&amp;C11,Selections!$T$6:$T$26,1)/D11)</f>
        <v>0.9446461535133436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-0.05535384648665642</v>
      </c>
      <c r="H11" s="21">
        <f>IF(D11=0,"n.a.",SUMIFS(Selections!$O$6:$O$26,Selections!$S$6:$S$26,"&gt;="&amp;B11,Selections!$S$6:$S$26,"&lt;"&amp;C11,Selections!$T$6:$T$26,1)/D11)</f>
        <v>0.0030640483208683256</v>
      </c>
      <c r="I11" s="18" t="inlineStr">
        <is>
          <t>Collect more scored forecasts (n=1).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/>
      <c r="K17" s="18" t="inlineStr">
        <is>
          <t>PENDING_KICKOFF_OR_FINAL_SCORE</t>
        </is>
      </c>
      <c r="L17" s="18"/>
      <c r="M17" s="22" t="str">
        <f>IF(AND(ISNUMBER(L17),ISNUMBER(I17),I17&gt;1),'ROI Plan'!$B$5,"")</f>
        <v/>
      </c>
      <c r="N17" s="22" t="str">
        <f>IF(ISNUMBER(M17),M17*(I17*L17-1-U17),"")</f>
        <v/>
      </c>
      <c r="O17" s="21">
        <f>IF(AND(ISNUMBER(L17),ISNUMBER(H17)),(H17-L17)^2,"")</f>
      </c>
      <c r="P17" s="18" t="inlineStr">
        <is>
          <t>2026-W42</t>
        </is>
      </c>
      <c r="Q17" s="18" t="inlineStr">
        <is>
          <t>4f7af2f470a0b5cdb7b8ae974c859f87b0236fc4</t>
        </is>
      </c>
      <c r="R17" s="18"/>
      <c r="S17" s="20">
        <f>IF(AND(ISNUMBER(L17),ISNUMBER(H17)),H17,"")</f>
      </c>
      <c r="T17" s="19">
        <f>IF(AND(ISNUMBER(L17),ISNUMBER(H17)),1,0)</f>
        <v>0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/>
      <c r="K18" s="18" t="inlineStr">
        <is>
          <t>PENDING_KICKOFF_OR_FINAL_SCORE</t>
        </is>
      </c>
      <c r="L18" s="18"/>
      <c r="M18" s="22" t="str">
        <f>IF(AND(ISNUMBER(L18),ISNUMBER(I18),I18&gt;1),'ROI Plan'!$B$5,"")</f>
        <v/>
      </c>
      <c r="N18" s="22" t="str">
        <f>IF(ISNUMBER(M18),M18*(I18*L18-1-U18),"")</f>
        <v/>
      </c>
      <c r="O18" s="21">
        <f>IF(AND(ISNUMBER(L18),ISNUMBER(H18)),(H18-L18)^2,"")</f>
      </c>
      <c r="P18" s="18" t="inlineStr">
        <is>
          <t>2026-W42</t>
        </is>
      </c>
      <c r="Q18" s="18" t="inlineStr">
        <is>
          <t>4f7af2f470a0b5cdb7b8ae974c859f87b0236fc4</t>
        </is>
      </c>
      <c r="R18" s="18"/>
      <c r="S18" s="20">
        <f>IF(AND(ISNUMBER(L18),ISNUMBER(H18)),H18,"")</f>
      </c>
      <c r="T18" s="19">
        <f>IF(AND(ISNUMBER(L18),ISNUMBER(H18)),1,0)</f>
        <v>0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PENDING_KICKOFF_OR_FINAL_SCORE</t>
        </is>
      </c>
      <c r="G38" s="18"/>
      <c r="H38" s="18"/>
      <c r="I38" s="21"/>
      <c r="J38" s="18"/>
      <c r="K38" s="18"/>
      <c r="L38" s="18"/>
      <c r="M38" s="18"/>
      <c r="N38" s="18" t="inlineStr">
        <is>
          <t>2026-W42</t>
        </is>
      </c>
      <c r="O38" s="18" t="inlineStr">
        <is>
          <t>2fd31d33722311d8e0155bb5eca6b3a310ac938b</t>
        </is>
      </c>
      <c r="P38" s="18"/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PENDING_KICKOFF_OR_FINAL_SCORE</t>
        </is>
      </c>
      <c r="G39" s="18"/>
      <c r="H39" s="18"/>
      <c r="I39" s="21"/>
      <c r="J39" s="18"/>
      <c r="K39" s="18"/>
      <c r="L39" s="18"/>
      <c r="M39" s="18"/>
      <c r="N39" s="18" t="inlineStr">
        <is>
          <t>2026-W42</t>
        </is>
      </c>
      <c r="O39" s="18" t="inlineStr">
        <is>
          <t>2fd31d33722311d8e0155bb5eca6b3a310ac938b</t>
        </is>
      </c>
      <c r="P39" s="18"/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PENDING_KICKOFF_OR_FINAL_SCORE</t>
        </is>
      </c>
      <c r="G40" s="18"/>
      <c r="H40" s="18"/>
      <c r="I40" s="21"/>
      <c r="J40" s="18"/>
      <c r="K40" s="18"/>
      <c r="L40" s="18"/>
      <c r="M40" s="18"/>
      <c r="N40" s="18" t="inlineStr">
        <is>
          <t>2026-W42</t>
        </is>
      </c>
      <c r="O40" s="18" t="inlineStr">
        <is>
          <t>2fd31d33722311d8e0155bb5eca6b3a310ac938b</t>
        </is>
      </c>
      <c r="P40" s="18"/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PENDING_KICKOFF_OR_FINAL_SCORE</t>
        </is>
      </c>
      <c r="G41" s="18"/>
      <c r="H41" s="18"/>
      <c r="I41" s="21"/>
      <c r="J41" s="18"/>
      <c r="K41" s="18"/>
      <c r="L41" s="18"/>
      <c r="M41" s="18"/>
      <c r="N41" s="18" t="inlineStr">
        <is>
          <t>2026-W42</t>
        </is>
      </c>
      <c r="O41" s="18" t="inlineStr">
        <is>
          <t>2fd31d33722311d8e0155bb5eca6b3a310ac938b</t>
        </is>
      </c>
      <c r="P41" s="18"/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PENDING_KICKOFF_OR_FINAL_SCORE</t>
        </is>
      </c>
      <c r="G42" s="18"/>
      <c r="H42" s="18"/>
      <c r="I42" s="21"/>
      <c r="J42" s="18"/>
      <c r="K42" s="18"/>
      <c r="L42" s="18"/>
      <c r="M42" s="18"/>
      <c r="N42" s="18" t="inlineStr">
        <is>
          <t>2026-W42</t>
        </is>
      </c>
      <c r="O42" s="18" t="inlineStr">
        <is>
          <t>2fd31d33722311d8e0155bb5eca6b3a310ac938b</t>
        </is>
      </c>
      <c r="P42" s="18"/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PENDING_KICKOFF_OR_FINAL_SCORE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PENDING_KICKOFF_OR_FINAL_SCORE</t>
        </is>
      </c>
      <c r="G44" s="18"/>
      <c r="H44" s="18"/>
      <c r="I44" s="21"/>
      <c r="J44" s="18"/>
      <c r="K44" s="18"/>
      <c r="L44" s="18"/>
      <c r="M44" s="18"/>
      <c r="N44" s="18" t="inlineStr">
        <is>
          <t>2026-W42</t>
        </is>
      </c>
      <c r="O44" s="18" t="inlineStr">
        <is>
          <t>2fd31d33722311d8e0155bb5eca6b3a310ac938b</t>
        </is>
      </c>
      <c r="P44" s="18"/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La Liga|levante|ath bilbao|2026-10-21</t>
        </is>
      </c>
      <c r="B93" s="23">
        <v>46316.75</v>
      </c>
      <c r="C93" s="18" t="inlineStr">
        <is>
          <t>La Liga</t>
        </is>
      </c>
      <c r="D93" s="18" t="inlineStr">
        <is>
          <t>Levante vs Athletic Bilbao</t>
        </is>
      </c>
      <c r="E93" s="18" t="inlineStr">
        <is>
          <t>72h-ucl-v3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4f7af2f470a0b5cdb7b8ae974c859f87b0236fc4</t>
        </is>
      </c>
      <c r="P93" s="18"/>
      <c r="Q93" s="18"/>
      <c r="R93" s="18"/>
    </row>
    <row r="94" ht="36" customHeight="1">
      <c r="A94" s="18" t="inlineStr">
        <is>
          <t>Bundesliga|vfb stuttgart|m gladbach|2026-10-23</t>
        </is>
      </c>
      <c r="B94" s="23">
        <v>46318.770833333336</v>
      </c>
      <c r="C94" s="18" t="inlineStr">
        <is>
          <t>Bundesliga</t>
        </is>
      </c>
      <c r="D94" s="18" t="inlineStr">
        <is>
          <t>VfB Stuttgart vs Borussia Monchengladbach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d3f12df5a2a20809c3ac84f9a31766ba965813e3</t>
        </is>
      </c>
      <c r="P94" s="18"/>
      <c r="Q94" s="18"/>
      <c r="R94" s="18"/>
    </row>
    <row r="95" ht="36" customHeight="1">
      <c r="A95" s="18" t="inlineStr">
        <is>
          <t>Ligue 1|brest|nice|2026-10-23</t>
        </is>
      </c>
      <c r="B95" s="23">
        <v>46318.78125</v>
      </c>
      <c r="C95" s="18" t="inlineStr">
        <is>
          <t>Ligue 1</t>
        </is>
      </c>
      <c r="D95" s="18" t="inlineStr">
        <is>
          <t>Brest vs Nice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d3f12df5a2a20809c3ac84f9a31766ba965813e3</t>
        </is>
      </c>
      <c r="P95" s="18"/>
      <c r="Q95" s="18"/>
      <c r="R95" s="18"/>
    </row>
    <row r="96" ht="36" customHeight="1">
      <c r="A96" s="18" t="inlineStr">
        <is>
          <t>Serie A|torino|monza|2026-10-23</t>
        </is>
      </c>
      <c r="B96" s="23">
        <v>46318.78125</v>
      </c>
      <c r="C96" s="18" t="inlineStr">
        <is>
          <t>Serie A</t>
        </is>
      </c>
      <c r="D96" s="18" t="inlineStr">
        <is>
          <t>Torino vs Monza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d3f12df5a2a20809c3ac84f9a31766ba965813e3</t>
        </is>
      </c>
      <c r="P96" s="18"/>
      <c r="Q96" s="18"/>
      <c r="R96" s="18"/>
    </row>
    <row r="97" ht="36" customHeight="1">
      <c r="A97" s="18" t="inlineStr">
        <is>
          <t>La Liga|alaves|malaga|2026-10-23</t>
        </is>
      </c>
      <c r="B97" s="23">
        <v>46318.791666666664</v>
      </c>
      <c r="C97" s="18" t="inlineStr">
        <is>
          <t>La Liga</t>
        </is>
      </c>
      <c r="D97" s="18" t="inlineStr">
        <is>
          <t>Alavés vs Málaga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d3f12df5a2a20809c3ac84f9a31766ba965813e3</t>
        </is>
      </c>
      <c r="P97" s="18"/>
      <c r="Q97" s="18"/>
      <c r="R97" s="18"/>
    </row>
    <row r="98" ht="36" customHeight="1">
      <c r="A98" s="18" t="inlineStr">
        <is>
          <t>Premier League|ipswich town|nott m forest|2026-10-23</t>
        </is>
      </c>
      <c r="B98" s="23">
        <v>46318.791666666664</v>
      </c>
      <c r="C98" s="18" t="inlineStr">
        <is>
          <t>Premier League</t>
        </is>
      </c>
      <c r="D98" s="18" t="inlineStr">
        <is>
          <t>Ipswich Town vs Nottingham Forest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d3f12df5a2a20809c3ac84f9a31766ba965813e3</t>
        </is>
      </c>
      <c r="P98" s="18"/>
      <c r="Q98" s="18"/>
      <c r="R98" s="18"/>
    </row>
    <row r="99" ht="36" customHeight="1">
      <c r="A99" s="18" t="inlineStr">
        <is>
          <t>Premier League|aston villa|man city|2026-10-24</t>
        </is>
      </c>
      <c r="B99" s="23">
        <v>46319.479166666664</v>
      </c>
      <c r="C99" s="18" t="inlineStr">
        <is>
          <t>Premier League</t>
        </is>
      </c>
      <c r="D99" s="18" t="inlineStr">
        <is>
          <t>Aston Villa vs Manchester City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54bb8a2c2c957dda77ef247b3e042f6a945bda8f</t>
        </is>
      </c>
      <c r="P99" s="18"/>
      <c r="Q99" s="18"/>
      <c r="R99" s="18"/>
    </row>
    <row r="100" ht="36" customHeight="1">
      <c r="A100" s="18" t="inlineStr">
        <is>
          <t>La Liga|rayo vallecano|elche|2026-10-24</t>
        </is>
      </c>
      <c r="B100" s="23">
        <v>46319.5</v>
      </c>
      <c r="C100" s="18" t="inlineStr">
        <is>
          <t>La Liga</t>
        </is>
      </c>
      <c r="D100" s="18" t="inlineStr">
        <is>
          <t>Rayo Vallecano vs Elche CF</t>
        </is>
      </c>
      <c r="E100" s="18" t="inlineStr">
        <is>
          <t>72h-all-markets-net-ev15-execution-v7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54bb8a2c2c957dda77ef247b3e042f6a945bda8f</t>
        </is>
      </c>
      <c r="P100" s="18"/>
      <c r="Q100" s="18"/>
      <c r="R100" s="18"/>
    </row>
    <row r="101" ht="36" customHeight="1">
      <c r="A101" s="18" t="inlineStr">
        <is>
          <t>Serie A|cagliari|bologna|2026-10-24</t>
        </is>
      </c>
      <c r="B101" s="23">
        <v>46319.541666666664</v>
      </c>
      <c r="C101" s="18" t="inlineStr">
        <is>
          <t>Serie A</t>
        </is>
      </c>
      <c r="D101" s="18" t="inlineStr">
        <is>
          <t>Cagliari vs Bologna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54bb8a2c2c957dda77ef247b3e042f6a945bda8f</t>
        </is>
      </c>
      <c r="P101" s="18"/>
      <c r="Q101" s="18"/>
      <c r="R101" s="18"/>
    </row>
    <row r="102" ht="36" customHeight="1">
      <c r="A102" s="18" t="inlineStr">
        <is>
          <t>Serie A|como|sassuolo|2026-10-24</t>
        </is>
      </c>
      <c r="B102" s="23">
        <v>46319.541666666664</v>
      </c>
      <c r="C102" s="18" t="inlineStr">
        <is>
          <t>Serie A</t>
        </is>
      </c>
      <c r="D102" s="18" t="inlineStr">
        <is>
          <t>Como vs Sassuolo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54bb8a2c2c957dda77ef247b3e042f6a945bda8f</t>
        </is>
      </c>
      <c r="P102" s="18"/>
      <c r="Q102" s="18"/>
      <c r="R102" s="18"/>
    </row>
    <row r="103" ht="36" customHeight="1">
      <c r="A103" s="18" t="inlineStr">
        <is>
          <t>Bundesliga|1 koln|schalke|2026-10-24</t>
        </is>
      </c>
      <c r="B103" s="23">
        <v>46319.5625</v>
      </c>
      <c r="C103" s="18" t="inlineStr">
        <is>
          <t>Bundesliga</t>
        </is>
      </c>
      <c r="D103" s="18" t="inlineStr">
        <is>
          <t>1. FC Köln vs FC Schalke 04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54bb8a2c2c957dda77ef247b3e042f6a945bda8f</t>
        </is>
      </c>
      <c r="P103" s="18"/>
      <c r="Q103" s="18"/>
      <c r="R103" s="18"/>
    </row>
    <row r="104" ht="36" customHeight="1">
      <c r="A104" s="18" t="inlineStr">
        <is>
          <t>Bundesliga|augsburg|union berlin|2026-10-24</t>
        </is>
      </c>
      <c r="B104" s="23">
        <v>46319.5625</v>
      </c>
      <c r="C104" s="18" t="inlineStr">
        <is>
          <t>Bundesliga</t>
        </is>
      </c>
      <c r="D104" s="18" t="inlineStr">
        <is>
          <t>Augsburg vs Union Berlin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54bb8a2c2c957dda77ef247b3e042f6a945bda8f</t>
        </is>
      </c>
      <c r="P104" s="18"/>
      <c r="Q104" s="18"/>
      <c r="R104" s="18"/>
    </row>
    <row r="105" ht="36" customHeight="1">
      <c r="A105" s="18" t="inlineStr">
        <is>
          <t>Bundesliga|fsv mainz|werder bremen|2026-10-24</t>
        </is>
      </c>
      <c r="B105" s="23">
        <v>46319.5625</v>
      </c>
      <c r="C105" s="18" t="inlineStr">
        <is>
          <t>Bundesliga</t>
        </is>
      </c>
      <c r="D105" s="18" t="inlineStr">
        <is>
          <t>FSV Mainz 05 vs Werder Bremen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54bb8a2c2c957dda77ef247b3e042f6a945bda8f</t>
        </is>
      </c>
      <c r="P105" s="18"/>
      <c r="Q105" s="18"/>
      <c r="R105" s="18"/>
    </row>
    <row r="106" ht="36" customHeight="1">
      <c r="A106" s="18" t="inlineStr">
        <is>
          <t>Bundesliga|paderborn|hamburger|2026-10-24</t>
        </is>
      </c>
      <c r="B106" s="23">
        <v>46319.5625</v>
      </c>
      <c r="C106" s="18" t="inlineStr">
        <is>
          <t>Bundesliga</t>
        </is>
      </c>
      <c r="D106" s="18" t="inlineStr">
        <is>
          <t>SC Paderborn vs Hamburger SV</t>
        </is>
      </c>
      <c r="E106" s="18" t="inlineStr">
        <is>
          <t>72h-all-markets-net-ev15-execution-v7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54bb8a2c2c957dda77ef247b3e042f6a945bda8f</t>
        </is>
      </c>
      <c r="P106" s="18"/>
      <c r="Q106" s="18"/>
      <c r="R106" s="18"/>
    </row>
    <row r="107" ht="36" customHeight="1">
      <c r="A107" s="18" t="inlineStr">
        <is>
          <t>Bundesliga|rb leipzig|elversberg|2026-10-24</t>
        </is>
      </c>
      <c r="B107" s="23">
        <v>46319.5625</v>
      </c>
      <c r="C107" s="18" t="inlineStr">
        <is>
          <t>Bundesliga</t>
        </is>
      </c>
      <c r="D107" s="18" t="inlineStr">
        <is>
          <t>RB Leipzig vs Elversberg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54bb8a2c2c957dda77ef247b3e042f6a945bda8f</t>
        </is>
      </c>
      <c r="P107" s="18"/>
      <c r="Q107" s="18"/>
      <c r="R107" s="18"/>
    </row>
    <row r="108" ht="36" customHeight="1">
      <c r="A108" s="18" t="inlineStr">
        <is>
          <t>Premier League|arsenal|everton|2026-10-24</t>
        </is>
      </c>
      <c r="B108" s="23">
        <v>46319.583333333336</v>
      </c>
      <c r="C108" s="18" t="inlineStr">
        <is>
          <t>Premier League</t>
        </is>
      </c>
      <c r="D108" s="18" t="inlineStr">
        <is>
          <t>Arsenal vs Everton</t>
        </is>
      </c>
      <c r="E108" s="18" t="inlineStr">
        <is>
          <t>72h-all-markets-net-ev15-execution-v7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54bb8a2c2c957dda77ef247b3e042f6a945bda8f</t>
        </is>
      </c>
      <c r="P108" s="18"/>
      <c r="Q108" s="18"/>
      <c r="R108" s="18"/>
    </row>
    <row r="109" ht="36" customHeight="1">
      <c r="A109" s="18" t="inlineStr">
        <is>
          <t>Premier League|coventry city|fulham|2026-10-24</t>
        </is>
      </c>
      <c r="B109" s="23">
        <v>46319.583333333336</v>
      </c>
      <c r="C109" s="18" t="inlineStr">
        <is>
          <t>Premier League</t>
        </is>
      </c>
      <c r="D109" s="18" t="inlineStr">
        <is>
          <t>Coventry City vs Fulham</t>
        </is>
      </c>
      <c r="E109" s="18" t="inlineStr">
        <is>
          <t>72h-all-markets-net-ev15-execution-v7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54bb8a2c2c957dda77ef247b3e042f6a945bda8f</t>
        </is>
      </c>
      <c r="P109" s="18"/>
      <c r="Q109" s="18"/>
      <c r="R109" s="18"/>
    </row>
    <row r="110" ht="36" customHeight="1">
      <c r="A110" s="18" t="inlineStr">
        <is>
          <t>La Liga|real racing santander|espanyol|2026-10-24</t>
        </is>
      </c>
      <c r="B110" s="23">
        <v>46319.59375</v>
      </c>
      <c r="C110" s="18" t="inlineStr">
        <is>
          <t>La Liga</t>
        </is>
      </c>
      <c r="D110" s="18" t="inlineStr">
        <is>
          <t>Real Racing Club de Santander vs Espanyol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54bb8a2c2c957dda77ef247b3e042f6a945bda8f</t>
        </is>
      </c>
      <c r="P110" s="18"/>
      <c r="Q110" s="18"/>
      <c r="R110" s="18"/>
    </row>
    <row r="111" ht="36" customHeight="1">
      <c r="A111" s="18" t="inlineStr">
        <is>
          <t>Ligue 1|toulouse|troyes|2026-10-24</t>
        </is>
      </c>
      <c r="B111" s="23">
        <v>46319.635416666664</v>
      </c>
      <c r="C111" s="18" t="inlineStr">
        <is>
          <t>Ligue 1</t>
        </is>
      </c>
      <c r="D111" s="18" t="inlineStr">
        <is>
          <t>Toulouse vs Troyes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54bb8a2c2c957dda77ef247b3e042f6a945bda8f</t>
        </is>
      </c>
      <c r="P111" s="18"/>
      <c r="Q111" s="18"/>
      <c r="R111" s="18"/>
    </row>
    <row r="112" ht="36" customHeight="1">
      <c r="A112" s="18" t="inlineStr">
        <is>
          <t>Serie A|napoli|as roma|2026-10-24</t>
        </is>
      </c>
      <c r="B112" s="23">
        <v>46319.666666666664</v>
      </c>
      <c r="C112" s="18" t="inlineStr">
        <is>
          <t>Serie A</t>
        </is>
      </c>
      <c r="D112" s="18" t="inlineStr">
        <is>
          <t>Napoli vs AS Roma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54bb8a2c2c957dda77ef247b3e042f6a945bda8f</t>
        </is>
      </c>
      <c r="P112" s="18"/>
      <c r="Q112" s="18"/>
      <c r="R112" s="18"/>
    </row>
    <row r="113" ht="36" customHeight="1">
      <c r="A113" s="18" t="inlineStr">
        <is>
          <t>Bundesliga|borussia dortmund|eintracht frankfurt|2026-10-24</t>
        </is>
      </c>
      <c r="B113" s="23">
        <v>46319.6875</v>
      </c>
      <c r="C113" s="18" t="inlineStr">
        <is>
          <t>Bundesliga</t>
        </is>
      </c>
      <c r="D113" s="18" t="inlineStr">
        <is>
          <t>Borussia Dortmund vs Eintracht Frankfurt</t>
        </is>
      </c>
      <c r="E113" s="18" t="inlineStr">
        <is>
          <t>72h-all-markets-net-ev15-execution-v7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54bb8a2c2c957dda77ef247b3e042f6a945bda8f</t>
        </is>
      </c>
      <c r="P113" s="18"/>
      <c r="Q113" s="18"/>
      <c r="R113" s="18"/>
    </row>
    <row r="114" ht="36" customHeight="1">
      <c r="A114" s="18" t="inlineStr">
        <is>
          <t>La Liga|valencia|villarreal|2026-10-24</t>
        </is>
      </c>
      <c r="B114" s="23">
        <v>46319.6875</v>
      </c>
      <c r="C114" s="18" t="inlineStr">
        <is>
          <t>La Liga</t>
        </is>
      </c>
      <c r="D114" s="18" t="inlineStr">
        <is>
          <t>Valencia vs Villarreal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54bb8a2c2c957dda77ef247b3e042f6a945bda8f</t>
        </is>
      </c>
      <c r="P114" s="18"/>
      <c r="Q114" s="18"/>
      <c r="R114" s="18"/>
    </row>
    <row r="115" ht="36" customHeight="1">
      <c r="A115" s="18" t="inlineStr">
        <is>
          <t>Premier League|chelsea|tottenham|2026-10-24</t>
        </is>
      </c>
      <c r="B115" s="23">
        <v>46319.6875</v>
      </c>
      <c r="C115" s="18" t="inlineStr">
        <is>
          <t>Premier League</t>
        </is>
      </c>
      <c r="D115" s="18" t="inlineStr">
        <is>
          <t>Chelsea vs Tottenham Hotspur</t>
        </is>
      </c>
      <c r="E115" s="18" t="inlineStr">
        <is>
          <t>72h-all-markets-net-ev15-execution-v7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54bb8a2c2c957dda77ef247b3e042f6a945bda8f</t>
        </is>
      </c>
      <c r="P115" s="18"/>
      <c r="Q115" s="18"/>
      <c r="R11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30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20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10 more observations; 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12 more observations; 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1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29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9" t="inlineStr">
        <is>
          <t>Report unavailable or stale</t>
        </is>
      </c>
      <c r="C12" s="18" t="inlineStr">
        <is>
          <t>Unavailable</t>
        </is>
      </c>
      <c r="D12" s="18" t="inlineStr">
        <is>
          <t>Paired fixtures</t>
        </is>
      </c>
      <c r="E12" s="18" t="inlineStr">
        <is>
          <t>Unavailable</t>
        </is>
      </c>
      <c r="F12" s="18" t="inlineStr">
        <is>
          <t>? / ?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Regenerate the forward review; Review thresholds unavailable</t>
        </is>
      </c>
      <c r="J12" s="18" t="inlineStr">
        <is>
          <t>Initial review only</t>
        </is>
      </c>
    </row>
    <row r="13" ht="66" customHeight="1">
      <c r="A13" s="18" t="inlineStr">
        <is>
          <t>Fixed half-life (480 days)</t>
        </is>
      </c>
      <c r="B13" s="29" t="inlineStr">
        <is>
          <t>Report unavailable or stale</t>
        </is>
      </c>
      <c r="C13" s="18" t="inlineStr">
        <is>
          <t>Unavailable</t>
        </is>
      </c>
      <c r="D13" s="18" t="inlineStr">
        <is>
          <t>Paired fixtures</t>
        </is>
      </c>
      <c r="E13" s="18" t="inlineStr">
        <is>
          <t>Unavailable</t>
        </is>
      </c>
      <c r="F13" s="18" t="inlineStr">
        <is>
          <t>? / ?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Regenerate the forward review; Review thresholds unavailable</t>
        </is>
      </c>
      <c r="J13" s="18" t="inlineStr">
        <is>
          <t>Initial review only</t>
        </is>
      </c>
    </row>
    <row r="15">
      <c r="A15" s="27" t="inlineStr">
        <is>
          <t>The original four sidecars count observations, not necessarily independent fixtures. Do not add their sample counts together.</t>
        </is>
      </c>
    </row>
    <row r="16">
      <c r="A16" s="27" t="inlineStr">
        <is>
          <t>Coverage and time gates must also pass. Reaching a sample count alone does not make a candidate ready.</t>
        </is>
      </c>
    </row>
    <row r="18">
      <c r="A18" s="31" t="inlineStr">
        <is>
          <t>Back to dashboard</t>
        </is>
      </c>
    </row>
  </sheetData>
  <autoFilter ref="A5:J13"/>
  <mergeCells count="4">
    <mergeCell ref="A2:J2"/>
    <mergeCell ref="A4:J4"/>
    <mergeCell ref="A15:J15"/>
    <mergeCell ref="A16:J16"/>
  </mergeCells>
  <conditionalFormatting sqref="B6:B13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8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5.0</v>
      </c>
      <c r="C7" s="19">
        <f>COUNTIFS(Selections!$P$6:$P$26,A7,Selections!$M$6:$M$26,"&gt;0")</f>
        <v>5.0</v>
      </c>
      <c r="D7" s="22">
        <f>IF(C7=0,"n.a.",Breakdowns!J22)</f>
        <v>0.6099999999999999</v>
      </c>
      <c r="E7" s="22">
        <f>IF(SUM($C$6:C7)=0,"n.a.",SUM($D$6:D7))</f>
        <v>-0.8700000000000001</v>
      </c>
      <c r="F7" s="20">
        <f>Breakdowns!H22</f>
        <v>0.8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-0.8700000000000001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2026-10-14T19:12:42.935797+00:00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2026-10-13</t>
        </is>
      </c>
      <c r="C14" s="19">
        <v>530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8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8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5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5</v>
      </c>
    </row>
    <row r="32" ht="44" customHeight="1">
      <c r="A32" s="18" t="inlineStr">
        <is>
          <t>Bookmakers: 1xBet</t>
        </is>
      </c>
      <c r="B32" s="19">
        <v>5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9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9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5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4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3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Pinnacle totals anchor</t>
        </is>
      </c>
      <c r="B48" s="18" t="inlineStr">
        <is>
          <t>Captured</t>
        </is>
      </c>
      <c r="C48" s="19">
        <v>2</v>
      </c>
    </row>
    <row r="49" ht="44" customHeight="1">
      <c r="A49" s="18" t="inlineStr">
        <is>
          <t>Pinnacle totals anchor</t>
        </is>
      </c>
      <c r="B49" s="18" t="inlineStr">
        <is>
          <t>Legacy not recorded</t>
        </is>
      </c>
      <c r="C49" s="19">
        <v>21</v>
      </c>
    </row>
    <row r="50" ht="44" customHeight="1">
      <c r="A50" s="18" t="inlineStr">
        <is>
          <t>Stronger regularisation (L2=3)</t>
        </is>
      </c>
      <c r="B50" s="18" t="inlineStr">
        <is>
          <t>Legacy not recorded</t>
        </is>
      </c>
      <c r="C50" s="19">
        <v>23</v>
      </c>
    </row>
    <row r="51" ht="44" customHeight="1">
      <c r="A51" s="18" t="inlineStr">
        <is>
          <t>Fixed half-life (480 days)</t>
        </is>
      </c>
      <c r="B51" s="18" t="inlineStr">
        <is>
          <t>Legacy not recorded</t>
        </is>
      </c>
      <c r="C51" s="19">
        <v>23</v>
      </c>
    </row>
    <row r="54">
      <c r="A54" s="26" t="inlineStr">
        <is>
          <t>EV sensitivity results</t>
        </is>
      </c>
    </row>
    <row r="55" ht="34" customHeight="1">
      <c r="A55" s="24" t="inlineStr">
        <is>
          <t>EV floor</t>
        </is>
      </c>
      <c r="B55" s="24" t="inlineStr">
        <is>
          <t>Tier</t>
        </is>
      </c>
      <c r="C55" s="24" t="inlineStr">
        <is>
          <t>Selected</t>
        </is>
      </c>
      <c r="D55" s="24" t="inlineStr">
        <is>
          <t>Settled</t>
        </is>
      </c>
      <c r="E55" s="24" t="inlineStr">
        <is>
          <t>Simulated ROI</t>
        </is>
      </c>
      <c r="F55" s="24" t="inlineStr">
        <is>
          <t>Drawdown (units)</t>
        </is>
      </c>
    </row>
    <row r="56" ht="44" customHeight="1">
      <c r="A56" s="20">
        <v>0.015</v>
      </c>
      <c r="B56" s="18" t="inlineStr">
        <is>
          <t>ALL</t>
        </is>
      </c>
      <c r="C56" s="19">
        <v>7</v>
      </c>
      <c r="D56" s="19">
        <v>1</v>
      </c>
      <c r="E56" s="20">
        <v>0.17999999999999994</v>
      </c>
      <c r="F56" s="22">
        <v>0.0</v>
      </c>
    </row>
    <row r="57" ht="44" customHeight="1">
      <c r="A57" s="20">
        <v>0.015</v>
      </c>
      <c r="B57" s="18" t="inlineStr">
        <is>
          <t>STRICT</t>
        </is>
      </c>
      <c r="C57" s="19">
        <v>6</v>
      </c>
      <c r="D57" s="19">
        <v>1</v>
      </c>
      <c r="E57" s="20">
        <v>0.17999999999999994</v>
      </c>
      <c r="F57" s="22">
        <v>0.0</v>
      </c>
    </row>
    <row r="58" ht="44" customHeight="1">
      <c r="A58" s="20">
        <v>0.015</v>
      </c>
      <c r="B58" s="18" t="inlineStr">
        <is>
          <t>PROVISIONAL</t>
        </is>
      </c>
      <c r="C58" s="19">
        <v>1</v>
      </c>
      <c r="D58" s="19">
        <v>0</v>
      </c>
      <c r="E58" s="20"/>
      <c r="F58" s="22"/>
    </row>
    <row r="59" ht="44" customHeight="1">
      <c r="A59" s="20">
        <v>0.03</v>
      </c>
      <c r="B59" s="18" t="inlineStr">
        <is>
          <t>ALL</t>
        </is>
      </c>
      <c r="C59" s="19">
        <v>7</v>
      </c>
      <c r="D59" s="19">
        <v>1</v>
      </c>
      <c r="E59" s="20">
        <v>0.17999999999999994</v>
      </c>
      <c r="F59" s="22">
        <v>0.0</v>
      </c>
    </row>
    <row r="60" ht="44" customHeight="1">
      <c r="A60" s="20">
        <v>0.03</v>
      </c>
      <c r="B60" s="18" t="inlineStr">
        <is>
          <t>STRICT</t>
        </is>
      </c>
      <c r="C60" s="19">
        <v>6</v>
      </c>
      <c r="D60" s="19">
        <v>1</v>
      </c>
      <c r="E60" s="20">
        <v>0.17999999999999994</v>
      </c>
      <c r="F60" s="22">
        <v>0.0</v>
      </c>
    </row>
    <row r="61" ht="44" customHeight="1">
      <c r="A61" s="20">
        <v>0.03</v>
      </c>
      <c r="B61" s="18" t="inlineStr">
        <is>
          <t>PROVISIONAL</t>
        </is>
      </c>
      <c r="C61" s="19">
        <v>1</v>
      </c>
      <c r="D61" s="19">
        <v>0</v>
      </c>
      <c r="E61" s="20"/>
      <c r="F61" s="22"/>
    </row>
    <row r="62" ht="44" customHeight="1">
      <c r="A62" s="20">
        <v>0.05</v>
      </c>
      <c r="B62" s="18" t="inlineStr">
        <is>
          <t>ALL</t>
        </is>
      </c>
      <c r="C62" s="19">
        <v>6</v>
      </c>
      <c r="D62" s="19">
        <v>1</v>
      </c>
      <c r="E62" s="20">
        <v>0.17999999999999994</v>
      </c>
      <c r="F62" s="22">
        <v>0.0</v>
      </c>
    </row>
    <row r="63" ht="44" customHeight="1">
      <c r="A63" s="20">
        <v>0.05</v>
      </c>
      <c r="B63" s="18" t="inlineStr">
        <is>
          <t>STRICT</t>
        </is>
      </c>
      <c r="C63" s="19">
        <v>5</v>
      </c>
      <c r="D63" s="19">
        <v>1</v>
      </c>
      <c r="E63" s="20">
        <v>0.17999999999999994</v>
      </c>
      <c r="F63" s="22">
        <v>0.0</v>
      </c>
    </row>
    <row r="64" ht="44" customHeight="1">
      <c r="A64" s="20">
        <v>0.05</v>
      </c>
      <c r="B64" s="18" t="inlineStr">
        <is>
          <t>PROVISIONAL</t>
        </is>
      </c>
      <c r="C64" s="19">
        <v>1</v>
      </c>
      <c r="D64" s="19">
        <v>0</v>
      </c>
      <c r="E64" s="20"/>
      <c r="F64" s="22"/>
    </row>
    <row r="67">
      <c r="A67" s="26" t="inlineStr">
        <is>
          <t>Daily review observations</t>
        </is>
      </c>
    </row>
    <row r="68" ht="34" customHeight="1">
      <c r="A68" s="24" t="inlineStr">
        <is>
          <t>Review date</t>
        </is>
      </c>
      <c r="B68" s="24" t="inlineStr">
        <is>
          <t>Graded</t>
        </is>
      </c>
      <c r="C68" s="24" t="inlineStr">
        <is>
          <t>Win rate</t>
        </is>
      </c>
      <c r="D68" s="24" t="inlineStr">
        <is>
          <t>Simulated ROI</t>
        </is>
      </c>
      <c r="E68" s="24" t="inlineStr">
        <is>
          <t>Brier</t>
        </is>
      </c>
    </row>
    <row r="69" ht="44" customHeight="1">
      <c r="A69" s="18" t="inlineStr">
        <is>
          <t>2026-10-13</t>
        </is>
      </c>
      <c r="B69" s="19">
        <v>9</v>
      </c>
      <c r="C69" s="20">
        <v>0.666667</v>
      </c>
      <c r="D69" s="20">
        <v>-0.096667</v>
      </c>
      <c r="E69" s="21">
        <v>0.250532</v>
      </c>
    </row>
    <row r="70" ht="44" customHeight="1">
      <c r="A70" s="18" t="inlineStr">
        <is>
          <t>2026-10-14</t>
        </is>
      </c>
      <c r="B70" s="19">
        <v>9</v>
      </c>
      <c r="C70" s="20">
        <v>0.666667</v>
      </c>
      <c r="D70" s="20">
        <v>-0.096667</v>
      </c>
      <c r="E70" s="21">
        <v>0.250532</v>
      </c>
    </row>
    <row r="73">
      <c r="A73" s="26" t="inlineStr">
        <is>
          <t>Dependency versions</t>
        </is>
      </c>
    </row>
    <row r="74" ht="34" customHeight="1">
      <c r="A74" s="24" t="inlineStr">
        <is>
          <t>Dependency</t>
        </is>
      </c>
      <c r="B74" s="24" t="inlineStr">
        <is>
          <t>Version</t>
        </is>
      </c>
    </row>
    <row r="75" ht="44" customHeight="1">
      <c r="A75" s="18" t="inlineStr">
        <is>
          <t>python</t>
        </is>
      </c>
      <c r="B75" s="18" t="inlineStr">
        <is>
          <t>3.12.15</t>
        </is>
      </c>
    </row>
    <row r="76" ht="44" customHeight="1">
      <c r="A76" s="18" t="inlineStr">
        <is>
          <t>numpy</t>
        </is>
      </c>
      <c r="B76" s="18" t="inlineStr">
        <is>
          <t>2.5.4</t>
        </is>
      </c>
    </row>
    <row r="77" ht="44" customHeight="1">
      <c r="A77" s="18" t="inlineStr">
        <is>
          <t>pandas</t>
        </is>
      </c>
      <c r="B77" s="18" t="inlineStr">
        <is>
          <t>3.0.6</t>
        </is>
      </c>
    </row>
    <row r="78" ht="44" customHeight="1">
      <c r="A78" s="18" t="inlineStr">
        <is>
          <t>scipy</t>
        </is>
      </c>
      <c r="B78" s="18" t="inlineStr">
        <is>
          <t>1.18.1</t>
        </is>
      </c>
    </row>
    <row r="79" ht="44" customHeight="1">
      <c r="A79" s="18" t="inlineStr">
        <is>
          <t>requests</t>
        </is>
      </c>
      <c r="B79" s="18" t="inlineStr">
        <is>
          <t>2.34.2</t>
        </is>
      </c>
    </row>
    <row r="80" ht="44" customHeight="1">
      <c r="A80" s="18" t="inlineStr">
        <is>
          <t>python-dotenv</t>
        </is>
      </c>
      <c r="B80" s="18" t="inlineStr">
        <is>
          <t>1.2.4</t>
        </is>
      </c>
    </row>
    <row r="81" ht="44" customHeight="1">
      <c r="A81" s="18" t="inlineStr">
        <is>
          <t>coverage</t>
        </is>
      </c>
      <c r="B81" s="18" t="inlineStr">
        <is>
          <t>7.16.2</t>
        </is>
      </c>
    </row>
    <row r="82" ht="44" customHeight="1">
      <c r="A82" s="18" t="inlineStr">
        <is>
          <t>PyYAML</t>
        </is>
      </c>
      <c r="B82" s="18" t="inlineStr">
        <is>
          <t>6.0.3</t>
        </is>
      </c>
    </row>
    <row r="85">
      <c r="A85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4:F54"/>
    <mergeCell ref="A67:F67"/>
    <mergeCell ref="A73:F73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hyperlinks>
    <hyperlink ref="A85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</row>
  </sheetData>
  <autoFilter ref="A5:H28"/>
  <mergeCells count="2">
    <mergeCell ref="A2:H2"/>
    <mergeCell ref="A4:H4"/>
  </mergeCells>
</worksheet>
</file>