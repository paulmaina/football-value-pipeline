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Plan'!$A$10:$A$25</c:f>
              <c:strCache>
                <c:ptCount val="16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2026-10-17T14:00:00+00:00</c:v>
                </c:pt>
                <c:pt idx="11">
                  <c:v>2026-10-17T14:00:00+00:00</c:v>
                </c:pt>
                <c:pt idx="12">
                  <c:v>2026-10-18T12:00:00+00:00</c:v>
                </c:pt>
                <c:pt idx="13">
                  <c:v>2026-10-18T16:30:00+00:00</c:v>
                </c:pt>
                <c:pt idx="14">
                  <c:v>2026-10-18T19:00:00+00:00</c:v>
                </c:pt>
                <c:pt idx="15">
                  <c:v>2026-10-19T19:00:00+00:00</c:v>
                </c:pt>
              </c:strCache>
            </c:strRef>
          </c:cat>
          <c:val>
            <c:numRef>
              <c:f>'ROI Plan'!$F$10:$F$25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5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1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2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16</v>
      </c>
      <c r="C7" s="1"/>
      <c r="D7" s="1" t="str">
        <v>STRICT</v>
      </c>
      <c r="E7" s="12">
        <f>Breakdowns!D7</f>
        <v>0</v>
      </c>
      <c r="F7" s="13" t="str">
        <f>Breakdowns!H7</f>
        <v>n.a.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0</v>
      </c>
      <c r="C8" s="1"/>
      <c r="D8" s="1" t="str">
        <v>PROVISIONAL</v>
      </c>
      <c r="E8" s="12">
        <f>Breakdowns!D8</f>
        <v>0</v>
      </c>
      <c r="F8" s="13" t="str">
        <f>Breakdowns!H8</f>
        <v>n.a.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0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16</v>
      </c>
      <c r="C11" s="1"/>
      <c r="D11" s="1" t="str">
        <f>IF(B8=0,"Awaiting verified results",IF(B8&lt;30,"Early sample: continue forward testing","Review calibration and ROI by segment"))</f>
        <v>Awaiting verified results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 t="str">
        <f>Breakdowns!H6</f>
        <v>n.a.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 t="str">
        <f>Breakdowns!K6</f>
        <v>n.a.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0</v>
      </c>
      <c r="C14" s="1"/>
      <c r="D14" s="1" t="inlineStr">
        <is>
          <t>0 settled; 16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 t="str">
        <f>Breakdowns!L6</f>
        <v>n.a.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 t="str">
        <f>IF(COUNT(Predictions!H6:H92)=0,"n.a.",AVERAGE(Predictions!H6:H92))</f>
        <v>n.a.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 t="str">
        <f>IF(COUNT(Predictions!I6:I92)=0,"n.a.",AVERAGE(Predictions!I6:I92))</f>
        <v>n.a.</v>
      </c>
      <c r="C17" s="1"/>
      <c r="D17" s="1" t="inlineStr">
        <is>
          <t>Over 1.5</t>
        </is>
      </c>
      <c r="E17" s="1">
        <f>COUNT(Predictions!J6:J92)</f>
        <v>0</v>
      </c>
      <c r="F17" s="9" t="str">
        <f>IF(E17=0,"n.a.",AVERAGE(Predictions!J6:J92))</f>
        <v>n.a.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 t="str">
        <f>IF(B8=0,"n.a.",(B12+1.96^2/(2*B8)-1.96*SQRT(B12*(1-B12)/B8+1.96^2/(4*B8^2)))/(1+1.96^2/B8))</f>
        <v>n.a.</v>
      </c>
      <c r="C18" s="1"/>
      <c r="D18" s="1" t="inlineStr">
        <is>
          <t>Under 3.5</t>
        </is>
      </c>
      <c r="E18" s="1">
        <f>COUNT(Predictions!K6:K92)</f>
        <v>0</v>
      </c>
      <c r="F18" s="9" t="str">
        <f>IF(E18=0,"n.a.",AVERAGE(Predictions!K6:K92))</f>
        <v>n.a.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 t="str">
        <f>IF(B8=0,"n.a.",(B12+1.96^2/(2*B8)+1.96*SQRT(B12*(1-B12)/B8+1.96^2/(4*B8^2)))/(1+1.96^2/B8))</f>
        <v>n.a.</v>
      </c>
      <c r="C19" s="1"/>
      <c r="D19" s="1" t="inlineStr">
        <is>
          <t>BTTS Yes</t>
        </is>
      </c>
      <c r="E19" s="1">
        <f>COUNT(Predictions!L6:L92)</f>
        <v>0</v>
      </c>
      <c r="F19" s="9" t="str">
        <f>IF(E19=0,"n.a.",AVERAGE(Predictions!L6:L92))</f>
        <v>n.a.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COUNT(Predictions!M6:M92)</f>
        <v>0</v>
      </c>
      <c r="F20" s="9" t="str">
        <f>IF(E20=0,"n.a.",AVERAGE(Predictions!M6:M92))</f>
        <v>n.a.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No settled selections yet. Win rate and ROI are unavailable.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2026-10-11T14:13:08Z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PENDING_KICKOFF_OR_FINAL_SCORE</t>
        </is>
      </c>
      <c r="D11" s="10" t="str">
        <f>IF(ISNUMBER(Selections!M7),Selections!M7,"")</f>
        <v/>
      </c>
      <c r="E11" s="10" t="str">
        <f>IF(ISNUMBER(Selections!N7),Selections!N7,"")</f>
        <v/>
      </c>
      <c r="F11" s="10">
        <f>SUM($E$10:E11)</f>
        <v>0</v>
      </c>
      <c r="G11" s="10">
        <f>$B$4+F11</f>
        <v>100</v>
      </c>
      <c r="H11" s="10">
        <f>MAX($B$4,$G$10:G11)</f>
        <v>100</v>
      </c>
      <c r="I11" s="10">
        <f>H11-G11</f>
        <v>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PENDING_KICKOFF_OR_FINAL_SCORE</t>
        </is>
      </c>
      <c r="D12" s="10" t="str">
        <f>IF(ISNUMBER(Selections!M8),Selections!M8,"")</f>
        <v/>
      </c>
      <c r="E12" s="10" t="str">
        <f>IF(ISNUMBER(Selections!N8),Selections!N8,"")</f>
        <v/>
      </c>
      <c r="F12" s="10">
        <f>SUM($E$10:E12)</f>
        <v>0</v>
      </c>
      <c r="G12" s="10">
        <f>$B$4+F12</f>
        <v>100</v>
      </c>
      <c r="H12" s="10">
        <f>MAX($B$4,$G$10:G12)</f>
        <v>100</v>
      </c>
      <c r="I12" s="10">
        <f>H12-G12</f>
        <v>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PENDING_KICKOFF_OR_FINAL_SCORE</t>
        </is>
      </c>
      <c r="D13" s="10" t="str">
        <f>IF(ISNUMBER(Selections!M9),Selections!M9,"")</f>
        <v/>
      </c>
      <c r="E13" s="10" t="str">
        <f>IF(ISNUMBER(Selections!N9),Selections!N9,"")</f>
        <v/>
      </c>
      <c r="F13" s="10">
        <f>SUM($E$10:E13)</f>
        <v>0</v>
      </c>
      <c r="G13" s="10">
        <f>$B$4+F13</f>
        <v>100</v>
      </c>
      <c r="H13" s="10">
        <f>MAX($B$4,$G$10:G13)</f>
        <v>100</v>
      </c>
      <c r="I13" s="10">
        <f>H13-G13</f>
        <v>0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PENDING_KICKOFF_OR_FINAL_SCORE</t>
        </is>
      </c>
      <c r="D14" s="10" t="str">
        <f>IF(ISNUMBER(Selections!M10),Selections!M10,"")</f>
        <v/>
      </c>
      <c r="E14" s="10" t="str">
        <f>IF(ISNUMBER(Selections!N10),Selections!N10,"")</f>
        <v/>
      </c>
      <c r="F14" s="10">
        <f>SUM($E$10:E14)</f>
        <v>0</v>
      </c>
      <c r="G14" s="10">
        <f>$B$4+F14</f>
        <v>100</v>
      </c>
      <c r="H14" s="10">
        <f>MAX($B$4,$G$10:G14)</f>
        <v>100</v>
      </c>
      <c r="I14" s="10">
        <f>H14-G14</f>
        <v>0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PENDING_KICKOFF_OR_FINAL_SCORE</t>
        </is>
      </c>
      <c r="D15" s="10" t="str">
        <f>IF(ISNUMBER(Selections!M11),Selections!M11,"")</f>
        <v/>
      </c>
      <c r="E15" s="10" t="str">
        <f>IF(ISNUMBER(Selections!N11),Selections!N11,"")</f>
        <v/>
      </c>
      <c r="F15" s="10">
        <f>SUM($E$10:E15)</f>
        <v>0</v>
      </c>
      <c r="G15" s="10">
        <f>$B$4+F15</f>
        <v>100</v>
      </c>
      <c r="H15" s="10">
        <f>MAX($B$4,$G$10:G15)</f>
        <v>100</v>
      </c>
      <c r="I15" s="10">
        <f>H15-G15</f>
        <v>0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PENDING_KICKOFF_OR_FINAL_SCORE</t>
        </is>
      </c>
      <c r="D16" s="10" t="str">
        <f>IF(ISNUMBER(Selections!M12),Selections!M12,"")</f>
        <v/>
      </c>
      <c r="E16" s="10" t="str">
        <f>IF(ISNUMBER(Selections!N12),Selections!N12,"")</f>
        <v/>
      </c>
      <c r="F16" s="10">
        <f>SUM($E$10:E16)</f>
        <v>0</v>
      </c>
      <c r="G16" s="10">
        <f>$B$4+F16</f>
        <v>100</v>
      </c>
      <c r="H16" s="10">
        <f>MAX($B$4,$G$10:G16)</f>
        <v>100</v>
      </c>
      <c r="I16" s="10">
        <f>H16-G16</f>
        <v>0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PENDING_KICKOFF_OR_FINAL_SCORE</t>
        </is>
      </c>
      <c r="D17" s="10" t="str">
        <f>IF(ISNUMBER(Selections!M13),Selections!M13,"")</f>
        <v/>
      </c>
      <c r="E17" s="10" t="str">
        <f>IF(ISNUMBER(Selections!N13),Selections!N13,"")</f>
        <v/>
      </c>
      <c r="F17" s="10">
        <f>SUM($E$10:E17)</f>
        <v>0</v>
      </c>
      <c r="G17" s="10">
        <f>$B$4+F17</f>
        <v>100</v>
      </c>
      <c r="H17" s="10">
        <f>MAX($B$4,$G$10:G17)</f>
        <v>100</v>
      </c>
      <c r="I17" s="10">
        <f>H17-G17</f>
        <v>0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0</v>
      </c>
      <c r="G18" s="10">
        <f>$B$4+F18</f>
        <v>100</v>
      </c>
      <c r="H18" s="10">
        <f>MAX($B$4,$G$10:G18)</f>
        <v>100</v>
      </c>
      <c r="I18" s="10">
        <f>H18-G18</f>
        <v>0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0</v>
      </c>
      <c r="G19" s="10">
        <f>$B$4+F19</f>
        <v>100</v>
      </c>
      <c r="H19" s="10">
        <f>MAX($B$4,$G$10:G19)</f>
        <v>100</v>
      </c>
      <c r="I19" s="10">
        <f>H19-G19</f>
        <v>0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2026-10-17T14:00:00+00:00</t>
        </is>
      </c>
      <c r="B20" s="1" t="inlineStr">
        <is>
          <t>Fulham vs Hull City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0</v>
      </c>
      <c r="G20" s="10">
        <f>$B$4+F20</f>
        <v>100</v>
      </c>
      <c r="H20" s="10">
        <f>MAX($B$4,$G$10:G20)</f>
        <v>100</v>
      </c>
      <c r="I20" s="10">
        <f>H20-G20</f>
        <v>0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2026-10-17T14:00:00+00:00</t>
        </is>
      </c>
      <c r="B21" s="1" t="inlineStr">
        <is>
          <t>Manchester City vs Ipswich Town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0</v>
      </c>
      <c r="G21" s="10">
        <f>$B$4+F21</f>
        <v>100</v>
      </c>
      <c r="H21" s="10">
        <f>MAX($B$4,$G$10:G21)</f>
        <v>100</v>
      </c>
      <c r="I21" s="10">
        <f>H21-G21</f>
        <v>0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2026-10-18T12:00:00+00:00</t>
        </is>
      </c>
      <c r="B22" s="1" t="inlineStr">
        <is>
          <t>CA Osasuna vs Real Racing Club de Santander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0</v>
      </c>
      <c r="G22" s="10">
        <f>$B$4+F22</f>
        <v>100</v>
      </c>
      <c r="H22" s="10">
        <f>MAX($B$4,$G$10:G22)</f>
        <v>100</v>
      </c>
      <c r="I22" s="10">
        <f>H22-G22</f>
        <v>0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2026-10-18T16:30:00+00:00</t>
        </is>
      </c>
      <c r="B23" s="1" t="inlineStr">
        <is>
          <t>Málaga vs Real Sociedad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0</v>
      </c>
      <c r="G23" s="10">
        <f>$B$4+F23</f>
        <v>100</v>
      </c>
      <c r="H23" s="10">
        <f>MAX($B$4,$G$10:G23)</f>
        <v>100</v>
      </c>
      <c r="I23" s="10">
        <f>H23-G23</f>
        <v>0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2026-10-18T19:00:00+00:00</t>
        </is>
      </c>
      <c r="B24" s="1" t="inlineStr">
        <is>
          <t>Real Madrid vs Sevilla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0</v>
      </c>
      <c r="G24" s="10">
        <f>$B$4+F24</f>
        <v>100</v>
      </c>
      <c r="H24" s="10">
        <f>MAX($B$4,$G$10:G24)</f>
        <v>100</v>
      </c>
      <c r="I24" s="10">
        <f>H24-G24</f>
        <v>0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2026-10-19T19:00:00+00:00</t>
        </is>
      </c>
      <c r="B25" s="1" t="inlineStr">
        <is>
          <t>Tottenham Hotspur vs Coventry City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0</v>
      </c>
      <c r="G25" s="10">
        <f>$B$4+F25</f>
        <v>100</v>
      </c>
      <c r="H25" s="10">
        <f>MAX($B$4,$G$10:G25)</f>
        <v>100</v>
      </c>
      <c r="I25" s="10">
        <f>H25-G25</f>
        <v>0</v>
      </c>
      <c r="J25" s="1" t="inlineStr">
        <is>
          <t>2026-W43</t>
        </is>
      </c>
      <c r="K25" s="1"/>
      <c r="L25" s="1"/>
      <c r="M25" s="1"/>
      <c r="N25" s="1"/>
      <c r="O25" s="1"/>
      <c r="P25" s="1"/>
      <c r="Q25" s="1"/>
      <c r="R25" s="1"/>
    </row>
  </sheetData>
  <conditionalFormatting sqref="E10:E25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COUNTA(Selections!$A$6:$A$21)</f>
        <v>16</v>
      </c>
      <c r="D6" s="12">
        <f>(COUNTIFS(Selections!$K$6:$K$21,"WON")+COUNTIFS(Selections!$K$6:$K$21,"LOST"))</f>
        <v>0</v>
      </c>
      <c r="E6" s="12">
        <f>COUNTIFS(Selections!$K$6:$K$21,"WON")</f>
        <v>0</v>
      </c>
      <c r="F6" s="12">
        <f>COUNTIFS(Selections!$K$6:$K$21,"LOST")</f>
        <v>0</v>
      </c>
      <c r="G6" s="12">
        <f>COUNTA(Selections!$A$6:$A$21)-(COUNTIFS(Selections!$K$6:$K$21,"WON")+COUNTIFS(Selections!$K$6:$K$21,"LOST"))</f>
        <v>16</v>
      </c>
      <c r="H6" s="13" t="str">
        <f>IF((COUNTIFS(Selections!$K$6:$K$21,"WON")+COUNTIFS(Selections!$K$6:$K$21,"LOST"))=0,"n.a.",COUNTIFS(Selections!$K$6:$K$21,"WON")/(COUNTIFS(Selections!$K$6:$K$21,"WON")+COUNTIFS(Selections!$K$6:$K$21,"LOST")))</f>
        <v>n.a.</v>
      </c>
      <c r="I6" s="15">
        <f>SUM(Selections!$M$6:$M$21)</f>
        <v>0</v>
      </c>
      <c r="J6" s="15">
        <f>SUM(Selections!$N$6:$N$21)</f>
        <v>0</v>
      </c>
      <c r="K6" s="13" t="str">
        <f>IF(SUM(Selections!$M$6:$M$21)=0,"n.a.",SUM(Selections!$N$6:$N$21)/SUM(Selections!$M$6:$M$21))</f>
        <v>n.a.</v>
      </c>
      <c r="L6" s="14" t="str">
        <f>IF(SUM(Selections!$T$6:$T$21)=0,"n.a.",SUM(Selections!$O$6:$O$21)/SUM(Selections!$T$6:$T$21))</f>
        <v>n.a.</v>
      </c>
      <c r="M6" s="13" t="str">
        <f>IF(SUM(Selections!$T$6:$T$21)=0,"n.a.",SUM(Selections!$S$6:$S$21)/SUM(Selections!$T$6:$T$21))</f>
        <v>n.a.</v>
      </c>
      <c r="N6" s="13" t="str">
        <f>IF(SUM(Selections!$T$6:$T$21)=0,"n.a.",(SUMIFS(Selections!$L$6:$L$21,Selections!$T$6:$T$21,1))/SUM(Selections!$T$6:$T$21))</f>
        <v>n.a.</v>
      </c>
      <c r="O6" s="13" t="str">
        <f>IF(SUM(Selections!$T$6:$T$21)=0,"n.a.",(SUM(Selections!$S$6:$S$21)-(SUMIFS(Selections!$L$6:$L$21,Selections!$T$6:$T$21,1)))/SUM(Selections!$T$6:$T$21))</f>
        <v>n.a.</v>
      </c>
      <c r="P6" s="12">
        <f>SUM(Selections!$T$6:$T$21)</f>
        <v>0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(n=0).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COUNTIFS(Selections!$F$6:$F$21,"STRICT")</f>
        <v>6</v>
      </c>
      <c r="D7" s="12">
        <f>(COUNTIFS(Selections!$F$6:$F$21,"STRICT",Selections!$K$6:$K$21,"WON")+COUNTIFS(Selections!$F$6:$F$21,"STRICT",Selections!$K$6:$K$21,"LOST"))</f>
        <v>0</v>
      </c>
      <c r="E7" s="12">
        <f>COUNTIFS(Selections!$F$6:$F$21,"STRICT",Selections!$K$6:$K$21,"WON")</f>
        <v>0</v>
      </c>
      <c r="F7" s="12">
        <f>COUNTIFS(Selections!$F$6:$F$21,"STRICT",Selections!$K$6:$K$21,"LOST")</f>
        <v>0</v>
      </c>
      <c r="G7" s="12">
        <f>COUNTIFS(Selections!$F$6:$F$21,"STRICT")-(COUNTIFS(Selections!$F$6:$F$21,"STRICT",Selections!$K$6:$K$21,"WON")+COUNTIFS(Selections!$F$6:$F$21,"STRICT",Selections!$K$6:$K$21,"LOST"))</f>
        <v>6</v>
      </c>
      <c r="H7" s="13" t="str">
        <f>IF((COUNTIFS(Selections!$F$6:$F$21,"STRICT",Selections!$K$6:$K$21,"WON")+COUNTIFS(Selections!$F$6:$F$21,"STRICT",Selections!$K$6:$K$21,"LOST"))=0,"n.a.",COUNTIFS(Selections!$F$6:$F$21,"STRICT",Selections!$K$6:$K$21,"WON")/(COUNTIFS(Selections!$F$6:$F$21,"STRICT",Selections!$K$6:$K$21,"WON")+COUNTIFS(Selections!$F$6:$F$21,"STRICT",Selections!$K$6:$K$21,"LOST")))</f>
        <v>n.a.</v>
      </c>
      <c r="I7" s="15">
        <f>SUMIFS(Selections!$M$6:$M$21,Selections!$F$6:$F$21,"STRICT")</f>
        <v>0</v>
      </c>
      <c r="J7" s="15">
        <f>SUMIFS(Selections!$N$6:$N$21,Selections!$F$6:$F$21,"STRICT")</f>
        <v>0</v>
      </c>
      <c r="K7" s="13" t="str">
        <f>IF(SUMIFS(Selections!$M$6:$M$21,Selections!$F$6:$F$21,"STRICT")=0,"n.a.",SUMIFS(Selections!$N$6:$N$21,Selections!$F$6:$F$21,"STRICT")/SUMIFS(Selections!$M$6:$M$21,Selections!$F$6:$F$21,"STRICT"))</f>
        <v>n.a.</v>
      </c>
      <c r="L7" s="14" t="str">
        <f>IF(SUMIFS(Selections!$T$6:$T$21,Selections!$F$6:$F$21,"STRICT")=0,"n.a.",SUMIFS(Selections!$O$6:$O$21,Selections!$F$6:$F$21,"STRICT")/SUMIFS(Selections!$T$6:$T$21,Selections!$F$6:$F$21,"STRICT"))</f>
        <v>n.a.</v>
      </c>
      <c r="M7" s="13" t="str">
        <f>IF(SUMIFS(Selections!$T$6:$T$21,Selections!$F$6:$F$21,"STRICT")=0,"n.a.",SUMIFS(Selections!$S$6:$S$21,Selections!$F$6:$F$21,"STRICT")/SUMIFS(Selections!$T$6:$T$21,Selections!$F$6:$F$21,"STRICT"))</f>
        <v>n.a.</v>
      </c>
      <c r="N7" s="13" t="str">
        <f>IF(SUMIFS(Selections!$T$6:$T$21,Selections!$F$6:$F$21,"STRICT")=0,"n.a.",(SUMIFS(Selections!$L$6:$L$21,Selections!$F$6:$F$21,"STRICT",Selections!$T$6:$T$21,1))/SUMIFS(Selections!$T$6:$T$21,Selections!$F$6:$F$21,"STRICT"))</f>
        <v>n.a.</v>
      </c>
      <c r="O7" s="13" t="str">
        <f>IF(SUMIFS(Selections!$T$6:$T$21,Selections!$F$6:$F$21,"STRICT")=0,"n.a.",(SUMIFS(Selections!$S$6:$S$21,Selections!$F$6:$F$21,"STRICT")-(SUMIFS(Selections!$L$6:$L$21,Selections!$F$6:$F$21,"STRICT",Selections!$T$6:$T$21,1)))/SUMIFS(Selections!$T$6:$T$21,Selections!$F$6:$F$21,"STRICT"))</f>
        <v>n.a.</v>
      </c>
      <c r="P7" s="12">
        <f>SUMIFS(Selections!$T$6:$T$21,Selections!$F$6:$F$21,"STRICT")</f>
        <v>0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(n=0).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COUNTIFS(Selections!$F$6:$F$21,"PROVISIONAL")</f>
        <v>10</v>
      </c>
      <c r="D8" s="12">
        <f>(COUNTIFS(Selections!$F$6:$F$21,"PROVISIONAL",Selections!$K$6:$K$21,"WON")+COUNTIFS(Selections!$F$6:$F$21,"PROVISIONAL",Selections!$K$6:$K$21,"LOST"))</f>
        <v>0</v>
      </c>
      <c r="E8" s="12">
        <f>COUNTIFS(Selections!$F$6:$F$21,"PROVISIONAL",Selections!$K$6:$K$21,"WON")</f>
        <v>0</v>
      </c>
      <c r="F8" s="12">
        <f>COUNTIFS(Selections!$F$6:$F$21,"PROVISIONAL",Selections!$K$6:$K$21,"LOST")</f>
        <v>0</v>
      </c>
      <c r="G8" s="12">
        <f>COUNTIFS(Selections!$F$6:$F$21,"PROVISIONAL")-(COUNTIFS(Selections!$F$6:$F$21,"PROVISIONAL",Selections!$K$6:$K$21,"WON")+COUNTIFS(Selections!$F$6:$F$21,"PROVISIONAL",Selections!$K$6:$K$21,"LOST"))</f>
        <v>10</v>
      </c>
      <c r="H8" s="13" t="str">
        <f>IF((COUNTIFS(Selections!$F$6:$F$21,"PROVISIONAL",Selections!$K$6:$K$21,"WON")+COUNTIFS(Selections!$F$6:$F$21,"PROVISIONAL",Selections!$K$6:$K$21,"LOST"))=0,"n.a.",COUNTIFS(Selections!$F$6:$F$21,"PROVISIONAL",Selections!$K$6:$K$21,"WON")/(COUNTIFS(Selections!$F$6:$F$21,"PROVISIONAL",Selections!$K$6:$K$21,"WON")+COUNTIFS(Selections!$F$6:$F$21,"PROVISIONAL",Selections!$K$6:$K$21,"LOST")))</f>
        <v>n.a.</v>
      </c>
      <c r="I8" s="15">
        <f>SUMIFS(Selections!$M$6:$M$21,Selections!$F$6:$F$21,"PROVISIONAL")</f>
        <v>0</v>
      </c>
      <c r="J8" s="15">
        <f>SUMIFS(Selections!$N$6:$N$21,Selections!$F$6:$F$21,"PROVISIONAL")</f>
        <v>0</v>
      </c>
      <c r="K8" s="13" t="str">
        <f>IF(SUMIFS(Selections!$M$6:$M$21,Selections!$F$6:$F$21,"PROVISIONAL")=0,"n.a.",SUMIFS(Selections!$N$6:$N$21,Selections!$F$6:$F$21,"PROVISIONAL")/SUMIFS(Selections!$M$6:$M$21,Selections!$F$6:$F$21,"PROVISIONAL"))</f>
        <v>n.a.</v>
      </c>
      <c r="L8" s="14" t="str">
        <f>IF(SUMIFS(Selections!$T$6:$T$21,Selections!$F$6:$F$21,"PROVISIONAL")=0,"n.a.",SUMIFS(Selections!$O$6:$O$21,Selections!$F$6:$F$21,"PROVISIONAL")/SUMIFS(Selections!$T$6:$T$21,Selections!$F$6:$F$21,"PROVISIONAL"))</f>
        <v>n.a.</v>
      </c>
      <c r="M8" s="13" t="str">
        <f>IF(SUMIFS(Selections!$T$6:$T$21,Selections!$F$6:$F$21,"PROVISIONAL")=0,"n.a.",SUMIFS(Selections!$S$6:$S$21,Selections!$F$6:$F$21,"PROVISIONAL")/SUMIFS(Selections!$T$6:$T$21,Selections!$F$6:$F$21,"PROVISIONAL"))</f>
        <v>n.a.</v>
      </c>
      <c r="N8" s="13" t="str">
        <f>IF(SUMIFS(Selections!$T$6:$T$21,Selections!$F$6:$F$21,"PROVISIONAL")=0,"n.a.",(SUMIFS(Selections!$L$6:$L$21,Selections!$F$6:$F$21,"PROVISIONAL",Selections!$T$6:$T$21,1))/SUMIFS(Selections!$T$6:$T$21,Selections!$F$6:$F$21,"PROVISIONAL"))</f>
        <v>n.a.</v>
      </c>
      <c r="O8" s="13" t="str">
        <f>IF(SUMIFS(Selections!$T$6:$T$21,Selections!$F$6:$F$21,"PROVISIONAL")=0,"n.a.",(SUMIFS(Selections!$S$6:$S$21,Selections!$F$6:$F$21,"PROVISIONAL")-(SUMIFS(Selections!$L$6:$L$21,Selections!$F$6:$F$21,"PROVISIONAL",Selections!$T$6:$T$21,1)))/SUMIFS(Selections!$T$6:$T$21,Selections!$F$6:$F$21,"PROVISIONAL"))</f>
        <v>n.a.</v>
      </c>
      <c r="P8" s="12">
        <f>SUMIFS(Selections!$T$6:$T$21,Selections!$F$6:$F$21,"PROVISIONAL")</f>
        <v>0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(n=0).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COUNTIFS(Selections!$C$6:$C$21,"La Liga")</f>
        <v>6</v>
      </c>
      <c r="D9" s="12">
        <f>(COUNTIFS(Selections!$C$6:$C$21,"La Liga",Selections!$K$6:$K$21,"WON")+COUNTIFS(Selections!$C$6:$C$21,"La Liga",Selections!$K$6:$K$21,"LOST"))</f>
        <v>0</v>
      </c>
      <c r="E9" s="12">
        <f>COUNTIFS(Selections!$C$6:$C$21,"La Liga",Selections!$K$6:$K$21,"WON")</f>
        <v>0</v>
      </c>
      <c r="F9" s="12">
        <f>COUNTIFS(Selections!$C$6:$C$21,"La Liga",Selections!$K$6:$K$21,"LOST")</f>
        <v>0</v>
      </c>
      <c r="G9" s="12">
        <f>COUNTIFS(Selections!$C$6:$C$21,"La Liga")-(COUNTIFS(Selections!$C$6:$C$21,"La Liga",Selections!$K$6:$K$21,"WON")+COUNTIFS(Selections!$C$6:$C$21,"La Liga",Selections!$K$6:$K$21,"LOST"))</f>
        <v>6</v>
      </c>
      <c r="H9" s="13" t="str">
        <f>IF((COUNTIFS(Selections!$C$6:$C$21,"La Liga",Selections!$K$6:$K$21,"WON")+COUNTIFS(Selections!$C$6:$C$21,"La Liga",Selections!$K$6:$K$21,"LOST"))=0,"n.a.",COUNTIFS(Selections!$C$6:$C$21,"La Liga",Selections!$K$6:$K$21,"WON")/(COUNTIFS(Selections!$C$6:$C$21,"La Liga",Selections!$K$6:$K$21,"WON")+COUNTIFS(Selections!$C$6:$C$21,"La Liga",Selections!$K$6:$K$21,"LOST")))</f>
        <v>n.a.</v>
      </c>
      <c r="I9" s="15">
        <f>SUMIFS(Selections!$M$6:$M$21,Selections!$C$6:$C$21,"La Liga")</f>
        <v>0</v>
      </c>
      <c r="J9" s="15">
        <f>SUMIFS(Selections!$N$6:$N$21,Selections!$C$6:$C$21,"La Liga")</f>
        <v>0</v>
      </c>
      <c r="K9" s="13" t="str">
        <f>IF(SUMIFS(Selections!$M$6:$M$21,Selections!$C$6:$C$21,"La Liga")=0,"n.a.",SUMIFS(Selections!$N$6:$N$21,Selections!$C$6:$C$21,"La Liga")/SUMIFS(Selections!$M$6:$M$21,Selections!$C$6:$C$21,"La Liga"))</f>
        <v>n.a.</v>
      </c>
      <c r="L9" s="14" t="str">
        <f>IF(SUMIFS(Selections!$T$6:$T$21,Selections!$C$6:$C$21,"La Liga")=0,"n.a.",SUMIFS(Selections!$O$6:$O$21,Selections!$C$6:$C$21,"La Liga")/SUMIFS(Selections!$T$6:$T$21,Selections!$C$6:$C$21,"La Liga"))</f>
        <v>n.a.</v>
      </c>
      <c r="M9" s="13" t="str">
        <f>IF(SUMIFS(Selections!$T$6:$T$21,Selections!$C$6:$C$21,"La Liga")=0,"n.a.",SUMIFS(Selections!$S$6:$S$21,Selections!$C$6:$C$21,"La Liga")/SUMIFS(Selections!$T$6:$T$21,Selections!$C$6:$C$21,"La Liga"))</f>
        <v>n.a.</v>
      </c>
      <c r="N9" s="13" t="str">
        <f>IF(SUMIFS(Selections!$T$6:$T$21,Selections!$C$6:$C$21,"La Liga")=0,"n.a.",(SUMIFS(Selections!$L$6:$L$21,Selections!$C$6:$C$21,"La Liga",Selections!$T$6:$T$21,1))/SUMIFS(Selections!$T$6:$T$21,Selections!$C$6:$C$21,"La Liga"))</f>
        <v>n.a.</v>
      </c>
      <c r="O9" s="13" t="str">
        <f>IF(SUMIFS(Selections!$T$6:$T$21,Selections!$C$6:$C$21,"La Liga")=0,"n.a.",(SUMIFS(Selections!$S$6:$S$21,Selections!$C$6:$C$21,"La Liga")-(SUMIFS(Selections!$L$6:$L$21,Selections!$C$6:$C$21,"La Liga",Selections!$T$6:$T$21,1)))/SUMIFS(Selections!$T$6:$T$21,Selections!$C$6:$C$21,"La Liga"))</f>
        <v>n.a.</v>
      </c>
      <c r="P9" s="12">
        <f>SUMIFS(Selections!$T$6:$T$21,Selections!$C$6:$C$21,"La Liga")</f>
        <v>0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COUNTIFS(Selections!$C$6:$C$21,"Premier League")</f>
        <v>6</v>
      </c>
      <c r="D10" s="12">
        <f>(COUNTIFS(Selections!$C$6:$C$21,"Premier League",Selections!$K$6:$K$21,"WON")+COUNTIFS(Selections!$C$6:$C$21,"Premier League",Selections!$K$6:$K$21,"LOST"))</f>
        <v>0</v>
      </c>
      <c r="E10" s="12">
        <f>COUNTIFS(Selections!$C$6:$C$21,"Premier League",Selections!$K$6:$K$21,"WON")</f>
        <v>0</v>
      </c>
      <c r="F10" s="12">
        <f>COUNTIFS(Selections!$C$6:$C$21,"Premier League",Selections!$K$6:$K$21,"LOST")</f>
        <v>0</v>
      </c>
      <c r="G10" s="12">
        <f>COUNTIFS(Selections!$C$6:$C$21,"Premier League")-(COUNTIFS(Selections!$C$6:$C$21,"Premier League",Selections!$K$6:$K$21,"WON")+COUNTIFS(Selections!$C$6:$C$21,"Premier League",Selections!$K$6:$K$21,"LOST"))</f>
        <v>6</v>
      </c>
      <c r="H10" s="13" t="str">
        <f>IF((COUNTIFS(Selections!$C$6:$C$21,"Premier League",Selections!$K$6:$K$21,"WON")+COUNTIFS(Selections!$C$6:$C$21,"Premier League",Selections!$K$6:$K$21,"LOST"))=0,"n.a.",COUNTIFS(Selections!$C$6:$C$21,"Premier League",Selections!$K$6:$K$21,"WON")/(COUNTIFS(Selections!$C$6:$C$21,"Premier League",Selections!$K$6:$K$21,"WON")+COUNTIFS(Selections!$C$6:$C$21,"Premier League",Selections!$K$6:$K$21,"LOST")))</f>
        <v>n.a.</v>
      </c>
      <c r="I10" s="15">
        <f>SUMIFS(Selections!$M$6:$M$21,Selections!$C$6:$C$21,"Premier League")</f>
        <v>0</v>
      </c>
      <c r="J10" s="15">
        <f>SUMIFS(Selections!$N$6:$N$21,Selections!$C$6:$C$21,"Premier League")</f>
        <v>0</v>
      </c>
      <c r="K10" s="13" t="str">
        <f>IF(SUMIFS(Selections!$M$6:$M$21,Selections!$C$6:$C$21,"Premier League")=0,"n.a.",SUMIFS(Selections!$N$6:$N$21,Selections!$C$6:$C$21,"Premier League")/SUMIFS(Selections!$M$6:$M$21,Selections!$C$6:$C$21,"Premier League"))</f>
        <v>n.a.</v>
      </c>
      <c r="L10" s="14" t="str">
        <f>IF(SUMIFS(Selections!$T$6:$T$21,Selections!$C$6:$C$21,"Premier League")=0,"n.a.",SUMIFS(Selections!$O$6:$O$21,Selections!$C$6:$C$21,"Premier League")/SUMIFS(Selections!$T$6:$T$21,Selections!$C$6:$C$21,"Premier League"))</f>
        <v>n.a.</v>
      </c>
      <c r="M10" s="13" t="str">
        <f>IF(SUMIFS(Selections!$T$6:$T$21,Selections!$C$6:$C$21,"Premier League")=0,"n.a.",SUMIFS(Selections!$S$6:$S$21,Selections!$C$6:$C$21,"Premier League")/SUMIFS(Selections!$T$6:$T$21,Selections!$C$6:$C$21,"Premier League"))</f>
        <v>n.a.</v>
      </c>
      <c r="N10" s="13" t="str">
        <f>IF(SUMIFS(Selections!$T$6:$T$21,Selections!$C$6:$C$21,"Premier League")=0,"n.a.",(SUMIFS(Selections!$L$6:$L$21,Selections!$C$6:$C$21,"Premier League",Selections!$T$6:$T$21,1))/SUMIFS(Selections!$T$6:$T$21,Selections!$C$6:$C$21,"Premier League"))</f>
        <v>n.a.</v>
      </c>
      <c r="O10" s="13" t="str">
        <f>IF(SUMIFS(Selections!$T$6:$T$21,Selections!$C$6:$C$21,"Premier League")=0,"n.a.",(SUMIFS(Selections!$S$6:$S$21,Selections!$C$6:$C$21,"Premier League")-(SUMIFS(Selections!$L$6:$L$21,Selections!$C$6:$C$21,"Premier League",Selections!$T$6:$T$21,1)))/SUMIFS(Selections!$T$6:$T$21,Selections!$C$6:$C$21,"Premier League"))</f>
        <v>n.a.</v>
      </c>
      <c r="P10" s="12">
        <f>SUMIFS(Selections!$T$6:$T$21,Selections!$C$6:$C$21,"Premier League")</f>
        <v>0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COUNTIFS(Selections!$C$6:$C$21,"Serie A")</f>
        <v>2</v>
      </c>
      <c r="D11" s="12">
        <f>(COUNTIFS(Selections!$C$6:$C$21,"Serie A",Selections!$K$6:$K$21,"WON")+COUNTIFS(Selections!$C$6:$C$21,"Serie A",Selections!$K$6:$K$21,"LOST"))</f>
        <v>0</v>
      </c>
      <c r="E11" s="12">
        <f>COUNTIFS(Selections!$C$6:$C$21,"Serie A",Selections!$K$6:$K$21,"WON")</f>
        <v>0</v>
      </c>
      <c r="F11" s="12">
        <f>COUNTIFS(Selections!$C$6:$C$21,"Serie A",Selections!$K$6:$K$21,"LOST")</f>
        <v>0</v>
      </c>
      <c r="G11" s="12">
        <f>COUNTIFS(Selections!$C$6:$C$21,"Serie A")-(COUNTIFS(Selections!$C$6:$C$21,"Serie A",Selections!$K$6:$K$21,"WON")+COUNTIFS(Selections!$C$6:$C$21,"Serie A",Selections!$K$6:$K$21,"LOST"))</f>
        <v>2</v>
      </c>
      <c r="H11" s="13" t="str">
        <f>IF((COUNTIFS(Selections!$C$6:$C$21,"Serie A",Selections!$K$6:$K$21,"WON")+COUNTIFS(Selections!$C$6:$C$21,"Serie A",Selections!$K$6:$K$21,"LOST"))=0,"n.a.",COUNTIFS(Selections!$C$6:$C$21,"Serie A",Selections!$K$6:$K$21,"WON")/(COUNTIFS(Selections!$C$6:$C$21,"Serie A",Selections!$K$6:$K$21,"WON")+COUNTIFS(Selections!$C$6:$C$21,"Serie A",Selections!$K$6:$K$21,"LOST")))</f>
        <v>n.a.</v>
      </c>
      <c r="I11" s="15">
        <f>SUMIFS(Selections!$M$6:$M$21,Selections!$C$6:$C$21,"Serie A")</f>
        <v>0</v>
      </c>
      <c r="J11" s="15">
        <f>SUMIFS(Selections!$N$6:$N$21,Selections!$C$6:$C$21,"Serie A")</f>
        <v>0</v>
      </c>
      <c r="K11" s="13" t="str">
        <f>IF(SUMIFS(Selections!$M$6:$M$21,Selections!$C$6:$C$21,"Serie A")=0,"n.a.",SUMIFS(Selections!$N$6:$N$21,Selections!$C$6:$C$21,"Serie A")/SUMIFS(Selections!$M$6:$M$21,Selections!$C$6:$C$21,"Serie A"))</f>
        <v>n.a.</v>
      </c>
      <c r="L11" s="14" t="str">
        <f>IF(SUMIFS(Selections!$T$6:$T$21,Selections!$C$6:$C$21,"Serie A")=0,"n.a.",SUMIFS(Selections!$O$6:$O$21,Selections!$C$6:$C$21,"Serie A")/SUMIFS(Selections!$T$6:$T$21,Selections!$C$6:$C$21,"Serie A"))</f>
        <v>n.a.</v>
      </c>
      <c r="M11" s="13" t="str">
        <f>IF(SUMIFS(Selections!$T$6:$T$21,Selections!$C$6:$C$21,"Serie A")=0,"n.a.",SUMIFS(Selections!$S$6:$S$21,Selections!$C$6:$C$21,"Serie A")/SUMIFS(Selections!$T$6:$T$21,Selections!$C$6:$C$21,"Serie A"))</f>
        <v>n.a.</v>
      </c>
      <c r="N11" s="13" t="str">
        <f>IF(SUMIFS(Selections!$T$6:$T$21,Selections!$C$6:$C$21,"Serie A")=0,"n.a.",(SUMIFS(Selections!$L$6:$L$21,Selections!$C$6:$C$21,"Serie A",Selections!$T$6:$T$21,1))/SUMIFS(Selections!$T$6:$T$21,Selections!$C$6:$C$21,"Serie A"))</f>
        <v>n.a.</v>
      </c>
      <c r="O11" s="13" t="str">
        <f>IF(SUMIFS(Selections!$T$6:$T$21,Selections!$C$6:$C$21,"Serie A")=0,"n.a.",(SUMIFS(Selections!$S$6:$S$21,Selections!$C$6:$C$21,"Serie A")-(SUMIFS(Selections!$L$6:$L$21,Selections!$C$6:$C$21,"Serie A",Selections!$T$6:$T$21,1)))/SUMIFS(Selections!$T$6:$T$21,Selections!$C$6:$C$21,"Serie A"))</f>
        <v>n.a.</v>
      </c>
      <c r="P11" s="12">
        <f>SUMIFS(Selections!$T$6:$T$21,Selections!$C$6:$C$21,"Serie A")</f>
        <v>0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(n=0).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COUNTIFS(Selections!$C$6:$C$21,"UEFA Champions League")</f>
        <v>2</v>
      </c>
      <c r="D12" s="12">
        <f>(COUNTIFS(Selections!$C$6:$C$21,"UEFA Champions League",Selections!$K$6:$K$21,"WON")+COUNTIFS(Selections!$C$6:$C$21,"UEFA Champions League",Selections!$K$6:$K$21,"LOST"))</f>
        <v>0</v>
      </c>
      <c r="E12" s="12">
        <f>COUNTIFS(Selections!$C$6:$C$21,"UEFA Champions League",Selections!$K$6:$K$21,"WON")</f>
        <v>0</v>
      </c>
      <c r="F12" s="12">
        <f>COUNTIFS(Selections!$C$6:$C$21,"UEFA Champions League",Selections!$K$6:$K$21,"LOST")</f>
        <v>0</v>
      </c>
      <c r="G12" s="12">
        <f>COUNTIFS(Selections!$C$6:$C$21,"UEFA Champions League")-(COUNTIFS(Selections!$C$6:$C$21,"UEFA Champions League",Selections!$K$6:$K$21,"WON")+COUNTIFS(Selections!$C$6:$C$21,"UEFA Champions League",Selections!$K$6:$K$21,"LOST"))</f>
        <v>2</v>
      </c>
      <c r="H12" s="13" t="str">
        <f>IF((COUNTIFS(Selections!$C$6:$C$21,"UEFA Champions League",Selections!$K$6:$K$21,"WON")+COUNTIFS(Selections!$C$6:$C$21,"UEFA Champions League",Selections!$K$6:$K$21,"LOST"))=0,"n.a.",COUNTIFS(Selections!$C$6:$C$21,"UEFA Champions League",Selections!$K$6:$K$21,"WON")/(COUNTIFS(Selections!$C$6:$C$21,"UEFA Champions League",Selections!$K$6:$K$21,"WON")+COUNTIFS(Selections!$C$6:$C$21,"UEFA Champions League",Selections!$K$6:$K$21,"LOST")))</f>
        <v>n.a.</v>
      </c>
      <c r="I12" s="15">
        <f>SUMIFS(Selections!$M$6:$M$21,Selections!$C$6:$C$21,"UEFA Champions League")</f>
        <v>0</v>
      </c>
      <c r="J12" s="15">
        <f>SUMIFS(Selections!$N$6:$N$21,Selections!$C$6:$C$21,"UEFA Champions League")</f>
        <v>0</v>
      </c>
      <c r="K12" s="13" t="str">
        <f>IF(SUMIFS(Selections!$M$6:$M$21,Selections!$C$6:$C$21,"UEFA Champions League")=0,"n.a.",SUMIFS(Selections!$N$6:$N$21,Selections!$C$6:$C$21,"UEFA Champions League")/SUMIFS(Selections!$M$6:$M$21,Selections!$C$6:$C$21,"UEFA Champions League"))</f>
        <v>n.a.</v>
      </c>
      <c r="L12" s="14" t="str">
        <f>IF(SUMIFS(Selections!$T$6:$T$21,Selections!$C$6:$C$21,"UEFA Champions League")=0,"n.a.",SUMIFS(Selections!$O$6:$O$21,Selections!$C$6:$C$21,"UEFA Champions League")/SUMIFS(Selections!$T$6:$T$21,Selections!$C$6:$C$21,"UEFA Champions League"))</f>
        <v>n.a.</v>
      </c>
      <c r="M12" s="13" t="str">
        <f>IF(SUMIFS(Selections!$T$6:$T$21,Selections!$C$6:$C$21,"UEFA Champions League")=0,"n.a.",SUMIFS(Selections!$S$6:$S$21,Selections!$C$6:$C$21,"UEFA Champions League")/SUMIFS(Selections!$T$6:$T$21,Selections!$C$6:$C$21,"UEFA Champions League"))</f>
        <v>n.a.</v>
      </c>
      <c r="N12" s="13" t="str">
        <f>IF(SUMIFS(Selections!$T$6:$T$21,Selections!$C$6:$C$21,"UEFA Champions League")=0,"n.a.",(SUMIFS(Selections!$L$6:$L$21,Selections!$C$6:$C$21,"UEFA Champions League",Selections!$T$6:$T$21,1))/SUMIFS(Selections!$T$6:$T$21,Selections!$C$6:$C$21,"UEFA Champions League"))</f>
        <v>n.a.</v>
      </c>
      <c r="O12" s="13" t="str">
        <f>IF(SUMIFS(Selections!$T$6:$T$21,Selections!$C$6:$C$21,"UEFA Champions League")=0,"n.a.",(SUMIFS(Selections!$S$6:$S$21,Selections!$C$6:$C$21,"UEFA Champions League")-(SUMIFS(Selections!$L$6:$L$21,Selections!$C$6:$C$21,"UEFA Champions League",Selections!$T$6:$T$21,1)))/SUMIFS(Selections!$T$6:$T$21,Selections!$C$6:$C$21,"UEFA Champions League"))</f>
        <v>n.a.</v>
      </c>
      <c r="P12" s="12">
        <f>SUMIFS(Selections!$T$6:$T$21,Selections!$C$6:$C$21,"UEFA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COUNTIFS(Selections!$E$6:$E$21,"Both Teams to Score - Yes")</f>
        <v>1</v>
      </c>
      <c r="D13" s="12">
        <f>(COUNTIFS(Selections!$E$6:$E$21,"Both Teams to Score - Yes",Selections!$K$6:$K$21,"WON")+COUNTIFS(Selections!$E$6:$E$21,"Both Teams to Score - Yes",Selections!$K$6:$K$21,"LOST"))</f>
        <v>0</v>
      </c>
      <c r="E13" s="12">
        <f>COUNTIFS(Selections!$E$6:$E$21,"Both Teams to Score - Yes",Selections!$K$6:$K$21,"WON")</f>
        <v>0</v>
      </c>
      <c r="F13" s="12">
        <f>COUNTIFS(Selections!$E$6:$E$21,"Both Teams to Score - Yes",Selections!$K$6:$K$21,"LOST")</f>
        <v>0</v>
      </c>
      <c r="G13" s="12">
        <f>COUNTIFS(Selections!$E$6:$E$21,"Both Teams to Score - Yes")-(COUNTIFS(Selections!$E$6:$E$21,"Both Teams to Score - Yes",Selections!$K$6:$K$21,"WON")+COUNTIFS(Selections!$E$6:$E$21,"Both Teams to Score - Yes",Selections!$K$6:$K$21,"LOST"))</f>
        <v>1</v>
      </c>
      <c r="H13" s="13" t="str">
        <f>IF((COUNTIFS(Selections!$E$6:$E$21,"Both Teams to Score - Yes",Selections!$K$6:$K$21,"WON")+COUNTIFS(Selections!$E$6:$E$21,"Both Teams to Score - Yes",Selections!$K$6:$K$21,"LOST"))=0,"n.a.",COUNTIFS(Selections!$E$6:$E$21,"Both Teams to Score - Yes",Selections!$K$6:$K$21,"WON")/(COUNTIFS(Selections!$E$6:$E$21,"Both Teams to Score - Yes",Selections!$K$6:$K$21,"WON")+COUNTIFS(Selections!$E$6:$E$21,"Both Teams to Score - Yes",Selections!$K$6:$K$21,"LOST")))</f>
        <v>n.a.</v>
      </c>
      <c r="I13" s="15">
        <f>SUMIFS(Selections!$M$6:$M$21,Selections!$E$6:$E$21,"Both Teams to Score - Yes")</f>
        <v>0</v>
      </c>
      <c r="J13" s="15">
        <f>SUMIFS(Selections!$N$6:$N$21,Selections!$E$6:$E$21,"Both Teams to Score - Yes")</f>
        <v>0</v>
      </c>
      <c r="K13" s="13" t="str">
        <f>IF(SUMIFS(Selections!$M$6:$M$21,Selections!$E$6:$E$21,"Both Teams to Score - Yes")=0,"n.a.",SUMIFS(Selections!$N$6:$N$21,Selections!$E$6:$E$21,"Both Teams to Score - Yes")/SUMIFS(Selections!$M$6:$M$21,Selections!$E$6:$E$21,"Both Teams to Score - Yes"))</f>
        <v>n.a.</v>
      </c>
      <c r="L13" s="14" t="str">
        <f>IF(SUMIFS(Selections!$T$6:$T$21,Selections!$E$6:$E$21,"Both Teams to Score - Yes")=0,"n.a.",SUMIFS(Selections!$O$6:$O$21,Selections!$E$6:$E$21,"Both Teams to Score - Yes")/SUMIFS(Selections!$T$6:$T$21,Selections!$E$6:$E$21,"Both Teams to Score - Yes"))</f>
        <v>n.a.</v>
      </c>
      <c r="M13" s="13" t="str">
        <f>IF(SUMIFS(Selections!$T$6:$T$21,Selections!$E$6:$E$21,"Both Teams to Score - Yes")=0,"n.a.",SUMIFS(Selections!$S$6:$S$21,Selections!$E$6:$E$21,"Both Teams to Score - Yes")/SUMIFS(Selections!$T$6:$T$21,Selections!$E$6:$E$21,"Both Teams to Score - Yes"))</f>
        <v>n.a.</v>
      </c>
      <c r="N13" s="13" t="str">
        <f>IF(SUMIFS(Selections!$T$6:$T$21,Selections!$E$6:$E$21,"Both Teams to Score - Yes")=0,"n.a.",(SUMIFS(Selections!$L$6:$L$21,Selections!$E$6:$E$21,"Both Teams to Score - Yes",Selections!$T$6:$T$21,1))/SUMIFS(Selections!$T$6:$T$21,Selections!$E$6:$E$21,"Both Teams to Score - Yes"))</f>
        <v>n.a.</v>
      </c>
      <c r="O13" s="13" t="str">
        <f>IF(SUMIFS(Selections!$T$6:$T$21,Selections!$E$6:$E$21,"Both Teams to Score - Yes")=0,"n.a.",(SUMIFS(Selections!$S$6:$S$21,Selections!$E$6:$E$21,"Both Teams to Score - Yes")-(SUMIFS(Selections!$L$6:$L$21,Selections!$E$6:$E$21,"Both Teams to Score - Yes",Selections!$T$6:$T$21,1)))/SUMIFS(Selections!$T$6:$T$21,Selections!$E$6:$E$21,"Both Teams to Score - Yes"))</f>
        <v>n.a.</v>
      </c>
      <c r="P13" s="12">
        <f>SUMIFS(Selections!$T$6:$T$21,Selections!$E$6:$E$21,"Both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COUNTIFS(Selections!$E$6:$E$21,"Home win")</f>
        <v>3</v>
      </c>
      <c r="D14" s="12">
        <f>(COUNTIFS(Selections!$E$6:$E$21,"Home win",Selections!$K$6:$K$21,"WON")+COUNTIFS(Selections!$E$6:$E$21,"Home win",Selections!$K$6:$K$21,"LOST"))</f>
        <v>0</v>
      </c>
      <c r="E14" s="12">
        <f>COUNTIFS(Selections!$E$6:$E$21,"Home win",Selections!$K$6:$K$21,"WON")</f>
        <v>0</v>
      </c>
      <c r="F14" s="12">
        <f>COUNTIFS(Selections!$E$6:$E$21,"Home win",Selections!$K$6:$K$21,"LOST")</f>
        <v>0</v>
      </c>
      <c r="G14" s="12">
        <f>COUNTIFS(Selections!$E$6:$E$21,"Home win")-(COUNTIFS(Selections!$E$6:$E$21,"Home win",Selections!$K$6:$K$21,"WON")+COUNTIFS(Selections!$E$6:$E$21,"Home win",Selections!$K$6:$K$21,"LOST"))</f>
        <v>3</v>
      </c>
      <c r="H14" s="13" t="str">
        <f>IF((COUNTIFS(Selections!$E$6:$E$21,"Home win",Selections!$K$6:$K$21,"WON")+COUNTIFS(Selections!$E$6:$E$21,"Home win",Selections!$K$6:$K$21,"LOST"))=0,"n.a.",COUNTIFS(Selections!$E$6:$E$21,"Home win",Selections!$K$6:$K$21,"WON")/(COUNTIFS(Selections!$E$6:$E$21,"Home win",Selections!$K$6:$K$21,"WON")+COUNTIFS(Selections!$E$6:$E$21,"Home win",Selections!$K$6:$K$21,"LOST")))</f>
        <v>n.a.</v>
      </c>
      <c r="I14" s="15">
        <f>SUMIFS(Selections!$M$6:$M$21,Selections!$E$6:$E$21,"Home win")</f>
        <v>0</v>
      </c>
      <c r="J14" s="15">
        <f>SUMIFS(Selections!$N$6:$N$21,Selections!$E$6:$E$21,"Home win")</f>
        <v>0</v>
      </c>
      <c r="K14" s="13" t="str">
        <f>IF(SUMIFS(Selections!$M$6:$M$21,Selections!$E$6:$E$21,"Home win")=0,"n.a.",SUMIFS(Selections!$N$6:$N$21,Selections!$E$6:$E$21,"Home win")/SUMIFS(Selections!$M$6:$M$21,Selections!$E$6:$E$21,"Home win"))</f>
        <v>n.a.</v>
      </c>
      <c r="L14" s="14" t="str">
        <f>IF(SUMIFS(Selections!$T$6:$T$21,Selections!$E$6:$E$21,"Home win")=0,"n.a.",SUMIFS(Selections!$O$6:$O$21,Selections!$E$6:$E$21,"Home win")/SUMIFS(Selections!$T$6:$T$21,Selections!$E$6:$E$21,"Home win"))</f>
        <v>n.a.</v>
      </c>
      <c r="M14" s="13" t="str">
        <f>IF(SUMIFS(Selections!$T$6:$T$21,Selections!$E$6:$E$21,"Home win")=0,"n.a.",SUMIFS(Selections!$S$6:$S$21,Selections!$E$6:$E$21,"Home win")/SUMIFS(Selections!$T$6:$T$21,Selections!$E$6:$E$21,"Home win"))</f>
        <v>n.a.</v>
      </c>
      <c r="N14" s="13" t="str">
        <f>IF(SUMIFS(Selections!$T$6:$T$21,Selections!$E$6:$E$21,"Home win")=0,"n.a.",(SUMIFS(Selections!$L$6:$L$21,Selections!$E$6:$E$21,"Home win",Selections!$T$6:$T$21,1))/SUMIFS(Selections!$T$6:$T$21,Selections!$E$6:$E$21,"Home win"))</f>
        <v>n.a.</v>
      </c>
      <c r="O14" s="13" t="str">
        <f>IF(SUMIFS(Selections!$T$6:$T$21,Selections!$E$6:$E$21,"Home win")=0,"n.a.",(SUMIFS(Selections!$S$6:$S$21,Selections!$E$6:$E$21,"Home win")-(SUMIFS(Selections!$L$6:$L$21,Selections!$E$6:$E$21,"Home win",Selections!$T$6:$T$21,1)))/SUMIFS(Selections!$T$6:$T$21,Selections!$E$6:$E$21,"Home win"))</f>
        <v>n.a.</v>
      </c>
      <c r="P14" s="12">
        <f>SUMIFS(Selections!$T$6:$T$21,Selections!$E$6:$E$21,"Home win")</f>
        <v>0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COUNTIFS(Selections!$E$6:$E$21,"Over 1.5")</f>
        <v>6</v>
      </c>
      <c r="D15" s="12">
        <f>(COUNTIFS(Selections!$E$6:$E$21,"Over 1.5",Selections!$K$6:$K$21,"WON")+COUNTIFS(Selections!$E$6:$E$21,"Over 1.5",Selections!$K$6:$K$21,"LOST"))</f>
        <v>0</v>
      </c>
      <c r="E15" s="12">
        <f>COUNTIFS(Selections!$E$6:$E$21,"Over 1.5",Selections!$K$6:$K$21,"WON")</f>
        <v>0</v>
      </c>
      <c r="F15" s="12">
        <f>COUNTIFS(Selections!$E$6:$E$21,"Over 1.5",Selections!$K$6:$K$21,"LOST")</f>
        <v>0</v>
      </c>
      <c r="G15" s="12">
        <f>COUNTIFS(Selections!$E$6:$E$21,"Over 1.5")-(COUNTIFS(Selections!$E$6:$E$21,"Over 1.5",Selections!$K$6:$K$21,"WON")+COUNTIFS(Selections!$E$6:$E$21,"Over 1.5",Selections!$K$6:$K$21,"LOST"))</f>
        <v>6</v>
      </c>
      <c r="H15" s="13" t="str">
        <f>IF((COUNTIFS(Selections!$E$6:$E$21,"Over 1.5",Selections!$K$6:$K$21,"WON")+COUNTIFS(Selections!$E$6:$E$21,"Over 1.5",Selections!$K$6:$K$21,"LOST"))=0,"n.a.",COUNTIFS(Selections!$E$6:$E$21,"Over 1.5",Selections!$K$6:$K$21,"WON")/(COUNTIFS(Selections!$E$6:$E$21,"Over 1.5",Selections!$K$6:$K$21,"WON")+COUNTIFS(Selections!$E$6:$E$21,"Over 1.5",Selections!$K$6:$K$21,"LOST")))</f>
        <v>n.a.</v>
      </c>
      <c r="I15" s="15">
        <f>SUMIFS(Selections!$M$6:$M$21,Selections!$E$6:$E$21,"Over 1.5")</f>
        <v>0</v>
      </c>
      <c r="J15" s="15">
        <f>SUMIFS(Selections!$N$6:$N$21,Selections!$E$6:$E$21,"Over 1.5")</f>
        <v>0</v>
      </c>
      <c r="K15" s="13" t="str">
        <f>IF(SUMIFS(Selections!$M$6:$M$21,Selections!$E$6:$E$21,"Over 1.5")=0,"n.a.",SUMIFS(Selections!$N$6:$N$21,Selections!$E$6:$E$21,"Over 1.5")/SUMIFS(Selections!$M$6:$M$21,Selections!$E$6:$E$21,"Over 1.5"))</f>
        <v>n.a.</v>
      </c>
      <c r="L15" s="14" t="str">
        <f>IF(SUMIFS(Selections!$T$6:$T$21,Selections!$E$6:$E$21,"Over 1.5")=0,"n.a.",SUMIFS(Selections!$O$6:$O$21,Selections!$E$6:$E$21,"Over 1.5")/SUMIFS(Selections!$T$6:$T$21,Selections!$E$6:$E$21,"Over 1.5"))</f>
        <v>n.a.</v>
      </c>
      <c r="M15" s="13" t="str">
        <f>IF(SUMIFS(Selections!$T$6:$T$21,Selections!$E$6:$E$21,"Over 1.5")=0,"n.a.",SUMIFS(Selections!$S$6:$S$21,Selections!$E$6:$E$21,"Over 1.5")/SUMIFS(Selections!$T$6:$T$21,Selections!$E$6:$E$21,"Over 1.5"))</f>
        <v>n.a.</v>
      </c>
      <c r="N15" s="13" t="str">
        <f>IF(SUMIFS(Selections!$T$6:$T$21,Selections!$E$6:$E$21,"Over 1.5")=0,"n.a.",(SUMIFS(Selections!$L$6:$L$21,Selections!$E$6:$E$21,"Over 1.5",Selections!$T$6:$T$21,1))/SUMIFS(Selections!$T$6:$T$21,Selections!$E$6:$E$21,"Over 1.5"))</f>
        <v>n.a.</v>
      </c>
      <c r="O15" s="13" t="str">
        <f>IF(SUMIFS(Selections!$T$6:$T$21,Selections!$E$6:$E$21,"Over 1.5")=0,"n.a.",(SUMIFS(Selections!$S$6:$S$21,Selections!$E$6:$E$21,"Over 1.5")-(SUMIFS(Selections!$L$6:$L$21,Selections!$E$6:$E$21,"Over 1.5",Selections!$T$6:$T$21,1)))/SUMIFS(Selections!$T$6:$T$21,Selections!$E$6:$E$21,"Over 1.5"))</f>
        <v>n.a.</v>
      </c>
      <c r="P15" s="12">
        <f>SUMIFS(Selections!$T$6:$T$21,Selections!$E$6:$E$21,"Over 1.5")</f>
        <v>0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COUNTIFS(Selections!$E$6:$E$21,"Under 3.5")</f>
        <v>6</v>
      </c>
      <c r="D16" s="12">
        <f>(COUNTIFS(Selections!$E$6:$E$21,"Under 3.5",Selections!$K$6:$K$21,"WON")+COUNTIFS(Selections!$E$6:$E$21,"Under 3.5",Selections!$K$6:$K$21,"LOST"))</f>
        <v>0</v>
      </c>
      <c r="E16" s="12">
        <f>COUNTIFS(Selections!$E$6:$E$21,"Under 3.5",Selections!$K$6:$K$21,"WON")</f>
        <v>0</v>
      </c>
      <c r="F16" s="12">
        <f>COUNTIFS(Selections!$E$6:$E$21,"Under 3.5",Selections!$K$6:$K$21,"LOST")</f>
        <v>0</v>
      </c>
      <c r="G16" s="12">
        <f>COUNTIFS(Selections!$E$6:$E$21,"Under 3.5")-(COUNTIFS(Selections!$E$6:$E$21,"Under 3.5",Selections!$K$6:$K$21,"WON")+COUNTIFS(Selections!$E$6:$E$21,"Under 3.5",Selections!$K$6:$K$21,"LOST"))</f>
        <v>6</v>
      </c>
      <c r="H16" s="13" t="str">
        <f>IF((COUNTIFS(Selections!$E$6:$E$21,"Under 3.5",Selections!$K$6:$K$21,"WON")+COUNTIFS(Selections!$E$6:$E$21,"Under 3.5",Selections!$K$6:$K$21,"LOST"))=0,"n.a.",COUNTIFS(Selections!$E$6:$E$21,"Under 3.5",Selections!$K$6:$K$21,"WON")/(COUNTIFS(Selections!$E$6:$E$21,"Under 3.5",Selections!$K$6:$K$21,"WON")+COUNTIFS(Selections!$E$6:$E$21,"Under 3.5",Selections!$K$6:$K$21,"LOST")))</f>
        <v>n.a.</v>
      </c>
      <c r="I16" s="15">
        <f>SUMIFS(Selections!$M$6:$M$21,Selections!$E$6:$E$21,"Under 3.5")</f>
        <v>0</v>
      </c>
      <c r="J16" s="15">
        <f>SUMIFS(Selections!$N$6:$N$21,Selections!$E$6:$E$21,"Under 3.5")</f>
        <v>0</v>
      </c>
      <c r="K16" s="13" t="str">
        <f>IF(SUMIFS(Selections!$M$6:$M$21,Selections!$E$6:$E$21,"Under 3.5")=0,"n.a.",SUMIFS(Selections!$N$6:$N$21,Selections!$E$6:$E$21,"Under 3.5")/SUMIFS(Selections!$M$6:$M$21,Selections!$E$6:$E$21,"Under 3.5"))</f>
        <v>n.a.</v>
      </c>
      <c r="L16" s="14" t="str">
        <f>IF(SUMIFS(Selections!$T$6:$T$21,Selections!$E$6:$E$21,"Under 3.5")=0,"n.a.",SUMIFS(Selections!$O$6:$O$21,Selections!$E$6:$E$21,"Under 3.5")/SUMIFS(Selections!$T$6:$T$21,Selections!$E$6:$E$21,"Under 3.5"))</f>
        <v>n.a.</v>
      </c>
      <c r="M16" s="13" t="str">
        <f>IF(SUMIFS(Selections!$T$6:$T$21,Selections!$E$6:$E$21,"Under 3.5")=0,"n.a.",SUMIFS(Selections!$S$6:$S$21,Selections!$E$6:$E$21,"Under 3.5")/SUMIFS(Selections!$T$6:$T$21,Selections!$E$6:$E$21,"Under 3.5"))</f>
        <v>n.a.</v>
      </c>
      <c r="N16" s="13" t="str">
        <f>IF(SUMIFS(Selections!$T$6:$T$21,Selections!$E$6:$E$21,"Under 3.5")=0,"n.a.",(SUMIFS(Selections!$L$6:$L$21,Selections!$E$6:$E$21,"Under 3.5",Selections!$T$6:$T$21,1))/SUMIFS(Selections!$T$6:$T$21,Selections!$E$6:$E$21,"Under 3.5"))</f>
        <v>n.a.</v>
      </c>
      <c r="O16" s="13" t="str">
        <f>IF(SUMIFS(Selections!$T$6:$T$21,Selections!$E$6:$E$21,"Under 3.5")=0,"n.a.",(SUMIFS(Selections!$S$6:$S$21,Selections!$E$6:$E$21,"Under 3.5")-(SUMIFS(Selections!$L$6:$L$21,Selections!$E$6:$E$21,"Under 3.5",Selections!$T$6:$T$21,1)))/SUMIFS(Selections!$T$6:$T$21,Selections!$E$6:$E$21,"Under 3.5"))</f>
        <v>n.a.</v>
      </c>
      <c r="P16" s="12">
        <f>SUMIFS(Selections!$T$6:$T$21,Selections!$E$6:$E$21,"Under 3.5")</f>
        <v>0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COUNTIFS(Selections!$G$6:$G$21,"72h-ucl-v3")</f>
        <v>5</v>
      </c>
      <c r="D17" s="12">
        <f>(COUNTIFS(Selections!$G$6:$G$21,"72h-ucl-v3",Selections!$K$6:$K$21,"WON")+COUNTIFS(Selections!$G$6:$G$21,"72h-ucl-v3",Selections!$K$6:$K$21,"LOST"))</f>
        <v>0</v>
      </c>
      <c r="E17" s="12">
        <f>COUNTIFS(Selections!$G$6:$G$21,"72h-ucl-v3",Selections!$K$6:$K$21,"WON")</f>
        <v>0</v>
      </c>
      <c r="F17" s="12">
        <f>COUNTIFS(Selections!$G$6:$G$21,"72h-ucl-v3",Selections!$K$6:$K$21,"LOST")</f>
        <v>0</v>
      </c>
      <c r="G17" s="12">
        <f>COUNTIFS(Selections!$G$6:$G$21,"72h-ucl-v3")-(COUNTIFS(Selections!$G$6:$G$21,"72h-ucl-v3",Selections!$K$6:$K$21,"WON")+COUNTIFS(Selections!$G$6:$G$21,"72h-ucl-v3",Selections!$K$6:$K$21,"LOST"))</f>
        <v>5</v>
      </c>
      <c r="H17" s="13" t="str">
        <f>IF((COUNTIFS(Selections!$G$6:$G$21,"72h-ucl-v3",Selections!$K$6:$K$21,"WON")+COUNTIFS(Selections!$G$6:$G$21,"72h-ucl-v3",Selections!$K$6:$K$21,"LOST"))=0,"n.a.",COUNTIFS(Selections!$G$6:$G$21,"72h-ucl-v3",Selections!$K$6:$K$21,"WON")/(COUNTIFS(Selections!$G$6:$G$21,"72h-ucl-v3",Selections!$K$6:$K$21,"WON")+COUNTIFS(Selections!$G$6:$G$21,"72h-ucl-v3",Selections!$K$6:$K$21,"LOST")))</f>
        <v>n.a.</v>
      </c>
      <c r="I17" s="15">
        <f>SUMIFS(Selections!$M$6:$M$21,Selections!$G$6:$G$21,"72h-ucl-v3")</f>
        <v>0</v>
      </c>
      <c r="J17" s="15">
        <f>SUMIFS(Selections!$N$6:$N$21,Selections!$G$6:$G$21,"72h-ucl-v3")</f>
        <v>0</v>
      </c>
      <c r="K17" s="13" t="str">
        <f>IF(SUMIFS(Selections!$M$6:$M$21,Selections!$G$6:$G$21,"72h-ucl-v3")=0,"n.a.",SUMIFS(Selections!$N$6:$N$21,Selections!$G$6:$G$21,"72h-ucl-v3")/SUMIFS(Selections!$M$6:$M$21,Selections!$G$6:$G$21,"72h-ucl-v3"))</f>
        <v>n.a.</v>
      </c>
      <c r="L17" s="14" t="str">
        <f>IF(SUMIFS(Selections!$T$6:$T$21,Selections!$G$6:$G$21,"72h-ucl-v3")=0,"n.a.",SUMIFS(Selections!$O$6:$O$21,Selections!$G$6:$G$21,"72h-ucl-v3")/SUMIFS(Selections!$T$6:$T$21,Selections!$G$6:$G$21,"72h-ucl-v3"))</f>
        <v>n.a.</v>
      </c>
      <c r="M17" s="13" t="str">
        <f>IF(SUMIFS(Selections!$T$6:$T$21,Selections!$G$6:$G$21,"72h-ucl-v3")=0,"n.a.",SUMIFS(Selections!$S$6:$S$21,Selections!$G$6:$G$21,"72h-ucl-v3")/SUMIFS(Selections!$T$6:$T$21,Selections!$G$6:$G$21,"72h-ucl-v3"))</f>
        <v>n.a.</v>
      </c>
      <c r="N17" s="13" t="str">
        <f>IF(SUMIFS(Selections!$T$6:$T$21,Selections!$G$6:$G$21,"72h-ucl-v3")=0,"n.a.",(SUMIFS(Selections!$L$6:$L$21,Selections!$G$6:$G$21,"72h-ucl-v3",Selections!$T$6:$T$21,1))/SUMIFS(Selections!$T$6:$T$21,Selections!$G$6:$G$21,"72h-ucl-v3"))</f>
        <v>n.a.</v>
      </c>
      <c r="O17" s="13" t="str">
        <f>IF(SUMIFS(Selections!$T$6:$T$21,Selections!$G$6:$G$21,"72h-ucl-v3")=0,"n.a.",(SUMIFS(Selections!$S$6:$S$21,Selections!$G$6:$G$21,"72h-ucl-v3")-(SUMIFS(Selections!$L$6:$L$21,Selections!$G$6:$G$21,"72h-ucl-v3",Selections!$T$6:$T$21,1)))/SUMIFS(Selections!$T$6:$T$21,Selections!$G$6:$G$21,"72h-ucl-v3"))</f>
        <v>n.a.</v>
      </c>
      <c r="P17" s="12">
        <f>SUMIFS(Selections!$T$6:$T$21,Selections!$G$6:$G$21,"72h-ucl-v3")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COUNTIFS(Selections!$G$6:$G$21,"legacy/unspecified")</f>
        <v>11</v>
      </c>
      <c r="D18" s="12">
        <f>(COUNTIFS(Selections!$G$6:$G$21,"legacy/unspecified",Selections!$K$6:$K$21,"WON")+COUNTIFS(Selections!$G$6:$G$21,"legacy/unspecified",Selections!$K$6:$K$21,"LOST"))</f>
        <v>0</v>
      </c>
      <c r="E18" s="12">
        <f>COUNTIFS(Selections!$G$6:$G$21,"legacy/unspecified",Selections!$K$6:$K$21,"WON")</f>
        <v>0</v>
      </c>
      <c r="F18" s="12">
        <f>COUNTIFS(Selections!$G$6:$G$21,"legacy/unspecified",Selections!$K$6:$K$21,"LOST")</f>
        <v>0</v>
      </c>
      <c r="G18" s="12">
        <f>COUNTIFS(Selections!$G$6:$G$21,"legacy/unspecified")-(COUNTIFS(Selections!$G$6:$G$21,"legacy/unspecified",Selections!$K$6:$K$21,"WON")+COUNTIFS(Selections!$G$6:$G$21,"legacy/unspecified",Selections!$K$6:$K$21,"LOST"))</f>
        <v>11</v>
      </c>
      <c r="H18" s="13" t="str">
        <f>IF((COUNTIFS(Selections!$G$6:$G$21,"legacy/unspecified",Selections!$K$6:$K$21,"WON")+COUNTIFS(Selections!$G$6:$G$21,"legacy/unspecified",Selections!$K$6:$K$21,"LOST"))=0,"n.a.",COUNTIFS(Selections!$G$6:$G$21,"legacy/unspecified",Selections!$K$6:$K$21,"WON")/(COUNTIFS(Selections!$G$6:$G$21,"legacy/unspecified",Selections!$K$6:$K$21,"WON")+COUNTIFS(Selections!$G$6:$G$21,"legacy/unspecified",Selections!$K$6:$K$21,"LOST")))</f>
        <v>n.a.</v>
      </c>
      <c r="I18" s="15">
        <f>SUMIFS(Selections!$M$6:$M$21,Selections!$G$6:$G$21,"legacy/unspecified")</f>
        <v>0</v>
      </c>
      <c r="J18" s="15">
        <f>SUMIFS(Selections!$N$6:$N$21,Selections!$G$6:$G$21,"legacy/unspecified")</f>
        <v>0</v>
      </c>
      <c r="K18" s="13" t="str">
        <f>IF(SUMIFS(Selections!$M$6:$M$21,Selections!$G$6:$G$21,"legacy/unspecified")=0,"n.a.",SUMIFS(Selections!$N$6:$N$21,Selections!$G$6:$G$21,"legacy/unspecified")/SUMIFS(Selections!$M$6:$M$21,Selections!$G$6:$G$21,"legacy/unspecified"))</f>
        <v>n.a.</v>
      </c>
      <c r="L18" s="14" t="str">
        <f>IF(SUMIFS(Selections!$T$6:$T$21,Selections!$G$6:$G$21,"legacy/unspecified")=0,"n.a.",SUMIFS(Selections!$O$6:$O$21,Selections!$G$6:$G$21,"legacy/unspecified")/SUMIFS(Selections!$T$6:$T$21,Selections!$G$6:$G$21,"legacy/unspecified"))</f>
        <v>n.a.</v>
      </c>
      <c r="M18" s="13" t="str">
        <f>IF(SUMIFS(Selections!$T$6:$T$21,Selections!$G$6:$G$21,"legacy/unspecified")=0,"n.a.",SUMIFS(Selections!$S$6:$S$21,Selections!$G$6:$G$21,"legacy/unspecified")/SUMIFS(Selections!$T$6:$T$21,Selections!$G$6:$G$21,"legacy/unspecified"))</f>
        <v>n.a.</v>
      </c>
      <c r="N18" s="13" t="str">
        <f>IF(SUMIFS(Selections!$T$6:$T$21,Selections!$G$6:$G$21,"legacy/unspecified")=0,"n.a.",(SUMIFS(Selections!$L$6:$L$21,Selections!$G$6:$G$21,"legacy/unspecified",Selections!$T$6:$T$21,1))/SUMIFS(Selections!$T$6:$T$21,Selections!$G$6:$G$21,"legacy/unspecified"))</f>
        <v>n.a.</v>
      </c>
      <c r="O18" s="13" t="str">
        <f>IF(SUMIFS(Selections!$T$6:$T$21,Selections!$G$6:$G$21,"legacy/unspecified")=0,"n.a.",(SUMIFS(Selections!$S$6:$S$21,Selections!$G$6:$G$21,"legacy/unspecified")-(SUMIFS(Selections!$L$6:$L$21,Selections!$G$6:$G$21,"legacy/unspecified",Selections!$T$6:$T$21,1)))/SUMIFS(Selections!$T$6:$T$21,Selections!$G$6:$G$21,"legacy/unspecified"))</f>
        <v>n.a.</v>
      </c>
      <c r="P18" s="12">
        <f>SUMIFS(Selections!$T$6:$T$21,Selections!$G$6:$G$21,"legacy/unspecified")</f>
        <v>0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COUNTIFS(Selections!$P$6:$P$21,"2026-W41")</f>
        <v>5</v>
      </c>
      <c r="D19" s="12">
        <f>(COUNTIFS(Selections!$P$6:$P$21,"2026-W41",Selections!$K$6:$K$21,"WON")+COUNTIFS(Selections!$P$6:$P$21,"2026-W41",Selections!$K$6:$K$21,"LOST"))</f>
        <v>0</v>
      </c>
      <c r="E19" s="12">
        <f>COUNTIFS(Selections!$P$6:$P$21,"2026-W41",Selections!$K$6:$K$21,"WON")</f>
        <v>0</v>
      </c>
      <c r="F19" s="12">
        <f>COUNTIFS(Selections!$P$6:$P$21,"2026-W41",Selections!$K$6:$K$21,"LOST")</f>
        <v>0</v>
      </c>
      <c r="G19" s="12">
        <f>COUNTIFS(Selections!$P$6:$P$21,"2026-W41")-(COUNTIFS(Selections!$P$6:$P$21,"2026-W41",Selections!$K$6:$K$21,"WON")+COUNTIFS(Selections!$P$6:$P$21,"2026-W41",Selections!$K$6:$K$21,"LOST"))</f>
        <v>5</v>
      </c>
      <c r="H19" s="13" t="str">
        <f>IF((COUNTIFS(Selections!$P$6:$P$21,"2026-W41",Selections!$K$6:$K$21,"WON")+COUNTIFS(Selections!$P$6:$P$21,"2026-W41",Selections!$K$6:$K$21,"LOST"))=0,"n.a.",COUNTIFS(Selections!$P$6:$P$21,"2026-W41",Selections!$K$6:$K$21,"WON")/(COUNTIFS(Selections!$P$6:$P$21,"2026-W41",Selections!$K$6:$K$21,"WON")+COUNTIFS(Selections!$P$6:$P$21,"2026-W41",Selections!$K$6:$K$21,"LOST")))</f>
        <v>n.a.</v>
      </c>
      <c r="I19" s="15">
        <f>SUMIFS(Selections!$M$6:$M$21,Selections!$P$6:$P$21,"2026-W41")</f>
        <v>0</v>
      </c>
      <c r="J19" s="15">
        <f>SUMIFS(Selections!$N$6:$N$21,Selections!$P$6:$P$21,"2026-W41")</f>
        <v>0</v>
      </c>
      <c r="K19" s="13" t="str">
        <f>IF(SUMIFS(Selections!$M$6:$M$21,Selections!$P$6:$P$21,"2026-W41")=0,"n.a.",SUMIFS(Selections!$N$6:$N$21,Selections!$P$6:$P$21,"2026-W41")/SUMIFS(Selections!$M$6:$M$21,Selections!$P$6:$P$21,"2026-W41"))</f>
        <v>n.a.</v>
      </c>
      <c r="L19" s="14" t="str">
        <f>IF(SUMIFS(Selections!$T$6:$T$21,Selections!$P$6:$P$21,"2026-W41")=0,"n.a.",SUMIFS(Selections!$O$6:$O$21,Selections!$P$6:$P$21,"2026-W41")/SUMIFS(Selections!$T$6:$T$21,Selections!$P$6:$P$21,"2026-W41"))</f>
        <v>n.a.</v>
      </c>
      <c r="M19" s="13" t="str">
        <f>IF(SUMIFS(Selections!$T$6:$T$21,Selections!$P$6:$P$21,"2026-W41")=0,"n.a.",SUMIFS(Selections!$S$6:$S$21,Selections!$P$6:$P$21,"2026-W41")/SUMIFS(Selections!$T$6:$T$21,Selections!$P$6:$P$21,"2026-W41"))</f>
        <v>n.a.</v>
      </c>
      <c r="N19" s="13" t="str">
        <f>IF(SUMIFS(Selections!$T$6:$T$21,Selections!$P$6:$P$21,"2026-W41")=0,"n.a.",(SUMIFS(Selections!$L$6:$L$21,Selections!$P$6:$P$21,"2026-W41",Selections!$T$6:$T$21,1))/SUMIFS(Selections!$T$6:$T$21,Selections!$P$6:$P$21,"2026-W41"))</f>
        <v>n.a.</v>
      </c>
      <c r="O19" s="13" t="str">
        <f>IF(SUMIFS(Selections!$T$6:$T$21,Selections!$P$6:$P$21,"2026-W41")=0,"n.a.",(SUMIFS(Selections!$S$6:$S$21,Selections!$P$6:$P$21,"2026-W41")-(SUMIFS(Selections!$L$6:$L$21,Selections!$P$6:$P$21,"2026-W41",Selections!$T$6:$T$21,1)))/SUMIFS(Selections!$T$6:$T$21,Selections!$P$6:$P$21,"2026-W41"))</f>
        <v>n.a.</v>
      </c>
      <c r="P19" s="12">
        <f>SUMIFS(Selections!$T$6:$T$21,Selections!$P$6:$P$21,"2026-W41")</f>
        <v>0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COUNTIFS(Selections!$P$6:$P$21,"2026-W42")</f>
        <v>10</v>
      </c>
      <c r="D20" s="12">
        <f>(COUNTIFS(Selections!$P$6:$P$21,"2026-W42",Selections!$K$6:$K$21,"WON")+COUNTIFS(Selections!$P$6:$P$21,"2026-W42",Selections!$K$6:$K$21,"LOST"))</f>
        <v>0</v>
      </c>
      <c r="E20" s="12">
        <f>COUNTIFS(Selections!$P$6:$P$21,"2026-W42",Selections!$K$6:$K$21,"WON")</f>
        <v>0</v>
      </c>
      <c r="F20" s="12">
        <f>COUNTIFS(Selections!$P$6:$P$21,"2026-W42",Selections!$K$6:$K$21,"LOST")</f>
        <v>0</v>
      </c>
      <c r="G20" s="12">
        <f>COUNTIFS(Selections!$P$6:$P$21,"2026-W42")-(COUNTIFS(Selections!$P$6:$P$21,"2026-W42",Selections!$K$6:$K$21,"WON")+COUNTIFS(Selections!$P$6:$P$21,"2026-W42",Selections!$K$6:$K$21,"LOST"))</f>
        <v>10</v>
      </c>
      <c r="H20" s="13" t="str">
        <f>IF((COUNTIFS(Selections!$P$6:$P$21,"2026-W42",Selections!$K$6:$K$21,"WON")+COUNTIFS(Selections!$P$6:$P$21,"2026-W42",Selections!$K$6:$K$21,"LOST"))=0,"n.a.",COUNTIFS(Selections!$P$6:$P$21,"2026-W42",Selections!$K$6:$K$21,"WON")/(COUNTIFS(Selections!$P$6:$P$21,"2026-W42",Selections!$K$6:$K$21,"WON")+COUNTIFS(Selections!$P$6:$P$21,"2026-W42",Selections!$K$6:$K$21,"LOST")))</f>
        <v>n.a.</v>
      </c>
      <c r="I20" s="15">
        <f>SUMIFS(Selections!$M$6:$M$21,Selections!$P$6:$P$21,"2026-W42")</f>
        <v>0</v>
      </c>
      <c r="J20" s="15">
        <f>SUMIFS(Selections!$N$6:$N$21,Selections!$P$6:$P$21,"2026-W42")</f>
        <v>0</v>
      </c>
      <c r="K20" s="13" t="str">
        <f>IF(SUMIFS(Selections!$M$6:$M$21,Selections!$P$6:$P$21,"2026-W42")=0,"n.a.",SUMIFS(Selections!$N$6:$N$21,Selections!$P$6:$P$21,"2026-W42")/SUMIFS(Selections!$M$6:$M$21,Selections!$P$6:$P$21,"2026-W42"))</f>
        <v>n.a.</v>
      </c>
      <c r="L20" s="14" t="str">
        <f>IF(SUMIFS(Selections!$T$6:$T$21,Selections!$P$6:$P$21,"2026-W42")=0,"n.a.",SUMIFS(Selections!$O$6:$O$21,Selections!$P$6:$P$21,"2026-W42")/SUMIFS(Selections!$T$6:$T$21,Selections!$P$6:$P$21,"2026-W42"))</f>
        <v>n.a.</v>
      </c>
      <c r="M20" s="13" t="str">
        <f>IF(SUMIFS(Selections!$T$6:$T$21,Selections!$P$6:$P$21,"2026-W42")=0,"n.a.",SUMIFS(Selections!$S$6:$S$21,Selections!$P$6:$P$21,"2026-W42")/SUMIFS(Selections!$T$6:$T$21,Selections!$P$6:$P$21,"2026-W42"))</f>
        <v>n.a.</v>
      </c>
      <c r="N20" s="13" t="str">
        <f>IF(SUMIFS(Selections!$T$6:$T$21,Selections!$P$6:$P$21,"2026-W42")=0,"n.a.",(SUMIFS(Selections!$L$6:$L$21,Selections!$P$6:$P$21,"2026-W42",Selections!$T$6:$T$21,1))/SUMIFS(Selections!$T$6:$T$21,Selections!$P$6:$P$21,"2026-W42"))</f>
        <v>n.a.</v>
      </c>
      <c r="O20" s="13" t="str">
        <f>IF(SUMIFS(Selections!$T$6:$T$21,Selections!$P$6:$P$21,"2026-W42")=0,"n.a.",(SUMIFS(Selections!$S$6:$S$21,Selections!$P$6:$P$21,"2026-W42")-(SUMIFS(Selections!$L$6:$L$21,Selections!$P$6:$P$21,"2026-W42",Selections!$T$6:$T$21,1)))/SUMIFS(Selections!$T$6:$T$21,Selections!$P$6:$P$21,"2026-W42"))</f>
        <v>n.a.</v>
      </c>
      <c r="P20" s="12">
        <f>SUMIFS(Selections!$T$6:$T$21,Selections!$P$6:$P$21,"2026-W42")</f>
        <v>0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COUNTIFS(Selections!$P$6:$P$21,"2026-W43")</f>
        <v>1</v>
      </c>
      <c r="D21" s="12">
        <f>(COUNTIFS(Selections!$P$6:$P$21,"2026-W43",Selections!$K$6:$K$21,"WON")+COUNTIFS(Selections!$P$6:$P$21,"2026-W43",Selections!$K$6:$K$21,"LOST"))</f>
        <v>0</v>
      </c>
      <c r="E21" s="12">
        <f>COUNTIFS(Selections!$P$6:$P$21,"2026-W43",Selections!$K$6:$K$21,"WON")</f>
        <v>0</v>
      </c>
      <c r="F21" s="12">
        <f>COUNTIFS(Selections!$P$6:$P$21,"2026-W43",Selections!$K$6:$K$21,"LOST")</f>
        <v>0</v>
      </c>
      <c r="G21" s="12">
        <f>COUNTIFS(Selections!$P$6:$P$21,"2026-W43")-(COUNTIFS(Selections!$P$6:$P$21,"2026-W43",Selections!$K$6:$K$21,"WON")+COUNTIFS(Selections!$P$6:$P$21,"2026-W43",Selections!$K$6:$K$21,"LOST"))</f>
        <v>1</v>
      </c>
      <c r="H21" s="13" t="str">
        <f>IF((COUNTIFS(Selections!$P$6:$P$21,"2026-W43",Selections!$K$6:$K$21,"WON")+COUNTIFS(Selections!$P$6:$P$21,"2026-W43",Selections!$K$6:$K$21,"LOST"))=0,"n.a.",COUNTIFS(Selections!$P$6:$P$21,"2026-W43",Selections!$K$6:$K$21,"WON")/(COUNTIFS(Selections!$P$6:$P$21,"2026-W43",Selections!$K$6:$K$21,"WON")+COUNTIFS(Selections!$P$6:$P$21,"2026-W43",Selections!$K$6:$K$21,"LOST")))</f>
        <v>n.a.</v>
      </c>
      <c r="I21" s="15">
        <f>SUMIFS(Selections!$M$6:$M$21,Selections!$P$6:$P$21,"2026-W43")</f>
        <v>0</v>
      </c>
      <c r="J21" s="15">
        <f>SUMIFS(Selections!$N$6:$N$21,Selections!$P$6:$P$21,"2026-W43")</f>
        <v>0</v>
      </c>
      <c r="K21" s="13" t="str">
        <f>IF(SUMIFS(Selections!$M$6:$M$21,Selections!$P$6:$P$21,"2026-W43")=0,"n.a.",SUMIFS(Selections!$N$6:$N$21,Selections!$P$6:$P$21,"2026-W43")/SUMIFS(Selections!$M$6:$M$21,Selections!$P$6:$P$21,"2026-W43"))</f>
        <v>n.a.</v>
      </c>
      <c r="L21" s="14" t="str">
        <f>IF(SUMIFS(Selections!$T$6:$T$21,Selections!$P$6:$P$21,"2026-W43")=0,"n.a.",SUMIFS(Selections!$O$6:$O$21,Selections!$P$6:$P$21,"2026-W43")/SUMIFS(Selections!$T$6:$T$21,Selections!$P$6:$P$21,"2026-W43"))</f>
        <v>n.a.</v>
      </c>
      <c r="M21" s="13" t="str">
        <f>IF(SUMIFS(Selections!$T$6:$T$21,Selections!$P$6:$P$21,"2026-W43")=0,"n.a.",SUMIFS(Selections!$S$6:$S$21,Selections!$P$6:$P$21,"2026-W43")/SUMIFS(Selections!$T$6:$T$21,Selections!$P$6:$P$21,"2026-W43"))</f>
        <v>n.a.</v>
      </c>
      <c r="N21" s="13" t="str">
        <f>IF(SUMIFS(Selections!$T$6:$T$21,Selections!$P$6:$P$21,"2026-W43")=0,"n.a.",(SUMIFS(Selections!$L$6:$L$21,Selections!$P$6:$P$21,"2026-W43",Selections!$T$6:$T$21,1))/SUMIFS(Selections!$T$6:$T$21,Selections!$P$6:$P$21,"2026-W43"))</f>
        <v>n.a.</v>
      </c>
      <c r="O21" s="13" t="str">
        <f>IF(SUMIFS(Selections!$T$6:$T$21,Selections!$P$6:$P$21,"2026-W43")=0,"n.a.",(SUMIFS(Selections!$S$6:$S$21,Selections!$P$6:$P$21,"2026-W43")-(SUMIFS(Selections!$L$6:$L$21,Selections!$P$6:$P$21,"2026-W43",Selections!$T$6:$T$21,1)))/SUMIFS(Selections!$T$6:$T$21,Selections!$P$6:$P$21,"2026-W43"))</f>
        <v>n.a.</v>
      </c>
      <c r="P21" s="12">
        <f>SUMIFS(Selections!$T$6:$T$21,Selections!$P$6:$P$21,"2026-W43")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COUNTIFS(Selections!$S$6:$S$21,"&gt;="&amp;B6,Selections!$S$6:$S$21,"&lt;"&amp;C6,Selections!$T$6:$T$21,1)</f>
        <v>0</v>
      </c>
      <c r="E6" s="13" t="str">
        <f>IF(D6=0,"n.a.",SUMIFS(Selections!$S$6:$S$21,Selections!$S$6:$S$21,"&gt;="&amp;B6,Selections!$S$6:$S$21,"&lt;"&amp;C6,Selections!$T$6:$T$21,1)/D6)</f>
        <v>n.a.</v>
      </c>
      <c r="F6" s="13" t="str">
        <f>IF(D6=0,"n.a.",SUMIFS(Selections!$L$6:$L$21,Selections!$S$6:$S$21,"&gt;="&amp;B6,Selections!$S$6:$S$21,"&lt;"&amp;C6,Selections!$T$6:$T$21,1)/D6)</f>
        <v>n.a.</v>
      </c>
      <c r="G6" s="13" t="str">
        <f>IF(D6=0,"n.a.",E6-F6)</f>
        <v>n.a.</v>
      </c>
      <c r="H6" s="14" t="str">
        <f>IF(D6=0,"n.a.",SUMIFS(Selections!$O$6:$O$21,Selections!$S$6:$S$21,"&gt;="&amp;B6,Selections!$S$6:$S$21,"&lt;"&amp;C6,Selections!$T$6:$T$21,1)/D6)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COUNTIFS(Selections!$S$6:$S$21,"&gt;="&amp;B7,Selections!$S$6:$S$21,"&lt;"&amp;C7,Selections!$T$6:$T$21,1)</f>
        <v>0</v>
      </c>
      <c r="E7" s="13" t="str">
        <f>IF(D7=0,"n.a.",SUMIFS(Selections!$S$6:$S$21,Selections!$S$6:$S$21,"&gt;="&amp;B7,Selections!$S$6:$S$21,"&lt;"&amp;C7,Selections!$T$6:$T$21,1)/D7)</f>
        <v>n.a.</v>
      </c>
      <c r="F7" s="13" t="str">
        <f>IF(D7=0,"n.a.",SUMIFS(Selections!$L$6:$L$21,Selections!$S$6:$S$21,"&gt;="&amp;B7,Selections!$S$6:$S$21,"&lt;"&amp;C7,Selections!$T$6:$T$21,1)/D7)</f>
        <v>n.a.</v>
      </c>
      <c r="G7" s="13" t="str">
        <f>IF(D7=0,"n.a.",E7-F7)</f>
        <v>n.a.</v>
      </c>
      <c r="H7" s="14" t="str">
        <f>IF(D7=0,"n.a.",SUMIFS(Selections!$O$6:$O$21,Selections!$S$6:$S$21,"&gt;="&amp;B7,Selections!$S$6:$S$21,"&lt;"&amp;C7,Selections!$T$6:$T$21,1)/D7)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COUNTIFS(Selections!$S$6:$S$21,"&gt;="&amp;B8,Selections!$S$6:$S$21,"&lt;"&amp;C8,Selections!$T$6:$T$21,1)</f>
        <v>0</v>
      </c>
      <c r="E8" s="13" t="str">
        <f>IF(D8=0,"n.a.",SUMIFS(Selections!$S$6:$S$21,Selections!$S$6:$S$21,"&gt;="&amp;B8,Selections!$S$6:$S$21,"&lt;"&amp;C8,Selections!$T$6:$T$21,1)/D8)</f>
        <v>n.a.</v>
      </c>
      <c r="F8" s="13" t="str">
        <f>IF(D8=0,"n.a.",SUMIFS(Selections!$L$6:$L$21,Selections!$S$6:$S$21,"&gt;="&amp;B8,Selections!$S$6:$S$21,"&lt;"&amp;C8,Selections!$T$6:$T$21,1)/D8)</f>
        <v>n.a.</v>
      </c>
      <c r="G8" s="13" t="str">
        <f>IF(D8=0,"n.a.",E8-F8)</f>
        <v>n.a.</v>
      </c>
      <c r="H8" s="14" t="str">
        <f>IF(D8=0,"n.a.",SUMIFS(Selections!$O$6:$O$21,Selections!$S$6:$S$21,"&gt;="&amp;B8,Selections!$S$6:$S$21,"&lt;"&amp;C8,Selections!$T$6:$T$21,1)/D8)</f>
        <v>n.a.</v>
      </c>
      <c r="I8" s="1" t="inlineStr">
        <is>
          <t>Collect more scored forecasts (n=0).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COUNTIFS(Selections!$S$6:$S$21,"&gt;="&amp;B9,Selections!$S$6:$S$21,"&lt;"&amp;C9,Selections!$T$6:$T$21,1)</f>
        <v>0</v>
      </c>
      <c r="E9" s="13" t="str">
        <f>IF(D9=0,"n.a.",SUMIFS(Selections!$S$6:$S$21,Selections!$S$6:$S$21,"&gt;="&amp;B9,Selections!$S$6:$S$21,"&lt;"&amp;C9,Selections!$T$6:$T$21,1)/D9)</f>
        <v>n.a.</v>
      </c>
      <c r="F9" s="13" t="str">
        <f>IF(D9=0,"n.a.",SUMIFS(Selections!$L$6:$L$21,Selections!$S$6:$S$21,"&gt;="&amp;B9,Selections!$S$6:$S$21,"&lt;"&amp;C9,Selections!$T$6:$T$21,1)/D9)</f>
        <v>n.a.</v>
      </c>
      <c r="G9" s="13" t="str">
        <f>IF(D9=0,"n.a.",E9-F9)</f>
        <v>n.a.</v>
      </c>
      <c r="H9" s="14" t="str">
        <f>IF(D9=0,"n.a.",SUMIFS(Selections!$O$6:$O$21,Selections!$S$6:$S$21,"&gt;="&amp;B9,Selections!$S$6:$S$21,"&lt;"&amp;C9,Selections!$T$6:$T$21,1)/D9)</f>
        <v>n.a.</v>
      </c>
      <c r="I9" s="1" t="inlineStr">
        <is>
          <t>Collect more scored forecasts (n=0).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COUNTIFS(Selections!$S$6:$S$21,"&gt;="&amp;B10,Selections!$S$6:$S$21,"&lt;"&amp;C10,Selections!$T$6:$T$21,1)</f>
        <v>0</v>
      </c>
      <c r="E10" s="13" t="str">
        <f>IF(D10=0,"n.a.",SUMIFS(Selections!$S$6:$S$21,Selections!$S$6:$S$21,"&gt;="&amp;B10,Selections!$S$6:$S$21,"&lt;"&amp;C10,Selections!$T$6:$T$21,1)/D10)</f>
        <v>n.a.</v>
      </c>
      <c r="F10" s="13" t="str">
        <f>IF(D10=0,"n.a.",SUMIFS(Selections!$L$6:$L$21,Selections!$S$6:$S$21,"&gt;="&amp;B10,Selections!$S$6:$S$21,"&lt;"&amp;C10,Selections!$T$6:$T$21,1)/D10)</f>
        <v>n.a.</v>
      </c>
      <c r="G10" s="13" t="str">
        <f>IF(D10=0,"n.a.",E10-F10)</f>
        <v>n.a.</v>
      </c>
      <c r="H10" s="14" t="str">
        <f>IF(D10=0,"n.a.",SUMIFS(Selections!$O$6:$O$21,Selections!$S$6:$S$21,"&gt;="&amp;B10,Selections!$S$6:$S$21,"&lt;"&amp;C10,Selections!$T$6:$T$21,1)/D10)</f>
        <v>n.a.</v>
      </c>
      <c r="I10" s="1" t="inlineStr">
        <is>
          <t>Collect more scored forecasts (n=0).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COUNTIFS(Selections!$S$6:$S$21,"&gt;="&amp;B11,Selections!$S$6:$S$21,"&lt;"&amp;C11,Selections!$T$6:$T$21,1)</f>
        <v>0</v>
      </c>
      <c r="E11" s="13" t="str">
        <f>IF(D11=0,"n.a.",SUMIFS(Selections!$S$6:$S$21,Selections!$S$6:$S$21,"&gt;="&amp;B11,Selections!$S$6:$S$21,"&lt;"&amp;C11,Selections!$T$6:$T$21,1)/D11)</f>
        <v>n.a.</v>
      </c>
      <c r="F11" s="13" t="str">
        <f>IF(D11=0,"n.a.",SUMIFS(Selections!$L$6:$L$21,Selections!$S$6:$S$21,"&gt;="&amp;B11,Selections!$S$6:$S$21,"&lt;"&amp;C11,Selections!$T$6:$T$21,1)/D11)</f>
        <v>n.a.</v>
      </c>
      <c r="G11" s="13" t="str">
        <f>IF(D11=0,"n.a.",E11-F11)</f>
        <v>n.a.</v>
      </c>
      <c r="H11" s="14" t="str">
        <f>IF(D11=0,"n.a.",SUMIFS(Selections!$O$6:$O$21,Selections!$S$6:$S$21,"&gt;="&amp;B11,Selections!$S$6:$S$21,"&lt;"&amp;C11,Selections!$T$6:$T$21,1)/D11)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/>
      <c r="K7" s="1" t="inlineStr">
        <is>
          <t>PENDING_KICKOFF_OR_FINAL_SCORE</t>
        </is>
      </c>
      <c r="L7" s="1"/>
      <c r="M7" s="10" t="str">
        <f>IF(AND(ISNUMBER(L7),ISNUMBER(I7),I7&gt;1),'ROI Plan'!$B$5,"")</f>
        <v/>
      </c>
      <c r="N7" s="10" t="str">
        <f>IF(ISNUMBER(M7),M7*(I7*L7-1),"")</f>
        <v/>
      </c>
      <c r="O7" s="11">
        <f>IF(AND(ISNUMBER(L7),ISNUMBER(H7)),(H7-L7)^2,"")</f>
      </c>
      <c r="P7" s="1" t="inlineStr">
        <is>
          <t>2026-W41</t>
        </is>
      </c>
      <c r="Q7" s="1" t="inlineStr">
        <is>
          <t>a2cdead106b513fd623cffd1e43a491685d68cc3</t>
        </is>
      </c>
      <c r="R7" s="1"/>
      <c r="S7" s="9">
        <f>IF(AND(ISNUMBER(L7),ISNUMBER(H7)),H7,"")</f>
      </c>
      <c r="T7" s="1">
        <f>IF(AND(ISNUMBER(L7),ISNUMBER(H7)),1,0)</f>
        <v>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/>
      <c r="K8" s="1" t="inlineStr">
        <is>
          <t>PENDING_KICKOFF_OR_FINAL_SCORE</t>
        </is>
      </c>
      <c r="L8" s="1"/>
      <c r="M8" s="10" t="str">
        <f>IF(AND(ISNUMBER(L8),ISNUMBER(I8),I8&gt;1),'ROI Plan'!$B$5,"")</f>
        <v/>
      </c>
      <c r="N8" s="10" t="str">
        <f>IF(ISNUMBER(M8),M8*(I8*L8-1),"")</f>
        <v/>
      </c>
      <c r="O8" s="11">
        <f>IF(AND(ISNUMBER(L8),ISNUMBER(H8)),(H8-L8)^2,"")</f>
      </c>
      <c r="P8" s="1" t="inlineStr">
        <is>
          <t>2026-W41</t>
        </is>
      </c>
      <c r="Q8" s="1" t="inlineStr">
        <is>
          <t>bdc690a8c70643c93f1595d53c067b7d91325270</t>
        </is>
      </c>
      <c r="R8" s="1"/>
      <c r="S8" s="9">
        <f>IF(AND(ISNUMBER(L8),ISNUMBER(H8)),H8,"")</f>
      </c>
      <c r="T8" s="1">
        <f>IF(AND(ISNUMBER(L8),ISNUMBER(H8)),1,0)</f>
        <v>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/>
      <c r="K9" s="1" t="inlineStr">
        <is>
          <t>PENDING_KICKOFF_OR_FINAL_SCORE</t>
        </is>
      </c>
      <c r="L9" s="1"/>
      <c r="M9" s="10" t="str">
        <f>IF(AND(ISNUMBER(L9),ISNUMBER(I9),I9&gt;1),'ROI Plan'!$B$5,"")</f>
        <v/>
      </c>
      <c r="N9" s="10" t="str">
        <f>IF(ISNUMBER(M9),M9*(I9*L9-1),"")</f>
        <v/>
      </c>
      <c r="O9" s="11">
        <f>IF(AND(ISNUMBER(L9),ISNUMBER(H9)),(H9-L9)^2,"")</f>
      </c>
      <c r="P9" s="1" t="inlineStr">
        <is>
          <t>2026-W41</t>
        </is>
      </c>
      <c r="Q9" s="1" t="inlineStr">
        <is>
          <t>bdc690a8c70643c93f1595d53c067b7d91325270</t>
        </is>
      </c>
      <c r="R9" s="1"/>
      <c r="S9" s="9">
        <f>IF(AND(ISNUMBER(L9),ISNUMBER(H9)),H9,"")</f>
      </c>
      <c r="T9" s="1">
        <f>IF(AND(ISNUMBER(L9),ISNUMBER(H9)),1,0)</f>
        <v>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/>
      <c r="K10" s="1" t="inlineStr">
        <is>
          <t>PENDING_KICKOFF_OR_FINAL_SCORE</t>
        </is>
      </c>
      <c r="L10" s="1"/>
      <c r="M10" s="10" t="str">
        <f>IF(AND(ISNUMBER(L10),ISNUMBER(I10),I10&gt;1),'ROI Plan'!$B$5,"")</f>
        <v/>
      </c>
      <c r="N10" s="10" t="str">
        <f>IF(ISNUMBER(M10),M10*(I10*L10-1),"")</f>
        <v/>
      </c>
      <c r="O10" s="11">
        <f>IF(AND(ISNUMBER(L10),ISNUMBER(H10)),(H10-L10)^2,"")</f>
      </c>
      <c r="P10" s="1" t="inlineStr">
        <is>
          <t>2026-W41</t>
        </is>
      </c>
      <c r="Q10" s="1" t="inlineStr">
        <is>
          <t>bdc690a8c70643c93f1595d53c067b7d91325270</t>
        </is>
      </c>
      <c r="R10" s="1"/>
      <c r="S10" s="9">
        <f>IF(AND(ISNUMBER(L10),ISNUMBER(H10)),H10,"")</f>
      </c>
      <c r="T10" s="1">
        <f>IF(AND(ISNUMBER(L10),ISNUMBER(H10)),1,0)</f>
        <v>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/>
      <c r="K11" s="1" t="inlineStr">
        <is>
          <t>PENDING_KICKOFF_OR_FINAL_SCORE</t>
        </is>
      </c>
      <c r="L11" s="1"/>
      <c r="M11" s="10" t="str">
        <f>IF(AND(ISNUMBER(L11),ISNUMBER(I11),I11&gt;1),'ROI Plan'!$B$5,"")</f>
        <v/>
      </c>
      <c r="N11" s="10" t="str">
        <f>IF(ISNUMBER(M11),M11*(I11*L11-1),"")</f>
        <v/>
      </c>
      <c r="O11" s="11">
        <f>IF(AND(ISNUMBER(L11),ISNUMBER(H11)),(H11-L11)^2,"")</f>
      </c>
      <c r="P11" s="1" t="inlineStr">
        <is>
          <t>2026-W42</t>
        </is>
      </c>
      <c r="Q11" s="1" t="inlineStr">
        <is>
          <t>bdc690a8c70643c93f1595d53c067b7d91325270</t>
        </is>
      </c>
      <c r="R11" s="1"/>
      <c r="S11" s="9">
        <f>IF(AND(ISNUMBER(L11),ISNUMBER(H11)),H11,"")</f>
      </c>
      <c r="T11" s="1">
        <f>IF(AND(ISNUMBER(L11),ISNUMBER(H11)),1,0)</f>
        <v>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/>
      <c r="K12" s="1" t="inlineStr">
        <is>
          <t>PENDING_KICKOFF_OR_FINAL_SCORE</t>
        </is>
      </c>
      <c r="L12" s="1"/>
      <c r="M12" s="10" t="str">
        <f>IF(AND(ISNUMBER(L12),ISNUMBER(I12),I12&gt;1),'ROI Plan'!$B$5,"")</f>
        <v/>
      </c>
      <c r="N12" s="10" t="str">
        <f>IF(ISNUMBER(M12),M12*(I12*L12-1),"")</f>
        <v/>
      </c>
      <c r="O12" s="11">
        <f>IF(AND(ISNUMBER(L12),ISNUMBER(H12)),(H12-L12)^2,"")</f>
      </c>
      <c r="P12" s="1" t="inlineStr">
        <is>
          <t>2026-W42</t>
        </is>
      </c>
      <c r="Q12" s="1" t="inlineStr">
        <is>
          <t>a2cdead106b513fd623cffd1e43a491685d68cc3</t>
        </is>
      </c>
      <c r="R12" s="1"/>
      <c r="S12" s="9">
        <f>IF(AND(ISNUMBER(L12),ISNUMBER(H12)),H12,"")</f>
      </c>
      <c r="T12" s="1">
        <f>IF(AND(ISNUMBER(L12),ISNUMBER(H12)),1,0)</f>
        <v>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/>
      <c r="K13" s="1" t="inlineStr">
        <is>
          <t>PENDING_KICKOFF_OR_FINAL_SCORE</t>
        </is>
      </c>
      <c r="L13" s="1"/>
      <c r="M13" s="10" t="str">
        <f>IF(AND(ISNUMBER(L13),ISNUMBER(I13),I13&gt;1),'ROI Plan'!$B$5,"")</f>
        <v/>
      </c>
      <c r="N13" s="10" t="str">
        <f>IF(ISNUMBER(M13),M13*(I13*L13-1),"")</f>
        <v/>
      </c>
      <c r="O13" s="11">
        <f>IF(AND(ISNUMBER(L13),ISNUMBER(H13)),(H13-L13)^2,"")</f>
      </c>
      <c r="P13" s="1" t="inlineStr">
        <is>
          <t>2026-W42</t>
        </is>
      </c>
      <c r="Q13" s="1" t="inlineStr">
        <is>
          <t>bdc690a8c70643c93f1595d53c067b7d91325270</t>
        </is>
      </c>
      <c r="R13" s="1"/>
      <c r="S13" s="9">
        <f>IF(AND(ISNUMBER(L13),ISNUMBER(H13)),H13,"")</f>
      </c>
      <c r="T13" s="1">
        <f>IF(AND(ISNUMBER(L13),ISNUMBER(H13)),1,0)</f>
        <v>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Premier League|fulham|hull city|2026-10-17</t>
        </is>
      </c>
      <c r="B16" s="8">
        <v>46312.583333333336</v>
      </c>
      <c r="C16" s="1" t="inlineStr">
        <is>
          <t>Premier League</t>
        </is>
      </c>
      <c r="D16" s="1" t="inlineStr">
        <is>
          <t>Fulham vs Hull City</t>
        </is>
      </c>
      <c r="E16" s="1" t="inlineStr">
        <is>
          <t>Under 3.5</t>
        </is>
      </c>
      <c r="F16" s="1" t="inlineStr">
        <is>
          <t>PROVISIONAL</t>
        </is>
      </c>
      <c r="G16" s="1" t="inlineStr">
        <is>
          <t>legacy/unspecified</t>
        </is>
      </c>
      <c r="H16" s="9">
        <v>0.8021994552742411</v>
      </c>
      <c r="I16" s="10">
        <v>1.42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bdc690a8c70643c93f1595d53c067b7d91325270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Premier League|man city|ipswich town|2026-10-17</t>
        </is>
      </c>
      <c r="B17" s="8">
        <v>46312.583333333336</v>
      </c>
      <c r="C17" s="1" t="inlineStr">
        <is>
          <t>Premier League</t>
        </is>
      </c>
      <c r="D17" s="1" t="inlineStr">
        <is>
          <t>Manchester City vs Ipswich Town</t>
        </is>
      </c>
      <c r="E17" s="1" t="inlineStr">
        <is>
          <t>Over 1.5</t>
        </is>
      </c>
      <c r="F17" s="1" t="inlineStr">
        <is>
          <t>PROVISIONAL</t>
        </is>
      </c>
      <c r="G17" s="1" t="inlineStr">
        <is>
          <t>legacy/unspecified</t>
        </is>
      </c>
      <c r="H17" s="9">
        <v>0.9163621198072895</v>
      </c>
      <c r="I17" s="10">
        <v>1.11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bdc690a8c70643c93f1595d53c067b7d91325270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La Liga|ca osasuna|real racing santander|2026-10-18</t>
        </is>
      </c>
      <c r="B18" s="8">
        <v>46313.5</v>
      </c>
      <c r="C18" s="1" t="inlineStr">
        <is>
          <t>La Liga</t>
        </is>
      </c>
      <c r="D18" s="1" t="inlineStr">
        <is>
          <t>CA Osasuna vs Real Racing Club de Santander</t>
        </is>
      </c>
      <c r="E18" s="1" t="inlineStr">
        <is>
          <t>Over 1.5</t>
        </is>
      </c>
      <c r="F18" s="1" t="inlineStr">
        <is>
          <t>PROVISIONAL</t>
        </is>
      </c>
      <c r="G18" s="1" t="inlineStr">
        <is>
          <t>legacy/unspecified</t>
        </is>
      </c>
      <c r="H18" s="9">
        <v>0.9202632648998413</v>
      </c>
      <c r="I18" s="10">
        <v>1.22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bdc690a8c70643c93f1595d53c067b7d91325270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La Liga|malaga|real sociedad|2026-10-18</t>
        </is>
      </c>
      <c r="B19" s="8">
        <v>46313.6875</v>
      </c>
      <c r="C19" s="1" t="inlineStr">
        <is>
          <t>La Liga</t>
        </is>
      </c>
      <c r="D19" s="1" t="inlineStr">
        <is>
          <t>Málaga vs Real Sociedad</t>
        </is>
      </c>
      <c r="E19" s="1" t="inlineStr">
        <is>
          <t>Under 3.5</t>
        </is>
      </c>
      <c r="F19" s="1" t="inlineStr">
        <is>
          <t>STRICT</t>
        </is>
      </c>
      <c r="G19" s="1" t="inlineStr">
        <is>
          <t>legacy/unspecified</t>
        </is>
      </c>
      <c r="H19" s="9">
        <v>0.8261247842244344</v>
      </c>
      <c r="I19" s="10">
        <v>1.41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La Liga|real madrid|sevilla|2026-10-18</t>
        </is>
      </c>
      <c r="B20" s="8">
        <v>46313.791666666664</v>
      </c>
      <c r="C20" s="1" t="inlineStr">
        <is>
          <t>La Liga</t>
        </is>
      </c>
      <c r="D20" s="1" t="inlineStr">
        <is>
          <t>Real Madrid vs Sevilla</t>
        </is>
      </c>
      <c r="E20" s="1" t="inlineStr">
        <is>
          <t>Home win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0.78842217536022</v>
      </c>
      <c r="I20" s="10">
        <v>1.3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Premier League|tottenham|coventry city|2026-10-19</t>
        </is>
      </c>
      <c r="B21" s="8">
        <v>46314.791666666664</v>
      </c>
      <c r="C21" s="1" t="inlineStr">
        <is>
          <t>Premier League</t>
        </is>
      </c>
      <c r="D21" s="1" t="inlineStr">
        <is>
          <t>Tottenham Hotspur vs Coventry City</t>
        </is>
      </c>
      <c r="E21" s="1" t="inlineStr">
        <is>
          <t>Home win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0.6624411929150106</v>
      </c>
      <c r="I21" s="10">
        <v>1.54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2026-W43</t>
        </is>
      </c>
      <c r="Q21" s="1" t="inlineStr">
        <is>
          <t>b9c15c09504aaf57de5ad0957adb91c0e9b37243</t>
        </is>
      </c>
      <c r="R21" s="1"/>
      <c r="S21" s="9">
        <f>IF(AND(ISNUMBER(L21),ISNUMBER(H21)),H21,"")</f>
      </c>
      <c r="T21" s="1">
        <f>IF(AND(ISNUMBER(L21),ISNUMBER(H21)),1,0)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PENDING_KICKOFF_OR_FINAL_SCORE</t>
        </is>
      </c>
      <c r="G8" s="1"/>
      <c r="H8" s="1"/>
      <c r="I8" s="11"/>
      <c r="J8" s="1"/>
      <c r="K8" s="1"/>
      <c r="L8" s="1"/>
      <c r="M8" s="1"/>
      <c r="N8" s="1" t="inlineStr">
        <is>
          <t>2026-W41</t>
        </is>
      </c>
      <c r="O8" s="1" t="inlineStr">
        <is>
          <t>2fd31d33722311d8e0155bb5eca6b3a310ac938b</t>
        </is>
      </c>
      <c r="P8" s="1"/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PENDING_KICKOFF_OR_FINAL_SCORE</t>
        </is>
      </c>
      <c r="G9" s="1"/>
      <c r="H9" s="1"/>
      <c r="I9" s="11"/>
      <c r="J9" s="1"/>
      <c r="K9" s="1"/>
      <c r="L9" s="1"/>
      <c r="M9" s="1"/>
      <c r="N9" s="1" t="inlineStr">
        <is>
          <t>2026-W41</t>
        </is>
      </c>
      <c r="O9" s="1" t="inlineStr">
        <is>
          <t>2fd31d33722311d8e0155bb5eca6b3a310ac938b</t>
        </is>
      </c>
      <c r="P9" s="1"/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PENDING_KICKOFF_OR_FINAL_SCORE</t>
        </is>
      </c>
      <c r="G10" s="1"/>
      <c r="H10" s="1"/>
      <c r="I10" s="11"/>
      <c r="J10" s="1"/>
      <c r="K10" s="1"/>
      <c r="L10" s="1"/>
      <c r="M10" s="1"/>
      <c r="N10" s="1" t="inlineStr">
        <is>
          <t>2026-W41</t>
        </is>
      </c>
      <c r="O10" s="1" t="inlineStr">
        <is>
          <t>2fd31d33722311d8e0155bb5eca6b3a310ac938b</t>
        </is>
      </c>
      <c r="P10" s="1"/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PENDING_KICKOFF_OR_FINAL_SCORE</t>
        </is>
      </c>
      <c r="G11" s="1"/>
      <c r="H11" s="1"/>
      <c r="I11" s="11"/>
      <c r="J11" s="1"/>
      <c r="K11" s="1"/>
      <c r="L11" s="1"/>
      <c r="M11" s="1"/>
      <c r="N11" s="1" t="inlineStr">
        <is>
          <t>2026-W41</t>
        </is>
      </c>
      <c r="O11" s="1" t="inlineStr">
        <is>
          <t>2fd31d33722311d8e0155bb5eca6b3a310ac938b</t>
        </is>
      </c>
      <c r="P11" s="1"/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PENDING_KICKOFF_OR_FINAL_SCORE</t>
        </is>
      </c>
      <c r="G12" s="1"/>
      <c r="H12" s="1"/>
      <c r="I12" s="11"/>
      <c r="J12" s="1"/>
      <c r="K12" s="1"/>
      <c r="L12" s="1"/>
      <c r="M12" s="1"/>
      <c r="N12" s="1" t="inlineStr">
        <is>
          <t>2026-W41</t>
        </is>
      </c>
      <c r="O12" s="1" t="inlineStr">
        <is>
          <t>2fd31d33722311d8e0155bb5eca6b3a310ac938b</t>
        </is>
      </c>
      <c r="P12" s="1"/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PENDING_KICKOFF_OR_FINAL_SCORE</t>
        </is>
      </c>
      <c r="G13" s="1"/>
      <c r="H13" s="1"/>
      <c r="I13" s="11"/>
      <c r="J13" s="1"/>
      <c r="K13" s="1"/>
      <c r="L13" s="1"/>
      <c r="M13" s="1"/>
      <c r="N13" s="1" t="inlineStr">
        <is>
          <t>2026-W41</t>
        </is>
      </c>
      <c r="O13" s="1" t="inlineStr">
        <is>
          <t>2fd31d33722311d8e0155bb5eca6b3a310ac938b</t>
        </is>
      </c>
      <c r="P13" s="1"/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PENDING_KICKOFF_OR_FINAL_SCORE</t>
        </is>
      </c>
      <c r="G14" s="1"/>
      <c r="H14" s="1"/>
      <c r="I14" s="11"/>
      <c r="J14" s="1"/>
      <c r="K14" s="1"/>
      <c r="L14" s="1"/>
      <c r="M14" s="1"/>
      <c r="N14" s="1" t="inlineStr">
        <is>
          <t>2026-W41</t>
        </is>
      </c>
      <c r="O14" s="1" t="inlineStr">
        <is>
          <t>2fd31d33722311d8e0155bb5eca6b3a310ac938b</t>
        </is>
      </c>
      <c r="P14" s="1"/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PENDING_KICKOFF_OR_FINAL_SCORE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PENDING_KICKOFF_OR_FINAL_SCORE</t>
        </is>
      </c>
      <c r="G16" s="1"/>
      <c r="H16" s="1"/>
      <c r="I16" s="11"/>
      <c r="J16" s="1"/>
      <c r="K16" s="1"/>
      <c r="L16" s="1"/>
      <c r="M16" s="1"/>
      <c r="N16" s="1" t="inlineStr">
        <is>
          <t>2026-W41</t>
        </is>
      </c>
      <c r="O16" s="1" t="inlineStr">
        <is>
          <t>2fd31d33722311d8e0155bb5eca6b3a310ac938b</t>
        </is>
      </c>
      <c r="P16" s="1"/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PENDING_KICKOFF_OR_FINAL_SCORE</t>
        </is>
      </c>
      <c r="G17" s="1"/>
      <c r="H17" s="1"/>
      <c r="I17" s="11"/>
      <c r="J17" s="1"/>
      <c r="K17" s="1"/>
      <c r="L17" s="1"/>
      <c r="M17" s="1"/>
      <c r="N17" s="1" t="inlineStr">
        <is>
          <t>2026-W41</t>
        </is>
      </c>
      <c r="O17" s="1" t="inlineStr">
        <is>
          <t>2fd31d33722311d8e0155bb5eca6b3a310ac938b</t>
        </is>
      </c>
      <c r="P17" s="1"/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PENDING_KICKOFF_OR_FINAL_SCORE</t>
        </is>
      </c>
      <c r="G18" s="1"/>
      <c r="H18" s="1"/>
      <c r="I18" s="11"/>
      <c r="J18" s="1"/>
      <c r="K18" s="1"/>
      <c r="L18" s="1"/>
      <c r="M18" s="1"/>
      <c r="N18" s="1" t="inlineStr">
        <is>
          <t>2026-W41</t>
        </is>
      </c>
      <c r="O18" s="1" t="inlineStr">
        <is>
          <t>2fd31d33722311d8e0155bb5eca6b3a310ac938b</t>
        </is>
      </c>
      <c r="P18" s="1"/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PENDING_KICKOFF_OR_FINAL_SCORE</t>
        </is>
      </c>
      <c r="G19" s="1"/>
      <c r="H19" s="1"/>
      <c r="I19" s="11"/>
      <c r="J19" s="1"/>
      <c r="K19" s="1"/>
      <c r="L19" s="1"/>
      <c r="M19" s="1"/>
      <c r="N19" s="1" t="inlineStr">
        <is>
          <t>2026-W41</t>
        </is>
      </c>
      <c r="O19" s="1" t="inlineStr">
        <is>
          <t>2fd31d33722311d8e0155bb5eca6b3a310ac938b</t>
        </is>
      </c>
      <c r="P19" s="1"/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PENDING_KICKOFF_OR_FINAL_SCORE</t>
        </is>
      </c>
      <c r="G20" s="1"/>
      <c r="H20" s="1"/>
      <c r="I20" s="11"/>
      <c r="J20" s="1"/>
      <c r="K20" s="1"/>
      <c r="L20" s="1"/>
      <c r="M20" s="1"/>
      <c r="N20" s="1" t="inlineStr">
        <is>
          <t>2026-W41</t>
        </is>
      </c>
      <c r="O20" s="1" t="inlineStr">
        <is>
          <t>2fd31d33722311d8e0155bb5eca6b3a310ac938b</t>
        </is>
      </c>
      <c r="P20" s="1"/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PENDING_KICKOFF_OR_FINAL_SCORE</t>
        </is>
      </c>
      <c r="G21" s="1"/>
      <c r="H21" s="1"/>
      <c r="I21" s="11"/>
      <c r="J21" s="1"/>
      <c r="K21" s="1"/>
      <c r="L21" s="1"/>
      <c r="M21" s="1"/>
      <c r="N21" s="1" t="inlineStr">
        <is>
          <t>2026-W41</t>
        </is>
      </c>
      <c r="O21" s="1" t="inlineStr">
        <is>
          <t>2fd31d33722311d8e0155bb5eca6b3a310ac938b</t>
        </is>
      </c>
      <c r="P21" s="1"/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PENDING_KICKOFF_OR_FINAL_SCORE</t>
        </is>
      </c>
      <c r="G22" s="1"/>
      <c r="H22" s="1"/>
      <c r="I22" s="11"/>
      <c r="J22" s="1"/>
      <c r="K22" s="1"/>
      <c r="L22" s="1"/>
      <c r="M22" s="1"/>
      <c r="N22" s="1" t="inlineStr">
        <is>
          <t>2026-W41</t>
        </is>
      </c>
      <c r="O22" s="1" t="inlineStr">
        <is>
          <t>2fd31d33722311d8e0155bb5eca6b3a310ac938b</t>
        </is>
      </c>
      <c r="P22" s="1"/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PENDING_KICKOFF_OR_FINAL_SCORE</t>
        </is>
      </c>
      <c r="G23" s="1"/>
      <c r="H23" s="1"/>
      <c r="I23" s="11"/>
      <c r="J23" s="1"/>
      <c r="K23" s="1"/>
      <c r="L23" s="1"/>
      <c r="M23" s="1"/>
      <c r="N23" s="1" t="inlineStr">
        <is>
          <t>2026-W42</t>
        </is>
      </c>
      <c r="O23" s="1" t="inlineStr">
        <is>
          <t>2fd31d33722311d8e0155bb5eca6b3a310ac938b</t>
        </is>
      </c>
      <c r="P23" s="1"/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PENDING_KICKOFF_OR_FINAL_SCORE</t>
        </is>
      </c>
      <c r="G24" s="1"/>
      <c r="H24" s="1"/>
      <c r="I24" s="11"/>
      <c r="J24" s="1"/>
      <c r="K24" s="1"/>
      <c r="L24" s="1"/>
      <c r="M24" s="1"/>
      <c r="N24" s="1" t="inlineStr">
        <is>
          <t>2026-W42</t>
        </is>
      </c>
      <c r="O24" s="1" t="inlineStr">
        <is>
          <t>2fd31d33722311d8e0155bb5eca6b3a310ac938b</t>
        </is>
      </c>
      <c r="P24" s="1"/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PENDING_KICKOFF_OR_FINAL_SCORE</t>
        </is>
      </c>
      <c r="G25" s="1"/>
      <c r="H25" s="1"/>
      <c r="I25" s="11"/>
      <c r="J25" s="1"/>
      <c r="K25" s="1"/>
      <c r="L25" s="1"/>
      <c r="M25" s="1"/>
      <c r="N25" s="1" t="inlineStr">
        <is>
          <t>2026-W42</t>
        </is>
      </c>
      <c r="O25" s="1" t="inlineStr">
        <is>
          <t>2fd31d33722311d8e0155bb5eca6b3a310ac938b</t>
        </is>
      </c>
      <c r="P25" s="1"/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PENDING_KICKOFF_OR_FINAL_SCORE</t>
        </is>
      </c>
      <c r="G26" s="1"/>
      <c r="H26" s="1"/>
      <c r="I26" s="11"/>
      <c r="J26" s="1"/>
      <c r="K26" s="1"/>
      <c r="L26" s="1"/>
      <c r="M26" s="1"/>
      <c r="N26" s="1" t="inlineStr">
        <is>
          <t>2026-W42</t>
        </is>
      </c>
      <c r="O26" s="1" t="inlineStr">
        <is>
          <t>2fd31d33722311d8e0155bb5eca6b3a310ac938b</t>
        </is>
      </c>
      <c r="P26" s="1"/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</sheetData>
  <pageMargins left="0.7" right="0.7" top="0.75" bottom="0.75" header="0.3" footer="0.3"/>
  <tableParts count="1">
    <tablePart ns1:id="Rab36e2e62cba44b5"/>
  </tableParts>
</worksheet>
</file>