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1.2499999999999987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0.9230769230769231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1.2499999999999993</c:v>
                </c:pt>
                <c:pt idx="45">
                  <c:v>1.2499999999999993</c:v>
                </c:pt>
                <c:pt idx="46">
                  <c:v>1.2499999999999993</c:v>
                </c:pt>
                <c:pt idx="47">
                  <c:v>1.2499999999999993</c:v>
                </c:pt>
                <c:pt idx="48">
                  <c:v>1.2499999999999993</c:v>
                </c:pt>
                <c:pt idx="49">
                  <c:v>1.2499999999999993</c:v>
                </c:pt>
                <c:pt idx="50">
                  <c:v>1.2499999999999993</c:v>
                </c:pt>
                <c:pt idx="51">
                  <c:v>1.2499999999999993</c:v>
                </c:pt>
                <c:pt idx="52">
                  <c:v>1.2499999999999993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0.7615426725497163</c:v>
                </c:pt>
                <c:pt idx="4">
                  <c:v>0.8379793047069647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0.7333333333333333</c:v>
                </c:pt>
                <c:pt idx="4">
                  <c:v>0.8333333333333334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13</v>
      </c>
      <c r="F7" s="20">
        <f>Breakdowns!H7</f>
        <v>0.9230769230769231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30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0.03124999999999998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1.2499999999999991</v>
      </c>
      <c r="C14" s="18"/>
      <c r="D14" s="18" t="inlineStr">
        <is>
          <t>40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0.16974529620990392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0.5849056603773585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0.5553467134905661</v>
      </c>
      <c r="C17" s="18"/>
      <c r="D17" s="18" t="inlineStr">
        <is>
          <t>Over 1.5</t>
        </is>
      </c>
      <c r="E17" s="18">
        <f>COUNT(Predictions!J6:J234)</f>
        <v>106</v>
      </c>
      <c r="F17" s="20">
        <f>IF(E17=0,"n.a.",AVERAGE(Predictions!J6:J234))</f>
        <v>0.8113207547169812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0.598057409330299</v>
      </c>
      <c r="C18" s="18"/>
      <c r="D18" s="18" t="inlineStr">
        <is>
          <t>Under 3.5</t>
        </is>
      </c>
      <c r="E18" s="18">
        <f>COUNT(Predictions!K6:K234)</f>
        <v>106</v>
      </c>
      <c r="F18" s="20">
        <f>IF(E18=0,"n.a.",AVERAGE(Predictions!K6:K234))</f>
        <v>0.5943396226415094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0.8581303210445048</v>
      </c>
      <c r="C19" s="18"/>
      <c r="D19" s="18" t="inlineStr">
        <is>
          <t>BTTS Yes</t>
        </is>
      </c>
      <c r="E19" s="18">
        <f>COUNT(Predictions!L6:L234)</f>
        <v>106</v>
      </c>
      <c r="F19" s="20">
        <f>IF(E19=0,"n.a.",AVERAGE(Predictions!L6:L234))</f>
        <v>0.5377358490566038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106</v>
      </c>
      <c r="F20" s="20">
        <f>IF(E20=0,"n.a.",AVERAGE(Predictions!M6:M234))</f>
        <v>0.5377358490566038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30 wins from 40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2026-10-24T09:43:07.637857+00:00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79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1.2499999999999993</v>
      </c>
      <c r="G54" s="22">
        <f>$B$4+F54</f>
        <v>101.25</v>
      </c>
      <c r="H54" s="22">
        <f>MAX($B$4,$G$10:G54)</f>
        <v>102.81</v>
      </c>
      <c r="I54" s="22">
        <f>H54-G54</f>
        <v>1.5600000000000023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1.2499999999999993</v>
      </c>
      <c r="G55" s="22">
        <f>$B$4+F55</f>
        <v>101.25</v>
      </c>
      <c r="H55" s="22">
        <f>MAX($B$4,$G$10:G55)</f>
        <v>102.81</v>
      </c>
      <c r="I55" s="22">
        <f>H55-G55</f>
        <v>1.5600000000000023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1.2499999999999993</v>
      </c>
      <c r="G56" s="22">
        <f>$B$4+F56</f>
        <v>101.25</v>
      </c>
      <c r="H56" s="22">
        <f>MAX($B$4,$G$10:G56)</f>
        <v>102.81</v>
      </c>
      <c r="I56" s="22">
        <f>H56-G56</f>
        <v>1.5600000000000023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1.2499999999999993</v>
      </c>
      <c r="G57" s="22">
        <f>$B$4+F57</f>
        <v>101.25</v>
      </c>
      <c r="H57" s="22">
        <f>MAX($B$4,$G$10:G57)</f>
        <v>102.81</v>
      </c>
      <c r="I57" s="22">
        <f>H57-G57</f>
        <v>1.5600000000000023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1.2499999999999993</v>
      </c>
      <c r="G58" s="22">
        <f>$B$4+F58</f>
        <v>101.25</v>
      </c>
      <c r="H58" s="22">
        <f>MAX($B$4,$G$10:G58)</f>
        <v>102.81</v>
      </c>
      <c r="I58" s="22">
        <f>H58-G58</f>
        <v>1.5600000000000023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PENDING_KICKOFF_OR_FINAL_SCORE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1.2499999999999993</v>
      </c>
      <c r="G59" s="22">
        <f>$B$4+F59</f>
        <v>101.25</v>
      </c>
      <c r="H59" s="22">
        <f>MAX($B$4,$G$10:G59)</f>
        <v>102.81</v>
      </c>
      <c r="I59" s="22">
        <f>H59-G59</f>
        <v>1.5600000000000023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1.2499999999999993</v>
      </c>
      <c r="G60" s="22">
        <f>$B$4+F60</f>
        <v>101.25</v>
      </c>
      <c r="H60" s="22">
        <f>MAX($B$4,$G$10:G60)</f>
        <v>102.81</v>
      </c>
      <c r="I60" s="22">
        <f>H60-G60</f>
        <v>1.5600000000000023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1.2499999999999993</v>
      </c>
      <c r="G61" s="22">
        <f>$B$4+F61</f>
        <v>101.25</v>
      </c>
      <c r="H61" s="22">
        <f>MAX($B$4,$G$10:G61)</f>
        <v>102.81</v>
      </c>
      <c r="I61" s="22">
        <f>H61-G61</f>
        <v>1.5600000000000023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1.2499999999999993</v>
      </c>
      <c r="G62" s="22">
        <f>$B$4+F62</f>
        <v>101.25</v>
      </c>
      <c r="H62" s="22">
        <f>MAX($B$4,$G$10:G62)</f>
        <v>102.81</v>
      </c>
      <c r="I62" s="22">
        <f>H62-G62</f>
        <v>1.5600000000000023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40</v>
      </c>
      <c r="E6" s="19">
        <f>(COUNTIFS(Selections!$K$6:$K$58,"WON")+COUNTIFS(Selections!$K$6:$K$58,"HALF_WON"))</f>
        <v>30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13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0.75</v>
      </c>
      <c r="I6" s="22">
        <f>SUM(Selections!$M$6:$M$58)</f>
        <v>40</v>
      </c>
      <c r="J6" s="22">
        <f>SUM(Selections!$N$6:$N$58)</f>
        <v>1.2499999999999991</v>
      </c>
      <c r="K6" s="20">
        <f>IF(SUM(Selections!$M$6:$M$58)=0,"n.a.",SUM(Selections!$N$6:$N$58)/SUM(Selections!$M$6:$M$58))</f>
        <v>0.03124999999999998</v>
      </c>
      <c r="L6" s="21">
        <f>IF(SUM(Selections!$T$6:$T$58)=0,"n.a.",SUM(Selections!$O$6:$O$58)/SUM(Selections!$T$6:$T$58))</f>
        <v>0.16974529620990392</v>
      </c>
      <c r="M6" s="20">
        <f>IF(SUM(Selections!$T$6:$T$58)=0,"n.a.",SUM(Selections!$S$6:$S$58)/SUM(Selections!$T$6:$T$58))</f>
        <v>0.7615255823931577</v>
      </c>
      <c r="N6" s="20">
        <f>IF(SUM(Selections!$T$6:$T$58)=0,"n.a.",(SUMIFS(Selections!$L$6:$L$58,Selections!$T$6:$T$58,1))/SUM(Selections!$T$6:$T$58))</f>
        <v>0.75</v>
      </c>
      <c r="O6" s="20">
        <f>IF(SUM(Selections!$T$6:$T$58)=0,"n.a.",(SUM(Selections!$S$6:$S$58)-(SUMIFS(Selections!$L$6:$L$58,Selections!$T$6:$T$58,1)))/SUM(Selections!$T$6:$T$58))</f>
        <v>0.011525582393157707</v>
      </c>
      <c r="P6" s="19">
        <f>SUM(Selections!$T$6:$T$58)</f>
        <v>40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E7" s="19">
        <f>(COUNTIFS(Selections!$F$6:$F$58,"STRICT",Selections!$K$6:$K$58,"WON")+COUNTIFS(Selections!$F$6:$F$58,"STRICT",Selections!$K$6:$K$58,"HALF_WON"))</f>
        <v>12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0.9230769230769231</v>
      </c>
      <c r="I7" s="22">
        <f>SUMIFS(Selections!$M$6:$M$58,Selections!$F$6:$F$58,"STRICT")</f>
        <v>13</v>
      </c>
      <c r="J7" s="22">
        <f>SUMIFS(Selections!$N$6:$N$58,Selections!$F$6:$F$58,"STRICT")</f>
        <v>4.14</v>
      </c>
      <c r="K7" s="20">
        <f>IF(SUMIFS(Selections!$M$6:$M$58,Selections!$F$6:$F$58,"STRICT")=0,"n.a.",SUMIFS(Selections!$N$6:$N$58,Selections!$F$6:$F$58,"STRICT")/SUMIFS(Selections!$M$6:$M$58,Selections!$F$6:$F$58,"STRICT"))</f>
        <v>0.31846153846153846</v>
      </c>
      <c r="L7" s="21">
        <f>IF(SUMIFS(Selections!$T$6:$T$58,Selections!$F$6:$F$58,"STRICT")=0,"n.a.",SUMIFS(Selections!$O$6:$O$58,Selections!$F$6:$F$58,"STRICT")/SUMIFS(Selections!$T$6:$T$58,Selections!$F$6:$F$58,"STRICT"))</f>
        <v>0.08652738063459625</v>
      </c>
      <c r="M7" s="20">
        <f>IF(SUMIFS(Selections!$T$6:$T$58,Selections!$F$6:$F$58,"STRICT")=0,"n.a.",SUMIFS(Selections!$S$6:$S$58,Selections!$F$6:$F$58,"STRICT")/SUMIFS(Selections!$T$6:$T$58,Selections!$F$6:$F$58,"STRICT"))</f>
        <v>0.7650109663305589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0.9230769230769231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-0.15806595674636426</v>
      </c>
      <c r="P7" s="19">
        <f>SUMIFS(Selections!$T$6:$T$58,Selections!$F$6:$F$58,"STRICT")</f>
        <v>13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(n=13).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4</v>
      </c>
      <c r="E9" s="19">
        <f>(COUNTIFS(Selections!$C$6:$C$58,"Bundesliga",Selections!$K$6:$K$58,"WON")+COUNTIFS(Selections!$C$6:$C$58,"Bundesliga",Selections!$K$6:$K$58,"HALF_WON"))</f>
        <v>4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2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4</v>
      </c>
      <c r="J9" s="22">
        <f>SUMIFS(Selections!$N$6:$N$58,Selections!$C$6:$C$58,"Bundesliga")</f>
        <v>1.3599999999999999</v>
      </c>
      <c r="K9" s="20">
        <f>IF(SUMIFS(Selections!$M$6:$M$58,Selections!$C$6:$C$58,"Bundesliga")=0,"n.a.",SUMIFS(Selections!$N$6:$N$58,Selections!$C$6:$C$58,"Bundesliga")/SUMIFS(Selections!$M$6:$M$58,Selections!$C$6:$C$58,"Bundesliga"))</f>
        <v>0.33999999999999997</v>
      </c>
      <c r="L9" s="21">
        <f>IF(SUMIFS(Selections!$T$6:$T$58,Selections!$C$6:$C$58,"Bundesliga")=0,"n.a.",SUMIFS(Selections!$O$6:$O$58,Selections!$C$6:$C$58,"Bundesliga")/SUMIFS(Selections!$T$6:$T$58,Selections!$C$6:$C$58,"Bundesliga"))</f>
        <v>0.04034464395720855</v>
      </c>
      <c r="M9" s="20">
        <f>IF(SUMIFS(Selections!$T$6:$T$58,Selections!$C$6:$C$58,"Bundesliga")=0,"n.a.",SUMIFS(Selections!$S$6:$S$58,Selections!$C$6:$C$58,"Bundesliga")/SUMIFS(Selections!$T$6:$T$58,Selections!$C$6:$C$58,"Bundesliga"))</f>
        <v>0.8014881141549439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-0.19851188584505608</v>
      </c>
      <c r="P9" s="19">
        <f>SUMIFS(Selections!$T$6:$T$58,Selections!$C$6:$C$58,"Bundesliga")</f>
        <v>4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(n=4).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8</v>
      </c>
      <c r="E10" s="19">
        <f>(COUNTIFS(Selections!$C$6:$C$58,"La Liga",Selections!$K$6:$K$58,"WON")+COUNTIFS(Selections!$C$6:$C$58,"La Liga",Selections!$K$6:$K$58,"HALF_WON"))</f>
        <v>8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3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8</v>
      </c>
      <c r="J10" s="22">
        <f>SUMIFS(Selections!$N$6:$N$58,Selections!$C$6:$C$58,"La Liga")</f>
        <v>2.55</v>
      </c>
      <c r="K10" s="20">
        <f>IF(SUMIFS(Selections!$M$6:$M$58,Selections!$C$6:$C$58,"La Liga")=0,"n.a.",SUMIFS(Selections!$N$6:$N$58,Selections!$C$6:$C$58,"La Liga")/SUMIFS(Selections!$M$6:$M$58,Selections!$C$6:$C$58,"La Liga"))</f>
        <v>0.31875</v>
      </c>
      <c r="L10" s="21">
        <f>IF(SUMIFS(Selections!$T$6:$T$58,Selections!$C$6:$C$58,"La Liga")=0,"n.a.",SUMIFS(Selections!$O$6:$O$58,Selections!$C$6:$C$58,"La Liga")/SUMIFS(Selections!$T$6:$T$58,Selections!$C$6:$C$58,"La Liga"))</f>
        <v>0.04219244252389625</v>
      </c>
      <c r="M10" s="20">
        <f>IF(SUMIFS(Selections!$T$6:$T$58,Selections!$C$6:$C$58,"La Liga")=0,"n.a.",SUMIFS(Selections!$S$6:$S$58,Selections!$C$6:$C$58,"La Liga")/SUMIFS(Selections!$T$6:$T$58,Selections!$C$6:$C$58,"La Liga"))</f>
        <v>0.8098677063591664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-0.19013229364083362</v>
      </c>
      <c r="P10" s="19">
        <f>SUMIFS(Selections!$T$6:$T$58,Selections!$C$6:$C$58,"La Liga")</f>
        <v>8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(n=8).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1</v>
      </c>
      <c r="E17" s="19">
        <f>(COUNTIFS(Selections!$E$6:$E$58,"Asian Handicap Away +2.00",Selections!$K$6:$K$58,"WON")+COUNTIFS(Selections!$E$6:$E$58,"Asian Handicap Away +2.00",Selections!$K$6:$K$58,"HALF_WON"))</f>
        <v>1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3</v>
      </c>
      <c r="H17" s="20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1.0</v>
      </c>
      <c r="I17" s="22">
        <f>SUMIFS(Selections!$M$6:$M$58,Selections!$E$6:$E$58,"Asian Handicap Away +2.00")</f>
        <v>1</v>
      </c>
      <c r="J17" s="22">
        <f>SUMIFS(Selections!$N$6:$N$58,Selections!$E$6:$E$58,"Asian Handicap Away +2.00")</f>
        <v>0.62</v>
      </c>
      <c r="K17" s="20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0.62</v>
      </c>
      <c r="L17" s="21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0.042177986277452256</v>
      </c>
      <c r="M17" s="20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0.7946272017100311</v>
      </c>
      <c r="N17" s="20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1.0</v>
      </c>
      <c r="O17" s="20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-0.2053727982899689</v>
      </c>
      <c r="P17" s="19">
        <f>SUMIFS(Selections!$T$6:$T$58,Selections!$E$6:$E$58,"Asian Handicap Away +2.00")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6</v>
      </c>
      <c r="E24" s="19">
        <f>(COUNTIFS(Selections!$E$6:$E$58,"Double Chance 1X",Selections!$K$6:$K$58,"WON")+COUNTIFS(Selections!$E$6:$E$58,"Double Chance 1X",Selections!$K$6:$K$58,"HALF_WON"))</f>
        <v>5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3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0.8333333333333334</v>
      </c>
      <c r="I24" s="22">
        <f>SUMIFS(Selections!$M$6:$M$58,Selections!$E$6:$E$58,"Double Chance 1X")</f>
        <v>6</v>
      </c>
      <c r="J24" s="22">
        <f>SUMIFS(Selections!$N$6:$N$58,Selections!$E$6:$E$58,"Double Chance 1X")</f>
        <v>0.3599999999999999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0.05999999999999998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0.09731680945661371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0.7747393130999134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0.8333333333333334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-0.058594020233419974</v>
      </c>
      <c r="P24" s="19">
        <f>SUMIFS(Selections!$T$6:$T$58,Selections!$E$6:$E$58,"Double Chance 1X")</f>
        <v>6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(n=6).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2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2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9</v>
      </c>
      <c r="H31" s="20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1.0</v>
      </c>
      <c r="I31" s="22">
        <f>SUMIFS(Selections!$M$6:$M$58,Selections!$G$6:$G$58,"48h-zero-tolerance-ev1-common-no-loss75-v22")</f>
        <v>2</v>
      </c>
      <c r="J31" s="22">
        <f>SUMIFS(Selections!$N$6:$N$58,Selections!$G$6:$G$58,"48h-zero-tolerance-ev1-common-no-loss75-v22")</f>
        <v>0.82</v>
      </c>
      <c r="K31" s="20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0.41</v>
      </c>
      <c r="L31" s="21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0.03332025004546776</v>
      </c>
      <c r="M31" s="20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0.8191111171772524</v>
      </c>
      <c r="N31" s="20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1.0</v>
      </c>
      <c r="O31" s="20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-0.18088888282274762</v>
      </c>
      <c r="P31" s="19">
        <f>SUMIFS(Selections!$T$6:$T$58,Selections!$G$6:$G$58,"48h-zero-tolerance-ev1-common-no-loss75-v22")</f>
        <v>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14</v>
      </c>
      <c r="E40" s="19">
        <f>(COUNTIFS(Selections!$P$6:$P$58,"2026-W43",Selections!$K$6:$K$58,"WON")+COUNTIFS(Selections!$P$6:$P$58,"2026-W43",Selections!$K$6:$K$58,"HALF_WON"))</f>
        <v>9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10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0.6428571428571429</v>
      </c>
      <c r="I40" s="22">
        <f>SUMIFS(Selections!$M$6:$M$58,Selections!$P$6:$P$58,"2026-W43")</f>
        <v>14</v>
      </c>
      <c r="J40" s="22">
        <f>SUMIFS(Selections!$N$6:$N$58,Selections!$P$6:$P$58,"2026-W43")</f>
        <v>-1.5600000000000005</v>
      </c>
      <c r="K40" s="20">
        <f>IF(SUMIFS(Selections!$M$6:$M$58,Selections!$P$6:$P$58,"2026-W43")=0,"n.a.",SUMIFS(Selections!$N$6:$N$58,Selections!$P$6:$P$58,"2026-W43")/SUMIFS(Selections!$M$6:$M$58,Selections!$P$6:$P$58,"2026-W43"))</f>
        <v>-0.11142857142857146</v>
      </c>
      <c r="L40" s="21">
        <f>IF(SUMIFS(Selections!$T$6:$T$58,Selections!$P$6:$P$58,"2026-W43")=0,"n.a.",SUMIFS(Selections!$O$6:$O$58,Selections!$P$6:$P$58,"2026-W43")/SUMIFS(Selections!$T$6:$T$58,Selections!$P$6:$P$58,"2026-W43"))</f>
        <v>0.18598056948348232</v>
      </c>
      <c r="M40" s="20">
        <f>IF(SUMIFS(Selections!$T$6:$T$58,Selections!$P$6:$P$58,"2026-W43")=0,"n.a.",SUMIFS(Selections!$S$6:$S$58,Selections!$P$6:$P$58,"2026-W43")/SUMIFS(Selections!$T$6:$T$58,Selections!$P$6:$P$58,"2026-W43"))</f>
        <v>0.7324086079386708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0.6428571428571429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0.08955146508152789</v>
      </c>
      <c r="P40" s="19">
        <f>SUMIFS(Selections!$T$6:$T$58,Selections!$P$6:$P$58,"2026-W43")</f>
        <v>14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(n=14).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15</v>
      </c>
      <c r="E9" s="20">
        <f>IF(D9=0,"n.a.",SUMIFS(Selections!$S$6:$S$58,Selections!$S$6:$S$58,"&gt;="&amp;B9,Selections!$S$6:$S$58,"&lt;"&amp;C9,Selections!$T$6:$T$58,1)/D9)</f>
        <v>0.7615426725497163</v>
      </c>
      <c r="F9" s="20">
        <f>IF(D9=0,"n.a.",SUMIFS(Selections!$L$6:$L$58,Selections!$S$6:$S$58,"&gt;="&amp;B9,Selections!$S$6:$S$58,"&lt;"&amp;C9,Selections!$T$6:$T$58,1)/D9)</f>
        <v>0.7333333333333333</v>
      </c>
      <c r="G9" s="20">
        <f>IF(D9=0,"n.a.",E9-F9)</f>
        <v>0.028209339216383023</v>
      </c>
      <c r="H9" s="21">
        <f>IF(D9=0,"n.a.",SUMIFS(Selections!$O$6:$O$58,Selections!$S$6:$S$58,"&gt;="&amp;B9,Selections!$S$6:$S$58,"&lt;"&amp;C9,Selections!$T$6:$T$58,1)/D9)</f>
        <v>0.1941562793435939</v>
      </c>
      <c r="I9" s="18" t="inlineStr">
        <is>
          <t>Collect more scored forecasts (n=15).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12</v>
      </c>
      <c r="E10" s="20">
        <f>IF(D10=0,"n.a.",SUMIFS(Selections!$S$6:$S$58,Selections!$S$6:$S$58,"&gt;="&amp;B10,Selections!$S$6:$S$58,"&lt;"&amp;C10,Selections!$T$6:$T$58,1)/D10)</f>
        <v>0.8379793047069647</v>
      </c>
      <c r="F10" s="20">
        <f>IF(D10=0,"n.a.",SUMIFS(Selections!$L$6:$L$58,Selections!$S$6:$S$58,"&gt;="&amp;B10,Selections!$S$6:$S$58,"&lt;"&amp;C10,Selections!$T$6:$T$58,1)/D10)</f>
        <v>0.8333333333333334</v>
      </c>
      <c r="G10" s="20">
        <f>IF(D10=0,"n.a.",E10-F10)</f>
        <v>0.004645971373631319</v>
      </c>
      <c r="H10" s="21">
        <f>IF(D10=0,"n.a.",SUMIFS(Selections!$O$6:$O$58,Selections!$S$6:$S$58,"&gt;="&amp;B10,Selections!$S$6:$S$58,"&lt;"&amp;C10,Selections!$T$6:$T$58,1)/D10)</f>
        <v>0.13875389402891505</v>
      </c>
      <c r="I10" s="18" t="inlineStr">
        <is>
          <t>Collect more scored forecasts (n=12).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PENDING_KICKOFF_OR_FINAL_SCORE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10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18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10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18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168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10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18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10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18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0.9574468085106383</v>
      </c>
      <c r="H10" s="18" t="inlineStr">
        <is>
          <t>Approval review</t>
        </is>
      </c>
      <c r="I10" s="18" t="inlineStr">
        <is>
          <t>255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8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0.1702127659574468</v>
      </c>
      <c r="H11" s="18" t="inlineStr">
        <is>
          <t>Approval review</t>
        </is>
      </c>
      <c r="I11" s="18" t="inlineStr">
        <is>
          <t>292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0.9574468085106383</v>
      </c>
      <c r="H12" s="18" t="inlineStr">
        <is>
          <t>Approval review</t>
        </is>
      </c>
      <c r="I12" s="18" t="inlineStr">
        <is>
          <t>255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45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0.9574468085106383</v>
      </c>
      <c r="H13" s="18" t="inlineStr">
        <is>
          <t>Approval review</t>
        </is>
      </c>
      <c r="I13" s="18" t="inlineStr">
        <is>
          <t>255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14.0</v>
      </c>
      <c r="C8" s="19">
        <f>COUNTIFS(Selections!$P$6:$P$58,A8,Selections!$M$6:$M$58,"&gt;0")</f>
        <v>14.0</v>
      </c>
      <c r="D8" s="22">
        <f>IF(C8=0,"n.a.",Breakdowns!J40)</f>
        <v>-1.5600000000000005</v>
      </c>
      <c r="E8" s="22">
        <f>IF(SUM($C$6:C8)=0,"n.a.",SUM($D$6:D8))</f>
        <v>1.2499999999999987</v>
      </c>
      <c r="F8" s="20">
        <f>Breakdowns!H40</f>
        <v>0.6428571428571429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v23/v24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40</v>
      </c>
      <c r="C8" s="19">
        <v>30</v>
      </c>
      <c r="D8" s="19">
        <v>10</v>
      </c>
      <c r="E8" s="19">
        <v>13</v>
      </c>
      <c r="F8" s="20">
        <v>0.75</v>
      </c>
      <c r="G8" s="20">
        <v>0.03125</v>
      </c>
      <c r="H8" s="19">
        <v>1.25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1</v>
      </c>
      <c r="E48" s="19">
        <v>1</v>
      </c>
      <c r="F48" s="20">
        <v>1.0</v>
      </c>
      <c r="G48" s="20">
        <v>0.18</v>
      </c>
      <c r="H48" s="19">
        <v>0.18</v>
      </c>
      <c r="I48" s="19">
        <v>5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1</v>
      </c>
      <c r="E49" s="19">
        <v>1</v>
      </c>
      <c r="F49" s="20">
        <v>1.0</v>
      </c>
      <c r="G49" s="20">
        <v>0.62</v>
      </c>
      <c r="H49" s="19">
        <v>0.62</v>
      </c>
      <c r="I49" s="19">
        <v>9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2026-10-24T09:43:07.637857+00:00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6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6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5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21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80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43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50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63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12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25</v>
      </c>
      <c r="C29" s="19">
        <v>19</v>
      </c>
      <c r="D29" s="19">
        <v>9</v>
      </c>
      <c r="E29" s="20">
        <v>-0.037017674215010794</v>
      </c>
      <c r="F29" s="20">
        <v>0.009153547906679346</v>
      </c>
    </row>
    <row r="30" ht="44" customHeight="1">
      <c r="A30" s="18" t="inlineStr">
        <is>
          <t>bet365</t>
        </is>
      </c>
      <c r="B30" s="19">
        <v>0</v>
      </c>
      <c r="C30" s="19">
        <v>44</v>
      </c>
      <c r="D30" s="19">
        <v>9</v>
      </c>
      <c r="E30" s="20" t="inlineStr">
        <is>
          <t>Unavailable</t>
        </is>
      </c>
      <c r="F30" s="20" t="inlineStr">
        <is>
          <t>Unavailable</t>
        </is>
      </c>
    </row>
    <row r="31" ht="44" customHeight="1">
      <c r="A31" s="18" t="inlineStr">
        <is>
          <t>pinnacle</t>
        </is>
      </c>
      <c r="B31" s="19">
        <v>28</v>
      </c>
      <c r="C31" s="19">
        <v>16</v>
      </c>
      <c r="D31" s="19">
        <v>9</v>
      </c>
      <c r="E31" s="20">
        <v>-0.039410502940714694</v>
      </c>
      <c r="F31" s="20">
        <v>0.006211180124223503</v>
      </c>
    </row>
    <row r="34">
      <c r="A34" s="27" t="inlineStr">
        <is>
          <t>Near-close quotes: latest selections. Observed quotes are not guaranteed official closes; accepted execution is unverified.</t>
        </is>
      </c>
    </row>
    <row r="36">
      <c r="A36" s="26" t="inlineStr">
        <is>
          <t>Latest shortlist quote audit</t>
        </is>
      </c>
    </row>
    <row r="37" ht="34" customHeight="1">
      <c r="A37" s="24" t="inlineStr">
        <is>
          <t>Check</t>
        </is>
      </c>
      <c r="B37" s="24" t="inlineStr">
        <is>
          <t>Recorded value</t>
        </is>
      </c>
    </row>
    <row r="38" ht="44" customHeight="1">
      <c r="A38" s="18" t="inlineStr">
        <is>
          <t>Selected quotes</t>
        </is>
      </c>
      <c r="B38" s="19">
        <v>12</v>
      </c>
    </row>
    <row r="39" ht="44" customHeight="1">
      <c r="A39" s="18" t="inlineStr">
        <is>
          <t>Exchange quotes</t>
        </is>
      </c>
      <c r="B39" s="19">
        <v>0</v>
      </c>
    </row>
    <row r="40" ht="44" customHeight="1">
      <c r="A40" s="18" t="inlineStr">
        <is>
          <t>Missing quote age</t>
        </is>
      </c>
      <c r="B40" s="19">
        <v>0</v>
      </c>
    </row>
    <row r="41" ht="44" customHeight="1">
      <c r="A41" s="18" t="inlineStr">
        <is>
          <t>Quote age over 24h</t>
        </is>
      </c>
      <c r="B41" s="19">
        <v>0</v>
      </c>
    </row>
    <row r="42" ht="44" customHeight="1">
      <c r="A42" s="18" t="inlineStr">
        <is>
          <t>Costs recorded</t>
        </is>
      </c>
      <c r="B42" s="19">
        <v>12</v>
      </c>
    </row>
    <row r="43" ht="44" customHeight="1">
      <c r="A43" s="18" t="inlineStr">
        <is>
          <t>Bookmakers: Pinnacle</t>
        </is>
      </c>
      <c r="B43" s="19">
        <v>12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1</v>
      </c>
    </row>
    <row r="46" ht="44" customHeight="1">
      <c r="A46" s="18" t="inlineStr">
        <is>
          <t>Upcoming kickoff count</t>
        </is>
      </c>
      <c r="B46" s="19">
        <v>11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32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32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28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23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EV filter sensitivity</t>
        </is>
      </c>
      <c r="B60" s="18" t="inlineStr">
        <is>
          <t>Not generated</t>
        </is>
      </c>
      <c r="C60" s="19">
        <v>4</v>
      </c>
    </row>
    <row r="61" ht="44" customHeight="1">
      <c r="A61" s="18" t="inlineStr">
        <is>
          <t>85% market weight</t>
        </is>
      </c>
      <c r="B61" s="18" t="inlineStr">
        <is>
          <t>Captured</t>
        </is>
      </c>
      <c r="C61" s="19">
        <v>25</v>
      </c>
    </row>
    <row r="62" ht="44" customHeight="1">
      <c r="A62" s="18" t="inlineStr">
        <is>
          <t>85% market weight</t>
        </is>
      </c>
      <c r="B62" s="18" t="inlineStr">
        <is>
          <t>Legacy not recorded</t>
        </is>
      </c>
      <c r="C62" s="19">
        <v>20</v>
      </c>
    </row>
    <row r="63" ht="44" customHeight="1">
      <c r="A63" s="18" t="inlineStr">
        <is>
          <t>85% market weight</t>
        </is>
      </c>
      <c r="B63" s="18" t="inlineStr">
        <is>
          <t>Present but rejected</t>
        </is>
      </c>
      <c r="C63" s="19">
        <v>1</v>
      </c>
    </row>
    <row r="64" ht="44" customHeight="1">
      <c r="A64" s="18" t="inlineStr">
        <is>
          <t>Pinnacle totals anchor</t>
        </is>
      </c>
      <c r="B64" s="18" t="inlineStr">
        <is>
          <t>Captured</t>
        </is>
      </c>
      <c r="C64" s="19">
        <v>25</v>
      </c>
    </row>
    <row r="65" ht="44" customHeight="1">
      <c r="A65" s="18" t="inlineStr">
        <is>
          <t>Pinnacle totals anchor</t>
        </is>
      </c>
      <c r="B65" s="18" t="inlineStr">
        <is>
          <t>Legacy not recorded</t>
        </is>
      </c>
      <c r="C65" s="19">
        <v>21</v>
      </c>
    </row>
    <row r="66" ht="44" customHeight="1">
      <c r="A66" s="18" t="inlineStr">
        <is>
          <t>Stronger regularisation (L2=3)</t>
        </is>
      </c>
      <c r="B66" s="18" t="inlineStr">
        <is>
          <t>Legacy not recorded</t>
        </is>
      </c>
      <c r="C66" s="19">
        <v>46</v>
      </c>
    </row>
    <row r="67" ht="44" customHeight="1">
      <c r="A67" s="18" t="inlineStr">
        <is>
          <t>Fixed half-life (480 days)</t>
        </is>
      </c>
      <c r="B67" s="18" t="inlineStr">
        <is>
          <t>Legacy not recorded</t>
        </is>
      </c>
      <c r="C67" s="19">
        <v>46</v>
      </c>
    </row>
    <row r="68" ht="44" customHeight="1">
      <c r="A68" s="18" t="inlineStr">
        <is>
          <t>Probability / calibration policy</t>
        </is>
      </c>
      <c r="B68" s="18" t="inlineStr">
        <is>
          <t>Captured</t>
        </is>
      </c>
      <c r="C68" s="19">
        <v>15</v>
      </c>
    </row>
    <row r="69" ht="44" customHeight="1">
      <c r="A69" s="18" t="inlineStr">
        <is>
          <t>Probability / calibration policy</t>
        </is>
      </c>
      <c r="B69" s="18" t="inlineStr">
        <is>
          <t>Legacy not recorded</t>
        </is>
      </c>
      <c r="C69" s="19">
        <v>26</v>
      </c>
    </row>
    <row r="70" ht="44" customHeight="1">
      <c r="A70" s="18" t="inlineStr">
        <is>
          <t>Probability / calibration policy</t>
        </is>
      </c>
      <c r="B70" s="18" t="inlineStr">
        <is>
          <t>Not generated</t>
        </is>
      </c>
      <c r="C70" s="19">
        <v>4</v>
      </c>
    </row>
    <row r="71" ht="44" customHeight="1">
      <c r="A71" s="18" t="inlineStr">
        <is>
          <t>Probability / calibration policy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Shortlist probability / EV weights</t>
        </is>
      </c>
      <c r="B72" s="18" t="inlineStr">
        <is>
          <t>Captured</t>
        </is>
      </c>
      <c r="C72" s="19">
        <v>7</v>
      </c>
    </row>
    <row r="73" ht="44" customHeight="1">
      <c r="A73" s="18" t="inlineStr">
        <is>
          <t>Shortlist probability / EV weights</t>
        </is>
      </c>
      <c r="B73" s="18" t="inlineStr">
        <is>
          <t>Legacy not recorded</t>
        </is>
      </c>
      <c r="C73" s="19">
        <v>35</v>
      </c>
    </row>
    <row r="74" ht="44" customHeight="1">
      <c r="A74" s="18" t="inlineStr">
        <is>
          <t>Shortlist probability / EV weights</t>
        </is>
      </c>
      <c r="B74" s="18" t="inlineStr">
        <is>
          <t>Not generated</t>
        </is>
      </c>
      <c r="C74" s="19">
        <v>4</v>
      </c>
    </row>
    <row r="77">
      <c r="A77" s="26" t="inlineStr">
        <is>
          <t>EV sensitivity results</t>
        </is>
      </c>
    </row>
    <row r="78" ht="34" customHeight="1">
      <c r="A78" s="24" t="inlineStr">
        <is>
          <t>EV floor</t>
        </is>
      </c>
      <c r="B78" s="24" t="inlineStr">
        <is>
          <t>Tier</t>
        </is>
      </c>
      <c r="C78" s="24" t="inlineStr">
        <is>
          <t>Selected</t>
        </is>
      </c>
      <c r="D78" s="24" t="inlineStr">
        <is>
          <t>Settled</t>
        </is>
      </c>
      <c r="E78" s="24" t="inlineStr">
        <is>
          <t>Simulated ROI</t>
        </is>
      </c>
      <c r="F78" s="24" t="inlineStr">
        <is>
          <t>Drawdown (units)</t>
        </is>
      </c>
    </row>
    <row r="79" ht="44" customHeight="1">
      <c r="A79" s="20">
        <v>0.015</v>
      </c>
      <c r="B79" s="18" t="inlineStr">
        <is>
          <t>ALL</t>
        </is>
      </c>
      <c r="C79" s="19">
        <v>9</v>
      </c>
      <c r="D79" s="19">
        <v>8</v>
      </c>
      <c r="E79" s="20">
        <v>0.1725</v>
      </c>
      <c r="F79" s="22">
        <v>1.0</v>
      </c>
    </row>
    <row r="80" ht="44" customHeight="1">
      <c r="A80" s="20">
        <v>0.015</v>
      </c>
      <c r="B80" s="18" t="inlineStr">
        <is>
          <t>STRICT</t>
        </is>
      </c>
      <c r="C80" s="19">
        <v>7</v>
      </c>
      <c r="D80" s="19">
        <v>6</v>
      </c>
      <c r="E80" s="20">
        <v>0.09833333333333331</v>
      </c>
      <c r="F80" s="22">
        <v>1.0</v>
      </c>
    </row>
    <row r="81" ht="44" customHeight="1">
      <c r="A81" s="20">
        <v>0.015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0.03</v>
      </c>
      <c r="B82" s="18" t="inlineStr">
        <is>
          <t>ALL</t>
        </is>
      </c>
      <c r="C82" s="19">
        <v>8</v>
      </c>
      <c r="D82" s="19">
        <v>7</v>
      </c>
      <c r="E82" s="20">
        <v>0.16285714285714284</v>
      </c>
      <c r="F82" s="22">
        <v>1.0</v>
      </c>
    </row>
    <row r="83" ht="44" customHeight="1">
      <c r="A83" s="20">
        <v>0.03</v>
      </c>
      <c r="B83" s="18" t="inlineStr">
        <is>
          <t>STRICT</t>
        </is>
      </c>
      <c r="C83" s="19">
        <v>6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0.03</v>
      </c>
      <c r="B84" s="18" t="inlineStr">
        <is>
          <t>PROVISIONAL</t>
        </is>
      </c>
      <c r="C84" s="19">
        <v>2</v>
      </c>
      <c r="D84" s="19">
        <v>2</v>
      </c>
      <c r="E84" s="20">
        <v>0.395</v>
      </c>
      <c r="F84" s="22">
        <v>0.0</v>
      </c>
    </row>
    <row r="85" ht="44" customHeight="1">
      <c r="A85" s="20">
        <v>0.05</v>
      </c>
      <c r="B85" s="18" t="inlineStr">
        <is>
          <t>ALL</t>
        </is>
      </c>
      <c r="C85" s="19">
        <v>7</v>
      </c>
      <c r="D85" s="19">
        <v>6</v>
      </c>
      <c r="E85" s="20">
        <v>0.14666666666666664</v>
      </c>
      <c r="F85" s="22">
        <v>1.0</v>
      </c>
    </row>
    <row r="86" ht="44" customHeight="1">
      <c r="A86" s="20">
        <v>0.05</v>
      </c>
      <c r="B86" s="18" t="inlineStr">
        <is>
          <t>STRICT</t>
        </is>
      </c>
      <c r="C86" s="19">
        <v>5</v>
      </c>
      <c r="D86" s="19">
        <v>5</v>
      </c>
      <c r="E86" s="20">
        <v>0.06999999999999998</v>
      </c>
      <c r="F86" s="22">
        <v>1.0</v>
      </c>
    </row>
    <row r="87" ht="44" customHeight="1">
      <c r="A87" s="20">
        <v>0.05</v>
      </c>
      <c r="B87" s="18" t="inlineStr">
        <is>
          <t>PROVISIONAL</t>
        </is>
      </c>
      <c r="C87" s="19">
        <v>2</v>
      </c>
      <c r="D87" s="19">
        <v>1</v>
      </c>
      <c r="E87" s="20">
        <v>0.53</v>
      </c>
      <c r="F87" s="22">
        <v>0.0</v>
      </c>
    </row>
    <row r="90">
      <c r="A90" s="26" t="inlineStr">
        <is>
          <t>Daily review observations</t>
        </is>
      </c>
    </row>
    <row r="91" ht="34" customHeight="1">
      <c r="A91" s="24" t="inlineStr">
        <is>
          <t>Review date</t>
        </is>
      </c>
      <c r="B91" s="24" t="inlineStr">
        <is>
          <t>Graded</t>
        </is>
      </c>
      <c r="C91" s="24" t="inlineStr">
        <is>
          <t>Win rate</t>
        </is>
      </c>
      <c r="D91" s="24" t="inlineStr">
        <is>
          <t>Simulated ROI</t>
        </is>
      </c>
      <c r="E91" s="24" t="inlineStr">
        <is>
          <t>Brier</t>
        </is>
      </c>
    </row>
    <row r="92" ht="44" customHeight="1">
      <c r="A92" s="18" t="inlineStr">
        <is>
          <t>2026-10-13</t>
        </is>
      </c>
      <c r="B92" s="19">
        <v>9</v>
      </c>
      <c r="C92" s="20">
        <v>0.666667</v>
      </c>
      <c r="D92" s="20">
        <v>-0.096667</v>
      </c>
      <c r="E92" s="21">
        <v>0.250532</v>
      </c>
    </row>
    <row r="93" ht="44" customHeight="1">
      <c r="A93" s="18" t="inlineStr">
        <is>
          <t>2026-10-14</t>
        </is>
      </c>
      <c r="B93" s="19">
        <v>11</v>
      </c>
      <c r="C93" s="20">
        <v>0.727273</v>
      </c>
      <c r="D93" s="20">
        <v>0.01</v>
      </c>
      <c r="E93" s="21">
        <v>0.215932</v>
      </c>
    </row>
    <row r="94" ht="44" customHeight="1">
      <c r="A94" s="18" t="inlineStr">
        <is>
          <t>2026-10-15</t>
        </is>
      </c>
      <c r="B94" s="19">
        <v>11</v>
      </c>
      <c r="C94" s="20">
        <v>0.727273</v>
      </c>
      <c r="D94" s="20">
        <v>0.01</v>
      </c>
      <c r="E94" s="21">
        <v>0.215932</v>
      </c>
    </row>
    <row r="95" ht="44" customHeight="1">
      <c r="A95" s="18" t="inlineStr">
        <is>
          <t>2026-10-16</t>
        </is>
      </c>
      <c r="B95" s="19">
        <v>12</v>
      </c>
      <c r="C95" s="20">
        <v>0.75</v>
      </c>
      <c r="D95" s="20">
        <v>0.031667</v>
      </c>
      <c r="E95" s="21">
        <v>0.199836</v>
      </c>
    </row>
    <row r="96" ht="44" customHeight="1">
      <c r="A96" s="18" t="inlineStr">
        <is>
          <t>2026-10-17</t>
        </is>
      </c>
      <c r="B96" s="19">
        <v>17</v>
      </c>
      <c r="C96" s="20">
        <v>0.764706</v>
      </c>
      <c r="D96" s="20">
        <v>0.044706</v>
      </c>
      <c r="E96" s="21">
        <v>0.178798</v>
      </c>
    </row>
    <row r="97" ht="44" customHeight="1">
      <c r="A97" s="18" t="inlineStr">
        <is>
          <t>2026-10-18</t>
        </is>
      </c>
      <c r="B97" s="19">
        <v>26</v>
      </c>
      <c r="C97" s="20">
        <v>0.807692</v>
      </c>
      <c r="D97" s="20">
        <v>0.108077</v>
      </c>
      <c r="E97" s="21">
        <v>0.161003</v>
      </c>
    </row>
    <row r="98" ht="44" customHeight="1">
      <c r="A98" s="18" t="inlineStr">
        <is>
          <t>2026-10-19</t>
        </is>
      </c>
      <c r="B98" s="19">
        <v>30</v>
      </c>
      <c r="C98" s="20">
        <v>0.733333</v>
      </c>
      <c r="D98" s="20">
        <v>0.011333</v>
      </c>
      <c r="E98" s="21">
        <v>0.175695</v>
      </c>
    </row>
    <row r="99" ht="44" customHeight="1">
      <c r="A99" s="18" t="inlineStr">
        <is>
          <t>2026-10-20</t>
        </is>
      </c>
      <c r="B99" s="19">
        <v>30</v>
      </c>
      <c r="C99" s="20">
        <v>0.733333</v>
      </c>
      <c r="D99" s="20">
        <v>0.011333</v>
      </c>
      <c r="E99" s="21">
        <v>0.175695</v>
      </c>
    </row>
    <row r="100" ht="44" customHeight="1">
      <c r="A100" s="18" t="inlineStr">
        <is>
          <t>2026-10-21</t>
        </is>
      </c>
      <c r="B100" s="19">
        <v>38</v>
      </c>
      <c r="C100" s="20">
        <v>0.736842</v>
      </c>
      <c r="D100" s="20">
        <v>0.011316</v>
      </c>
      <c r="E100" s="21">
        <v>0.176926</v>
      </c>
    </row>
    <row r="101" ht="44" customHeight="1">
      <c r="A101" s="18" t="inlineStr">
        <is>
          <t>2026-10-22</t>
        </is>
      </c>
      <c r="B101" s="19">
        <v>38</v>
      </c>
      <c r="C101" s="20">
        <v>0.736842</v>
      </c>
      <c r="D101" s="20">
        <v>0.011316</v>
      </c>
      <c r="E101" s="21">
        <v>0.176926</v>
      </c>
    </row>
    <row r="102" ht="44" customHeight="1">
      <c r="A102" s="18" t="inlineStr">
        <is>
          <t>2026-10-23</t>
        </is>
      </c>
      <c r="B102" s="19">
        <v>40</v>
      </c>
      <c r="C102" s="20">
        <v>0.75</v>
      </c>
      <c r="D102" s="20">
        <v>0.03125</v>
      </c>
      <c r="E102" s="21">
        <v>0.169745</v>
      </c>
    </row>
    <row r="103" ht="44" customHeight="1">
      <c r="A103" s="18" t="inlineStr">
        <is>
          <t>2026-10-24</t>
        </is>
      </c>
      <c r="B103" s="19">
        <v>40</v>
      </c>
      <c r="C103" s="20">
        <v>0.75</v>
      </c>
      <c r="D103" s="20">
        <v>0.03125</v>
      </c>
      <c r="E103" s="21">
        <v>0.169745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python</t>
        </is>
      </c>
      <c r="B108" s="18" t="inlineStr">
        <is>
          <t>3.12.15</t>
        </is>
      </c>
    </row>
    <row r="109" ht="44" customHeight="1">
      <c r="A109" s="18" t="inlineStr">
        <is>
          <t>numpy</t>
        </is>
      </c>
      <c r="B109" s="18" t="inlineStr">
        <is>
          <t>2.5.4</t>
        </is>
      </c>
    </row>
    <row r="110" ht="44" customHeight="1">
      <c r="A110" s="18" t="inlineStr">
        <is>
          <t>pandas</t>
        </is>
      </c>
      <c r="B110" s="18" t="inlineStr">
        <is>
          <t>3.1.0</t>
        </is>
      </c>
    </row>
    <row r="111" ht="44" customHeight="1">
      <c r="A111" s="18" t="inlineStr">
        <is>
          <t>scipy</t>
        </is>
      </c>
      <c r="B111" s="18" t="inlineStr">
        <is>
          <t>1.18.1</t>
        </is>
      </c>
    </row>
    <row r="112" ht="44" customHeight="1">
      <c r="A112" s="18" t="inlineStr">
        <is>
          <t>requests</t>
        </is>
      </c>
      <c r="B112" s="18" t="inlineStr">
        <is>
          <t>2.34.2</t>
        </is>
      </c>
    </row>
    <row r="113" ht="44" customHeight="1">
      <c r="A113" s="18" t="inlineStr">
        <is>
          <t>rapidfuzz</t>
        </is>
      </c>
      <c r="B113" s="18" t="inlineStr">
        <is>
          <t>3.14.6</t>
        </is>
      </c>
    </row>
    <row r="114" ht="44" customHeight="1">
      <c r="A114" s="18" t="inlineStr">
        <is>
          <t>python-dotenv</t>
        </is>
      </c>
      <c r="B114" s="18" t="inlineStr">
        <is>
          <t>1.2.4</t>
        </is>
      </c>
    </row>
    <row r="115" ht="44" customHeight="1">
      <c r="A115" s="18" t="inlineStr">
        <is>
          <t>coverage</t>
        </is>
      </c>
      <c r="B115" s="18" t="inlineStr">
        <is>
          <t>7.17.0</t>
        </is>
      </c>
    </row>
    <row r="116" ht="44" customHeight="1">
      <c r="A116" s="18" t="inlineStr">
        <is>
          <t>PyYAML</t>
        </is>
      </c>
      <c r="B116" s="18" t="inlineStr">
        <is>
          <t>6.0.3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4:F34"/>
    <mergeCell ref="A36:F36"/>
    <mergeCell ref="A50:F50"/>
    <mergeCell ref="A77:F77"/>
    <mergeCell ref="A90:F90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2026-10-24T09:43:07.637857+00:00; 821 candidates on 86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821</v>
      </c>
      <c r="D9" s="19">
        <v>86</v>
      </c>
      <c r="E9" s="20">
        <v>-0.03099087473589754</v>
      </c>
      <c r="F9" s="20">
        <v>0.29476248477466505</v>
      </c>
      <c r="G9" s="22">
        <v>-7.183457380179392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46</v>
      </c>
      <c r="D10" s="19">
        <v>35</v>
      </c>
      <c r="E10" s="20">
        <v>-0.03472344703146998</v>
      </c>
      <c r="F10" s="20">
        <v>0.21739130434782608</v>
      </c>
      <c r="G10" s="22">
        <v>-2.9830602660752854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411</v>
      </c>
      <c r="D11" s="19">
        <v>80</v>
      </c>
      <c r="E11" s="20">
        <v>0.010914186500094432</v>
      </c>
      <c r="F11" s="20">
        <v>0.5620437956204379</v>
      </c>
      <c r="G11" s="22">
        <v>2.567527837362934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86</v>
      </c>
      <c r="D15" s="18"/>
      <c r="E15" s="21">
        <v>-0.1298281561492945</v>
      </c>
      <c r="F15" s="20">
        <v>0.5116279069767442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Double chance</t>
        </is>
      </c>
      <c r="B20" s="18" t="inlineStr">
        <is>
          <t>1xBet</t>
        </is>
      </c>
      <c r="C20" s="19">
        <v>175</v>
      </c>
      <c r="D20" s="19">
        <v>64</v>
      </c>
      <c r="E20" s="20">
        <v>-0.03607459696305066</v>
      </c>
      <c r="F20" s="20">
        <v>0.15428571428571428</v>
      </c>
      <c r="G20" s="22">
        <v>-17.584601591573183</v>
      </c>
      <c r="H20" s="20">
        <v>0.02609626740648781</v>
      </c>
      <c r="I20" s="19">
        <v>60</v>
      </c>
      <c r="J20" s="18" t="inlineStr">
        <is>
          <t>Negative (t &lt;= -2)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143</v>
      </c>
      <c r="D21" s="19">
        <v>66</v>
      </c>
      <c r="E21" s="20">
        <v>-0.02566223994738217</v>
      </c>
      <c r="F21" s="20">
        <v>0.3986013986013986</v>
      </c>
      <c r="G21" s="22">
        <v>-5.26884444496264</v>
      </c>
      <c r="H21" s="20">
        <v>0.025915172279537674</v>
      </c>
      <c r="I21" s="19">
        <v>109</v>
      </c>
      <c r="J21" s="18" t="inlineStr">
        <is>
          <t>Negative (t &lt;= -2)</t>
        </is>
      </c>
    </row>
    <row r="22" ht="30" customHeight="1">
      <c r="A22" s="18" t="inlineStr">
        <is>
          <t>Asian handicap</t>
        </is>
      </c>
      <c r="B22" s="18" t="inlineStr">
        <is>
          <t>Pinnacle</t>
        </is>
      </c>
      <c r="C22" s="19">
        <v>130</v>
      </c>
      <c r="D22" s="19">
        <v>7</v>
      </c>
      <c r="E22" s="20">
        <v>-0.043530925480544935</v>
      </c>
      <c r="F22" s="20">
        <v>0.3</v>
      </c>
      <c r="G22" s="22">
        <v>-13.993532564137467</v>
      </c>
      <c r="H22" s="20">
        <v>0.000889539522922366</v>
      </c>
      <c r="I22" s="19">
        <v>130</v>
      </c>
      <c r="J22" s="18" t="inlineStr">
        <is>
          <t>Small sample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103</v>
      </c>
      <c r="D23" s="19">
        <v>45</v>
      </c>
      <c r="E23" s="20">
        <v>-0.027156184251018945</v>
      </c>
      <c r="F23" s="20">
        <v>0.1650485436893204</v>
      </c>
      <c r="G23" s="22">
        <v>-6.396963627001548</v>
      </c>
      <c r="H23" s="20">
        <v>-0.011865459170063729</v>
      </c>
      <c r="I23" s="19">
        <v>13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88</v>
      </c>
      <c r="D24" s="19">
        <v>43</v>
      </c>
      <c r="E24" s="20">
        <v>-0.037115598268520296</v>
      </c>
      <c r="F24" s="20">
        <v>0.2727272727272727</v>
      </c>
      <c r="G24" s="22">
        <v>-3.978253415256236</v>
      </c>
      <c r="H24" s="20">
        <v>0.0064222025478914944</v>
      </c>
      <c r="I24" s="19">
        <v>88</v>
      </c>
      <c r="J24" s="18" t="inlineStr">
        <is>
          <t>Negative (t &lt;= -2)</t>
        </is>
      </c>
    </row>
    <row r="25" ht="30" customHeight="1">
      <c r="A25" s="18" t="inlineStr">
        <is>
          <t>1X2</t>
        </is>
      </c>
      <c r="B25" s="18" t="inlineStr">
        <is>
          <t>Betfair</t>
        </is>
      </c>
      <c r="C25" s="19">
        <v>41</v>
      </c>
      <c r="D25" s="19">
        <v>34</v>
      </c>
      <c r="E25" s="20">
        <v>0.004796019031165723</v>
      </c>
      <c r="F25" s="20">
        <v>0.4878048780487805</v>
      </c>
      <c r="G25" s="22">
        <v>0.2619409908776814</v>
      </c>
      <c r="H25" s="20"/>
      <c r="I25" s="19">
        <v>0</v>
      </c>
      <c r="J25" s="18" t="inlineStr">
        <is>
          <t>Not distinguishable from zero</t>
        </is>
      </c>
    </row>
    <row r="26" ht="30" customHeight="1">
      <c r="A26" s="18" t="inlineStr">
        <is>
          <t>Asian handicap</t>
        </is>
      </c>
      <c r="B26" s="18" t="inlineStr">
        <is>
          <t>1xBet</t>
        </is>
      </c>
      <c r="C26" s="19">
        <v>32</v>
      </c>
      <c r="D26" s="19">
        <v>7</v>
      </c>
      <c r="E26" s="20">
        <v>-0.07084653453086227</v>
      </c>
      <c r="F26" s="20">
        <v>0.21875</v>
      </c>
      <c r="G26" s="22">
        <v>-4.859643384247434</v>
      </c>
      <c r="H26" s="20"/>
      <c r="I26" s="19">
        <v>0</v>
      </c>
      <c r="J26" s="18" t="inlineStr">
        <is>
          <t>Small sample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514</v>
      </c>
      <c r="D48" s="19">
        <v>77</v>
      </c>
      <c r="E48" s="20">
        <v>-0.03740704115703303</v>
      </c>
      <c r="F48" s="20">
        <v>0.23735408560311283</v>
      </c>
      <c r="G48" s="22">
        <v>-12.316953846598393</v>
      </c>
      <c r="H48" s="20">
        <v>0.010283955167741438</v>
      </c>
      <c r="I48" s="19">
        <v>314</v>
      </c>
      <c r="J48" s="18" t="inlineStr">
        <is>
          <t>Negative (t &lt;= -2)</t>
        </is>
      </c>
    </row>
    <row r="49" ht="30" customHeight="1">
      <c r="A49" s="18" t="inlineStr">
        <is>
          <t>48h+</t>
        </is>
      </c>
      <c r="B49" s="18"/>
      <c r="C49" s="19">
        <v>157</v>
      </c>
      <c r="D49" s="19">
        <v>48</v>
      </c>
      <c r="E49" s="20">
        <v>-0.014012521464710102</v>
      </c>
      <c r="F49" s="20">
        <v>0.45222929936305734</v>
      </c>
      <c r="G49" s="22">
        <v>-0.977157188772559</v>
      </c>
      <c r="H49" s="20">
        <v>0.016890286724917044</v>
      </c>
      <c r="I49" s="19">
        <v>33</v>
      </c>
      <c r="J49" s="18" t="inlineStr">
        <is>
          <t>Not distinguishable from zero</t>
        </is>
      </c>
    </row>
    <row r="50" ht="30" customHeight="1">
      <c r="A50" s="18" t="inlineStr">
        <is>
          <t>6-24h</t>
        </is>
      </c>
      <c r="B50" s="18"/>
      <c r="C50" s="19">
        <v>96</v>
      </c>
      <c r="D50" s="19">
        <v>17</v>
      </c>
      <c r="E50" s="20">
        <v>-0.025896169752600368</v>
      </c>
      <c r="F50" s="20">
        <v>0.34375</v>
      </c>
      <c r="G50" s="22">
        <v>-2.5593599870557253</v>
      </c>
      <c r="H50" s="20">
        <v>0.030669643406110756</v>
      </c>
      <c r="I50" s="19">
        <v>48</v>
      </c>
      <c r="J50" s="18" t="inlineStr">
        <is>
          <t>Small sample</t>
        </is>
      </c>
    </row>
    <row r="51" ht="30" customHeight="1">
      <c r="A51" s="18" t="inlineStr">
        <is>
          <t>24-48h</t>
        </is>
      </c>
      <c r="B51" s="18"/>
      <c r="C51" s="19">
        <v>54</v>
      </c>
      <c r="D51" s="19">
        <v>21</v>
      </c>
      <c r="E51" s="20">
        <v>-0.028338719208292246</v>
      </c>
      <c r="F51" s="20">
        <v>0.2962962962962963</v>
      </c>
      <c r="G51" s="22">
        <v>-1.1462281397811127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775</v>
      </c>
      <c r="D56" s="19">
        <v>86</v>
      </c>
      <c r="E56" s="20">
        <v>-0.030769328509321632</v>
      </c>
      <c r="F56" s="20">
        <v>0.29935483870967744</v>
      </c>
      <c r="G56" s="22">
        <v>-6.732420685745598</v>
      </c>
      <c r="H56" s="20">
        <v>0.011605039919608783</v>
      </c>
      <c r="I56" s="19">
        <v>378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46</v>
      </c>
      <c r="D57" s="19">
        <v>35</v>
      </c>
      <c r="E57" s="20">
        <v>-0.03472344703146998</v>
      </c>
      <c r="F57" s="20">
        <v>0.21739130434782608</v>
      </c>
      <c r="G57" s="22">
        <v>-2.9830602660752854</v>
      </c>
      <c r="H57" s="20">
        <v>0.003000774603839131</v>
      </c>
      <c r="I57" s="19">
        <v>33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99</v>
      </c>
      <c r="D63" s="19">
        <v>9</v>
      </c>
      <c r="E63" s="20">
        <v>-0.03499448760367212</v>
      </c>
      <c r="F63" s="20">
        <v>0.23232323232323232</v>
      </c>
      <c r="G63" s="22">
        <v>-3.9496620259494555</v>
      </c>
      <c r="H63" s="20">
        <v>0.017634011299956853</v>
      </c>
      <c r="I63" s="19">
        <v>51</v>
      </c>
      <c r="J63" s="18" t="inlineStr">
        <is>
          <t>Small sample</t>
        </is>
      </c>
    </row>
    <row r="64" ht="30" customHeight="1">
      <c r="A64" s="18" t="inlineStr">
        <is>
          <t>UEFA Europa League</t>
        </is>
      </c>
      <c r="B64" s="18"/>
      <c r="C64" s="19">
        <v>90</v>
      </c>
      <c r="D64" s="19">
        <v>18</v>
      </c>
      <c r="E64" s="20">
        <v>-0.029265742952778517</v>
      </c>
      <c r="F64" s="20">
        <v>0.25555555555555554</v>
      </c>
      <c r="G64" s="22">
        <v>-4.225379439242074</v>
      </c>
      <c r="H64" s="20">
        <v>0.015496675340858615</v>
      </c>
      <c r="I64" s="19">
        <v>36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85</v>
      </c>
      <c r="D65" s="19">
        <v>10</v>
      </c>
      <c r="E65" s="20">
        <v>-0.03190427161945879</v>
      </c>
      <c r="F65" s="20">
        <v>0.27058823529411763</v>
      </c>
      <c r="G65" s="22">
        <v>-1.8998084081534032</v>
      </c>
      <c r="H65" s="20">
        <v>0.008412625234161482</v>
      </c>
      <c r="I65" s="19">
        <v>32</v>
      </c>
      <c r="J65" s="18" t="inlineStr">
        <is>
          <t>Small sample</t>
        </is>
      </c>
    </row>
    <row r="66" ht="30" customHeight="1">
      <c r="A66" s="18" t="inlineStr">
        <is>
          <t>La Liga</t>
        </is>
      </c>
      <c r="B66" s="18"/>
      <c r="C66" s="19">
        <v>83</v>
      </c>
      <c r="D66" s="19">
        <v>9</v>
      </c>
      <c r="E66" s="20">
        <v>-0.029288084201771425</v>
      </c>
      <c r="F66" s="20">
        <v>0.30120481927710846</v>
      </c>
      <c r="G66" s="22">
        <v>-4.039343597366557</v>
      </c>
      <c r="H66" s="20">
        <v>0.006297533993312256</v>
      </c>
      <c r="I66" s="19">
        <v>41</v>
      </c>
      <c r="J66" s="18" t="inlineStr">
        <is>
          <t>Small sample</t>
        </is>
      </c>
    </row>
    <row r="67" ht="30" customHeight="1">
      <c r="A67" s="18" t="inlineStr">
        <is>
          <t>Serie A</t>
        </is>
      </c>
      <c r="B67" s="18"/>
      <c r="C67" s="19">
        <v>71</v>
      </c>
      <c r="D67" s="19">
        <v>9</v>
      </c>
      <c r="E67" s="20">
        <v>-0.014092552168178394</v>
      </c>
      <c r="F67" s="20">
        <v>0.30985915492957744</v>
      </c>
      <c r="G67" s="22">
        <v>-0.6862548478615015</v>
      </c>
      <c r="H67" s="20">
        <v>0.022507361643301645</v>
      </c>
      <c r="I67" s="19">
        <v>29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66</v>
      </c>
      <c r="D68" s="19">
        <v>8</v>
      </c>
      <c r="E68" s="20">
        <v>-0.019144289710712938</v>
      </c>
      <c r="F68" s="20">
        <v>0.3333333333333333</v>
      </c>
      <c r="G68" s="22">
        <v>-1.0691176722775408</v>
      </c>
      <c r="H68" s="20">
        <v>0.0500227449842175</v>
      </c>
      <c r="I68" s="19">
        <v>28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