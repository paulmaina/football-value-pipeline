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Experiments" sheetId="7" ns1:id="rIdReadable7"/>
    <sheet name="Pipeline Health" sheetId="10" ns1:id="rIdReadable10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1" ns1:id="rIdReadable11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8.0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0.3799999999999999</v>
                </pt>
                <pt idx="2">
                  <v>0.3799999999999999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1.0</c:v>
                </c:pt>
                <c:pt idx="1">
                  <c:v>0.4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Plan'!$A$10:$A$33</c:f>
              <c:strCache>
                <c:ptCount val="2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2026-10-18T16:30:00+00:00</c:v>
                </c:pt>
                <c:pt idx="22">
                  <c:v>2026-10-18T19:00:00+00:00</c:v>
                </c:pt>
                <c:pt idx="23">
                  <c:v>2026-10-19T19:00:00+00:00</c:v>
                </c:pt>
              </c:strCache>
            </c:strRef>
          </c:cat>
          <c:val>
            <c:numRef>
              <c:f>'ROI Plan'!$F$10:$F$33</c:f>
              <c:numCache>
                <c:formatCode>General</c:formatCode>
                <c:ptCount val="2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-0.51</c:v>
                </c:pt>
                <c:pt idx="7">
                  <c:v>-1.51</c:v>
                </c:pt>
                <c:pt idx="8">
                  <c:v>-1.36</c:v>
                </c:pt>
                <c:pt idx="9">
                  <c:v>-0.8700000000000001</c:v>
                </c:pt>
                <c:pt idx="10">
                  <c:v>-0.8700000000000001</c:v>
                </c:pt>
                <c:pt idx="11">
                  <c:v>-0.13000000000000012</c:v>
                </c:pt>
                <c:pt idx="12">
                  <c:v>0.10999999999999988</c:v>
                </c:pt>
                <c:pt idx="13">
                  <c:v>0.3799999999999999</c:v>
                </c:pt>
                <c:pt idx="14">
                  <c:v>0.3799999999999999</c:v>
                </c:pt>
                <c:pt idx="15">
                  <c:v>0.3799999999999999</c:v>
                </c:pt>
                <c:pt idx="16">
                  <c:v>0.3799999999999999</c:v>
                </c:pt>
                <c:pt idx="17">
                  <c:v>0.3799999999999999</c:v>
                </c:pt>
                <c:pt idx="18">
                  <c:v>0.3799999999999999</c:v>
                </c:pt>
                <c:pt idx="19">
                  <c:v>0.3799999999999999</c:v>
                </c:pt>
                <c:pt idx="20">
                  <c:v>0.3799999999999999</c:v>
                </c:pt>
                <c:pt idx="21">
                  <c:v>0.3799999999999999</c:v>
                </c:pt>
                <c:pt idx="22">
                  <c:v>0.3799999999999999</c:v>
                </c:pt>
                <c:pt idx="23">
                  <c:v>0.3799999999999999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0.672911773109177</c:v>
                </c:pt>
                <c:pt idx="3">
                  <c:v>0.7598033602744063</c:v>
                </c:pt>
                <c:pt idx="4">
                  <c:v>0.8547176992047558</c:v>
                </c:pt>
                <c:pt idx="5">
                  <c:v>0.9297203731151685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1.0</c:v>
                </c:pt>
                <c:pt idx="3">
                  <c:v>0.75</c:v>
                </c:pt>
                <c:pt idx="4">
                  <c:v>0.5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3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27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29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str">
        <v>Archived selections</v>
      </c>
      <c r="B7" s="19">
        <f>Breakdowns!C6</f>
        <v>24</v>
      </c>
      <c r="C7" s="18"/>
      <c r="D7" s="18" t="str">
        <v>STRICT</v>
      </c>
      <c r="E7" s="18">
        <f>Breakdowns!D7</f>
        <v>7</v>
      </c>
      <c r="F7" s="20">
        <f>Breakdowns!H7</f>
        <v>1.0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str">
        <v>Settled selections</v>
      </c>
      <c r="B8" s="19">
        <f>Breakdowns!D6</f>
        <v>12</v>
      </c>
      <c r="C8" s="18"/>
      <c r="D8" s="18" t="str">
        <v>PROVISIONAL</v>
      </c>
      <c r="E8" s="18">
        <f>Breakdowns!D8</f>
        <v>5</v>
      </c>
      <c r="F8" s="20">
        <f>Breakdowns!H8</f>
        <v>0.4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9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3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12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0.031666666666666655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0.3799999999999999</v>
      </c>
      <c r="C14" s="18"/>
      <c r="D14" s="18" t="inlineStr">
        <is>
          <t>12 settled; 12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0.19983601281644184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0.631578947368421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0.5431063721052631</v>
      </c>
      <c r="C17" s="18"/>
      <c r="D17" s="18" t="inlineStr">
        <is>
          <t>Over 1.5</t>
        </is>
      </c>
      <c r="E17" s="18">
        <f>COUNT(Predictions!J6:J168)</f>
        <v>38</v>
      </c>
      <c r="F17" s="20">
        <f>IF(E17=0,"n.a.",AVERAGE(Predictions!J6:J168))</f>
        <v>0.8947368421052632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str">
        <v>Win-rate 95% lower</v>
      </c>
      <c r="B18" s="20">
        <f>IF(B8=0,"n.a.",(B12+1.96^2/(2*B8)-1.96*SQRT(B12*(1-B12)/B8+1.96^2/(4*B8^2)))/(1+1.96^2/B8))</f>
        <v>0.46768966087934005</v>
      </c>
      <c r="C18" s="18"/>
      <c r="D18" s="18" t="inlineStr">
        <is>
          <t>Under 3.5</t>
        </is>
      </c>
      <c r="E18" s="18">
        <f>COUNT(Predictions!K6:K168)</f>
        <v>38</v>
      </c>
      <c r="F18" s="20">
        <f>IF(E18=0,"n.a.",AVERAGE(Predictions!K6:K168))</f>
        <v>0.5789473684210527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str">
        <v>Win-rate 95% upper</v>
      </c>
      <c r="B19" s="20">
        <f>IF(B8=0,"n.a.",(B12+1.96^2/(2*B8)+1.96*SQRT(B12*(1-B12)/B8+1.96^2/(4*B8^2)))/(1+1.96^2/B8))</f>
        <v>0.9110599603710386</v>
      </c>
      <c r="C19" s="18"/>
      <c r="D19" s="18" t="inlineStr">
        <is>
          <t>BTTS Yes</t>
        </is>
      </c>
      <c r="E19" s="18">
        <f>COUNT(Predictions!L6:L168)</f>
        <v>38</v>
      </c>
      <c r="F19" s="20">
        <f>IF(E19=0,"n.a.",AVERAGE(Predictions!L6:L168))</f>
        <v>0.5263157894736842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38</v>
      </c>
      <c r="F20" s="20">
        <f>IF(E20=0,"n.a.",AVERAGE(Predictions!M6:M168))</f>
        <v>0.5263157894736842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9 wins from 12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2026-10-17T09:20:26.047626+00:00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Review notes use 30 scored samples as a prompt, not statistical proof. Reassess on a future holdout.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27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2026-10-17 09:20:09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0.3400000000000001</v>
      </c>
      <c r="F16" s="22">
        <f>SUM($E$10:E16)</f>
        <v>-0.51</v>
      </c>
      <c r="G16" s="22">
        <f>$B$4+F16</f>
        <v>99.49</v>
      </c>
      <c r="H16" s="22">
        <f>MAX($B$4,$G$10:G16)</f>
        <v>100</v>
      </c>
      <c r="I16" s="22">
        <f>H16-G16</f>
        <v>0.5100000000000051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-1.51</v>
      </c>
      <c r="G17" s="22">
        <f>$B$4+F17</f>
        <v>98.49</v>
      </c>
      <c r="H17" s="22">
        <f>MAX($B$4,$G$10:G17)</f>
        <v>100</v>
      </c>
      <c r="I17" s="22">
        <f>H17-G17</f>
        <v>1.5100000000000051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0.1499999999999999</v>
      </c>
      <c r="F18" s="22">
        <f>SUM($E$10:E18)</f>
        <v>-1.36</v>
      </c>
      <c r="G18" s="22">
        <f>$B$4+F18</f>
        <v>98.64</v>
      </c>
      <c r="H18" s="22">
        <f>MAX($B$4,$G$10:G18)</f>
        <v>100</v>
      </c>
      <c r="I18" s="22">
        <f>H18-G18</f>
        <v>1.3599999999999994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0.49</v>
      </c>
      <c r="F19" s="22">
        <f>SUM($E$10:E19)</f>
        <v>-0.8700000000000001</v>
      </c>
      <c r="G19" s="22">
        <f>$B$4+F19</f>
        <v>99.13</v>
      </c>
      <c r="H19" s="22">
        <f>MAX($B$4,$G$10:G19)</f>
        <v>100</v>
      </c>
      <c r="I19" s="22">
        <f>H19-G19</f>
        <v>0.8700000000000045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-0.8700000000000001</v>
      </c>
      <c r="G20" s="22">
        <f>$B$4+F20</f>
        <v>99.13</v>
      </c>
      <c r="H20" s="22">
        <f>MAX($B$4,$G$10:G20)</f>
        <v>100</v>
      </c>
      <c r="I20" s="22">
        <f>H20-G20</f>
        <v>0.8700000000000045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0.74</v>
      </c>
      <c r="F21" s="22">
        <f>SUM($E$10:E21)</f>
        <v>-0.13000000000000012</v>
      </c>
      <c r="G21" s="22">
        <f>$B$4+F21</f>
        <v>99.87</v>
      </c>
      <c r="H21" s="22">
        <f>MAX($B$4,$G$10:G21)</f>
        <v>100</v>
      </c>
      <c r="I21" s="22">
        <f>H21-G21</f>
        <v>0.12999999999999545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0.24</v>
      </c>
      <c r="F22" s="22">
        <f>SUM($E$10:E22)</f>
        <v>0.10999999999999988</v>
      </c>
      <c r="G22" s="22">
        <f>$B$4+F22</f>
        <v>100.11</v>
      </c>
      <c r="H22" s="22">
        <f>MAX($B$4,$G$10:G22)</f>
        <v>100.11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0.3799999999999999</v>
      </c>
      <c r="G23" s="22">
        <f>$B$4+F23</f>
        <v>100.38</v>
      </c>
      <c r="H23" s="22">
        <f>MAX($B$4,$G$10:G23)</f>
        <v>100.38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PENDING_KICKOFF_OR_FINAL_SCORE</t>
        </is>
      </c>
      <c r="D24" s="22" t="str">
        <f>IF(ISNUMBER(Selections!M20),Selections!M20,"")</f>
        <v/>
      </c>
      <c r="E24" s="22" t="str">
        <f>IF(ISNUMBER(Selections!N20),Selections!N20,"")</f>
        <v/>
      </c>
      <c r="F24" s="22">
        <f>SUM($E$10:E24)</f>
        <v>0.3799999999999999</v>
      </c>
      <c r="G24" s="22">
        <f>$B$4+F24</f>
        <v>100.38</v>
      </c>
      <c r="H24" s="22">
        <f>MAX($B$4,$G$10:G24)</f>
        <v>100.38</v>
      </c>
      <c r="I24" s="22">
        <f>H24-G24</f>
        <v>0.0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PENDING_KICKOFF_OR_FINAL_SCORE</t>
        </is>
      </c>
      <c r="D25" s="22" t="str">
        <f>IF(ISNUMBER(Selections!M21),Selections!M21,"")</f>
        <v/>
      </c>
      <c r="E25" s="22" t="str">
        <f>IF(ISNUMBER(Selections!N21),Selections!N21,"")</f>
        <v/>
      </c>
      <c r="F25" s="22">
        <f>SUM($E$10:E25)</f>
        <v>0.3799999999999999</v>
      </c>
      <c r="G25" s="22">
        <f>$B$4+F25</f>
        <v>100.38</v>
      </c>
      <c r="H25" s="22">
        <f>MAX($B$4,$G$10:G25)</f>
        <v>100.38</v>
      </c>
      <c r="I25" s="22">
        <f>H25-G25</f>
        <v>0.0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PENDING_KICKOFF_OR_FINAL_SCORE</t>
        </is>
      </c>
      <c r="D26" s="22" t="str">
        <f>IF(ISNUMBER(Selections!M22),Selections!M22,"")</f>
        <v/>
      </c>
      <c r="E26" s="22" t="str">
        <f>IF(ISNUMBER(Selections!N22),Selections!N22,"")</f>
        <v/>
      </c>
      <c r="F26" s="22">
        <f>SUM($E$10:E26)</f>
        <v>0.3799999999999999</v>
      </c>
      <c r="G26" s="22">
        <f>$B$4+F26</f>
        <v>100.38</v>
      </c>
      <c r="H26" s="22">
        <f>MAX($B$4,$G$10:G26)</f>
        <v>100.38</v>
      </c>
      <c r="I26" s="22">
        <f>H26-G26</f>
        <v>0.0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PENDING_KICKOFF_OR_FINAL_SCORE</t>
        </is>
      </c>
      <c r="D27" s="22" t="str">
        <f>IF(ISNUMBER(Selections!M23),Selections!M23,"")</f>
        <v/>
      </c>
      <c r="E27" s="22" t="str">
        <f>IF(ISNUMBER(Selections!N23),Selections!N23,"")</f>
        <v/>
      </c>
      <c r="F27" s="22">
        <f>SUM($E$10:E27)</f>
        <v>0.3799999999999999</v>
      </c>
      <c r="G27" s="22">
        <f>$B$4+F27</f>
        <v>100.38</v>
      </c>
      <c r="H27" s="22">
        <f>MAX($B$4,$G$10:G27)</f>
        <v>100.38</v>
      </c>
      <c r="I27" s="22">
        <f>H27-G27</f>
        <v>0.0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PENDING_KICKOFF_OR_FINAL_SCORE</t>
        </is>
      </c>
      <c r="D28" s="22" t="str">
        <f>IF(ISNUMBER(Selections!M24),Selections!M24,"")</f>
        <v/>
      </c>
      <c r="E28" s="22" t="str">
        <f>IF(ISNUMBER(Selections!N24),Selections!N24,"")</f>
        <v/>
      </c>
      <c r="F28" s="22">
        <f>SUM($E$10:E28)</f>
        <v>0.3799999999999999</v>
      </c>
      <c r="G28" s="22">
        <f>$B$4+F28</f>
        <v>100.38</v>
      </c>
      <c r="H28" s="22">
        <f>MAX($B$4,$G$10:G28)</f>
        <v>100.38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PENDING_KICKOFF_OR_FINAL_SCORE</t>
        </is>
      </c>
      <c r="D29" s="22" t="str">
        <f>IF(ISNUMBER(Selections!M25),Selections!M25,"")</f>
        <v/>
      </c>
      <c r="E29" s="22" t="str">
        <f>IF(ISNUMBER(Selections!N25),Selections!N25,"")</f>
        <v/>
      </c>
      <c r="F29" s="22">
        <f>SUM($E$10:E29)</f>
        <v>0.3799999999999999</v>
      </c>
      <c r="G29" s="22">
        <f>$B$4+F29</f>
        <v>100.38</v>
      </c>
      <c r="H29" s="22">
        <f>MAX($B$4,$G$10:G29)</f>
        <v>100.38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PENDING_KICKOFF_OR_FINAL_SCORE</t>
        </is>
      </c>
      <c r="D30" s="22" t="str">
        <f>IF(ISNUMBER(Selections!M26),Selections!M26,"")</f>
        <v/>
      </c>
      <c r="E30" s="22" t="str">
        <f>IF(ISNUMBER(Selections!N26),Selections!N26,"")</f>
        <v/>
      </c>
      <c r="F30" s="22">
        <f>SUM($E$10:E30)</f>
        <v>0.3799999999999999</v>
      </c>
      <c r="G30" s="22">
        <f>$B$4+F30</f>
        <v>100.38</v>
      </c>
      <c r="H30" s="22">
        <f>MAX($B$4,$G$10:G30)</f>
        <v>100.38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2026-10-18T16:30:00+00:00</t>
        </is>
      </c>
      <c r="B31" s="18" t="inlineStr">
        <is>
          <t>Málaga vs Real Sociedad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0.3799999999999999</v>
      </c>
      <c r="G31" s="22">
        <f>$B$4+F31</f>
        <v>100.38</v>
      </c>
      <c r="H31" s="22">
        <f>MAX($B$4,$G$10:G31)</f>
        <v>100.38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2026-10-18T19:00:00+00:00</t>
        </is>
      </c>
      <c r="B32" s="18" t="inlineStr">
        <is>
          <t>Real Madrid vs Sevilla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0.3799999999999999</v>
      </c>
      <c r="G32" s="22">
        <f>$B$4+F32</f>
        <v>100.38</v>
      </c>
      <c r="H32" s="22">
        <f>MAX($B$4,$G$10:G32)</f>
        <v>100.38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2026-10-19T19:00:00+00:00</t>
        </is>
      </c>
      <c r="B33" s="18" t="inlineStr">
        <is>
          <t>Tottenham Hotspur vs Coventry City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0.3799999999999999</v>
      </c>
      <c r="G33" s="22">
        <f>$B$4+F33</f>
        <v>100.38</v>
      </c>
      <c r="H33" s="22">
        <f>MAX($B$4,$G$10:G33)</f>
        <v>100.38</v>
      </c>
      <c r="I33" s="22">
        <f>H33-G33</f>
        <v>0.0</v>
      </c>
      <c r="J33" s="18" t="inlineStr">
        <is>
          <t>2026-W43</t>
        </is>
      </c>
      <c r="K33" s="18"/>
      <c r="L33" s="18"/>
      <c r="M33" s="18"/>
      <c r="N33" s="18"/>
      <c r="O33" s="18"/>
      <c r="P33" s="18"/>
      <c r="Q33" s="18"/>
      <c r="R33" s="18"/>
    </row>
  </sheetData>
  <mergeCells count="1">
    <mergeCell ref="A2:J2"/>
  </mergeCells>
  <conditionalFormatting sqref="E10:E3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COUNTA(Selections!$A$6:$A$29)</f>
        <v>24</v>
      </c>
      <c r="D6" s="19">
        <f>(COUNTIFS(Selections!$K$6:$K$29,"WON")+COUNTIFS(Selections!$K$6:$K$29,"LOST"))</f>
        <v>12</v>
      </c>
      <c r="E6" s="19">
        <f>COUNTIFS(Selections!$K$6:$K$29,"WON")</f>
        <v>9</v>
      </c>
      <c r="F6" s="19">
        <f>COUNTIFS(Selections!$K$6:$K$29,"LOST")</f>
        <v>3</v>
      </c>
      <c r="G6" s="19">
        <f>COUNTA(Selections!$A$6:$A$29)-(COUNTIFS(Selections!$K$6:$K$29,"WON")+COUNTIFS(Selections!$K$6:$K$29,"LOST"))</f>
        <v>12</v>
      </c>
      <c r="H6" s="20">
        <f>IF((COUNTIFS(Selections!$K$6:$K$29,"WON")+COUNTIFS(Selections!$K$6:$K$29,"LOST"))=0,"n.a.",COUNTIFS(Selections!$K$6:$K$29,"WON")/(COUNTIFS(Selections!$K$6:$K$29,"WON")+COUNTIFS(Selections!$K$6:$K$29,"LOST")))</f>
        <v>0.75</v>
      </c>
      <c r="I6" s="22">
        <f>SUM(Selections!$M$6:$M$29)</f>
        <v>12</v>
      </c>
      <c r="J6" s="22">
        <f>SUM(Selections!$N$6:$N$29)</f>
        <v>0.3799999999999999</v>
      </c>
      <c r="K6" s="20">
        <f>IF(SUM(Selections!$M$6:$M$29)=0,"n.a.",SUM(Selections!$N$6:$N$29)/SUM(Selections!$M$6:$M$29))</f>
        <v>0.031666666666666655</v>
      </c>
      <c r="L6" s="21">
        <f>IF(SUM(Selections!$T$6:$T$29)=0,"n.a.",SUM(Selections!$O$6:$O$29)/SUM(Selections!$T$6:$T$29))</f>
        <v>0.19983601281644184</v>
      </c>
      <c r="M6" s="20">
        <f>IF(SUM(Selections!$T$6:$T$29)=0,"n.a.",SUM(Selections!$S$6:$S$29)/SUM(Selections!$T$6:$T$29))</f>
        <v>0.8052790441971117</v>
      </c>
      <c r="N6" s="20">
        <f>IF(SUM(Selections!$T$6:$T$29)=0,"n.a.",(SUMIFS(Selections!$L$6:$L$29,Selections!$T$6:$T$29,1))/SUM(Selections!$T$6:$T$29))</f>
        <v>0.75</v>
      </c>
      <c r="O6" s="20">
        <f>IF(SUM(Selections!$T$6:$T$29)=0,"n.a.",(SUM(Selections!$S$6:$S$29)-(SUMIFS(Selections!$L$6:$L$29,Selections!$T$6:$T$29,1)))/SUM(Selections!$T$6:$T$29))</f>
        <v>0.055279044197111715</v>
      </c>
      <c r="P6" s="19">
        <f>SUM(Selections!$T$6:$T$29)</f>
        <v>12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(n=12).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COUNTIFS(Selections!$F$6:$F$29,"STRICT")</f>
        <v>14</v>
      </c>
      <c r="D7" s="19">
        <f>(COUNTIFS(Selections!$F$6:$F$29,"STRICT",Selections!$K$6:$K$29,"WON")+COUNTIFS(Selections!$F$6:$F$29,"STRICT",Selections!$K$6:$K$29,"LOST"))</f>
        <v>7</v>
      </c>
      <c r="E7" s="19">
        <f>COUNTIFS(Selections!$F$6:$F$29,"STRICT",Selections!$K$6:$K$29,"WON")</f>
        <v>7</v>
      </c>
      <c r="F7" s="19">
        <f>COUNTIFS(Selections!$F$6:$F$29,"STRICT",Selections!$K$6:$K$29,"LOST")</f>
        <v>0</v>
      </c>
      <c r="G7" s="19">
        <f>COUNTIFS(Selections!$F$6:$F$29,"STRICT")-(COUNTIFS(Selections!$F$6:$F$29,"STRICT",Selections!$K$6:$K$29,"WON")+COUNTIFS(Selections!$F$6:$F$29,"STRICT",Selections!$K$6:$K$29,"LOST"))</f>
        <v>7</v>
      </c>
      <c r="H7" s="20">
        <f>IF((COUNTIFS(Selections!$F$6:$F$29,"STRICT",Selections!$K$6:$K$29,"WON")+COUNTIFS(Selections!$F$6:$F$29,"STRICT",Selections!$K$6:$K$29,"LOST"))=0,"n.a.",COUNTIFS(Selections!$F$6:$F$29,"STRICT",Selections!$K$6:$K$29,"WON")/(COUNTIFS(Selections!$F$6:$F$29,"STRICT",Selections!$K$6:$K$29,"WON")+COUNTIFS(Selections!$F$6:$F$29,"STRICT",Selections!$K$6:$K$29,"LOST")))</f>
        <v>1.0</v>
      </c>
      <c r="I7" s="22">
        <f>SUMIFS(Selections!$M$6:$M$29,Selections!$F$6:$F$29,"STRICT")</f>
        <v>7</v>
      </c>
      <c r="J7" s="22">
        <f>SUMIFS(Selections!$N$6:$N$29,Selections!$F$6:$F$29,"STRICT")</f>
        <v>2.86</v>
      </c>
      <c r="K7" s="20">
        <f>IF(SUMIFS(Selections!$M$6:$M$29,Selections!$F$6:$F$29,"STRICT")=0,"n.a.",SUMIFS(Selections!$N$6:$N$29,Selections!$F$6:$F$29,"STRICT")/SUMIFS(Selections!$M$6:$M$29,Selections!$F$6:$F$29,"STRICT"))</f>
        <v>0.40857142857142853</v>
      </c>
      <c r="L7" s="21">
        <f>IF(SUMIFS(Selections!$T$6:$T$29,Selections!$F$6:$F$29,"STRICT")=0,"n.a.",SUMIFS(Selections!$O$6:$O$29,Selections!$F$6:$F$29,"STRICT")/SUMIFS(Selections!$T$6:$T$29,Selections!$F$6:$F$29,"STRICT"))</f>
        <v>0.054486957017980946</v>
      </c>
      <c r="M7" s="20">
        <f>IF(SUMIFS(Selections!$T$6:$T$29,Selections!$F$6:$F$29,"STRICT")=0,"n.a.",SUMIFS(Selections!$S$6:$S$29,Selections!$F$6:$F$29,"STRICT")/SUMIFS(Selections!$T$6:$T$29,Selections!$F$6:$F$29,"STRICT"))</f>
        <v>0.7917141316062943</v>
      </c>
      <c r="N7" s="20">
        <f>IF(SUMIFS(Selections!$T$6:$T$29,Selections!$F$6:$F$29,"STRICT")=0,"n.a.",(SUMIFS(Selections!$L$6:$L$29,Selections!$F$6:$F$29,"STRICT",Selections!$T$6:$T$29,1))/SUMIFS(Selections!$T$6:$T$29,Selections!$F$6:$F$29,"STRICT"))</f>
        <v>1.0</v>
      </c>
      <c r="O7" s="20">
        <f>IF(SUMIFS(Selections!$T$6:$T$29,Selections!$F$6:$F$29,"STRICT")=0,"n.a.",(SUMIFS(Selections!$S$6:$S$29,Selections!$F$6:$F$29,"STRICT")-(SUMIFS(Selections!$L$6:$L$29,Selections!$F$6:$F$29,"STRICT",Selections!$T$6:$T$29,1)))/SUMIFS(Selections!$T$6:$T$29,Selections!$F$6:$F$29,"STRICT"))</f>
        <v>-0.20828586839370566</v>
      </c>
      <c r="P7" s="19">
        <f>SUMIFS(Selections!$T$6:$T$29,Selections!$F$6:$F$29,"STRICT")</f>
        <v>7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(n=7).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COUNTIFS(Selections!$F$6:$F$29,"PROVISIONAL")</f>
        <v>10</v>
      </c>
      <c r="D8" s="19">
        <f>(COUNTIFS(Selections!$F$6:$F$29,"PROVISIONAL",Selections!$K$6:$K$29,"WON")+COUNTIFS(Selections!$F$6:$F$29,"PROVISIONAL",Selections!$K$6:$K$29,"LOST"))</f>
        <v>5</v>
      </c>
      <c r="E8" s="19">
        <f>COUNTIFS(Selections!$F$6:$F$29,"PROVISIONAL",Selections!$K$6:$K$29,"WON")</f>
        <v>2</v>
      </c>
      <c r="F8" s="19">
        <f>COUNTIFS(Selections!$F$6:$F$29,"PROVISIONAL",Selections!$K$6:$K$29,"LOST")</f>
        <v>3</v>
      </c>
      <c r="G8" s="19">
        <f>COUNTIFS(Selections!$F$6:$F$29,"PROVISIONAL")-(COUNTIFS(Selections!$F$6:$F$29,"PROVISIONAL",Selections!$K$6:$K$29,"WON")+COUNTIFS(Selections!$F$6:$F$29,"PROVISIONAL",Selections!$K$6:$K$29,"LOST"))</f>
        <v>5</v>
      </c>
      <c r="H8" s="20">
        <f>IF((COUNTIFS(Selections!$F$6:$F$29,"PROVISIONAL",Selections!$K$6:$K$29,"WON")+COUNTIFS(Selections!$F$6:$F$29,"PROVISIONAL",Selections!$K$6:$K$29,"LOST"))=0,"n.a.",COUNTIFS(Selections!$F$6:$F$29,"PROVISIONAL",Selections!$K$6:$K$29,"WON")/(COUNTIFS(Selections!$F$6:$F$29,"PROVISIONAL",Selections!$K$6:$K$29,"WON")+COUNTIFS(Selections!$F$6:$F$29,"PROVISIONAL",Selections!$K$6:$K$29,"LOST")))</f>
        <v>0.4</v>
      </c>
      <c r="I8" s="22">
        <f>SUMIFS(Selections!$M$6:$M$29,Selections!$F$6:$F$29,"PROVISIONAL")</f>
        <v>5</v>
      </c>
      <c r="J8" s="22">
        <f>SUMIFS(Selections!$N$6:$N$29,Selections!$F$6:$F$29,"PROVISIONAL")</f>
        <v>-2.48</v>
      </c>
      <c r="K8" s="20">
        <f>IF(SUMIFS(Selections!$M$6:$M$29,Selections!$F$6:$F$29,"PROVISIONAL")=0,"n.a.",SUMIFS(Selections!$N$6:$N$29,Selections!$F$6:$F$29,"PROVISIONAL")/SUMIFS(Selections!$M$6:$M$29,Selections!$F$6:$F$29,"PROVISIONAL"))</f>
        <v>-0.496</v>
      </c>
      <c r="L8" s="21">
        <f>IF(SUMIFS(Selections!$T$6:$T$29,Selections!$F$6:$F$29,"PROVISIONAL")=0,"n.a.",SUMIFS(Selections!$O$6:$O$29,Selections!$F$6:$F$29,"PROVISIONAL")/SUMIFS(Selections!$T$6:$T$29,Selections!$F$6:$F$29,"PROVISIONAL"))</f>
        <v>0.40332469093428713</v>
      </c>
      <c r="M8" s="20">
        <f>IF(SUMIFS(Selections!$T$6:$T$29,Selections!$F$6:$F$29,"PROVISIONAL")=0,"n.a.",SUMIFS(Selections!$S$6:$S$29,Selections!$F$6:$F$29,"PROVISIONAL")/SUMIFS(Selections!$T$6:$T$29,Selections!$F$6:$F$29,"PROVISIONAL"))</f>
        <v>0.824269921824256</v>
      </c>
      <c r="N8" s="20">
        <f>IF(SUMIFS(Selections!$T$6:$T$29,Selections!$F$6:$F$29,"PROVISIONAL")=0,"n.a.",(SUMIFS(Selections!$L$6:$L$29,Selections!$F$6:$F$29,"PROVISIONAL",Selections!$T$6:$T$29,1))/SUMIFS(Selections!$T$6:$T$29,Selections!$F$6:$F$29,"PROVISIONAL"))</f>
        <v>0.4</v>
      </c>
      <c r="O8" s="20">
        <f>IF(SUMIFS(Selections!$T$6:$T$29,Selections!$F$6:$F$29,"PROVISIONAL")=0,"n.a.",(SUMIFS(Selections!$S$6:$S$29,Selections!$F$6:$F$29,"PROVISIONAL")-(SUMIFS(Selections!$L$6:$L$29,Selections!$F$6:$F$29,"PROVISIONAL",Selections!$T$6:$T$29,1)))/SUMIFS(Selections!$T$6:$T$29,Selections!$F$6:$F$29,"PROVISIONAL"))</f>
        <v>0.42426992182425594</v>
      </c>
      <c r="P8" s="19">
        <f>SUMIFS(Selections!$T$6:$T$29,Selections!$F$6:$F$29,"PROVISIONAL")</f>
        <v>5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(n=5).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COUNTIFS(Selections!$C$6:$C$29,"Bundesliga")</f>
        <v>2</v>
      </c>
      <c r="D9" s="19">
        <f>(COUNTIFS(Selections!$C$6:$C$29,"Bundesliga",Selections!$K$6:$K$29,"WON")+COUNTIFS(Selections!$C$6:$C$29,"Bundesliga",Selections!$K$6:$K$29,"LOST"))</f>
        <v>0</v>
      </c>
      <c r="E9" s="19">
        <f>COUNTIFS(Selections!$C$6:$C$29,"Bundesliga",Selections!$K$6:$K$29,"WON")</f>
        <v>0</v>
      </c>
      <c r="F9" s="19">
        <f>COUNTIFS(Selections!$C$6:$C$29,"Bundesliga",Selections!$K$6:$K$29,"LOST")</f>
        <v>0</v>
      </c>
      <c r="G9" s="19">
        <f>COUNTIFS(Selections!$C$6:$C$29,"Bundesliga")-(COUNTIFS(Selections!$C$6:$C$29,"Bundesliga",Selections!$K$6:$K$29,"WON")+COUNTIFS(Selections!$C$6:$C$29,"Bundesliga",Selections!$K$6:$K$29,"LOST"))</f>
        <v>2</v>
      </c>
      <c r="H9" s="20" t="str">
        <f>IF((COUNTIFS(Selections!$C$6:$C$29,"Bundesliga",Selections!$K$6:$K$29,"WON")+COUNTIFS(Selections!$C$6:$C$29,"Bundesliga",Selections!$K$6:$K$29,"LOST"))=0,"n.a.",COUNTIFS(Selections!$C$6:$C$29,"Bundesliga",Selections!$K$6:$K$29,"WON")/(COUNTIFS(Selections!$C$6:$C$29,"Bundesliga",Selections!$K$6:$K$29,"WON")+COUNTIFS(Selections!$C$6:$C$29,"Bundesliga",Selections!$K$6:$K$29,"LOST")))</f>
        <v>n.a.</v>
      </c>
      <c r="I9" s="22">
        <f>SUMIFS(Selections!$M$6:$M$29,Selections!$C$6:$C$29,"Bundesliga")</f>
        <v>0</v>
      </c>
      <c r="J9" s="22">
        <f>SUMIFS(Selections!$N$6:$N$29,Selections!$C$6:$C$29,"Bundesliga")</f>
        <v>0</v>
      </c>
      <c r="K9" s="20" t="str">
        <f>IF(SUMIFS(Selections!$M$6:$M$29,Selections!$C$6:$C$29,"Bundesliga")=0,"n.a.",SUMIFS(Selections!$N$6:$N$29,Selections!$C$6:$C$29,"Bundesliga")/SUMIFS(Selections!$M$6:$M$29,Selections!$C$6:$C$29,"Bundesliga"))</f>
        <v>n.a.</v>
      </c>
      <c r="L9" s="21" t="str">
        <f>IF(SUMIFS(Selections!$T$6:$T$29,Selections!$C$6:$C$29,"Bundesliga")=0,"n.a.",SUMIFS(Selections!$O$6:$O$29,Selections!$C$6:$C$29,"Bundesliga")/SUMIFS(Selections!$T$6:$T$29,Selections!$C$6:$C$29,"Bundesliga"))</f>
        <v>n.a.</v>
      </c>
      <c r="M9" s="20" t="str">
        <f>IF(SUMIFS(Selections!$T$6:$T$29,Selections!$C$6:$C$29,"Bundesliga")=0,"n.a.",SUMIFS(Selections!$S$6:$S$29,Selections!$C$6:$C$29,"Bundesliga")/SUMIFS(Selections!$T$6:$T$29,Selections!$C$6:$C$29,"Bundesliga"))</f>
        <v>n.a.</v>
      </c>
      <c r="N9" s="20" t="str">
        <f>IF(SUMIFS(Selections!$T$6:$T$29,Selections!$C$6:$C$29,"Bundesliga")=0,"n.a.",(SUMIFS(Selections!$L$6:$L$29,Selections!$C$6:$C$29,"Bundesliga",Selections!$T$6:$T$29,1))/SUMIFS(Selections!$T$6:$T$29,Selections!$C$6:$C$29,"Bundesliga"))</f>
        <v>n.a.</v>
      </c>
      <c r="O9" s="20" t="str">
        <f>IF(SUMIFS(Selections!$T$6:$T$29,Selections!$C$6:$C$29,"Bundesliga")=0,"n.a.",(SUMIFS(Selections!$S$6:$S$29,Selections!$C$6:$C$29,"Bundesliga")-(SUMIFS(Selections!$L$6:$L$29,Selections!$C$6:$C$29,"Bundesliga",Selections!$T$6:$T$29,1)))/SUMIFS(Selections!$T$6:$T$29,Selections!$C$6:$C$29,"Bundesliga"))</f>
        <v>n.a.</v>
      </c>
      <c r="P9" s="19">
        <f>SUMIFS(Selections!$T$6:$T$29,Selections!$C$6:$C$29,"Bundesliga")</f>
        <v>0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COUNTIFS(Selections!$C$6:$C$29,"La Liga")</f>
        <v>7</v>
      </c>
      <c r="D10" s="19">
        <f>(COUNTIFS(Selections!$C$6:$C$29,"La Liga",Selections!$K$6:$K$29,"WON")+COUNTIFS(Selections!$C$6:$C$29,"La Liga",Selections!$K$6:$K$29,"LOST"))</f>
        <v>3</v>
      </c>
      <c r="E10" s="19">
        <f>COUNTIFS(Selections!$C$6:$C$29,"La Liga",Selections!$K$6:$K$29,"WON")</f>
        <v>3</v>
      </c>
      <c r="F10" s="19">
        <f>COUNTIFS(Selections!$C$6:$C$29,"La Liga",Selections!$K$6:$K$29,"LOST")</f>
        <v>0</v>
      </c>
      <c r="G10" s="19">
        <f>COUNTIFS(Selections!$C$6:$C$29,"La Liga")-(COUNTIFS(Selections!$C$6:$C$29,"La Liga",Selections!$K$6:$K$29,"WON")+COUNTIFS(Selections!$C$6:$C$29,"La Liga",Selections!$K$6:$K$29,"LOST"))</f>
        <v>4</v>
      </c>
      <c r="H10" s="20">
        <f>IF((COUNTIFS(Selections!$C$6:$C$29,"La Liga",Selections!$K$6:$K$29,"WON")+COUNTIFS(Selections!$C$6:$C$29,"La Liga",Selections!$K$6:$K$29,"LOST"))=0,"n.a.",COUNTIFS(Selections!$C$6:$C$29,"La Liga",Selections!$K$6:$K$29,"WON")/(COUNTIFS(Selections!$C$6:$C$29,"La Liga",Selections!$K$6:$K$29,"WON")+COUNTIFS(Selections!$C$6:$C$29,"La Liga",Selections!$K$6:$K$29,"LOST")))</f>
        <v>1.0</v>
      </c>
      <c r="I10" s="22">
        <f>SUMIFS(Selections!$M$6:$M$29,Selections!$C$6:$C$29,"La Liga")</f>
        <v>3</v>
      </c>
      <c r="J10" s="22">
        <f>SUMIFS(Selections!$N$6:$N$29,Selections!$C$6:$C$29,"La Liga")</f>
        <v>0.8500000000000001</v>
      </c>
      <c r="K10" s="20">
        <f>IF(SUMIFS(Selections!$M$6:$M$29,Selections!$C$6:$C$29,"La Liga")=0,"n.a.",SUMIFS(Selections!$N$6:$N$29,Selections!$C$6:$C$29,"La Liga")/SUMIFS(Selections!$M$6:$M$29,Selections!$C$6:$C$29,"La Liga"))</f>
        <v>0.2833333333333334</v>
      </c>
      <c r="L10" s="21">
        <f>IF(SUMIFS(Selections!$T$6:$T$29,Selections!$C$6:$C$29,"La Liga")=0,"n.a.",SUMIFS(Selections!$O$6:$O$29,Selections!$C$6:$C$29,"La Liga")/SUMIFS(Selections!$T$6:$T$29,Selections!$C$6:$C$29,"La Liga"))</f>
        <v>0.02679924783576133</v>
      </c>
      <c r="M10" s="20">
        <f>IF(SUMIFS(Selections!$T$6:$T$29,Selections!$C$6:$C$29,"La Liga")=0,"n.a.",SUMIFS(Selections!$S$6:$S$29,Selections!$C$6:$C$29,"La Liga")/SUMIFS(Selections!$T$6:$T$29,Selections!$C$6:$C$29,"La Liga"))</f>
        <v>0.8435366220237205</v>
      </c>
      <c r="N10" s="20">
        <f>IF(SUMIFS(Selections!$T$6:$T$29,Selections!$C$6:$C$29,"La Liga")=0,"n.a.",(SUMIFS(Selections!$L$6:$L$29,Selections!$C$6:$C$29,"La Liga",Selections!$T$6:$T$29,1))/SUMIFS(Selections!$T$6:$T$29,Selections!$C$6:$C$29,"La Liga"))</f>
        <v>1.0</v>
      </c>
      <c r="O10" s="20">
        <f>IF(SUMIFS(Selections!$T$6:$T$29,Selections!$C$6:$C$29,"La Liga")=0,"n.a.",(SUMIFS(Selections!$S$6:$S$29,Selections!$C$6:$C$29,"La Liga")-(SUMIFS(Selections!$L$6:$L$29,Selections!$C$6:$C$29,"La Liga",Selections!$T$6:$T$29,1)))/SUMIFS(Selections!$T$6:$T$29,Selections!$C$6:$C$29,"La Liga"))</f>
        <v>-0.15646337797627952</v>
      </c>
      <c r="P10" s="19">
        <f>SUMIFS(Selections!$T$6:$T$29,Selections!$C$6:$C$29,"La Liga")</f>
        <v>3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(n=3).</v>
      </c>
      <c r="R10" s="18"/>
    </row>
    <row r="11" ht="36" customHeight="1">
      <c r="A11" s="18" t="inlineStr">
        <is>
          <t>League</t>
        </is>
      </c>
      <c r="B11" s="18" t="inlineStr">
        <is>
          <t>Premier League</t>
        </is>
      </c>
      <c r="C11" s="19">
        <f>COUNTIFS(Selections!$C$6:$C$29,"Premier League")</f>
        <v>6</v>
      </c>
      <c r="D11" s="19">
        <f>(COUNTIFS(Selections!$C$6:$C$29,"Premier League",Selections!$K$6:$K$29,"WON")+COUNTIFS(Selections!$C$6:$C$29,"Premier League",Selections!$K$6:$K$29,"LOST"))</f>
        <v>3</v>
      </c>
      <c r="E11" s="19">
        <f>COUNTIFS(Selections!$C$6:$C$29,"Premier League",Selections!$K$6:$K$29,"WON")</f>
        <v>0</v>
      </c>
      <c r="F11" s="19">
        <f>COUNTIFS(Selections!$C$6:$C$29,"Premier League",Selections!$K$6:$K$29,"LOST")</f>
        <v>3</v>
      </c>
      <c r="G11" s="19">
        <f>COUNTIFS(Selections!$C$6:$C$29,"Premier League")-(COUNTIFS(Selections!$C$6:$C$29,"Premier League",Selections!$K$6:$K$29,"WON")+COUNTIFS(Selections!$C$6:$C$29,"Premier League",Selections!$K$6:$K$29,"LOST"))</f>
        <v>3</v>
      </c>
      <c r="H11" s="20">
        <f>IF((COUNTIFS(Selections!$C$6:$C$29,"Premier League",Selections!$K$6:$K$29,"WON")+COUNTIFS(Selections!$C$6:$C$29,"Premier League",Selections!$K$6:$K$29,"LOST"))=0,"n.a.",COUNTIFS(Selections!$C$6:$C$29,"Premier League",Selections!$K$6:$K$29,"WON")/(COUNTIFS(Selections!$C$6:$C$29,"Premier League",Selections!$K$6:$K$29,"WON")+COUNTIFS(Selections!$C$6:$C$29,"Premier League",Selections!$K$6:$K$29,"LOST")))</f>
        <v>0.0</v>
      </c>
      <c r="I11" s="22">
        <f>SUMIFS(Selections!$M$6:$M$29,Selections!$C$6:$C$29,"Premier League")</f>
        <v>3</v>
      </c>
      <c r="J11" s="22">
        <f>SUMIFS(Selections!$N$6:$N$29,Selections!$C$6:$C$29,"Premier League")</f>
        <v>-3.0</v>
      </c>
      <c r="K11" s="20">
        <f>IF(SUMIFS(Selections!$M$6:$M$29,Selections!$C$6:$C$29,"Premier League")=0,"n.a.",SUMIFS(Selections!$N$6:$N$29,Selections!$C$6:$C$29,"Premier League")/SUMIFS(Selections!$M$6:$M$29,Selections!$C$6:$C$29,"Premier League"))</f>
        <v>-1.0</v>
      </c>
      <c r="L11" s="21">
        <f>IF(SUMIFS(Selections!$T$6:$T$29,Selections!$C$6:$C$29,"Premier League")=0,"n.a.",SUMIFS(Selections!$O$6:$O$29,Selections!$C$6:$C$29,"Premier League")/SUMIFS(Selections!$T$6:$T$29,Selections!$C$6:$C$29,"Premier League"))</f>
        <v>0.6550299989350173</v>
      </c>
      <c r="M11" s="20">
        <f>IF(SUMIFS(Selections!$T$6:$T$29,Selections!$C$6:$C$29,"Premier League")=0,"n.a.",SUMIFS(Selections!$S$6:$S$29,Selections!$C$6:$C$29,"Premier League")/SUMIFS(Selections!$T$6:$T$29,Selections!$C$6:$C$29,"Premier League"))</f>
        <v>0.8084589103334122</v>
      </c>
      <c r="N11" s="20">
        <f>IF(SUMIFS(Selections!$T$6:$T$29,Selections!$C$6:$C$29,"Premier League")=0,"n.a.",(SUMIFS(Selections!$L$6:$L$29,Selections!$C$6:$C$29,"Premier League",Selections!$T$6:$T$29,1))/SUMIFS(Selections!$T$6:$T$29,Selections!$C$6:$C$29,"Premier League"))</f>
        <v>0.0</v>
      </c>
      <c r="O11" s="20">
        <f>IF(SUMIFS(Selections!$T$6:$T$29,Selections!$C$6:$C$29,"Premier League")=0,"n.a.",(SUMIFS(Selections!$S$6:$S$29,Selections!$C$6:$C$29,"Premier League")-(SUMIFS(Selections!$L$6:$L$29,Selections!$C$6:$C$29,"Premier League",Selections!$T$6:$T$29,1)))/SUMIFS(Selections!$T$6:$T$29,Selections!$C$6:$C$29,"Premier League"))</f>
        <v>0.8084589103334122</v>
      </c>
      <c r="P11" s="19">
        <f>SUMIFS(Selections!$T$6:$T$29,Selections!$C$6:$C$29,"Premier League")</f>
        <v>3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(n=3).</v>
      </c>
      <c r="R11" s="18"/>
    </row>
    <row r="12" ht="36" customHeight="1">
      <c r="A12" s="18" t="inlineStr">
        <is>
          <t>League</t>
        </is>
      </c>
      <c r="B12" s="18" t="inlineStr">
        <is>
          <t>Serie A</t>
        </is>
      </c>
      <c r="C12" s="19">
        <f>COUNTIFS(Selections!$C$6:$C$29,"Serie A")</f>
        <v>4</v>
      </c>
      <c r="D12" s="19">
        <f>(COUNTIFS(Selections!$C$6:$C$29,"Serie A",Selections!$K$6:$K$29,"WON")+COUNTIFS(Selections!$C$6:$C$29,"Serie A",Selections!$K$6:$K$29,"LOST"))</f>
        <v>2</v>
      </c>
      <c r="E12" s="19">
        <f>COUNTIFS(Selections!$C$6:$C$29,"Serie A",Selections!$K$6:$K$29,"WON")</f>
        <v>2</v>
      </c>
      <c r="F12" s="19">
        <f>COUNTIFS(Selections!$C$6:$C$29,"Serie A",Selections!$K$6:$K$29,"LOST")</f>
        <v>0</v>
      </c>
      <c r="G12" s="19">
        <f>COUNTIFS(Selections!$C$6:$C$29,"Serie A")-(COUNTIFS(Selections!$C$6:$C$29,"Serie A",Selections!$K$6:$K$29,"WON")+COUNTIFS(Selections!$C$6:$C$29,"Serie A",Selections!$K$6:$K$29,"LOST"))</f>
        <v>2</v>
      </c>
      <c r="H12" s="20">
        <f>IF((COUNTIFS(Selections!$C$6:$C$29,"Serie A",Selections!$K$6:$K$29,"WON")+COUNTIFS(Selections!$C$6:$C$29,"Serie A",Selections!$K$6:$K$29,"LOST"))=0,"n.a.",COUNTIFS(Selections!$C$6:$C$29,"Serie A",Selections!$K$6:$K$29,"WON")/(COUNTIFS(Selections!$C$6:$C$29,"Serie A",Selections!$K$6:$K$29,"WON")+COUNTIFS(Selections!$C$6:$C$29,"Serie A",Selections!$K$6:$K$29,"LOST")))</f>
        <v>1.0</v>
      </c>
      <c r="I12" s="22">
        <f>SUMIFS(Selections!$M$6:$M$29,Selections!$C$6:$C$29,"Serie A")</f>
        <v>2</v>
      </c>
      <c r="J12" s="22">
        <f>SUMIFS(Selections!$N$6:$N$29,Selections!$C$6:$C$29,"Serie A")</f>
        <v>0.9099999999999999</v>
      </c>
      <c r="K12" s="20">
        <f>IF(SUMIFS(Selections!$M$6:$M$29,Selections!$C$6:$C$29,"Serie A")=0,"n.a.",SUMIFS(Selections!$N$6:$N$29,Selections!$C$6:$C$29,"Serie A")/SUMIFS(Selections!$M$6:$M$29,Selections!$C$6:$C$29,"Serie A"))</f>
        <v>0.45499999999999996</v>
      </c>
      <c r="L12" s="21">
        <f>IF(SUMIFS(Selections!$T$6:$T$29,Selections!$C$6:$C$29,"Serie A")=0,"n.a.",SUMIFS(Selections!$O$6:$O$29,Selections!$C$6:$C$29,"Serie A")/SUMIFS(Selections!$T$6:$T$29,Selections!$C$6:$C$29,"Serie A"))</f>
        <v>0.07119335473368883</v>
      </c>
      <c r="M12" s="20">
        <f>IF(SUMIFS(Selections!$T$6:$T$29,Selections!$C$6:$C$29,"Serie A")=0,"n.a.",SUMIFS(Selections!$S$6:$S$29,Selections!$C$6:$C$29,"Serie A")/SUMIFS(Selections!$T$6:$T$29,Selections!$C$6:$C$29,"Serie A"))</f>
        <v>0.7393540862546915</v>
      </c>
      <c r="N12" s="20">
        <f>IF(SUMIFS(Selections!$T$6:$T$29,Selections!$C$6:$C$29,"Serie A")=0,"n.a.",(SUMIFS(Selections!$L$6:$L$29,Selections!$C$6:$C$29,"Serie A",Selections!$T$6:$T$29,1))/SUMIFS(Selections!$T$6:$T$29,Selections!$C$6:$C$29,"Serie A"))</f>
        <v>1.0</v>
      </c>
      <c r="O12" s="20">
        <f>IF(SUMIFS(Selections!$T$6:$T$29,Selections!$C$6:$C$29,"Serie A")=0,"n.a.",(SUMIFS(Selections!$S$6:$S$29,Selections!$C$6:$C$29,"Serie A")-(SUMIFS(Selections!$L$6:$L$29,Selections!$C$6:$C$29,"Serie A",Selections!$T$6:$T$29,1)))/SUMIFS(Selections!$T$6:$T$29,Selections!$C$6:$C$29,"Serie A"))</f>
        <v>-0.26064591374530854</v>
      </c>
      <c r="P12" s="19">
        <f>SUMIFS(Selections!$T$6:$T$29,Selections!$C$6:$C$29,"Serie A")</f>
        <v>2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(n=2).</v>
      </c>
      <c r="R12" s="18"/>
    </row>
    <row r="13" ht="36" customHeight="1">
      <c r="A13" s="18" t="inlineStr">
        <is>
          <t>League</t>
        </is>
      </c>
      <c r="B13" s="18" t="inlineStr">
        <is>
          <t>UEFA Champions League</t>
        </is>
      </c>
      <c r="C13" s="19">
        <f>COUNTIFS(Selections!$C$6:$C$29,"UEFA Champions League")</f>
        <v>5</v>
      </c>
      <c r="D13" s="19">
        <f>(COUNTIFS(Selections!$C$6:$C$29,"UEFA Champions League",Selections!$K$6:$K$29,"WON")+COUNTIFS(Selections!$C$6:$C$29,"UEFA Champions League",Selections!$K$6:$K$29,"LOST"))</f>
        <v>4</v>
      </c>
      <c r="E13" s="19">
        <f>COUNTIFS(Selections!$C$6:$C$29,"UEFA Champions League",Selections!$K$6:$K$29,"WON")</f>
        <v>4</v>
      </c>
      <c r="F13" s="19">
        <f>COUNTIFS(Selections!$C$6:$C$29,"UEFA Champions League",Selections!$K$6:$K$29,"LOST")</f>
        <v>0</v>
      </c>
      <c r="G13" s="19">
        <f>COUNTIFS(Selections!$C$6:$C$29,"UEFA Champions League")-(COUNTIFS(Selections!$C$6:$C$29,"UEFA Champions League",Selections!$K$6:$K$29,"WON")+COUNTIFS(Selections!$C$6:$C$29,"UEFA Champions League",Selections!$K$6:$K$29,"LOST"))</f>
        <v>1</v>
      </c>
      <c r="H13" s="20">
        <f>IF((COUNTIFS(Selections!$C$6:$C$29,"UEFA Champions League",Selections!$K$6:$K$29,"WON")+COUNTIFS(Selections!$C$6:$C$29,"UEFA Champions League",Selections!$K$6:$K$29,"LOST"))=0,"n.a.",COUNTIFS(Selections!$C$6:$C$29,"UEFA Champions League",Selections!$K$6:$K$29,"WON")/(COUNTIFS(Selections!$C$6:$C$29,"UEFA Champions League",Selections!$K$6:$K$29,"WON")+COUNTIFS(Selections!$C$6:$C$29,"UEFA Champions League",Selections!$K$6:$K$29,"LOST")))</f>
        <v>1.0</v>
      </c>
      <c r="I13" s="22">
        <f>SUMIFS(Selections!$M$6:$M$29,Selections!$C$6:$C$29,"UEFA Champions League")</f>
        <v>4</v>
      </c>
      <c r="J13" s="22">
        <f>SUMIFS(Selections!$N$6:$N$29,Selections!$C$6:$C$29,"UEFA Champions League")</f>
        <v>1.6199999999999999</v>
      </c>
      <c r="K13" s="20">
        <f>IF(SUMIFS(Selections!$M$6:$M$29,Selections!$C$6:$C$29,"UEFA Champions League")=0,"n.a.",SUMIFS(Selections!$N$6:$N$29,Selections!$C$6:$C$29,"UEFA Champions League")/SUMIFS(Selections!$M$6:$M$29,Selections!$C$6:$C$29,"UEFA Champions League"))</f>
        <v>0.40499999999999997</v>
      </c>
      <c r="L13" s="21">
        <f>IF(SUMIFS(Selections!$T$6:$T$29,Selections!$C$6:$C$29,"UEFA Champions League")=0,"n.a.",SUMIFS(Selections!$O$6:$O$29,Selections!$C$6:$C$29,"UEFA Champions League")/SUMIFS(Selections!$T$6:$T$29,Selections!$C$6:$C$29,"UEFA Champions League"))</f>
        <v>0.052539426004397115</v>
      </c>
      <c r="M13" s="20">
        <f>IF(SUMIFS(Selections!$T$6:$T$29,Selections!$C$6:$C$29,"UEFA Champions League")=0,"n.a.",SUMIFS(Selections!$S$6:$S$29,Selections!$C$6:$C$29,"UEFA Champions League")/SUMIFS(Selections!$T$6:$T$29,Selections!$C$6:$C$29,"UEFA Champions League"))</f>
        <v>0.8071634401961396</v>
      </c>
      <c r="N13" s="20">
        <f>IF(SUMIFS(Selections!$T$6:$T$29,Selections!$C$6:$C$29,"UEFA Champions League")=0,"n.a.",(SUMIFS(Selections!$L$6:$L$29,Selections!$C$6:$C$29,"UEFA Champions League",Selections!$T$6:$T$29,1))/SUMIFS(Selections!$T$6:$T$29,Selections!$C$6:$C$29,"UEFA Champions League"))</f>
        <v>1.0</v>
      </c>
      <c r="O13" s="20">
        <f>IF(SUMIFS(Selections!$T$6:$T$29,Selections!$C$6:$C$29,"UEFA Champions League")=0,"n.a.",(SUMIFS(Selections!$S$6:$S$29,Selections!$C$6:$C$29,"UEFA Champions League")-(SUMIFS(Selections!$L$6:$L$29,Selections!$C$6:$C$29,"UEFA Champions League",Selections!$T$6:$T$29,1)))/SUMIFS(Selections!$T$6:$T$29,Selections!$C$6:$C$29,"UEFA Champions League"))</f>
        <v>-0.19283655980386039</v>
      </c>
      <c r="P13" s="19">
        <f>SUMIFS(Selections!$T$6:$T$29,Selections!$C$6:$C$29,"UEFA Champions League")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Market</t>
        </is>
      </c>
      <c r="B14" s="18" t="inlineStr">
        <is>
          <t>Away win</t>
        </is>
      </c>
      <c r="C14" s="19">
        <f>COUNTIFS(Selections!$E$6:$E$29,"Away win")</f>
        <v>1</v>
      </c>
      <c r="D14" s="19">
        <f>(COUNTIFS(Selections!$E$6:$E$29,"Away win",Selections!$K$6:$K$29,"WON")+COUNTIFS(Selections!$E$6:$E$29,"Away win",Selections!$K$6:$K$29,"LOST"))</f>
        <v>0</v>
      </c>
      <c r="E14" s="19">
        <f>COUNTIFS(Selections!$E$6:$E$29,"Away win",Selections!$K$6:$K$29,"WON")</f>
        <v>0</v>
      </c>
      <c r="F14" s="19">
        <f>COUNTIFS(Selections!$E$6:$E$29,"Away win",Selections!$K$6:$K$29,"LOST")</f>
        <v>0</v>
      </c>
      <c r="G14" s="19">
        <f>COUNTIFS(Selections!$E$6:$E$29,"Away win")-(COUNTIFS(Selections!$E$6:$E$29,"Away win",Selections!$K$6:$K$29,"WON")+COUNTIFS(Selections!$E$6:$E$29,"Away win",Selections!$K$6:$K$29,"LOST"))</f>
        <v>1</v>
      </c>
      <c r="H14" s="20" t="str">
        <f>IF((COUNTIFS(Selections!$E$6:$E$29,"Away win",Selections!$K$6:$K$29,"WON")+COUNTIFS(Selections!$E$6:$E$29,"Away win",Selections!$K$6:$K$29,"LOST"))=0,"n.a.",COUNTIFS(Selections!$E$6:$E$29,"Away win",Selections!$K$6:$K$29,"WON")/(COUNTIFS(Selections!$E$6:$E$29,"Away win",Selections!$K$6:$K$29,"WON")+COUNTIFS(Selections!$E$6:$E$29,"Away win",Selections!$K$6:$K$29,"LOST")))</f>
        <v>n.a.</v>
      </c>
      <c r="I14" s="22">
        <f>SUMIFS(Selections!$M$6:$M$29,Selections!$E$6:$E$29,"Away win")</f>
        <v>0</v>
      </c>
      <c r="J14" s="22">
        <f>SUMIFS(Selections!$N$6:$N$29,Selections!$E$6:$E$29,"Away win")</f>
        <v>0</v>
      </c>
      <c r="K14" s="20" t="str">
        <f>IF(SUMIFS(Selections!$M$6:$M$29,Selections!$E$6:$E$29,"Away win")=0,"n.a.",SUMIFS(Selections!$N$6:$N$29,Selections!$E$6:$E$29,"Away win")/SUMIFS(Selections!$M$6:$M$29,Selections!$E$6:$E$29,"Away win"))</f>
        <v>n.a.</v>
      </c>
      <c r="L14" s="21" t="str">
        <f>IF(SUMIFS(Selections!$T$6:$T$29,Selections!$E$6:$E$29,"Away win")=0,"n.a.",SUMIFS(Selections!$O$6:$O$29,Selections!$E$6:$E$29,"Away win")/SUMIFS(Selections!$T$6:$T$29,Selections!$E$6:$E$29,"Away win"))</f>
        <v>n.a.</v>
      </c>
      <c r="M14" s="20" t="str">
        <f>IF(SUMIFS(Selections!$T$6:$T$29,Selections!$E$6:$E$29,"Away win")=0,"n.a.",SUMIFS(Selections!$S$6:$S$29,Selections!$E$6:$E$29,"Away win")/SUMIFS(Selections!$T$6:$T$29,Selections!$E$6:$E$29,"Away win"))</f>
        <v>n.a.</v>
      </c>
      <c r="N14" s="20" t="str">
        <f>IF(SUMIFS(Selections!$T$6:$T$29,Selections!$E$6:$E$29,"Away win")=0,"n.a.",(SUMIFS(Selections!$L$6:$L$29,Selections!$E$6:$E$29,"Away win",Selections!$T$6:$T$29,1))/SUMIFS(Selections!$T$6:$T$29,Selections!$E$6:$E$29,"Away win"))</f>
        <v>n.a.</v>
      </c>
      <c r="O14" s="20" t="str">
        <f>IF(SUMIFS(Selections!$T$6:$T$29,Selections!$E$6:$E$29,"Away win")=0,"n.a.",(SUMIFS(Selections!$S$6:$S$29,Selections!$E$6:$E$29,"Away win")-(SUMIFS(Selections!$L$6:$L$29,Selections!$E$6:$E$29,"Away win",Selections!$T$6:$T$29,1)))/SUMIFS(Selections!$T$6:$T$29,Selections!$E$6:$E$29,"Away win"))</f>
        <v>n.a.</v>
      </c>
      <c r="P14" s="19">
        <f>SUMIFS(Selections!$T$6:$T$29,Selections!$E$6:$E$29,"Away win")</f>
        <v>0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8"/>
    </row>
    <row r="15" ht="36" customHeight="1">
      <c r="A15" s="18" t="inlineStr">
        <is>
          <t>Market</t>
        </is>
      </c>
      <c r="B15" s="18" t="inlineStr">
        <is>
          <t>Both Teams to Score - Yes</t>
        </is>
      </c>
      <c r="C15" s="19">
        <f>COUNTIFS(Selections!$E$6:$E$29,"Both Teams to Score - Yes")</f>
        <v>1</v>
      </c>
      <c r="D15" s="19">
        <f>(COUNTIFS(Selections!$E$6:$E$29,"Both Teams to Score - Yes",Selections!$K$6:$K$29,"WON")+COUNTIFS(Selections!$E$6:$E$29,"Both Teams to Score - Yes",Selections!$K$6:$K$29,"LOST"))</f>
        <v>1</v>
      </c>
      <c r="E15" s="19">
        <f>COUNTIFS(Selections!$E$6:$E$29,"Both Teams to Score - Yes",Selections!$K$6:$K$29,"WON")</f>
        <v>1</v>
      </c>
      <c r="F15" s="19">
        <f>COUNTIFS(Selections!$E$6:$E$29,"Both Teams to Score - Yes",Selections!$K$6:$K$29,"LOST")</f>
        <v>0</v>
      </c>
      <c r="G15" s="19">
        <f>COUNTIFS(Selections!$E$6:$E$29,"Both Teams to Score - Yes")-(COUNTIFS(Selections!$E$6:$E$29,"Both Teams to Score - Yes",Selections!$K$6:$K$29,"WON")+COUNTIFS(Selections!$E$6:$E$29,"Both Teams to Score - Yes",Selections!$K$6:$K$29,"LOST"))</f>
        <v>0</v>
      </c>
      <c r="H15" s="20">
        <f>IF((COUNTIFS(Selections!$E$6:$E$29,"Both Teams to Score - Yes",Selections!$K$6:$K$29,"WON")+COUNTIFS(Selections!$E$6:$E$29,"Both Teams to Score - Yes",Selections!$K$6:$K$29,"LOST"))=0,"n.a.",COUNTIFS(Selections!$E$6:$E$29,"Both Teams to Score - Yes",Selections!$K$6:$K$29,"WON")/(COUNTIFS(Selections!$E$6:$E$29,"Both Teams to Score - Yes",Selections!$K$6:$K$29,"WON")+COUNTIFS(Selections!$E$6:$E$29,"Both Teams to Score - Yes",Selections!$K$6:$K$29,"LOST")))</f>
        <v>1.0</v>
      </c>
      <c r="I15" s="22">
        <f>SUMIFS(Selections!$M$6:$M$29,Selections!$E$6:$E$29,"Both Teams to Score - Yes")</f>
        <v>1</v>
      </c>
      <c r="J15" s="22">
        <f>SUMIFS(Selections!$N$6:$N$29,Selections!$E$6:$E$29,"Both Teams to Score - Yes")</f>
        <v>0.49</v>
      </c>
      <c r="K15" s="20">
        <f>IF(SUMIFS(Selections!$M$6:$M$29,Selections!$E$6:$E$29,"Both Teams to Score - Yes")=0,"n.a.",SUMIFS(Selections!$N$6:$N$29,Selections!$E$6:$E$29,"Both Teams to Score - Yes")/SUMIFS(Selections!$M$6:$M$29,Selections!$E$6:$E$29,"Both Teams to Score - Yes"))</f>
        <v>0.49</v>
      </c>
      <c r="L15" s="21">
        <f>IF(SUMIFS(Selections!$T$6:$T$29,Selections!$E$6:$E$29,"Both Teams to Score - Yes")=0,"n.a.",SUMIFS(Selections!$O$6:$O$29,Selections!$E$6:$E$29,"Both Teams to Score - Yes")/SUMIFS(Selections!$T$6:$T$29,Selections!$E$6:$E$29,"Both Teams to Score - Yes"))</f>
        <v>0.08662845606019748</v>
      </c>
      <c r="M15" s="20">
        <f>IF(SUMIFS(Selections!$T$6:$T$29,Selections!$E$6:$E$29,"Both Teams to Score - Yes")=0,"n.a.",SUMIFS(Selections!$S$6:$S$29,Selections!$E$6:$E$29,"Both Teams to Score - Yes")/SUMIFS(Selections!$T$6:$T$29,Selections!$E$6:$E$29,"Both Teams to Score - Yes"))</f>
        <v>0.7056728757654207</v>
      </c>
      <c r="N15" s="20">
        <f>IF(SUMIFS(Selections!$T$6:$T$29,Selections!$E$6:$E$29,"Both Teams to Score - Yes")=0,"n.a.",(SUMIFS(Selections!$L$6:$L$29,Selections!$E$6:$E$29,"Both Teams to Score - Yes",Selections!$T$6:$T$29,1))/SUMIFS(Selections!$T$6:$T$29,Selections!$E$6:$E$29,"Both Teams to Score - Yes"))</f>
        <v>1.0</v>
      </c>
      <c r="O15" s="20">
        <f>IF(SUMIFS(Selections!$T$6:$T$29,Selections!$E$6:$E$29,"Both Teams to Score - Yes")=0,"n.a.",(SUMIFS(Selections!$S$6:$S$29,Selections!$E$6:$E$29,"Both Teams to Score - Yes")-(SUMIFS(Selections!$L$6:$L$29,Selections!$E$6:$E$29,"Both Teams to Score - Yes",Selections!$T$6:$T$29,1)))/SUMIFS(Selections!$T$6:$T$29,Selections!$E$6:$E$29,"Both Teams to Score - Yes"))</f>
        <v>-0.2943271242345793</v>
      </c>
      <c r="P15" s="19">
        <f>SUMIFS(Selections!$T$6:$T$29,Selections!$E$6:$E$29,"Both Teams to Score - Yes")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Double Chance 1X</t>
        </is>
      </c>
      <c r="C16" s="19">
        <f>COUNTIFS(Selections!$E$6:$E$29,"Double Chance 1X")</f>
        <v>2</v>
      </c>
      <c r="D16" s="19">
        <f>(COUNTIFS(Selections!$E$6:$E$29,"Double Chance 1X",Selections!$K$6:$K$29,"WON")+COUNTIFS(Selections!$E$6:$E$29,"Double Chance 1X",Selections!$K$6:$K$29,"LOST"))</f>
        <v>0</v>
      </c>
      <c r="E16" s="19">
        <f>COUNTIFS(Selections!$E$6:$E$29,"Double Chance 1X",Selections!$K$6:$K$29,"WON")</f>
        <v>0</v>
      </c>
      <c r="F16" s="19">
        <f>COUNTIFS(Selections!$E$6:$E$29,"Double Chance 1X",Selections!$K$6:$K$29,"LOST")</f>
        <v>0</v>
      </c>
      <c r="G16" s="19">
        <f>COUNTIFS(Selections!$E$6:$E$29,"Double Chance 1X")-(COUNTIFS(Selections!$E$6:$E$29,"Double Chance 1X",Selections!$K$6:$K$29,"WON")+COUNTIFS(Selections!$E$6:$E$29,"Double Chance 1X",Selections!$K$6:$K$29,"LOST"))</f>
        <v>2</v>
      </c>
      <c r="H16" s="20" t="str">
        <f>IF((COUNTIFS(Selections!$E$6:$E$29,"Double Chance 1X",Selections!$K$6:$K$29,"WON")+COUNTIFS(Selections!$E$6:$E$29,"Double Chance 1X",Selections!$K$6:$K$29,"LOST"))=0,"n.a.",COUNTIFS(Selections!$E$6:$E$29,"Double Chance 1X",Selections!$K$6:$K$29,"WON")/(COUNTIFS(Selections!$E$6:$E$29,"Double Chance 1X",Selections!$K$6:$K$29,"WON")+COUNTIFS(Selections!$E$6:$E$29,"Double Chance 1X",Selections!$K$6:$K$29,"LOST")))</f>
        <v>n.a.</v>
      </c>
      <c r="I16" s="22">
        <f>SUMIFS(Selections!$M$6:$M$29,Selections!$E$6:$E$29,"Double Chance 1X")</f>
        <v>0</v>
      </c>
      <c r="J16" s="22">
        <f>SUMIFS(Selections!$N$6:$N$29,Selections!$E$6:$E$29,"Double Chance 1X")</f>
        <v>0</v>
      </c>
      <c r="K16" s="20" t="str">
        <f>IF(SUMIFS(Selections!$M$6:$M$29,Selections!$E$6:$E$29,"Double Chance 1X")=0,"n.a.",SUMIFS(Selections!$N$6:$N$29,Selections!$E$6:$E$29,"Double Chance 1X")/SUMIFS(Selections!$M$6:$M$29,Selections!$E$6:$E$29,"Double Chance 1X"))</f>
        <v>n.a.</v>
      </c>
      <c r="L16" s="21" t="str">
        <f>IF(SUMIFS(Selections!$T$6:$T$29,Selections!$E$6:$E$29,"Double Chance 1X")=0,"n.a.",SUMIFS(Selections!$O$6:$O$29,Selections!$E$6:$E$29,"Double Chance 1X")/SUMIFS(Selections!$T$6:$T$29,Selections!$E$6:$E$29,"Double Chance 1X"))</f>
        <v>n.a.</v>
      </c>
      <c r="M16" s="20" t="str">
        <f>IF(SUMIFS(Selections!$T$6:$T$29,Selections!$E$6:$E$29,"Double Chance 1X")=0,"n.a.",SUMIFS(Selections!$S$6:$S$29,Selections!$E$6:$E$29,"Double Chance 1X")/SUMIFS(Selections!$T$6:$T$29,Selections!$E$6:$E$29,"Double Chance 1X"))</f>
        <v>n.a.</v>
      </c>
      <c r="N16" s="20" t="str">
        <f>IF(SUMIFS(Selections!$T$6:$T$29,Selections!$E$6:$E$29,"Double Chance 1X")=0,"n.a.",(SUMIFS(Selections!$L$6:$L$29,Selections!$E$6:$E$29,"Double Chance 1X",Selections!$T$6:$T$29,1))/SUMIFS(Selections!$T$6:$T$29,Selections!$E$6:$E$29,"Double Chance 1X"))</f>
        <v>n.a.</v>
      </c>
      <c r="O16" s="20" t="str">
        <f>IF(SUMIFS(Selections!$T$6:$T$29,Selections!$E$6:$E$29,"Double Chance 1X")=0,"n.a.",(SUMIFS(Selections!$S$6:$S$29,Selections!$E$6:$E$29,"Double Chance 1X")-(SUMIFS(Selections!$L$6:$L$29,Selections!$E$6:$E$29,"Double Chance 1X",Selections!$T$6:$T$29,1)))/SUMIFS(Selections!$T$6:$T$29,Selections!$E$6:$E$29,"Double Chance 1X"))</f>
        <v>n.a.</v>
      </c>
      <c r="P16" s="19">
        <f>SUMIFS(Selections!$T$6:$T$29,Selections!$E$6:$E$29,"Double Chance 1X")</f>
        <v>0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8"/>
    </row>
    <row r="17" ht="36" customHeight="1">
      <c r="A17" s="18" t="inlineStr">
        <is>
          <t>Market</t>
        </is>
      </c>
      <c r="B17" s="18" t="inlineStr">
        <is>
          <t>Home win</t>
        </is>
      </c>
      <c r="C17" s="19">
        <f>COUNTIFS(Selections!$E$6:$E$29,"Home win")</f>
        <v>5</v>
      </c>
      <c r="D17" s="19">
        <f>(COUNTIFS(Selections!$E$6:$E$29,"Home win",Selections!$K$6:$K$29,"WON")+COUNTIFS(Selections!$E$6:$E$29,"Home win",Selections!$K$6:$K$29,"LOST"))</f>
        <v>2</v>
      </c>
      <c r="E17" s="19">
        <f>COUNTIFS(Selections!$E$6:$E$29,"Home win",Selections!$K$6:$K$29,"WON")</f>
        <v>2</v>
      </c>
      <c r="F17" s="19">
        <f>COUNTIFS(Selections!$E$6:$E$29,"Home win",Selections!$K$6:$K$29,"LOST")</f>
        <v>0</v>
      </c>
      <c r="G17" s="19">
        <f>COUNTIFS(Selections!$E$6:$E$29,"Home win")-(COUNTIFS(Selections!$E$6:$E$29,"Home win",Selections!$K$6:$K$29,"WON")+COUNTIFS(Selections!$E$6:$E$29,"Home win",Selections!$K$6:$K$29,"LOST"))</f>
        <v>3</v>
      </c>
      <c r="H17" s="20">
        <f>IF((COUNTIFS(Selections!$E$6:$E$29,"Home win",Selections!$K$6:$K$29,"WON")+COUNTIFS(Selections!$E$6:$E$29,"Home win",Selections!$K$6:$K$29,"LOST"))=0,"n.a.",COUNTIFS(Selections!$E$6:$E$29,"Home win",Selections!$K$6:$K$29,"WON")/(COUNTIFS(Selections!$E$6:$E$29,"Home win",Selections!$K$6:$K$29,"WON")+COUNTIFS(Selections!$E$6:$E$29,"Home win",Selections!$K$6:$K$29,"LOST")))</f>
        <v>1.0</v>
      </c>
      <c r="I17" s="22">
        <f>SUMIFS(Selections!$M$6:$M$29,Selections!$E$6:$E$29,"Home win")</f>
        <v>2</v>
      </c>
      <c r="J17" s="22">
        <f>SUMIFS(Selections!$N$6:$N$29,Selections!$E$6:$E$29,"Home win")</f>
        <v>1.3699999999999999</v>
      </c>
      <c r="K17" s="20">
        <f>IF(SUMIFS(Selections!$M$6:$M$29,Selections!$E$6:$E$29,"Home win")=0,"n.a.",SUMIFS(Selections!$N$6:$N$29,Selections!$E$6:$E$29,"Home win")/SUMIFS(Selections!$M$6:$M$29,Selections!$E$6:$E$29,"Home win"))</f>
        <v>0.6849999999999999</v>
      </c>
      <c r="L17" s="21">
        <f>IF(SUMIFS(Selections!$T$6:$T$29,Selections!$E$6:$E$29,"Home win")=0,"n.a.",SUMIFS(Selections!$O$6:$O$29,Selections!$E$6:$E$29,"Home win")/SUMIFS(Selections!$T$6:$T$29,Selections!$E$6:$E$29,"Home win"))</f>
        <v>0.10707453570041733</v>
      </c>
      <c r="M17" s="20">
        <f>IF(SUMIFS(Selections!$T$6:$T$29,Selections!$E$6:$E$29,"Home win")=0,"n.a.",SUMIFS(Selections!$S$6:$S$29,Selections!$E$6:$E$29,"Home win")/SUMIFS(Selections!$T$6:$T$29,Selections!$E$6:$E$29,"Home win"))</f>
        <v>0.672911773109177</v>
      </c>
      <c r="N17" s="20">
        <f>IF(SUMIFS(Selections!$T$6:$T$29,Selections!$E$6:$E$29,"Home win")=0,"n.a.",(SUMIFS(Selections!$L$6:$L$29,Selections!$E$6:$E$29,"Home win",Selections!$T$6:$T$29,1))/SUMIFS(Selections!$T$6:$T$29,Selections!$E$6:$E$29,"Home win"))</f>
        <v>1.0</v>
      </c>
      <c r="O17" s="20">
        <f>IF(SUMIFS(Selections!$T$6:$T$29,Selections!$E$6:$E$29,"Home win")=0,"n.a.",(SUMIFS(Selections!$S$6:$S$29,Selections!$E$6:$E$29,"Home win")-(SUMIFS(Selections!$L$6:$L$29,Selections!$E$6:$E$29,"Home win",Selections!$T$6:$T$29,1)))/SUMIFS(Selections!$T$6:$T$29,Selections!$E$6:$E$29,"Home win"))</f>
        <v>-0.32708822689082295</v>
      </c>
      <c r="P17" s="19">
        <f>SUMIFS(Selections!$T$6:$T$29,Selections!$E$6:$E$29,"Home win")</f>
        <v>2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(n=2).</v>
      </c>
      <c r="R17" s="18"/>
    </row>
    <row r="18" ht="36" customHeight="1">
      <c r="A18" s="18" t="inlineStr">
        <is>
          <t>Market</t>
        </is>
      </c>
      <c r="B18" s="18" t="inlineStr">
        <is>
          <t>Over 1.5</t>
        </is>
      </c>
      <c r="C18" s="19">
        <f>COUNTIFS(Selections!$E$6:$E$29,"Over 1.5")</f>
        <v>9</v>
      </c>
      <c r="D18" s="19">
        <f>(COUNTIFS(Selections!$E$6:$E$29,"Over 1.5",Selections!$K$6:$K$29,"WON")+COUNTIFS(Selections!$E$6:$E$29,"Over 1.5",Selections!$K$6:$K$29,"LOST"))</f>
        <v>5</v>
      </c>
      <c r="E18" s="19">
        <f>COUNTIFS(Selections!$E$6:$E$29,"Over 1.5",Selections!$K$6:$K$29,"WON")</f>
        <v>5</v>
      </c>
      <c r="F18" s="19">
        <f>COUNTIFS(Selections!$E$6:$E$29,"Over 1.5",Selections!$K$6:$K$29,"LOST")</f>
        <v>0</v>
      </c>
      <c r="G18" s="19">
        <f>COUNTIFS(Selections!$E$6:$E$29,"Over 1.5")-(COUNTIFS(Selections!$E$6:$E$29,"Over 1.5",Selections!$K$6:$K$29,"WON")+COUNTIFS(Selections!$E$6:$E$29,"Over 1.5",Selections!$K$6:$K$29,"LOST"))</f>
        <v>4</v>
      </c>
      <c r="H18" s="20">
        <f>IF((COUNTIFS(Selections!$E$6:$E$29,"Over 1.5",Selections!$K$6:$K$29,"WON")+COUNTIFS(Selections!$E$6:$E$29,"Over 1.5",Selections!$K$6:$K$29,"LOST"))=0,"n.a.",COUNTIFS(Selections!$E$6:$E$29,"Over 1.5",Selections!$K$6:$K$29,"WON")/(COUNTIFS(Selections!$E$6:$E$29,"Over 1.5",Selections!$K$6:$K$29,"WON")+COUNTIFS(Selections!$E$6:$E$29,"Over 1.5",Selections!$K$6:$K$29,"LOST")))</f>
        <v>1.0</v>
      </c>
      <c r="I18" s="22">
        <f>SUMIFS(Selections!$M$6:$M$29,Selections!$E$6:$E$29,"Over 1.5")</f>
        <v>5</v>
      </c>
      <c r="J18" s="22">
        <f>SUMIFS(Selections!$N$6:$N$29,Selections!$E$6:$E$29,"Over 1.5")</f>
        <v>1.24</v>
      </c>
      <c r="K18" s="20">
        <f>IF(SUMIFS(Selections!$M$6:$M$29,Selections!$E$6:$E$29,"Over 1.5")=0,"n.a.",SUMIFS(Selections!$N$6:$N$29,Selections!$E$6:$E$29,"Over 1.5")/SUMIFS(Selections!$M$6:$M$29,Selections!$E$6:$E$29,"Over 1.5"))</f>
        <v>0.248</v>
      </c>
      <c r="L18" s="21">
        <f>IF(SUMIFS(Selections!$T$6:$T$29,Selections!$E$6:$E$29,"Over 1.5")=0,"n.a.",SUMIFS(Selections!$O$6:$O$29,Selections!$E$6:$E$29,"Over 1.5")/SUMIFS(Selections!$T$6:$T$29,Selections!$E$6:$E$29,"Over 1.5"))</f>
        <v>0.018144350651683065</v>
      </c>
      <c r="M18" s="20">
        <f>IF(SUMIFS(Selections!$T$6:$T$29,Selections!$E$6:$E$29,"Over 1.5")=0,"n.a.",SUMIFS(Selections!$S$6:$S$29,Selections!$E$6:$E$29,"Over 1.5")/SUMIFS(Selections!$T$6:$T$29,Selections!$E$6:$E$29,"Over 1.5"))</f>
        <v>0.8780101224602997</v>
      </c>
      <c r="N18" s="20">
        <f>IF(SUMIFS(Selections!$T$6:$T$29,Selections!$E$6:$E$29,"Over 1.5")=0,"n.a.",(SUMIFS(Selections!$L$6:$L$29,Selections!$E$6:$E$29,"Over 1.5",Selections!$T$6:$T$29,1))/SUMIFS(Selections!$T$6:$T$29,Selections!$E$6:$E$29,"Over 1.5"))</f>
        <v>1.0</v>
      </c>
      <c r="O18" s="20">
        <f>IF(SUMIFS(Selections!$T$6:$T$29,Selections!$E$6:$E$29,"Over 1.5")=0,"n.a.",(SUMIFS(Selections!$S$6:$S$29,Selections!$E$6:$E$29,"Over 1.5")-(SUMIFS(Selections!$L$6:$L$29,Selections!$E$6:$E$29,"Over 1.5",Selections!$T$6:$T$29,1)))/SUMIFS(Selections!$T$6:$T$29,Selections!$E$6:$E$29,"Over 1.5"))</f>
        <v>-0.12198987753970025</v>
      </c>
      <c r="P18" s="19">
        <f>SUMIFS(Selections!$T$6:$T$29,Selections!$E$6:$E$29,"Over 1.5")</f>
        <v>5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(n=5).</v>
      </c>
      <c r="R18" s="18"/>
    </row>
    <row r="19" ht="36" customHeight="1">
      <c r="A19" s="18" t="inlineStr">
        <is>
          <t>Market</t>
        </is>
      </c>
      <c r="B19" s="18" t="inlineStr">
        <is>
          <t>Under 3.5</t>
        </is>
      </c>
      <c r="C19" s="19">
        <f>COUNTIFS(Selections!$E$6:$E$29,"Under 3.5")</f>
        <v>6</v>
      </c>
      <c r="D19" s="19">
        <f>(COUNTIFS(Selections!$E$6:$E$29,"Under 3.5",Selections!$K$6:$K$29,"WON")+COUNTIFS(Selections!$E$6:$E$29,"Under 3.5",Selections!$K$6:$K$29,"LOST"))</f>
        <v>4</v>
      </c>
      <c r="E19" s="19">
        <f>COUNTIFS(Selections!$E$6:$E$29,"Under 3.5",Selections!$K$6:$K$29,"WON")</f>
        <v>1</v>
      </c>
      <c r="F19" s="19">
        <f>COUNTIFS(Selections!$E$6:$E$29,"Under 3.5",Selections!$K$6:$K$29,"LOST")</f>
        <v>3</v>
      </c>
      <c r="G19" s="19">
        <f>COUNTIFS(Selections!$E$6:$E$29,"Under 3.5")-(COUNTIFS(Selections!$E$6:$E$29,"Under 3.5",Selections!$K$6:$K$29,"WON")+COUNTIFS(Selections!$E$6:$E$29,"Under 3.5",Selections!$K$6:$K$29,"LOST"))</f>
        <v>2</v>
      </c>
      <c r="H19" s="20">
        <f>IF((COUNTIFS(Selections!$E$6:$E$29,"Under 3.5",Selections!$K$6:$K$29,"WON")+COUNTIFS(Selections!$E$6:$E$29,"Under 3.5",Selections!$K$6:$K$29,"LOST"))=0,"n.a.",COUNTIFS(Selections!$E$6:$E$29,"Under 3.5",Selections!$K$6:$K$29,"WON")/(COUNTIFS(Selections!$E$6:$E$29,"Under 3.5",Selections!$K$6:$K$29,"WON")+COUNTIFS(Selections!$E$6:$E$29,"Under 3.5",Selections!$K$6:$K$29,"LOST")))</f>
        <v>0.25</v>
      </c>
      <c r="I19" s="22">
        <f>SUMIFS(Selections!$M$6:$M$29,Selections!$E$6:$E$29,"Under 3.5")</f>
        <v>4</v>
      </c>
      <c r="J19" s="22">
        <f>SUMIFS(Selections!$N$6:$N$29,Selections!$E$6:$E$29,"Under 3.5")</f>
        <v>-2.7199999999999998</v>
      </c>
      <c r="K19" s="20">
        <f>IF(SUMIFS(Selections!$M$6:$M$29,Selections!$E$6:$E$29,"Under 3.5")=0,"n.a.",SUMIFS(Selections!$N$6:$N$29,Selections!$E$6:$E$29,"Under 3.5")/SUMIFS(Selections!$M$6:$M$29,Selections!$E$6:$E$29,"Under 3.5"))</f>
        <v>-0.6799999999999999</v>
      </c>
      <c r="L19" s="21">
        <f>IF(SUMIFS(Selections!$T$6:$T$29,Selections!$E$6:$E$29,"Under 3.5")=0,"n.a.",SUMIFS(Selections!$O$6:$O$29,Selections!$E$6:$E$29,"Under 3.5")/SUMIFS(Selections!$T$6:$T$29,Selections!$E$6:$E$29,"Under 3.5"))</f>
        <v>0.5016332182694637</v>
      </c>
      <c r="M19" s="20">
        <f>IF(SUMIFS(Selections!$T$6:$T$29,Selections!$E$6:$E$29,"Under 3.5")=0,"n.a.",SUMIFS(Selections!$S$6:$S$29,Selections!$E$6:$E$29,"Under 3.5")/SUMIFS(Selections!$T$6:$T$29,Selections!$E$6:$E$29,"Under 3.5"))</f>
        <v>0.8054503740200165</v>
      </c>
      <c r="N19" s="20">
        <f>IF(SUMIFS(Selections!$T$6:$T$29,Selections!$E$6:$E$29,"Under 3.5")=0,"n.a.",(SUMIFS(Selections!$L$6:$L$29,Selections!$E$6:$E$29,"Under 3.5",Selections!$T$6:$T$29,1))/SUMIFS(Selections!$T$6:$T$29,Selections!$E$6:$E$29,"Under 3.5"))</f>
        <v>0.25</v>
      </c>
      <c r="O19" s="20">
        <f>IF(SUMIFS(Selections!$T$6:$T$29,Selections!$E$6:$E$29,"Under 3.5")=0,"n.a.",(SUMIFS(Selections!$S$6:$S$29,Selections!$E$6:$E$29,"Under 3.5")-(SUMIFS(Selections!$L$6:$L$29,Selections!$E$6:$E$29,"Under 3.5",Selections!$T$6:$T$29,1)))/SUMIFS(Selections!$T$6:$T$29,Selections!$E$6:$E$29,"Under 3.5"))</f>
        <v>0.5554503740200165</v>
      </c>
      <c r="P19" s="19">
        <f>SUMIFS(Selections!$T$6:$T$29,Selections!$E$6:$E$29,"Under 3.5")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Policy</t>
        </is>
      </c>
      <c r="B20" s="18" t="inlineStr">
        <is>
          <t>72h-all-markets-net-ev15-execution-v7</t>
        </is>
      </c>
      <c r="C20" s="19">
        <f>COUNTIFS(Selections!$G$6:$G$29,"72h-all-markets-net-ev15-execution-v7")</f>
        <v>2</v>
      </c>
      <c r="D20" s="19">
        <f>(COUNTIFS(Selections!$G$6:$G$29,"72h-all-markets-net-ev15-execution-v7",Selections!$K$6:$K$29,"WON")+COUNTIFS(Selections!$G$6:$G$29,"72h-all-markets-net-ev15-execution-v7",Selections!$K$6:$K$29,"LOST"))</f>
        <v>1</v>
      </c>
      <c r="E20" s="19">
        <f>COUNTIFS(Selections!$G$6:$G$29,"72h-all-markets-net-ev15-execution-v7",Selections!$K$6:$K$29,"WON")</f>
        <v>1</v>
      </c>
      <c r="F20" s="19">
        <f>COUNTIFS(Selections!$G$6:$G$29,"72h-all-markets-net-ev15-execution-v7",Selections!$K$6:$K$29,"LOST")</f>
        <v>0</v>
      </c>
      <c r="G20" s="19">
        <f>COUNTIFS(Selections!$G$6:$G$29,"72h-all-markets-net-ev15-execution-v7")-(COUNTIFS(Selections!$G$6:$G$29,"72h-all-markets-net-ev15-execution-v7",Selections!$K$6:$K$29,"WON")+COUNTIFS(Selections!$G$6:$G$29,"72h-all-markets-net-ev15-execution-v7",Selections!$K$6:$K$29,"LOST"))</f>
        <v>1</v>
      </c>
      <c r="H20" s="20">
        <f>IF((COUNTIFS(Selections!$G$6:$G$29,"72h-all-markets-net-ev15-execution-v7",Selections!$K$6:$K$29,"WON")+COUNTIFS(Selections!$G$6:$G$29,"72h-all-markets-net-ev15-execution-v7",Selections!$K$6:$K$29,"LOST"))=0,"n.a.",COUNTIFS(Selections!$G$6:$G$29,"72h-all-markets-net-ev15-execution-v7",Selections!$K$6:$K$29,"WON")/(COUNTIFS(Selections!$G$6:$G$29,"72h-all-markets-net-ev15-execution-v7",Selections!$K$6:$K$29,"WON")+COUNTIFS(Selections!$G$6:$G$29,"72h-all-markets-net-ev15-execution-v7",Selections!$K$6:$K$29,"LOST")))</f>
        <v>1.0</v>
      </c>
      <c r="I20" s="22">
        <f>SUMIFS(Selections!$M$6:$M$29,Selections!$G$6:$G$29,"72h-all-markets-net-ev15-execution-v7")</f>
        <v>1</v>
      </c>
      <c r="J20" s="22">
        <f>SUMIFS(Selections!$N$6:$N$29,Selections!$G$6:$G$29,"72h-all-markets-net-ev15-execution-v7")</f>
        <v>0.27</v>
      </c>
      <c r="K20" s="20">
        <f>IF(SUMIFS(Selections!$M$6:$M$29,Selections!$G$6:$G$29,"72h-all-markets-net-ev15-execution-v7")=0,"n.a.",SUMIFS(Selections!$N$6:$N$29,Selections!$G$6:$G$29,"72h-all-markets-net-ev15-execution-v7")/SUMIFS(Selections!$M$6:$M$29,Selections!$G$6:$G$29,"72h-all-markets-net-ev15-execution-v7"))</f>
        <v>0.27</v>
      </c>
      <c r="L20" s="21">
        <f>IF(SUMIFS(Selections!$T$6:$T$29,Selections!$G$6:$G$29,"72h-all-markets-net-ev15-execution-v7")=0,"n.a.",SUMIFS(Selections!$O$6:$O$29,Selections!$G$6:$G$29,"72h-all-markets-net-ev15-execution-v7")/SUMIFS(Selections!$T$6:$T$29,Selections!$G$6:$G$29,"72h-all-markets-net-ev15-execution-v7"))</f>
        <v>0.022780537094656536</v>
      </c>
      <c r="M20" s="20">
        <f>IF(SUMIFS(Selections!$T$6:$T$29,Selections!$G$6:$G$29,"72h-all-markets-net-ev15-execution-v7")=0,"n.a.",SUMIFS(Selections!$S$6:$S$29,Selections!$G$6:$G$29,"72h-all-markets-net-ev15-execution-v7")/SUMIFS(Selections!$T$6:$T$29,Selections!$G$6:$G$29,"72h-all-markets-net-ev15-execution-v7"))</f>
        <v>0.8490677731739953</v>
      </c>
      <c r="N20" s="20">
        <f>IF(SUMIFS(Selections!$T$6:$T$29,Selections!$G$6:$G$29,"72h-all-markets-net-ev15-execution-v7")=0,"n.a.",(SUMIFS(Selections!$L$6:$L$29,Selections!$G$6:$G$29,"72h-all-markets-net-ev15-execution-v7",Selections!$T$6:$T$29,1))/SUMIFS(Selections!$T$6:$T$29,Selections!$G$6:$G$29,"72h-all-markets-net-ev15-execution-v7"))</f>
        <v>1.0</v>
      </c>
      <c r="O20" s="20">
        <f>IF(SUMIFS(Selections!$T$6:$T$29,Selections!$G$6:$G$29,"72h-all-markets-net-ev15-execution-v7")=0,"n.a.",(SUMIFS(Selections!$S$6:$S$29,Selections!$G$6:$G$29,"72h-all-markets-net-ev15-execution-v7")-(SUMIFS(Selections!$L$6:$L$29,Selections!$G$6:$G$29,"72h-all-markets-net-ev15-execution-v7",Selections!$T$6:$T$29,1)))/SUMIFS(Selections!$T$6:$T$29,Selections!$G$6:$G$29,"72h-all-markets-net-ev15-execution-v7"))</f>
        <v>-0.1509322268260047</v>
      </c>
      <c r="P20" s="19">
        <f>SUMIFS(Selections!$T$6:$T$29,Selections!$G$6:$G$29,"72h-all-markets-net-ev15-execution-v7")</f>
        <v>1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(n=1).</v>
      </c>
      <c r="R20" s="18"/>
    </row>
    <row r="21" ht="36" customHeight="1">
      <c r="A21" s="18" t="inlineStr">
        <is>
          <t>Policy</t>
        </is>
      </c>
      <c r="B21" s="18" t="inlineStr">
        <is>
          <t>72h-seven-markets-fresh-references-net-ev15-v11</t>
        </is>
      </c>
      <c r="C21" s="19">
        <f>COUNTIFS(Selections!$G$6:$G$29,"72h-seven-markets-fresh-references-net-ev15-v11")</f>
        <v>2</v>
      </c>
      <c r="D21" s="19">
        <f>(COUNTIFS(Selections!$G$6:$G$29,"72h-seven-markets-fresh-references-net-ev15-v11",Selections!$K$6:$K$29,"WON")+COUNTIFS(Selections!$G$6:$G$29,"72h-seven-markets-fresh-references-net-ev15-v11",Selections!$K$6:$K$29,"LOST"))</f>
        <v>0</v>
      </c>
      <c r="E21" s="19">
        <f>COUNTIFS(Selections!$G$6:$G$29,"72h-seven-markets-fresh-references-net-ev15-v11",Selections!$K$6:$K$29,"WON")</f>
        <v>0</v>
      </c>
      <c r="F21" s="19">
        <f>COUNTIFS(Selections!$G$6:$G$29,"72h-seven-markets-fresh-references-net-ev15-v11",Selections!$K$6:$K$29,"LOST")</f>
        <v>0</v>
      </c>
      <c r="G21" s="19">
        <f>COUNTIFS(Selections!$G$6:$G$29,"72h-seven-markets-fresh-references-net-ev15-v11")-(COUNTIFS(Selections!$G$6:$G$29,"72h-seven-markets-fresh-references-net-ev15-v11",Selections!$K$6:$K$29,"WON")+COUNTIFS(Selections!$G$6:$G$29,"72h-seven-markets-fresh-references-net-ev15-v11",Selections!$K$6:$K$29,"LOST"))</f>
        <v>2</v>
      </c>
      <c r="H21" s="20" t="str">
        <f>IF((COUNTIFS(Selections!$G$6:$G$29,"72h-seven-markets-fresh-references-net-ev15-v11",Selections!$K$6:$K$29,"WON")+COUNTIFS(Selections!$G$6:$G$29,"72h-seven-markets-fresh-references-net-ev15-v11",Selections!$K$6:$K$29,"LOST"))=0,"n.a.",COUNTIFS(Selections!$G$6:$G$29,"72h-seven-markets-fresh-references-net-ev15-v11",Selections!$K$6:$K$29,"WON")/(COUNTIFS(Selections!$G$6:$G$29,"72h-seven-markets-fresh-references-net-ev15-v11",Selections!$K$6:$K$29,"WON")+COUNTIFS(Selections!$G$6:$G$29,"72h-seven-markets-fresh-references-net-ev15-v11",Selections!$K$6:$K$29,"LOST")))</f>
        <v>n.a.</v>
      </c>
      <c r="I21" s="22">
        <f>SUMIFS(Selections!$M$6:$M$29,Selections!$G$6:$G$29,"72h-seven-markets-fresh-references-net-ev15-v11")</f>
        <v>0</v>
      </c>
      <c r="J21" s="22">
        <f>SUMIFS(Selections!$N$6:$N$29,Selections!$G$6:$G$29,"72h-seven-markets-fresh-references-net-ev15-v11")</f>
        <v>0</v>
      </c>
      <c r="K21" s="20" t="str">
        <f>IF(SUMIFS(Selections!$M$6:$M$29,Selections!$G$6:$G$29,"72h-seven-markets-fresh-references-net-ev15-v11")=0,"n.a.",SUMIFS(Selections!$N$6:$N$29,Selections!$G$6:$G$29,"72h-seven-markets-fresh-references-net-ev15-v11")/SUMIFS(Selections!$M$6:$M$29,Selections!$G$6:$G$29,"72h-seven-markets-fresh-references-net-ev15-v11"))</f>
        <v>n.a.</v>
      </c>
      <c r="L21" s="21" t="str">
        <f>IF(SUMIFS(Selections!$T$6:$T$29,Selections!$G$6:$G$29,"72h-seven-markets-fresh-references-net-ev15-v11")=0,"n.a.",SUMIFS(Selections!$O$6:$O$29,Selections!$G$6:$G$29,"72h-seven-markets-fresh-references-net-ev15-v11")/SUMIFS(Selections!$T$6:$T$29,Selections!$G$6:$G$29,"72h-seven-markets-fresh-references-net-ev15-v11"))</f>
        <v>n.a.</v>
      </c>
      <c r="M21" s="20" t="str">
        <f>IF(SUMIFS(Selections!$T$6:$T$29,Selections!$G$6:$G$29,"72h-seven-markets-fresh-references-net-ev15-v11")=0,"n.a.",SUMIFS(Selections!$S$6:$S$29,Selections!$G$6:$G$29,"72h-seven-markets-fresh-references-net-ev15-v11")/SUMIFS(Selections!$T$6:$T$29,Selections!$G$6:$G$29,"72h-seven-markets-fresh-references-net-ev15-v11"))</f>
        <v>n.a.</v>
      </c>
      <c r="N21" s="20" t="str">
        <f>IF(SUMIFS(Selections!$T$6:$T$29,Selections!$G$6:$G$29,"72h-seven-markets-fresh-references-net-ev15-v11")=0,"n.a.",(SUMIFS(Selections!$L$6:$L$29,Selections!$G$6:$G$29,"72h-seven-markets-fresh-references-net-ev15-v11",Selections!$T$6:$T$29,1))/SUMIFS(Selections!$T$6:$T$29,Selections!$G$6:$G$29,"72h-seven-markets-fresh-references-net-ev15-v11"))</f>
        <v>n.a.</v>
      </c>
      <c r="O21" s="20" t="str">
        <f>IF(SUMIFS(Selections!$T$6:$T$29,Selections!$G$6:$G$29,"72h-seven-markets-fresh-references-net-ev15-v11")=0,"n.a.",(SUMIFS(Selections!$S$6:$S$29,Selections!$G$6:$G$29,"72h-seven-markets-fresh-references-net-ev15-v11")-(SUMIFS(Selections!$L$6:$L$29,Selections!$G$6:$G$29,"72h-seven-markets-fresh-references-net-ev15-v11",Selections!$T$6:$T$29,1)))/SUMIFS(Selections!$T$6:$T$29,Selections!$G$6:$G$29,"72h-seven-markets-fresh-references-net-ev15-v11"))</f>
        <v>n.a.</v>
      </c>
      <c r="P21" s="19">
        <f>SUMIFS(Selections!$T$6:$T$29,Selections!$G$6:$G$29,"72h-seven-markets-fresh-references-net-ev15-v11")</f>
        <v>0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(n=0).</v>
      </c>
      <c r="R21" s="18"/>
    </row>
    <row r="22" ht="36" customHeight="1">
      <c r="A22" s="18" t="inlineStr">
        <is>
          <t>Policy</t>
        </is>
      </c>
      <c r="B22" s="18" t="inlineStr">
        <is>
          <t>72h-six-markets-dc12-probability-odds-net-ev15-v9</t>
        </is>
      </c>
      <c r="C22" s="19">
        <f>COUNTIFS(Selections!$G$6:$G$29,"72h-six-markets-dc12-probability-odds-net-ev15-v9")</f>
        <v>1</v>
      </c>
      <c r="D22" s="19">
        <f>(COUNTIFS(Selections!$G$6:$G$29,"72h-six-markets-dc12-probability-odds-net-ev15-v9",Selections!$K$6:$K$29,"WON")+COUNTIFS(Selections!$G$6:$G$29,"72h-six-markets-dc12-probability-odds-net-ev15-v9",Selections!$K$6:$K$29,"LOST"))</f>
        <v>0</v>
      </c>
      <c r="E22" s="19">
        <f>COUNTIFS(Selections!$G$6:$G$29,"72h-six-markets-dc12-probability-odds-net-ev15-v9",Selections!$K$6:$K$29,"WON")</f>
        <v>0</v>
      </c>
      <c r="F22" s="19">
        <f>COUNTIFS(Selections!$G$6:$G$29,"72h-six-markets-dc12-probability-odds-net-ev15-v9",Selections!$K$6:$K$29,"LOST")</f>
        <v>0</v>
      </c>
      <c r="G22" s="19">
        <f>COUNTIFS(Selections!$G$6:$G$29,"72h-six-markets-dc12-probability-odds-net-ev15-v9")-(COUNTIFS(Selections!$G$6:$G$29,"72h-six-markets-dc12-probability-odds-net-ev15-v9",Selections!$K$6:$K$29,"WON")+COUNTIFS(Selections!$G$6:$G$29,"72h-six-markets-dc12-probability-odds-net-ev15-v9",Selections!$K$6:$K$29,"LOST"))</f>
        <v>1</v>
      </c>
      <c r="H22" s="20" t="str">
        <f>IF((COUNTIFS(Selections!$G$6:$G$29,"72h-six-markets-dc12-probability-odds-net-ev15-v9",Selections!$K$6:$K$29,"WON")+COUNTIFS(Selections!$G$6:$G$29,"72h-six-markets-dc12-probability-odds-net-ev15-v9",Selections!$K$6:$K$29,"LOST"))=0,"n.a.",COUNTIFS(Selections!$G$6:$G$29,"72h-six-markets-dc12-probability-odds-net-ev15-v9",Selections!$K$6:$K$29,"WON")/(COUNTIFS(Selections!$G$6:$G$29,"72h-six-markets-dc12-probability-odds-net-ev15-v9",Selections!$K$6:$K$29,"WON")+COUNTIFS(Selections!$G$6:$G$29,"72h-six-markets-dc12-probability-odds-net-ev15-v9",Selections!$K$6:$K$29,"LOST")))</f>
        <v>n.a.</v>
      </c>
      <c r="I22" s="22">
        <f>SUMIFS(Selections!$M$6:$M$29,Selections!$G$6:$G$29,"72h-six-markets-dc12-probability-odds-net-ev15-v9")</f>
        <v>0</v>
      </c>
      <c r="J22" s="22">
        <f>SUMIFS(Selections!$N$6:$N$29,Selections!$G$6:$G$29,"72h-six-markets-dc12-probability-odds-net-ev15-v9")</f>
        <v>0</v>
      </c>
      <c r="K22" s="20" t="str">
        <f>IF(SUMIFS(Selections!$M$6:$M$29,Selections!$G$6:$G$29,"72h-six-markets-dc12-probability-odds-net-ev15-v9")=0,"n.a.",SUMIFS(Selections!$N$6:$N$29,Selections!$G$6:$G$29,"72h-six-markets-dc12-probability-odds-net-ev15-v9")/SUMIFS(Selections!$M$6:$M$29,Selections!$G$6:$G$29,"72h-six-markets-dc12-probability-odds-net-ev15-v9"))</f>
        <v>n.a.</v>
      </c>
      <c r="L22" s="21" t="str">
        <f>IF(SUMIFS(Selections!$T$6:$T$29,Selections!$G$6:$G$29,"72h-six-markets-dc12-probability-odds-net-ev15-v9")=0,"n.a.",SUMIFS(Selections!$O$6:$O$29,Selections!$G$6:$G$29,"72h-six-markets-dc12-probability-odds-net-ev15-v9")/SUMIFS(Selections!$T$6:$T$29,Selections!$G$6:$G$29,"72h-six-markets-dc12-probability-odds-net-ev15-v9"))</f>
        <v>n.a.</v>
      </c>
      <c r="M22" s="20" t="str">
        <f>IF(SUMIFS(Selections!$T$6:$T$29,Selections!$G$6:$G$29,"72h-six-markets-dc12-probability-odds-net-ev15-v9")=0,"n.a.",SUMIFS(Selections!$S$6:$S$29,Selections!$G$6:$G$29,"72h-six-markets-dc12-probability-odds-net-ev15-v9")/SUMIFS(Selections!$T$6:$T$29,Selections!$G$6:$G$29,"72h-six-markets-dc12-probability-odds-net-ev15-v9"))</f>
        <v>n.a.</v>
      </c>
      <c r="N22" s="20" t="str">
        <f>IF(SUMIFS(Selections!$T$6:$T$29,Selections!$G$6:$G$29,"72h-six-markets-dc12-probability-odds-net-ev15-v9")=0,"n.a.",(SUMIFS(Selections!$L$6:$L$29,Selections!$G$6:$G$29,"72h-six-markets-dc12-probability-odds-net-ev15-v9",Selections!$T$6:$T$29,1))/SUMIFS(Selections!$T$6:$T$29,Selections!$G$6:$G$29,"72h-six-markets-dc12-probability-odds-net-ev15-v9"))</f>
        <v>n.a.</v>
      </c>
      <c r="O22" s="20" t="str">
        <f>IF(SUMIFS(Selections!$T$6:$T$29,Selections!$G$6:$G$29,"72h-six-markets-dc12-probability-odds-net-ev15-v9")=0,"n.a.",(SUMIFS(Selections!$S$6:$S$29,Selections!$G$6:$G$29,"72h-six-markets-dc12-probability-odds-net-ev15-v9")-(SUMIFS(Selections!$L$6:$L$29,Selections!$G$6:$G$29,"72h-six-markets-dc12-probability-odds-net-ev15-v9",Selections!$T$6:$T$29,1)))/SUMIFS(Selections!$T$6:$T$29,Selections!$G$6:$G$29,"72h-six-markets-dc12-probability-odds-net-ev15-v9"))</f>
        <v>n.a.</v>
      </c>
      <c r="P22" s="19">
        <f>SUMIFS(Selections!$T$6:$T$29,Selections!$G$6:$G$29,"72h-six-markets-dc12-probability-odds-net-ev15-v9")</f>
        <v>0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(n=0).</v>
      </c>
      <c r="R22" s="18"/>
    </row>
    <row r="23" ht="36" customHeight="1">
      <c r="A23" s="18" t="inlineStr">
        <is>
          <t>Policy</t>
        </is>
      </c>
      <c r="B23" s="18" t="inlineStr">
        <is>
          <t>72h-ucl-v3</t>
        </is>
      </c>
      <c r="C23" s="19">
        <f>COUNTIFS(Selections!$G$6:$G$29,"72h-ucl-v3")</f>
        <v>8</v>
      </c>
      <c r="D23" s="19">
        <f>(COUNTIFS(Selections!$G$6:$G$29,"72h-ucl-v3",Selections!$K$6:$K$29,"WON")+COUNTIFS(Selections!$G$6:$G$29,"72h-ucl-v3",Selections!$K$6:$K$29,"LOST"))</f>
        <v>6</v>
      </c>
      <c r="E23" s="19">
        <f>COUNTIFS(Selections!$G$6:$G$29,"72h-ucl-v3",Selections!$K$6:$K$29,"WON")</f>
        <v>5</v>
      </c>
      <c r="F23" s="19">
        <f>COUNTIFS(Selections!$G$6:$G$29,"72h-ucl-v3",Selections!$K$6:$K$29,"LOST")</f>
        <v>1</v>
      </c>
      <c r="G23" s="19">
        <f>COUNTIFS(Selections!$G$6:$G$29,"72h-ucl-v3")-(COUNTIFS(Selections!$G$6:$G$29,"72h-ucl-v3",Selections!$K$6:$K$29,"WON")+COUNTIFS(Selections!$G$6:$G$29,"72h-ucl-v3",Selections!$K$6:$K$29,"LOST"))</f>
        <v>2</v>
      </c>
      <c r="H23" s="20">
        <f>IF((COUNTIFS(Selections!$G$6:$G$29,"72h-ucl-v3",Selections!$K$6:$K$29,"WON")+COUNTIFS(Selections!$G$6:$G$29,"72h-ucl-v3",Selections!$K$6:$K$29,"LOST"))=0,"n.a.",COUNTIFS(Selections!$G$6:$G$29,"72h-ucl-v3",Selections!$K$6:$K$29,"WON")/(COUNTIFS(Selections!$G$6:$G$29,"72h-ucl-v3",Selections!$K$6:$K$29,"WON")+COUNTIFS(Selections!$G$6:$G$29,"72h-ucl-v3",Selections!$K$6:$K$29,"LOST")))</f>
        <v>0.8333333333333334</v>
      </c>
      <c r="I23" s="22">
        <f>SUMIFS(Selections!$M$6:$M$29,Selections!$G$6:$G$29,"72h-ucl-v3")</f>
        <v>6</v>
      </c>
      <c r="J23" s="22">
        <f>SUMIFS(Selections!$N$6:$N$29,Selections!$G$6:$G$29,"72h-ucl-v3")</f>
        <v>0.96</v>
      </c>
      <c r="K23" s="20">
        <f>IF(SUMIFS(Selections!$M$6:$M$29,Selections!$G$6:$G$29,"72h-ucl-v3")=0,"n.a.",SUMIFS(Selections!$N$6:$N$29,Selections!$G$6:$G$29,"72h-ucl-v3")/SUMIFS(Selections!$M$6:$M$29,Selections!$G$6:$G$29,"72h-ucl-v3"))</f>
        <v>0.16</v>
      </c>
      <c r="L23" s="21">
        <f>IF(SUMIFS(Selections!$T$6:$T$29,Selections!$G$6:$G$29,"72h-ucl-v3")=0,"n.a.",SUMIFS(Selections!$O$6:$O$29,Selections!$G$6:$G$29,"72h-ucl-v3")/SUMIFS(Selections!$T$6:$T$29,Selections!$G$6:$G$29,"72h-ucl-v3"))</f>
        <v>0.13798221541257352</v>
      </c>
      <c r="M23" s="20">
        <f>IF(SUMIFS(Selections!$T$6:$T$29,Selections!$G$6:$G$29,"72h-ucl-v3")=0,"n.a.",SUMIFS(Selections!$S$6:$S$29,Selections!$G$6:$G$29,"72h-ucl-v3")/SUMIFS(Selections!$T$6:$T$29,Selections!$G$6:$G$29,"72h-ucl-v3"))</f>
        <v>0.7942949268394889</v>
      </c>
      <c r="N23" s="20">
        <f>IF(SUMIFS(Selections!$T$6:$T$29,Selections!$G$6:$G$29,"72h-ucl-v3")=0,"n.a.",(SUMIFS(Selections!$L$6:$L$29,Selections!$G$6:$G$29,"72h-ucl-v3",Selections!$T$6:$T$29,1))/SUMIFS(Selections!$T$6:$T$29,Selections!$G$6:$G$29,"72h-ucl-v3"))</f>
        <v>0.8333333333333334</v>
      </c>
      <c r="O23" s="20">
        <f>IF(SUMIFS(Selections!$T$6:$T$29,Selections!$G$6:$G$29,"72h-ucl-v3")=0,"n.a.",(SUMIFS(Selections!$S$6:$S$29,Selections!$G$6:$G$29,"72h-ucl-v3")-(SUMIFS(Selections!$L$6:$L$29,Selections!$G$6:$G$29,"72h-ucl-v3",Selections!$T$6:$T$29,1)))/SUMIFS(Selections!$T$6:$T$29,Selections!$G$6:$G$29,"72h-ucl-v3"))</f>
        <v>-0.03903840649384449</v>
      </c>
      <c r="P23" s="19">
        <f>SUMIFS(Selections!$T$6:$T$29,Selections!$G$6:$G$29,"72h-ucl-v3")</f>
        <v>6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(n=6).</v>
      </c>
      <c r="R23" s="18"/>
    </row>
    <row r="24" ht="36" customHeight="1">
      <c r="A24" s="18" t="inlineStr">
        <is>
          <t>Policy</t>
        </is>
      </c>
      <c r="B24" s="18" t="inlineStr">
        <is>
          <t>legacy/unspecified</t>
        </is>
      </c>
      <c r="C24" s="19">
        <f>COUNTIFS(Selections!$G$6:$G$29,"legacy/unspecified")</f>
        <v>11</v>
      </c>
      <c r="D24" s="19">
        <f>(COUNTIFS(Selections!$G$6:$G$29,"legacy/unspecified",Selections!$K$6:$K$29,"WON")+COUNTIFS(Selections!$G$6:$G$29,"legacy/unspecified",Selections!$K$6:$K$29,"LOST"))</f>
        <v>5</v>
      </c>
      <c r="E24" s="19">
        <f>COUNTIFS(Selections!$G$6:$G$29,"legacy/unspecified",Selections!$K$6:$K$29,"WON")</f>
        <v>3</v>
      </c>
      <c r="F24" s="19">
        <f>COUNTIFS(Selections!$G$6:$G$29,"legacy/unspecified",Selections!$K$6:$K$29,"LOST")</f>
        <v>2</v>
      </c>
      <c r="G24" s="19">
        <f>COUNTIFS(Selections!$G$6:$G$29,"legacy/unspecified")-(COUNTIFS(Selections!$G$6:$G$29,"legacy/unspecified",Selections!$K$6:$K$29,"WON")+COUNTIFS(Selections!$G$6:$G$29,"legacy/unspecified",Selections!$K$6:$K$29,"LOST"))</f>
        <v>6</v>
      </c>
      <c r="H24" s="20">
        <f>IF((COUNTIFS(Selections!$G$6:$G$29,"legacy/unspecified",Selections!$K$6:$K$29,"WON")+COUNTIFS(Selections!$G$6:$G$29,"legacy/unspecified",Selections!$K$6:$K$29,"LOST"))=0,"n.a.",COUNTIFS(Selections!$G$6:$G$29,"legacy/unspecified",Selections!$K$6:$K$29,"WON")/(COUNTIFS(Selections!$G$6:$G$29,"legacy/unspecified",Selections!$K$6:$K$29,"WON")+COUNTIFS(Selections!$G$6:$G$29,"legacy/unspecified",Selections!$K$6:$K$29,"LOST")))</f>
        <v>0.6</v>
      </c>
      <c r="I24" s="22">
        <f>SUMIFS(Selections!$M$6:$M$29,Selections!$G$6:$G$29,"legacy/unspecified")</f>
        <v>5</v>
      </c>
      <c r="J24" s="22">
        <f>SUMIFS(Selections!$N$6:$N$29,Selections!$G$6:$G$29,"legacy/unspecified")</f>
        <v>-0.8500000000000001</v>
      </c>
      <c r="K24" s="20">
        <f>IF(SUMIFS(Selections!$M$6:$M$29,Selections!$G$6:$G$29,"legacy/unspecified")=0,"n.a.",SUMIFS(Selections!$N$6:$N$29,Selections!$G$6:$G$29,"legacy/unspecified")/SUMIFS(Selections!$M$6:$M$29,Selections!$G$6:$G$29,"legacy/unspecified"))</f>
        <v>-0.17</v>
      </c>
      <c r="L24" s="21">
        <f>IF(SUMIFS(Selections!$T$6:$T$29,Selections!$G$6:$G$29,"legacy/unspecified")=0,"n.a.",SUMIFS(Selections!$O$6:$O$29,Selections!$G$6:$G$29,"legacy/unspecified")/SUMIFS(Selections!$T$6:$T$29,Selections!$G$6:$G$29,"legacy/unspecified"))</f>
        <v>0.30947166484544086</v>
      </c>
      <c r="M24" s="20">
        <f>IF(SUMIFS(Selections!$T$6:$T$29,Selections!$G$6:$G$29,"legacy/unspecified")=0,"n.a.",SUMIFS(Selections!$S$6:$S$29,Selections!$G$6:$G$29,"legacy/unspecified")/SUMIFS(Selections!$T$6:$T$29,Selections!$G$6:$G$29,"legacy/unspecified"))</f>
        <v>0.8097022392308822</v>
      </c>
      <c r="N24" s="20">
        <f>IF(SUMIFS(Selections!$T$6:$T$29,Selections!$G$6:$G$29,"legacy/unspecified")=0,"n.a.",(SUMIFS(Selections!$L$6:$L$29,Selections!$G$6:$G$29,"legacy/unspecified",Selections!$T$6:$T$29,1))/SUMIFS(Selections!$T$6:$T$29,Selections!$G$6:$G$29,"legacy/unspecified"))</f>
        <v>0.6</v>
      </c>
      <c r="O24" s="20">
        <f>IF(SUMIFS(Selections!$T$6:$T$29,Selections!$G$6:$G$29,"legacy/unspecified")=0,"n.a.",(SUMIFS(Selections!$S$6:$S$29,Selections!$G$6:$G$29,"legacy/unspecified")-(SUMIFS(Selections!$L$6:$L$29,Selections!$G$6:$G$29,"legacy/unspecified",Selections!$T$6:$T$29,1)))/SUMIFS(Selections!$T$6:$T$29,Selections!$G$6:$G$29,"legacy/unspecified"))</f>
        <v>0.20970223923088227</v>
      </c>
      <c r="P24" s="19">
        <f>SUMIFS(Selections!$T$6:$T$29,Selections!$G$6:$G$29,"legacy/unspecified")</f>
        <v>5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(n=5).</v>
      </c>
      <c r="R24" s="18"/>
    </row>
    <row r="25" ht="36" customHeight="1">
      <c r="A25" s="18" t="inlineStr">
        <is>
          <t>Week</t>
        </is>
      </c>
      <c r="B25" s="18" t="inlineStr">
        <is>
          <t>2026-W41</t>
        </is>
      </c>
      <c r="C25" s="19">
        <f>COUNTIFS(Selections!$P$6:$P$29,"2026-W41")</f>
        <v>5</v>
      </c>
      <c r="D25" s="19">
        <f>(COUNTIFS(Selections!$P$6:$P$29,"2026-W41",Selections!$K$6:$K$29,"WON")+COUNTIFS(Selections!$P$6:$P$29,"2026-W41",Selections!$K$6:$K$29,"LOST"))</f>
        <v>4</v>
      </c>
      <c r="E25" s="19">
        <f>COUNTIFS(Selections!$P$6:$P$29,"2026-W41",Selections!$K$6:$K$29,"WON")</f>
        <v>2</v>
      </c>
      <c r="F25" s="19">
        <f>COUNTIFS(Selections!$P$6:$P$29,"2026-W41",Selections!$K$6:$K$29,"LOST")</f>
        <v>2</v>
      </c>
      <c r="G25" s="19">
        <f>COUNTIFS(Selections!$P$6:$P$29,"2026-W41")-(COUNTIFS(Selections!$P$6:$P$29,"2026-W41",Selections!$K$6:$K$29,"WON")+COUNTIFS(Selections!$P$6:$P$29,"2026-W41",Selections!$K$6:$K$29,"LOST"))</f>
        <v>1</v>
      </c>
      <c r="H25" s="20">
        <f>IF((COUNTIFS(Selections!$P$6:$P$29,"2026-W41",Selections!$K$6:$K$29,"WON")+COUNTIFS(Selections!$P$6:$P$29,"2026-W41",Selections!$K$6:$K$29,"LOST"))=0,"n.a.",COUNTIFS(Selections!$P$6:$P$29,"2026-W41",Selections!$K$6:$K$29,"WON")/(COUNTIFS(Selections!$P$6:$P$29,"2026-W41",Selections!$K$6:$K$29,"WON")+COUNTIFS(Selections!$P$6:$P$29,"2026-W41",Selections!$K$6:$K$29,"LOST")))</f>
        <v>0.5</v>
      </c>
      <c r="I25" s="22">
        <f>SUMIFS(Selections!$M$6:$M$29,Selections!$P$6:$P$29,"2026-W41")</f>
        <v>4</v>
      </c>
      <c r="J25" s="22">
        <f>SUMIFS(Selections!$N$6:$N$29,Selections!$P$6:$P$29,"2026-W41")</f>
        <v>-1.48</v>
      </c>
      <c r="K25" s="20">
        <f>IF(SUMIFS(Selections!$M$6:$M$29,Selections!$P$6:$P$29,"2026-W41")=0,"n.a.",SUMIFS(Selections!$N$6:$N$29,Selections!$P$6:$P$29,"2026-W41")/SUMIFS(Selections!$M$6:$M$29,Selections!$P$6:$P$29,"2026-W41"))</f>
        <v>-0.37</v>
      </c>
      <c r="L25" s="21">
        <f>IF(SUMIFS(Selections!$T$6:$T$29,Selections!$P$6:$P$29,"2026-W41")=0,"n.a.",SUMIFS(Selections!$O$6:$O$29,Selections!$P$6:$P$29,"2026-W41")/SUMIFS(Selections!$T$6:$T$29,Selections!$P$6:$P$29,"2026-W41"))</f>
        <v>0.32911599206243786</v>
      </c>
      <c r="M25" s="20">
        <f>IF(SUMIFS(Selections!$T$6:$T$29,Selections!$P$6:$P$29,"2026-W41")=0,"n.a.",SUMIFS(Selections!$S$6:$S$29,Selections!$P$6:$P$29,"2026-W41")/SUMIFS(Selections!$T$6:$T$29,Selections!$P$6:$P$29,"2026-W41"))</f>
        <v>0.8211485691621172</v>
      </c>
      <c r="N25" s="20">
        <f>IF(SUMIFS(Selections!$T$6:$T$29,Selections!$P$6:$P$29,"2026-W41")=0,"n.a.",(SUMIFS(Selections!$L$6:$L$29,Selections!$P$6:$P$29,"2026-W41",Selections!$T$6:$T$29,1))/SUMIFS(Selections!$T$6:$T$29,Selections!$P$6:$P$29,"2026-W41"))</f>
        <v>0.5</v>
      </c>
      <c r="O25" s="20">
        <f>IF(SUMIFS(Selections!$T$6:$T$29,Selections!$P$6:$P$29,"2026-W41")=0,"n.a.",(SUMIFS(Selections!$S$6:$S$29,Selections!$P$6:$P$29,"2026-W41")-(SUMIFS(Selections!$L$6:$L$29,Selections!$P$6:$P$29,"2026-W41",Selections!$T$6:$T$29,1)))/SUMIFS(Selections!$T$6:$T$29,Selections!$P$6:$P$29,"2026-W41"))</f>
        <v>0.3211485691621172</v>
      </c>
      <c r="P25" s="19">
        <f>SUMIFS(Selections!$T$6:$T$29,Selections!$P$6:$P$29,"2026-W41")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Week</t>
        </is>
      </c>
      <c r="B26" s="18" t="inlineStr">
        <is>
          <t>2026-W42</t>
        </is>
      </c>
      <c r="C26" s="19">
        <f>COUNTIFS(Selections!$P$6:$P$29,"2026-W42")</f>
        <v>18</v>
      </c>
      <c r="D26" s="19">
        <f>(COUNTIFS(Selections!$P$6:$P$29,"2026-W42",Selections!$K$6:$K$29,"WON")+COUNTIFS(Selections!$P$6:$P$29,"2026-W42",Selections!$K$6:$K$29,"LOST"))</f>
        <v>8</v>
      </c>
      <c r="E26" s="19">
        <f>COUNTIFS(Selections!$P$6:$P$29,"2026-W42",Selections!$K$6:$K$29,"WON")</f>
        <v>7</v>
      </c>
      <c r="F26" s="19">
        <f>COUNTIFS(Selections!$P$6:$P$29,"2026-W42",Selections!$K$6:$K$29,"LOST")</f>
        <v>1</v>
      </c>
      <c r="G26" s="19">
        <f>COUNTIFS(Selections!$P$6:$P$29,"2026-W42")-(COUNTIFS(Selections!$P$6:$P$29,"2026-W42",Selections!$K$6:$K$29,"WON")+COUNTIFS(Selections!$P$6:$P$29,"2026-W42",Selections!$K$6:$K$29,"LOST"))</f>
        <v>10</v>
      </c>
      <c r="H26" s="20">
        <f>IF((COUNTIFS(Selections!$P$6:$P$29,"2026-W42",Selections!$K$6:$K$29,"WON")+COUNTIFS(Selections!$P$6:$P$29,"2026-W42",Selections!$K$6:$K$29,"LOST"))=0,"n.a.",COUNTIFS(Selections!$P$6:$P$29,"2026-W42",Selections!$K$6:$K$29,"WON")/(COUNTIFS(Selections!$P$6:$P$29,"2026-W42",Selections!$K$6:$K$29,"WON")+COUNTIFS(Selections!$P$6:$P$29,"2026-W42",Selections!$K$6:$K$29,"LOST")))</f>
        <v>0.875</v>
      </c>
      <c r="I26" s="22">
        <f>SUMIFS(Selections!$M$6:$M$29,Selections!$P$6:$P$29,"2026-W42")</f>
        <v>8</v>
      </c>
      <c r="J26" s="22">
        <f>SUMIFS(Selections!$N$6:$N$29,Selections!$P$6:$P$29,"2026-W42")</f>
        <v>1.8599999999999999</v>
      </c>
      <c r="K26" s="20">
        <f>IF(SUMIFS(Selections!$M$6:$M$29,Selections!$P$6:$P$29,"2026-W42")=0,"n.a.",SUMIFS(Selections!$N$6:$N$29,Selections!$P$6:$P$29,"2026-W42")/SUMIFS(Selections!$M$6:$M$29,Selections!$P$6:$P$29,"2026-W42"))</f>
        <v>0.23249999999999998</v>
      </c>
      <c r="L26" s="21">
        <f>IF(SUMIFS(Selections!$T$6:$T$29,Selections!$P$6:$P$29,"2026-W42")=0,"n.a.",SUMIFS(Selections!$O$6:$O$29,Selections!$P$6:$P$29,"2026-W42")/SUMIFS(Selections!$T$6:$T$29,Selections!$P$6:$P$29,"2026-W42"))</f>
        <v>0.13519602319344382</v>
      </c>
      <c r="M26" s="20">
        <f>IF(SUMIFS(Selections!$T$6:$T$29,Selections!$P$6:$P$29,"2026-W42")=0,"n.a.",SUMIFS(Selections!$S$6:$S$29,Selections!$P$6:$P$29,"2026-W42")/SUMIFS(Selections!$T$6:$T$29,Selections!$P$6:$P$29,"2026-W42"))</f>
        <v>0.7973442817146089</v>
      </c>
      <c r="N26" s="20">
        <f>IF(SUMIFS(Selections!$T$6:$T$29,Selections!$P$6:$P$29,"2026-W42")=0,"n.a.",(SUMIFS(Selections!$L$6:$L$29,Selections!$P$6:$P$29,"2026-W42",Selections!$T$6:$T$29,1))/SUMIFS(Selections!$T$6:$T$29,Selections!$P$6:$P$29,"2026-W42"))</f>
        <v>0.875</v>
      </c>
      <c r="O26" s="20">
        <f>IF(SUMIFS(Selections!$T$6:$T$29,Selections!$P$6:$P$29,"2026-W42")=0,"n.a.",(SUMIFS(Selections!$S$6:$S$29,Selections!$P$6:$P$29,"2026-W42")-(SUMIFS(Selections!$L$6:$L$29,Selections!$P$6:$P$29,"2026-W42",Selections!$T$6:$T$29,1)))/SUMIFS(Selections!$T$6:$T$29,Selections!$P$6:$P$29,"2026-W42"))</f>
        <v>-0.07765571828539108</v>
      </c>
      <c r="P26" s="19">
        <f>SUMIFS(Selections!$T$6:$T$29,Selections!$P$6:$P$29,"2026-W42")</f>
        <v>8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(n=8).</v>
      </c>
      <c r="R26" s="18"/>
    </row>
    <row r="27" ht="36" customHeight="1">
      <c r="A27" s="18" t="inlineStr">
        <is>
          <t>Week</t>
        </is>
      </c>
      <c r="B27" s="18" t="inlineStr">
        <is>
          <t>2026-W43</t>
        </is>
      </c>
      <c r="C27" s="19">
        <f>COUNTIFS(Selections!$P$6:$P$29,"2026-W43")</f>
        <v>1</v>
      </c>
      <c r="D27" s="19">
        <f>(COUNTIFS(Selections!$P$6:$P$29,"2026-W43",Selections!$K$6:$K$29,"WON")+COUNTIFS(Selections!$P$6:$P$29,"2026-W43",Selections!$K$6:$K$29,"LOST"))</f>
        <v>0</v>
      </c>
      <c r="E27" s="19">
        <f>COUNTIFS(Selections!$P$6:$P$29,"2026-W43",Selections!$K$6:$K$29,"WON")</f>
        <v>0</v>
      </c>
      <c r="F27" s="19">
        <f>COUNTIFS(Selections!$P$6:$P$29,"2026-W43",Selections!$K$6:$K$29,"LOST")</f>
        <v>0</v>
      </c>
      <c r="G27" s="19">
        <f>COUNTIFS(Selections!$P$6:$P$29,"2026-W43")-(COUNTIFS(Selections!$P$6:$P$29,"2026-W43",Selections!$K$6:$K$29,"WON")+COUNTIFS(Selections!$P$6:$P$29,"2026-W43",Selections!$K$6:$K$29,"LOST"))</f>
        <v>1</v>
      </c>
      <c r="H27" s="20" t="str">
        <f>IF((COUNTIFS(Selections!$P$6:$P$29,"2026-W43",Selections!$K$6:$K$29,"WON")+COUNTIFS(Selections!$P$6:$P$29,"2026-W43",Selections!$K$6:$K$29,"LOST"))=0,"n.a.",COUNTIFS(Selections!$P$6:$P$29,"2026-W43",Selections!$K$6:$K$29,"WON")/(COUNTIFS(Selections!$P$6:$P$29,"2026-W43",Selections!$K$6:$K$29,"WON")+COUNTIFS(Selections!$P$6:$P$29,"2026-W43",Selections!$K$6:$K$29,"LOST")))</f>
        <v>n.a.</v>
      </c>
      <c r="I27" s="22">
        <f>SUMIFS(Selections!$M$6:$M$29,Selections!$P$6:$P$29,"2026-W43")</f>
        <v>0</v>
      </c>
      <c r="J27" s="22">
        <f>SUMIFS(Selections!$N$6:$N$29,Selections!$P$6:$P$29,"2026-W43")</f>
        <v>0</v>
      </c>
      <c r="K27" s="20" t="str">
        <f>IF(SUMIFS(Selections!$M$6:$M$29,Selections!$P$6:$P$29,"2026-W43")=0,"n.a.",SUMIFS(Selections!$N$6:$N$29,Selections!$P$6:$P$29,"2026-W43")/SUMIFS(Selections!$M$6:$M$29,Selections!$P$6:$P$29,"2026-W43"))</f>
        <v>n.a.</v>
      </c>
      <c r="L27" s="21" t="str">
        <f>IF(SUMIFS(Selections!$T$6:$T$29,Selections!$P$6:$P$29,"2026-W43")=0,"n.a.",SUMIFS(Selections!$O$6:$O$29,Selections!$P$6:$P$29,"2026-W43")/SUMIFS(Selections!$T$6:$T$29,Selections!$P$6:$P$29,"2026-W43"))</f>
        <v>n.a.</v>
      </c>
      <c r="M27" s="20" t="str">
        <f>IF(SUMIFS(Selections!$T$6:$T$29,Selections!$P$6:$P$29,"2026-W43")=0,"n.a.",SUMIFS(Selections!$S$6:$S$29,Selections!$P$6:$P$29,"2026-W43")/SUMIFS(Selections!$T$6:$T$29,Selections!$P$6:$P$29,"2026-W43"))</f>
        <v>n.a.</v>
      </c>
      <c r="N27" s="20" t="str">
        <f>IF(SUMIFS(Selections!$T$6:$T$29,Selections!$P$6:$P$29,"2026-W43")=0,"n.a.",(SUMIFS(Selections!$L$6:$L$29,Selections!$P$6:$P$29,"2026-W43",Selections!$T$6:$T$29,1))/SUMIFS(Selections!$T$6:$T$29,Selections!$P$6:$P$29,"2026-W43"))</f>
        <v>n.a.</v>
      </c>
      <c r="O27" s="20" t="str">
        <f>IF(SUMIFS(Selections!$T$6:$T$29,Selections!$P$6:$P$29,"2026-W43")=0,"n.a.",(SUMIFS(Selections!$S$6:$S$29,Selections!$P$6:$P$29,"2026-W43")-(SUMIFS(Selections!$L$6:$L$29,Selections!$P$6:$P$29,"2026-W43",Selections!$T$6:$T$29,1)))/SUMIFS(Selections!$T$6:$T$29,Selections!$P$6:$P$29,"2026-W43"))</f>
        <v>n.a.</v>
      </c>
      <c r="P27" s="19">
        <f>SUMIFS(Selections!$T$6:$T$29,Selections!$P$6:$P$29,"2026-W43")</f>
        <v>0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(n=0).</v>
      </c>
      <c r="R27" s="18"/>
    </row>
  </sheetData>
  <mergeCells count="2">
    <mergeCell ref="A2:Q2"/>
    <mergeCell ref="A4:Q4"/>
  </mergeCells>
  <conditionalFormatting sqref="K6:K27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COUNTIFS(Selections!$S$6:$S$29,"&gt;="&amp;B6,Selections!$S$6:$S$29,"&lt;"&amp;C6,Selections!$T$6:$T$29,1)</f>
        <v>0</v>
      </c>
      <c r="E6" s="20" t="str">
        <f>IF(D6=0,"n.a.",SUMIFS(Selections!$S$6:$S$29,Selections!$S$6:$S$29,"&gt;="&amp;B6,Selections!$S$6:$S$29,"&lt;"&amp;C6,Selections!$T$6:$T$29,1)/D6)</f>
        <v>n.a.</v>
      </c>
      <c r="F6" s="20" t="str">
        <f>IF(D6=0,"n.a.",SUMIFS(Selections!$L$6:$L$29,Selections!$S$6:$S$29,"&gt;="&amp;B6,Selections!$S$6:$S$29,"&lt;"&amp;C6,Selections!$T$6:$T$29,1)/D6)</f>
        <v>n.a.</v>
      </c>
      <c r="G6" s="20" t="str">
        <f>IF(D6=0,"n.a.",E6-F6)</f>
        <v>n.a.</v>
      </c>
      <c r="H6" s="21" t="str">
        <f>IF(D6=0,"n.a.",SUMIFS(Selections!$O$6:$O$29,Selections!$S$6:$S$29,"&gt;="&amp;B6,Selections!$S$6:$S$29,"&lt;"&amp;C6,Selections!$T$6:$T$29,1)/D6)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COUNTIFS(Selections!$S$6:$S$29,"&gt;="&amp;B7,Selections!$S$6:$S$29,"&lt;"&amp;C7,Selections!$T$6:$T$29,1)</f>
        <v>0</v>
      </c>
      <c r="E7" s="20" t="str">
        <f>IF(D7=0,"n.a.",SUMIFS(Selections!$S$6:$S$29,Selections!$S$6:$S$29,"&gt;="&amp;B7,Selections!$S$6:$S$29,"&lt;"&amp;C7,Selections!$T$6:$T$29,1)/D7)</f>
        <v>n.a.</v>
      </c>
      <c r="F7" s="20" t="str">
        <f>IF(D7=0,"n.a.",SUMIFS(Selections!$L$6:$L$29,Selections!$S$6:$S$29,"&gt;="&amp;B7,Selections!$S$6:$S$29,"&lt;"&amp;C7,Selections!$T$6:$T$29,1)/D7)</f>
        <v>n.a.</v>
      </c>
      <c r="G7" s="20" t="str">
        <f>IF(D7=0,"n.a.",E7-F7)</f>
        <v>n.a.</v>
      </c>
      <c r="H7" s="21" t="str">
        <f>IF(D7=0,"n.a.",SUMIFS(Selections!$O$6:$O$29,Selections!$S$6:$S$29,"&gt;="&amp;B7,Selections!$S$6:$S$29,"&lt;"&amp;C7,Selections!$T$6:$T$29,1)/D7)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COUNTIFS(Selections!$S$6:$S$29,"&gt;="&amp;B8,Selections!$S$6:$S$29,"&lt;"&amp;C8,Selections!$T$6:$T$29,1)</f>
        <v>2</v>
      </c>
      <c r="E8" s="20">
        <f>IF(D8=0,"n.a.",SUMIFS(Selections!$S$6:$S$29,Selections!$S$6:$S$29,"&gt;="&amp;B8,Selections!$S$6:$S$29,"&lt;"&amp;C8,Selections!$T$6:$T$29,1)/D8)</f>
        <v>0.672911773109177</v>
      </c>
      <c r="F8" s="20">
        <f>IF(D8=0,"n.a.",SUMIFS(Selections!$L$6:$L$29,Selections!$S$6:$S$29,"&gt;="&amp;B8,Selections!$S$6:$S$29,"&lt;"&amp;C8,Selections!$T$6:$T$29,1)/D8)</f>
        <v>1.0</v>
      </c>
      <c r="G8" s="20">
        <f>IF(D8=0,"n.a.",E8-F8)</f>
        <v>-0.32708822689082295</v>
      </c>
      <c r="H8" s="21">
        <f>IF(D8=0,"n.a.",SUMIFS(Selections!$O$6:$O$29,Selections!$S$6:$S$29,"&gt;="&amp;B8,Selections!$S$6:$S$29,"&lt;"&amp;C8,Selections!$T$6:$T$29,1)/D8)</f>
        <v>0.10707453570041733</v>
      </c>
      <c r="I8" s="18" t="inlineStr">
        <is>
          <t>Collect more scored forecasts (n=2).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COUNTIFS(Selections!$S$6:$S$29,"&gt;="&amp;B9,Selections!$S$6:$S$29,"&lt;"&amp;C9,Selections!$T$6:$T$29,1)</f>
        <v>4</v>
      </c>
      <c r="E9" s="20">
        <f>IF(D9=0,"n.a.",SUMIFS(Selections!$S$6:$S$29,Selections!$S$6:$S$29,"&gt;="&amp;B9,Selections!$S$6:$S$29,"&lt;"&amp;C9,Selections!$T$6:$T$29,1)/D9)</f>
        <v>0.7598033602744063</v>
      </c>
      <c r="F9" s="20">
        <f>IF(D9=0,"n.a.",SUMIFS(Selections!$L$6:$L$29,Selections!$S$6:$S$29,"&gt;="&amp;B9,Selections!$S$6:$S$29,"&lt;"&amp;C9,Selections!$T$6:$T$29,1)/D9)</f>
        <v>0.75</v>
      </c>
      <c r="G9" s="20">
        <f>IF(D9=0,"n.a.",E9-F9)</f>
        <v>0.009803360274406314</v>
      </c>
      <c r="H9" s="21">
        <f>IF(D9=0,"n.a.",SUMIFS(Selections!$O$6:$O$29,Selections!$S$6:$S$29,"&gt;="&amp;B9,Selections!$S$6:$S$29,"&lt;"&amp;C9,Selections!$T$6:$T$29,1)/D9)</f>
        <v>0.18645173019771322</v>
      </c>
      <c r="I9" s="18" t="inlineStr">
        <is>
          <t>Collect more scored forecasts (n=4).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COUNTIFS(Selections!$S$6:$S$29,"&gt;="&amp;B10,Selections!$S$6:$S$29,"&lt;"&amp;C10,Selections!$T$6:$T$29,1)</f>
        <v>4</v>
      </c>
      <c r="E10" s="20">
        <f>IF(D10=0,"n.a.",SUMIFS(Selections!$S$6:$S$29,Selections!$S$6:$S$29,"&gt;="&amp;B10,Selections!$S$6:$S$29,"&lt;"&amp;C10,Selections!$T$6:$T$29,1)/D10)</f>
        <v>0.8547176992047558</v>
      </c>
      <c r="F10" s="20">
        <f>IF(D10=0,"n.a.",SUMIFS(Selections!$L$6:$L$29,Selections!$S$6:$S$29,"&gt;="&amp;B10,Selections!$S$6:$S$29,"&lt;"&amp;C10,Selections!$T$6:$T$29,1)/D10)</f>
        <v>0.5</v>
      </c>
      <c r="G10" s="20">
        <f>IF(D10=0,"n.a.",E10-F10)</f>
        <v>0.3547176992047558</v>
      </c>
      <c r="H10" s="21">
        <f>IF(D10=0,"n.a.",SUMIFS(Selections!$O$6:$O$29,Selections!$S$6:$S$29,"&gt;="&amp;B10,Selections!$S$6:$S$29,"&lt;"&amp;C10,Selections!$T$6:$T$29,1)/D10)</f>
        <v>0.35693803796362084</v>
      </c>
      <c r="I10" s="18" t="inlineStr">
        <is>
          <t>Collect more scored forecasts (n=4).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COUNTIFS(Selections!$S$6:$S$29,"&gt;="&amp;B11,Selections!$S$6:$S$29,"&lt;"&amp;C11,Selections!$T$6:$T$29,1)</f>
        <v>2</v>
      </c>
      <c r="E11" s="20">
        <f>IF(D11=0,"n.a.",SUMIFS(Selections!$S$6:$S$29,Selections!$S$6:$S$29,"&gt;="&amp;B11,Selections!$S$6:$S$29,"&lt;"&amp;C11,Selections!$T$6:$T$29,1)/D11)</f>
        <v>0.9297203731151685</v>
      </c>
      <c r="F11" s="20">
        <f>IF(D11=0,"n.a.",SUMIFS(Selections!$L$6:$L$29,Selections!$S$6:$S$29,"&gt;="&amp;B11,Selections!$S$6:$S$29,"&lt;"&amp;C11,Selections!$T$6:$T$29,1)/D11)</f>
        <v>1.0</v>
      </c>
      <c r="G11" s="20">
        <f>IF(D11=0,"n.a.",E11-F11)</f>
        <v>-0.07027962688483147</v>
      </c>
      <c r="H11" s="21">
        <f>IF(D11=0,"n.a.",SUMIFS(Selections!$O$6:$O$29,Selections!$S$6:$S$29,"&gt;="&amp;B11,Selections!$S$6:$S$29,"&lt;"&amp;C11,Selections!$T$6:$T$29,1)/D11)</f>
        <v>0.005162004875565673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Frozen selections. Technical fields are grouped; expand them for source details. Kickoff times are UTC.</t>
        </is>
      </c>
      <c r="B4" s="27" t="inlineStr">
        <is>
          <t>Frozen selections. Technical fields are grouped; expand them for source details. Kickoff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0.8013506483291103</v>
      </c>
      <c r="I6" s="22">
        <v>1.35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a2cdead106b513fd623cffd1e43a491685d68cc3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0.755121820396422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0.5702089636388061</v>
      </c>
      <c r="P7" s="18" t="inlineStr">
        <is>
          <t>2026-W41</t>
        </is>
      </c>
      <c r="Q7" s="18" t="inlineStr">
        <is>
          <t>a2cdead106b513fd623cffd1e43a491685d68cc3</t>
        </is>
      </c>
      <c r="R7" s="18" t="inlineStr">
        <is>
          <t>football-data.org/v4</t>
        </is>
      </c>
      <c r="S7" s="20">
        <f>IF(AND(ISNUMBER(L7),ISNUMBER(H7)),H7,"")</f>
        <v>0.755121820396422</v>
      </c>
      <c r="T7" s="19">
        <f>IF(AND(ISNUMBER(L7),ISNUMBER(H7)),1,0)</f>
        <v>1</v>
      </c>
      <c r="U7" s="22">
        <v>0.0</v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legacy/unspecified</t>
        </is>
      </c>
      <c r="H8" s="20">
        <v>0.8334995781310042</v>
      </c>
      <c r="I8" s="22">
        <v>1.32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0.6947215467445619</v>
      </c>
      <c r="P8" s="18" t="inlineStr">
        <is>
          <t>2026-W41</t>
        </is>
      </c>
      <c r="Q8" s="18" t="inlineStr">
        <is>
          <t>bdc690a8c70643c93f1595d53c067b7d91325270</t>
        </is>
      </c>
      <c r="R8" s="18" t="inlineStr">
        <is>
          <t>football-data.org/v4</t>
        </is>
      </c>
      <c r="S8" s="20">
        <f>IF(AND(ISNUMBER(L8),ISNUMBER(H8)),H8,"")</f>
        <v>0.8334995781310042</v>
      </c>
      <c r="T8" s="19">
        <f>IF(AND(ISNUMBER(L8),ISNUMBER(H8)),1,0)</f>
        <v>1</v>
      </c>
      <c r="U8" s="22">
        <v>0.0</v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legacy/unspecified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bdc690a8c70643c93f1595d53c067b7d91325270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legacy/unspecified</t>
        </is>
      </c>
      <c r="H10" s="20">
        <v>0.8995481130412133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0.010090581593580863</v>
      </c>
      <c r="P10" s="18" t="inlineStr">
        <is>
          <t>2026-W41</t>
        </is>
      </c>
      <c r="Q10" s="18" t="inlineStr">
        <is>
          <t>bdc690a8c70643c93f1595d53c067b7d91325270</t>
        </is>
      </c>
      <c r="R10" s="18" t="inlineStr">
        <is>
          <t>football-data.org/v4</t>
        </is>
      </c>
      <c r="S10" s="20">
        <f>IF(AND(ISNUMBER(L10),ISNUMBER(H10)),H10,"")</f>
        <v>0.8995481130412133</v>
      </c>
      <c r="T10" s="19">
        <f>IF(AND(ISNUMBER(L10),ISNUMBER(H10)),1,0)</f>
        <v>1</v>
      </c>
      <c r="U10" s="22">
        <v>0.0</v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legacy/unspecified</t>
        </is>
      </c>
      <c r="H11" s="20">
        <v>0.6822834074295536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0.10094383319457502</v>
      </c>
      <c r="P11" s="18" t="inlineStr">
        <is>
          <t>2026-W42</t>
        </is>
      </c>
      <c r="Q11" s="18" t="inlineStr">
        <is>
          <t>bdc690a8c70643c93f1595d53c067b7d91325270</t>
        </is>
      </c>
      <c r="R11" s="18" t="inlineStr">
        <is>
          <t>football-data.org/v4</t>
        </is>
      </c>
      <c r="S11" s="20">
        <f>IF(AND(ISNUMBER(L11),ISNUMBER(H11)),H11,"")</f>
        <v>0.6822834074295536</v>
      </c>
      <c r="T11" s="19">
        <f>IF(AND(ISNUMBER(L11),ISNUMBER(H11)),1,0)</f>
        <v>1</v>
      </c>
      <c r="U11" s="22">
        <v>0.0</v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0.7819939798559531</v>
      </c>
      <c r="I12" s="22">
        <v>1.34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0.3400000000000001</v>
      </c>
      <c r="O12" s="21">
        <f>IF(AND(ISNUMBER(L12),ISNUMBER(H12)),(H12-L12)^2,"")</f>
        <v>0.047526624819046584</v>
      </c>
      <c r="P12" s="18" t="inlineStr">
        <is>
          <t>2026-W42</t>
        </is>
      </c>
      <c r="Q12" s="18" t="inlineStr">
        <is>
          <t>a2cdead106b513fd623cffd1e43a491685d68cc3</t>
        </is>
      </c>
      <c r="R12" s="18" t="inlineStr">
        <is>
          <t>football-data.org/v4</t>
        </is>
      </c>
      <c r="S12" s="20">
        <f>IF(AND(ISNUMBER(L12),ISNUMBER(H12)),H12,"")</f>
        <v>0.7819939798559531</v>
      </c>
      <c r="T12" s="19">
        <f>IF(AND(ISNUMBER(L12),ISNUMBER(H12)),1,0)</f>
        <v>1</v>
      </c>
      <c r="U12" s="22">
        <v>0.0</v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legacy/unspecified</t>
        </is>
      </c>
      <c r="H13" s="20">
        <v>0.8367553324728108</v>
      </c>
      <c r="I13" s="22">
        <v>1.5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0.700159486421684</v>
      </c>
      <c r="P13" s="18" t="inlineStr">
        <is>
          <t>2026-W42</t>
        </is>
      </c>
      <c r="Q13" s="18" t="inlineStr">
        <is>
          <t>bdc690a8c70643c93f1595d53c067b7d91325270</t>
        </is>
      </c>
      <c r="R13" s="18" t="inlineStr">
        <is>
          <t>football-data.org/v4</t>
        </is>
      </c>
      <c r="S13" s="20">
        <f>IF(AND(ISNUMBER(L13),ISNUMBER(H13)),H13,"")</f>
        <v>0.8367553324728108</v>
      </c>
      <c r="T13" s="19">
        <f>IF(AND(ISNUMBER(L13),ISNUMBER(H13)),1,0)</f>
        <v>1</v>
      </c>
      <c r="U13" s="22">
        <v>0.0</v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72h-ucl-v3</t>
        </is>
      </c>
      <c r="H14" s="20">
        <v>0.9446461535133436</v>
      </c>
      <c r="I14" s="22">
        <v>1.15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0.1499999999999999</v>
      </c>
      <c r="O14" s="21">
        <f>IF(AND(ISNUMBER(L14),ISNUMBER(H14)),(H14-L14)^2,"")</f>
        <v>0.0030640483208683256</v>
      </c>
      <c r="P14" s="18" t="inlineStr">
        <is>
          <t>2026-W42</t>
        </is>
      </c>
      <c r="Q14" s="18" t="inlineStr">
        <is>
          <t>a2cdead106b513fd623cffd1e43a491685d68cc3</t>
        </is>
      </c>
      <c r="R14" s="18" t="inlineStr">
        <is>
          <t>football-data.org/v4</t>
        </is>
      </c>
      <c r="S14" s="20">
        <f>IF(AND(ISNUMBER(L14),ISNUMBER(H14)),H14,"")</f>
        <v>0.9446461535133436</v>
      </c>
      <c r="T14" s="19">
        <f>IF(AND(ISNUMBER(L14),ISNUMBER(H14)),1,0)</f>
        <v>1</v>
      </c>
      <c r="U14" s="22">
        <v>0.0</v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72h-ucl-v3</t>
        </is>
      </c>
      <c r="H15" s="20">
        <v>0.7056728757654207</v>
      </c>
      <c r="I15" s="22">
        <v>1.49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0.49</v>
      </c>
      <c r="O15" s="21">
        <f>IF(AND(ISNUMBER(L15),ISNUMBER(H15)),(H15-L15)^2,"")</f>
        <v>0.08662845606019748</v>
      </c>
      <c r="P15" s="18" t="inlineStr">
        <is>
          <t>2026-W42</t>
        </is>
      </c>
      <c r="Q15" s="18" t="inlineStr">
        <is>
          <t>a2cdead106b513fd623cffd1e43a491685d68cc3</t>
        </is>
      </c>
      <c r="R15" s="18" t="inlineStr">
        <is>
          <t>football-data.org/v4</t>
        </is>
      </c>
      <c r="S15" s="20">
        <f>IF(AND(ISNUMBER(L15),ISNUMBER(H15)),H15,"")</f>
        <v>0.7056728757654207</v>
      </c>
      <c r="T15" s="19">
        <f>IF(AND(ISNUMBER(L15),ISNUMBER(H15)),1,0)</f>
        <v>1</v>
      </c>
      <c r="U15" s="22">
        <v>0.0</v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72h-ucl-v3</t>
        </is>
      </c>
      <c r="H16" s="20">
        <v>0.9558088803119968</v>
      </c>
      <c r="I16" s="22">
        <v>1.14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4f7af2f470a0b5cdb7b8ae974c859f87b0236fc4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72h-ucl-v3</t>
        </is>
      </c>
      <c r="H17" s="20">
        <v>0.6635401387888005</v>
      </c>
      <c r="I17" s="22">
        <v>1.74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0.74</v>
      </c>
      <c r="O17" s="21">
        <f>IF(AND(ISNUMBER(L17),ISNUMBER(H17)),(H17-L17)^2,"")</f>
        <v>0.11320523820625965</v>
      </c>
      <c r="P17" s="18" t="inlineStr">
        <is>
          <t>2026-W42</t>
        </is>
      </c>
      <c r="Q17" s="18" t="inlineStr">
        <is>
          <t>4f7af2f470a0b5cdb7b8ae974c859f87b0236fc4</t>
        </is>
      </c>
      <c r="R17" s="18" t="inlineStr">
        <is>
          <t>football-data.org/v4</t>
        </is>
      </c>
      <c r="S17" s="20">
        <f>IF(AND(ISNUMBER(L17),ISNUMBER(H17)),H17,"")</f>
        <v>0.6635401387888005</v>
      </c>
      <c r="T17" s="19">
        <f>IF(AND(ISNUMBER(L17),ISNUMBER(H17)),1,0)</f>
        <v>1</v>
      </c>
      <c r="U17" s="22">
        <v>0.0</v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Over 1.5</t>
        </is>
      </c>
      <c r="F18" s="18" t="inlineStr">
        <is>
          <t>STRICT</t>
        </is>
      </c>
      <c r="G18" s="18" t="inlineStr">
        <is>
          <t>72h-ucl-v3</t>
        </is>
      </c>
      <c r="H18" s="20">
        <v>0.9147945927169935</v>
      </c>
      <c r="I18" s="22">
        <v>1.24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0.24</v>
      </c>
      <c r="O18" s="21">
        <f>IF(AND(ISNUMBER(L18),ISNUMBER(H18)),(H18-L18)^2,"")</f>
        <v>0.00725996143026302</v>
      </c>
      <c r="P18" s="18" t="inlineStr">
        <is>
          <t>2026-W42</t>
        </is>
      </c>
      <c r="Q18" s="18" t="inlineStr">
        <is>
          <t>4f7af2f470a0b5cdb7b8ae974c859f87b0236fc4</t>
        </is>
      </c>
      <c r="R18" s="18" t="inlineStr">
        <is>
          <t>football-data.org/v4</t>
        </is>
      </c>
      <c r="S18" s="20">
        <f>IF(AND(ISNUMBER(L18),ISNUMBER(H18)),H18,"")</f>
        <v>0.9147945927169935</v>
      </c>
      <c r="T18" s="19">
        <f>IF(AND(ISNUMBER(L18),ISNUMBER(H18)),1,0)</f>
        <v>1</v>
      </c>
      <c r="U18" s="22">
        <v>0.0</v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0.8490677731739953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0.022780537094656536</v>
      </c>
      <c r="P19" s="18" t="inlineStr">
        <is>
          <t>2026-W42</t>
        </is>
      </c>
      <c r="Q19" s="18" t="inlineStr">
        <is>
          <t>d3f12df5a2a20809c3ac84f9a31766ba965813e3</t>
        </is>
      </c>
      <c r="R19" s="18" t="inlineStr">
        <is>
          <t>football-data.org/v4</t>
        </is>
      </c>
      <c r="S19" s="20">
        <f>IF(AND(ISNUMBER(L19),ISNUMBER(H19)),H19,"")</f>
        <v>0.8490677731739953</v>
      </c>
      <c r="T19" s="19">
        <f>IF(AND(ISNUMBER(L19),ISNUMBER(H19)),1,0)</f>
        <v>1</v>
      </c>
      <c r="U19" s="22">
        <v>0.0</v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72h-all-markets-net-ev15-execution-v7</t>
        </is>
      </c>
      <c r="H20" s="20">
        <v>0.6603235458643747</v>
      </c>
      <c r="I20" s="22">
        <v>1.71</v>
      </c>
      <c r="J20" s="18"/>
      <c r="K20" s="18" t="inlineStr">
        <is>
          <t>PENDING_KICKOFF_OR_FINAL_SCORE</t>
        </is>
      </c>
      <c r="L20" s="18"/>
      <c r="M20" s="22" t="str">
        <f>IF(AND(ISNUMBER(L20),ISNUMBER(I20),I20&gt;1),'ROI Plan'!$B$5,"")</f>
        <v/>
      </c>
      <c r="N20" s="22" t="str">
        <f>IF(ISNUMBER(M20),M20*(I20*L20-1-U20),"")</f>
        <v/>
      </c>
      <c r="O20" s="21">
        <f>IF(AND(ISNUMBER(L20),ISNUMBER(H20)),(H20-L20)^2,"")</f>
      </c>
      <c r="P20" s="18" t="inlineStr">
        <is>
          <t>2026-W42</t>
        </is>
      </c>
      <c r="Q20" s="18" t="inlineStr">
        <is>
          <t>54bb8a2c2c957dda77ef247b3e042f6a945bda8f</t>
        </is>
      </c>
      <c r="R20" s="18"/>
      <c r="S20" s="20">
        <f>IF(AND(ISNUMBER(L20),ISNUMBER(H20)),H20,"")</f>
      </c>
      <c r="T20" s="19">
        <f>IF(AND(ISNUMBER(L20),ISNUMBER(H20)),1,0)</f>
        <v>0</v>
      </c>
      <c r="U20" s="22">
        <v>0.0</v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72h-six-markets-dc12-probability-odds-net-ev15-v9</t>
        </is>
      </c>
      <c r="H21" s="20">
        <v>0.8016633804854422</v>
      </c>
      <c r="I21" s="22">
        <v>1.27</v>
      </c>
      <c r="J21" s="18"/>
      <c r="K21" s="18" t="inlineStr">
        <is>
          <t>PENDING_KICKOFF_OR_FINAL_SCORE</t>
        </is>
      </c>
      <c r="L21" s="18"/>
      <c r="M21" s="22" t="str">
        <f>IF(AND(ISNUMBER(L21),ISNUMBER(I21),I21&gt;1),'ROI Plan'!$B$5,"")</f>
        <v/>
      </c>
      <c r="N21" s="22" t="str">
        <f>IF(ISNUMBER(M21),M21*(I21*L21-1-U21),"")</f>
        <v/>
      </c>
      <c r="O21" s="21">
        <f>IF(AND(ISNUMBER(L21),ISNUMBER(H21)),(H21-L21)^2,"")</f>
      </c>
      <c r="P21" s="18" t="inlineStr">
        <is>
          <t>2026-W42</t>
        </is>
      </c>
      <c r="Q21" s="18" t="inlineStr">
        <is>
          <t>b57f98f7704eb71a9d1b11eddf359e66786ea2fe</t>
        </is>
      </c>
      <c r="R21" s="18"/>
      <c r="S21" s="20">
        <f>IF(AND(ISNUMBER(L21),ISNUMBER(H21)),H21,"")</f>
      </c>
      <c r="T21" s="19">
        <f>IF(AND(ISNUMBER(L21),ISNUMBER(H21)),1,0)</f>
        <v>0</v>
      </c>
      <c r="U21" s="22">
        <v>0.0</v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/>
      <c r="K22" s="18" t="inlineStr">
        <is>
          <t>PENDING_KICKOFF_OR_FINAL_SCORE</t>
        </is>
      </c>
      <c r="L22" s="18"/>
      <c r="M22" s="22" t="str">
        <f>IF(AND(ISNUMBER(L22),ISNUMBER(I22),I22&gt;1),'ROI Plan'!$B$5,"")</f>
        <v/>
      </c>
      <c r="N22" s="22" t="str">
        <f>IF(ISNUMBER(M22),M22*(I22*L22-1-U22),"")</f>
        <v/>
      </c>
      <c r="O22" s="21">
        <f>IF(AND(ISNUMBER(L22),ISNUMBER(H22)),(H22-L22)^2,"")</f>
      </c>
      <c r="P22" s="18" t="inlineStr">
        <is>
          <t>2026-W42</t>
        </is>
      </c>
      <c r="Q22" s="18" t="inlineStr">
        <is>
          <t>bdc690a8c70643c93f1595d53c067b7d91325270</t>
        </is>
      </c>
      <c r="R22" s="18"/>
      <c r="S22" s="20">
        <f>IF(AND(ISNUMBER(L22),ISNUMBER(H22)),H22,"")</f>
      </c>
      <c r="T22" s="19">
        <f>IF(AND(ISNUMBER(L22),ISNUMBER(H22)),1,0)</f>
        <v>0</v>
      </c>
      <c r="U22" s="22">
        <v>0.0</v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Over 1.5</t>
        </is>
      </c>
      <c r="F23" s="18" t="inlineStr">
        <is>
          <t>PROVISIONAL</t>
        </is>
      </c>
      <c r="G23" s="18" t="inlineStr">
        <is>
          <t>legacy/unspecified</t>
        </is>
      </c>
      <c r="H23" s="20">
        <v>0.9163621198072895</v>
      </c>
      <c r="I23" s="22">
        <v>1.11</v>
      </c>
      <c r="J23" s="18"/>
      <c r="K23" s="18" t="inlineStr">
        <is>
          <t>PENDING_KICKOFF_OR_FINAL_SCORE</t>
        </is>
      </c>
      <c r="L23" s="18"/>
      <c r="M23" s="22" t="str">
        <f>IF(AND(ISNUMBER(L23),ISNUMBER(I23),I23&gt;1),'ROI Plan'!$B$5,"")</f>
        <v/>
      </c>
      <c r="N23" s="22" t="str">
        <f>IF(ISNUMBER(M23),M23*(I23*L23-1-U23),"")</f>
        <v/>
      </c>
      <c r="O23" s="21">
        <f>IF(AND(ISNUMBER(L23),ISNUMBER(H23)),(H23-L23)^2,"")</f>
      </c>
      <c r="P23" s="18" t="inlineStr">
        <is>
          <t>2026-W42</t>
        </is>
      </c>
      <c r="Q23" s="18" t="inlineStr">
        <is>
          <t>bdc690a8c70643c93f1595d53c067b7d91325270</t>
        </is>
      </c>
      <c r="R23" s="18"/>
      <c r="S23" s="20">
        <f>IF(AND(ISNUMBER(L23),ISNUMBER(H23)),H23,"")</f>
      </c>
      <c r="T23" s="19">
        <f>IF(AND(ISNUMBER(L23),ISNUMBER(H23)),1,0)</f>
        <v>0</v>
      </c>
      <c r="U23" s="22">
        <v>0.0</v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0.6535202115547794</v>
      </c>
      <c r="I24" s="22">
        <v>1.58</v>
      </c>
      <c r="J24" s="18"/>
      <c r="K24" s="18" t="inlineStr">
        <is>
          <t>PENDING_KICKOFF_OR_FINAL_SCORE</t>
        </is>
      </c>
      <c r="L24" s="18"/>
      <c r="M24" s="22" t="str">
        <f>IF(AND(ISNUMBER(L24),ISNUMBER(I24),I24&gt;1),'ROI Plan'!$B$5,"")</f>
        <v/>
      </c>
      <c r="N24" s="22" t="str">
        <f>IF(ISNUMBER(M24),M24*(I24*L24-1-U24),"")</f>
        <v/>
      </c>
      <c r="O24" s="21">
        <f>IF(AND(ISNUMBER(L24),ISNUMBER(H24)),(H24-L24)^2,"")</f>
      </c>
      <c r="P24" s="18" t="inlineStr">
        <is>
          <t>2026-W42</t>
        </is>
      </c>
      <c r="Q24" s="18" t="inlineStr">
        <is>
          <t>7a6c9d44b7c20308d3ed85270f7cabc2a98df58e</t>
        </is>
      </c>
      <c r="R24" s="18"/>
      <c r="S24" s="20">
        <f>IF(AND(ISNUMBER(L24),ISNUMBER(H24)),H24,"")</f>
      </c>
      <c r="T24" s="19">
        <f>IF(AND(ISNUMBER(L24),ISNUMBER(H24)),1,0)</f>
        <v>0</v>
      </c>
      <c r="U24" s="22">
        <v>0.0</v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/>
      <c r="K25" s="18" t="inlineStr">
        <is>
          <t>PENDING_KICKOFF_OR_FINAL_SCORE</t>
        </is>
      </c>
      <c r="L25" s="18"/>
      <c r="M25" s="22" t="str">
        <f>IF(AND(ISNUMBER(L25),ISNUMBER(I25),I25&gt;1),'ROI Plan'!$B$5,"")</f>
        <v/>
      </c>
      <c r="N25" s="22" t="str">
        <f>IF(ISNUMBER(M25),M25*(I25*L25-1-U25),"")</f>
        <v/>
      </c>
      <c r="O25" s="21">
        <f>IF(AND(ISNUMBER(L25),ISNUMBER(H25)),(H25-L25)^2,"")</f>
      </c>
      <c r="P25" s="18" t="inlineStr">
        <is>
          <t>2026-W42</t>
        </is>
      </c>
      <c r="Q25" s="18" t="inlineStr">
        <is>
          <t>bdc690a8c70643c93f1595d53c067b7d91325270</t>
        </is>
      </c>
      <c r="R25" s="18"/>
      <c r="S25" s="20">
        <f>IF(AND(ISNUMBER(L25),ISNUMBER(H25)),H25,"")</f>
      </c>
      <c r="T25" s="19">
        <f>IF(AND(ISNUMBER(L25),ISNUMBER(H25)),1,0)</f>
        <v>0</v>
      </c>
      <c r="U25" s="22">
        <v>0.0</v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0.8234367931835674</v>
      </c>
      <c r="I26" s="22">
        <v>1.24</v>
      </c>
      <c r="J26" s="18"/>
      <c r="K26" s="18" t="inlineStr">
        <is>
          <t>PENDING_KICKOFF_OR_FINAL_SCORE</t>
        </is>
      </c>
      <c r="L26" s="18"/>
      <c r="M26" s="22" t="str">
        <f>IF(AND(ISNUMBER(L26),ISNUMBER(I26),I26&gt;1),'ROI Plan'!$B$5,"")</f>
        <v/>
      </c>
      <c r="N26" s="22" t="str">
        <f>IF(ISNUMBER(M26),M26*(I26*L26-1-U26),"")</f>
        <v/>
      </c>
      <c r="O26" s="21">
        <f>IF(AND(ISNUMBER(L26),ISNUMBER(H26)),(H26-L26)^2,"")</f>
      </c>
      <c r="P26" s="18" t="inlineStr">
        <is>
          <t>2026-W42</t>
        </is>
      </c>
      <c r="Q26" s="18" t="inlineStr">
        <is>
          <t>9425e536c27cdb34914535517891f53a7af4191b</t>
        </is>
      </c>
      <c r="R26" s="18"/>
      <c r="S26" s="20">
        <f>IF(AND(ISNUMBER(L26),ISNUMBER(H26)),H26,"")</f>
      </c>
      <c r="T26" s="19">
        <f>IF(AND(ISNUMBER(L26),ISNUMBER(H26)),1,0)</f>
        <v>0</v>
      </c>
      <c r="U26" s="22">
        <v>0.0</v>
      </c>
    </row>
    <row r="27" ht="36" customHeight="1">
      <c r="A27" s="18" t="inlineStr">
        <is>
          <t>La Liga|malaga|real sociedad|2026-10-18</t>
        </is>
      </c>
      <c r="B27" s="23">
        <v>46313.6875</v>
      </c>
      <c r="C27" s="18" t="inlineStr">
        <is>
          <t>La Liga</t>
        </is>
      </c>
      <c r="D27" s="18" t="inlineStr">
        <is>
          <t>Málaga vs Real Sociedad</t>
        </is>
      </c>
      <c r="E27" s="18" t="inlineStr">
        <is>
          <t>Under 3.5</t>
        </is>
      </c>
      <c r="F27" s="18" t="inlineStr">
        <is>
          <t>STRICT</t>
        </is>
      </c>
      <c r="G27" s="18" t="inlineStr">
        <is>
          <t>legacy/unspecified</t>
        </is>
      </c>
      <c r="H27" s="20">
        <v>0.8261247842244344</v>
      </c>
      <c r="I27" s="22">
        <v>1.41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bdc690a8c70643c93f1595d53c067b7d91325270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</row>
    <row r="28" ht="36" customHeight="1">
      <c r="A28" s="18" t="inlineStr">
        <is>
          <t>La Liga|real madrid|sevilla|2026-10-18</t>
        </is>
      </c>
      <c r="B28" s="23">
        <v>46313.791666666664</v>
      </c>
      <c r="C28" s="18" t="inlineStr">
        <is>
          <t>La Liga</t>
        </is>
      </c>
      <c r="D28" s="18" t="inlineStr">
        <is>
          <t>Real Madrid vs Sevilla</t>
        </is>
      </c>
      <c r="E28" s="18" t="inlineStr">
        <is>
          <t>Home win</t>
        </is>
      </c>
      <c r="F28" s="18" t="inlineStr">
        <is>
          <t>PROVISIONAL</t>
        </is>
      </c>
      <c r="G28" s="18" t="inlineStr">
        <is>
          <t>legacy/unspecified</t>
        </is>
      </c>
      <c r="H28" s="20">
        <v>0.78842217536022</v>
      </c>
      <c r="I28" s="22">
        <v>1.3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bdc690a8c70643c93f1595d53c067b7d91325270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</row>
    <row r="29" ht="36" customHeight="1">
      <c r="A29" s="18" t="inlineStr">
        <is>
          <t>Premier League|tottenham|coventry city|2026-10-19</t>
        </is>
      </c>
      <c r="B29" s="23">
        <v>46314.791666666664</v>
      </c>
      <c r="C29" s="18" t="inlineStr">
        <is>
          <t>Premier League</t>
        </is>
      </c>
      <c r="D29" s="18" t="inlineStr">
        <is>
          <t>Tottenham Hotspur vs Coventry City</t>
        </is>
      </c>
      <c r="E29" s="18" t="inlineStr">
        <is>
          <t>Home win</t>
        </is>
      </c>
      <c r="F29" s="18" t="inlineStr">
        <is>
          <t>PROVISIONAL</t>
        </is>
      </c>
      <c r="G29" s="18" t="inlineStr">
        <is>
          <t>legacy/unspecified</t>
        </is>
      </c>
      <c r="H29" s="20">
        <v>0.6624411929150106</v>
      </c>
      <c r="I29" s="22">
        <v>1.54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2026-W43</t>
        </is>
      </c>
      <c r="Q29" s="18" t="inlineStr">
        <is>
          <t>b9c15c09504aaf57de5ad0957adb91c0e9b37243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</row>
  </sheetData>
  <mergeCells count="2">
    <mergeCell ref="B2:U2"/>
    <mergeCell ref="B4:U4"/>
  </mergeCells>
  <conditionalFormatting sqref="K6:K29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PENDING_KICKOFF_OR_FINAL_SCORE</t>
        </is>
      </c>
      <c r="G49" s="18"/>
      <c r="H49" s="18"/>
      <c r="I49" s="21"/>
      <c r="J49" s="18"/>
      <c r="K49" s="18"/>
      <c r="L49" s="18"/>
      <c r="M49" s="18"/>
      <c r="N49" s="18" t="inlineStr">
        <is>
          <t>2026-W42</t>
        </is>
      </c>
      <c r="O49" s="18" t="inlineStr">
        <is>
          <t>2fd31d33722311d8e0155bb5eca6b3a310ac938b</t>
        </is>
      </c>
      <c r="P49" s="18"/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PENDING_KICKOFF_OR_FINAL_SCORE</t>
        </is>
      </c>
      <c r="G50" s="18"/>
      <c r="H50" s="18"/>
      <c r="I50" s="21"/>
      <c r="J50" s="18"/>
      <c r="K50" s="18"/>
      <c r="L50" s="18"/>
      <c r="M50" s="18"/>
      <c r="N50" s="18" t="inlineStr">
        <is>
          <t>2026-W42</t>
        </is>
      </c>
      <c r="O50" s="18" t="inlineStr">
        <is>
          <t>2fd31d33722311d8e0155bb5eca6b3a310ac938b</t>
        </is>
      </c>
      <c r="P50" s="18"/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PENDING_KICKOFF_OR_FINAL_SCORE</t>
        </is>
      </c>
      <c r="G51" s="18"/>
      <c r="H51" s="18"/>
      <c r="I51" s="21"/>
      <c r="J51" s="18"/>
      <c r="K51" s="18"/>
      <c r="L51" s="18"/>
      <c r="M51" s="18"/>
      <c r="N51" s="18" t="inlineStr">
        <is>
          <t>2026-W42</t>
        </is>
      </c>
      <c r="O51" s="18" t="inlineStr">
        <is>
          <t>2fd31d33722311d8e0155bb5eca6b3a310ac938b</t>
        </is>
      </c>
      <c r="P51" s="18"/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PENDING_KICKOFF_OR_FINAL_SCORE</t>
        </is>
      </c>
      <c r="G52" s="18"/>
      <c r="H52" s="18"/>
      <c r="I52" s="21"/>
      <c r="J52" s="18"/>
      <c r="K52" s="18"/>
      <c r="L52" s="18"/>
      <c r="M52" s="18"/>
      <c r="N52" s="18" t="inlineStr">
        <is>
          <t>2026-W42</t>
        </is>
      </c>
      <c r="O52" s="18" t="inlineStr">
        <is>
          <t>2fd31d33722311d8e0155bb5eca6b3a310ac938b</t>
        </is>
      </c>
      <c r="P52" s="18"/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PENDING_KICKOFF_OR_FINAL_SCORE</t>
        </is>
      </c>
      <c r="G53" s="18"/>
      <c r="H53" s="18"/>
      <c r="I53" s="21"/>
      <c r="J53" s="18"/>
      <c r="K53" s="18"/>
      <c r="L53" s="18"/>
      <c r="M53" s="18"/>
      <c r="N53" s="18" t="inlineStr">
        <is>
          <t>2026-W42</t>
        </is>
      </c>
      <c r="O53" s="18" t="inlineStr">
        <is>
          <t>2fd31d33722311d8e0155bb5eca6b3a310ac938b</t>
        </is>
      </c>
      <c r="P53" s="18"/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PENDING_KICKOFF_OR_FINAL_SCORE</t>
        </is>
      </c>
      <c r="G54" s="18"/>
      <c r="H54" s="18"/>
      <c r="I54" s="21"/>
      <c r="J54" s="18"/>
      <c r="K54" s="18"/>
      <c r="L54" s="18"/>
      <c r="M54" s="18"/>
      <c r="N54" s="18" t="inlineStr">
        <is>
          <t>2026-W42</t>
        </is>
      </c>
      <c r="O54" s="18" t="inlineStr">
        <is>
          <t>2fd31d33722311d8e0155bb5eca6b3a310ac938b</t>
        </is>
      </c>
      <c r="P54" s="18"/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PENDING_KICKOFF_OR_FINAL_SCORE</t>
        </is>
      </c>
      <c r="G55" s="18"/>
      <c r="H55" s="18"/>
      <c r="I55" s="21"/>
      <c r="J55" s="18"/>
      <c r="K55" s="18"/>
      <c r="L55" s="18"/>
      <c r="M55" s="18"/>
      <c r="N55" s="18" t="inlineStr">
        <is>
          <t>2026-W42</t>
        </is>
      </c>
      <c r="O55" s="18" t="inlineStr">
        <is>
          <t>2fd31d33722311d8e0155bb5eca6b3a310ac938b</t>
        </is>
      </c>
      <c r="P55" s="18"/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PENDING_KICKOFF_OR_FINAL_SCORE</t>
        </is>
      </c>
      <c r="G56" s="18"/>
      <c r="H56" s="18"/>
      <c r="I56" s="21"/>
      <c r="J56" s="18"/>
      <c r="K56" s="18"/>
      <c r="L56" s="18"/>
      <c r="M56" s="18"/>
      <c r="N56" s="18" t="inlineStr">
        <is>
          <t>2026-W42</t>
        </is>
      </c>
      <c r="O56" s="18" t="inlineStr">
        <is>
          <t>2fd31d33722311d8e0155bb5eca6b3a310ac938b</t>
        </is>
      </c>
      <c r="P56" s="18"/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PENDING_KICKOFF_OR_FINAL_SCORE</t>
        </is>
      </c>
      <c r="G57" s="18"/>
      <c r="H57" s="18"/>
      <c r="I57" s="21"/>
      <c r="J57" s="18"/>
      <c r="K57" s="18"/>
      <c r="L57" s="18"/>
      <c r="M57" s="18"/>
      <c r="N57" s="18" t="inlineStr">
        <is>
          <t>2026-W42</t>
        </is>
      </c>
      <c r="O57" s="18" t="inlineStr">
        <is>
          <t>2fd31d33722311d8e0155bb5eca6b3a310ac938b</t>
        </is>
      </c>
      <c r="P57" s="18"/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PENDING_KICKOFF_OR_FINAL_SCORE</t>
        </is>
      </c>
      <c r="G58" s="18"/>
      <c r="H58" s="18"/>
      <c r="I58" s="21"/>
      <c r="J58" s="18"/>
      <c r="K58" s="18"/>
      <c r="L58" s="18"/>
      <c r="M58" s="18"/>
      <c r="N58" s="18" t="inlineStr">
        <is>
          <t>2026-W42</t>
        </is>
      </c>
      <c r="O58" s="18" t="inlineStr">
        <is>
          <t>2fd31d33722311d8e0155bb5eca6b3a310ac938b</t>
        </is>
      </c>
      <c r="P58" s="18"/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PENDING_KICKOFF_OR_FINAL_SCORE</t>
        </is>
      </c>
      <c r="G59" s="18"/>
      <c r="H59" s="18"/>
      <c r="I59" s="21"/>
      <c r="J59" s="18"/>
      <c r="K59" s="18"/>
      <c r="L59" s="18"/>
      <c r="M59" s="18"/>
      <c r="N59" s="18" t="inlineStr">
        <is>
          <t>2026-W42</t>
        </is>
      </c>
      <c r="O59" s="18" t="inlineStr">
        <is>
          <t>2fd31d33722311d8e0155bb5eca6b3a310ac938b</t>
        </is>
      </c>
      <c r="P59" s="18"/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PENDING_KICKOFF_OR_FINAL_SCORE</t>
        </is>
      </c>
      <c r="G60" s="18"/>
      <c r="H60" s="18"/>
      <c r="I60" s="21"/>
      <c r="J60" s="18"/>
      <c r="K60" s="18"/>
      <c r="L60" s="18"/>
      <c r="M60" s="18"/>
      <c r="N60" s="18" t="inlineStr">
        <is>
          <t>2026-W42</t>
        </is>
      </c>
      <c r="O60" s="18" t="inlineStr">
        <is>
          <t>2fd31d33722311d8e0155bb5eca6b3a310ac938b</t>
        </is>
      </c>
      <c r="P60" s="18"/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PENDING_KICKOFF_OR_FINAL_SCORE</t>
        </is>
      </c>
      <c r="G61" s="18"/>
      <c r="H61" s="18"/>
      <c r="I61" s="21"/>
      <c r="J61" s="18"/>
      <c r="K61" s="18"/>
      <c r="L61" s="18"/>
      <c r="M61" s="18"/>
      <c r="N61" s="18" t="inlineStr">
        <is>
          <t>2026-W42</t>
        </is>
      </c>
      <c r="O61" s="18" t="inlineStr">
        <is>
          <t>2fd31d33722311d8e0155bb5eca6b3a310ac938b</t>
        </is>
      </c>
      <c r="P61" s="18"/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PENDING_KICKOFF_OR_FINAL_SCORE</t>
        </is>
      </c>
      <c r="G62" s="18"/>
      <c r="H62" s="18"/>
      <c r="I62" s="21"/>
      <c r="J62" s="18"/>
      <c r="K62" s="18"/>
      <c r="L62" s="18"/>
      <c r="M62" s="18"/>
      <c r="N62" s="18" t="inlineStr">
        <is>
          <t>2026-W42</t>
        </is>
      </c>
      <c r="O62" s="18" t="inlineStr">
        <is>
          <t>2fd31d33722311d8e0155bb5eca6b3a310ac938b</t>
        </is>
      </c>
      <c r="P62" s="18"/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PENDING_KICKOFF_OR_FINAL_SCORE</t>
        </is>
      </c>
      <c r="G63" s="18"/>
      <c r="H63" s="18"/>
      <c r="I63" s="21"/>
      <c r="J63" s="18"/>
      <c r="K63" s="18"/>
      <c r="L63" s="18"/>
      <c r="M63" s="18"/>
      <c r="N63" s="18" t="inlineStr">
        <is>
          <t>2026-W42</t>
        </is>
      </c>
      <c r="O63" s="18" t="inlineStr">
        <is>
          <t>2fd31d33722311d8e0155bb5eca6b3a310ac938b</t>
        </is>
      </c>
      <c r="P63" s="18"/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PENDING_KICKOFF_OR_FINAL_SCORE</t>
        </is>
      </c>
      <c r="G64" s="18"/>
      <c r="H64" s="18"/>
      <c r="I64" s="21"/>
      <c r="J64" s="18"/>
      <c r="K64" s="18"/>
      <c r="L64" s="18"/>
      <c r="M64" s="18"/>
      <c r="N64" s="18" t="inlineStr">
        <is>
          <t>2026-W42</t>
        </is>
      </c>
      <c r="O64" s="18" t="inlineStr">
        <is>
          <t>2fd31d33722311d8e0155bb5eca6b3a310ac938b</t>
        </is>
      </c>
      <c r="P64" s="18"/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PENDING_KICKOFF_OR_FINAL_SCORE</t>
        </is>
      </c>
      <c r="G65" s="18"/>
      <c r="H65" s="18"/>
      <c r="I65" s="21"/>
      <c r="J65" s="18"/>
      <c r="K65" s="18"/>
      <c r="L65" s="18"/>
      <c r="M65" s="18"/>
      <c r="N65" s="18" t="inlineStr">
        <is>
          <t>2026-W42</t>
        </is>
      </c>
      <c r="O65" s="18" t="inlineStr">
        <is>
          <t>2fd31d33722311d8e0155bb5eca6b3a310ac938b</t>
        </is>
      </c>
      <c r="P65" s="18"/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PENDING_KICKOFF_OR_FINAL_SCORE</t>
        </is>
      </c>
      <c r="G66" s="18"/>
      <c r="H66" s="18"/>
      <c r="I66" s="21"/>
      <c r="J66" s="18"/>
      <c r="K66" s="18"/>
      <c r="L66" s="18"/>
      <c r="M66" s="18"/>
      <c r="N66" s="18" t="inlineStr">
        <is>
          <t>2026-W42</t>
        </is>
      </c>
      <c r="O66" s="18" t="inlineStr">
        <is>
          <t>2fd31d33722311d8e0155bb5eca6b3a310ac938b</t>
        </is>
      </c>
      <c r="P66" s="18"/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PENDING_KICKOFF_OR_FINAL_SCORE</t>
        </is>
      </c>
      <c r="G67" s="18"/>
      <c r="H67" s="18"/>
      <c r="I67" s="21"/>
      <c r="J67" s="18"/>
      <c r="K67" s="18"/>
      <c r="L67" s="18"/>
      <c r="M67" s="18"/>
      <c r="N67" s="18" t="inlineStr">
        <is>
          <t>2026-W42</t>
        </is>
      </c>
      <c r="O67" s="18" t="inlineStr">
        <is>
          <t>2fd31d33722311d8e0155bb5eca6b3a310ac938b</t>
        </is>
      </c>
      <c r="P67" s="18"/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PENDING_KICKOFF_OR_FINAL_SCORE</t>
        </is>
      </c>
      <c r="G68" s="18"/>
      <c r="H68" s="18"/>
      <c r="I68" s="21"/>
      <c r="J68" s="18"/>
      <c r="K68" s="18"/>
      <c r="L68" s="18"/>
      <c r="M68" s="18"/>
      <c r="N68" s="18" t="inlineStr">
        <is>
          <t>2026-W42</t>
        </is>
      </c>
      <c r="O68" s="18" t="inlineStr">
        <is>
          <t>2fd31d33722311d8e0155bb5eca6b3a310ac938b</t>
        </is>
      </c>
      <c r="P68" s="18"/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PENDING_KICKOFF_OR_FINAL_SCORE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PENDING_KICKOFF_OR_FINAL_SCORE</t>
        </is>
      </c>
      <c r="G70" s="18"/>
      <c r="H70" s="18"/>
      <c r="I70" s="21"/>
      <c r="J70" s="18"/>
      <c r="K70" s="18"/>
      <c r="L70" s="18"/>
      <c r="M70" s="18"/>
      <c r="N70" s="18" t="inlineStr">
        <is>
          <t>2026-W42</t>
        </is>
      </c>
      <c r="O70" s="18" t="inlineStr">
        <is>
          <t>2fd31d33722311d8e0155bb5eca6b3a310ac938b</t>
        </is>
      </c>
      <c r="P70" s="18"/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PENDING_KICKOFF_OR_FINAL_SCORE</t>
        </is>
      </c>
      <c r="G71" s="18"/>
      <c r="H71" s="18"/>
      <c r="I71" s="21"/>
      <c r="J71" s="18"/>
      <c r="K71" s="18"/>
      <c r="L71" s="18"/>
      <c r="M71" s="18"/>
      <c r="N71" s="18" t="inlineStr">
        <is>
          <t>2026-W42</t>
        </is>
      </c>
      <c r="O71" s="18" t="inlineStr">
        <is>
          <t>2fd31d33722311d8e0155bb5eca6b3a310ac938b</t>
        </is>
      </c>
      <c r="P71" s="18"/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PENDING_KICKOFF_OR_FINAL_SCORE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PENDING_KICKOFF_OR_FINAL_SCORE</t>
        </is>
      </c>
      <c r="G73" s="18"/>
      <c r="H73" s="18"/>
      <c r="I73" s="21"/>
      <c r="J73" s="18"/>
      <c r="K73" s="18"/>
      <c r="L73" s="18"/>
      <c r="M73" s="18"/>
      <c r="N73" s="18" t="inlineStr">
        <is>
          <t>2026-W42</t>
        </is>
      </c>
      <c r="O73" s="18" t="inlineStr">
        <is>
          <t>2fd31d33722311d8e0155bb5eca6b3a310ac938b</t>
        </is>
      </c>
      <c r="P73" s="18"/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PENDING_KICKOFF_OR_FINAL_SCORE</t>
        </is>
      </c>
      <c r="G74" s="18"/>
      <c r="H74" s="18"/>
      <c r="I74" s="21"/>
      <c r="J74" s="18"/>
      <c r="K74" s="18"/>
      <c r="L74" s="18"/>
      <c r="M74" s="18"/>
      <c r="N74" s="18" t="inlineStr">
        <is>
          <t>2026-W42</t>
        </is>
      </c>
      <c r="O74" s="18" t="inlineStr">
        <is>
          <t>2fd31d33722311d8e0155bb5eca6b3a310ac938b</t>
        </is>
      </c>
      <c r="P74" s="18"/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PENDING_KICKOFF_OR_FINAL_SCORE</t>
        </is>
      </c>
      <c r="G75" s="18"/>
      <c r="H75" s="18"/>
      <c r="I75" s="21"/>
      <c r="J75" s="18"/>
      <c r="K75" s="18"/>
      <c r="L75" s="18"/>
      <c r="M75" s="18"/>
      <c r="N75" s="18" t="inlineStr">
        <is>
          <t>2026-W42</t>
        </is>
      </c>
      <c r="O75" s="18" t="inlineStr">
        <is>
          <t>2fd31d33722311d8e0155bb5eca6b3a310ac938b</t>
        </is>
      </c>
      <c r="P75" s="18"/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PENDING_KICKOFF_OR_FINAL_SCORE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PENDING_KICKOFF_OR_FINAL_SCORE</t>
        </is>
      </c>
      <c r="G77" s="18"/>
      <c r="H77" s="18"/>
      <c r="I77" s="21"/>
      <c r="J77" s="18"/>
      <c r="K77" s="18"/>
      <c r="L77" s="18"/>
      <c r="M77" s="18"/>
      <c r="N77" s="18" t="inlineStr">
        <is>
          <t>2026-W42</t>
        </is>
      </c>
      <c r="O77" s="18" t="inlineStr">
        <is>
          <t>2fd31d33722311d8e0155bb5eca6b3a310ac938b</t>
        </is>
      </c>
      <c r="P77" s="18"/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PENDING_KICKOFF_OR_FINAL_SCORE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36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3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25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4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3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26 more observations; 25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3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0.75</v>
      </c>
      <c r="H10" s="18" t="inlineStr">
        <is>
          <t>Approval review</t>
        </is>
      </c>
      <c r="I10" s="18" t="inlineStr">
        <is>
          <t>297 more paired fixtures; 5 more ISO weeks; Coverage below 80%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0.25</v>
      </c>
      <c r="H11" s="18" t="inlineStr">
        <is>
          <t>Approval review</t>
        </is>
      </c>
      <c r="I11" s="18" t="inlineStr">
        <is>
          <t>299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3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0.75</v>
      </c>
      <c r="H12" s="18" t="inlineStr">
        <is>
          <t>Approval review</t>
        </is>
      </c>
      <c r="I12" s="18" t="inlineStr">
        <is>
          <t>297 more paired fixtures; 5 more ISO weeks; Coverage below 80%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0.75</v>
      </c>
      <c r="H13" s="18" t="inlineStr">
        <is>
          <t>Approval review</t>
        </is>
      </c>
      <c r="I13" s="18" t="inlineStr">
        <is>
          <t>297 more paired fixtures; 5 more ISO weeks; Coverage below 80%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4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0.08333333333333333</v>
      </c>
      <c r="H14" s="18" t="inlineStr">
        <is>
          <t>Approval review</t>
        </is>
      </c>
      <c r="I14" s="18" t="inlineStr">
        <is>
          <t>296 more paired fixtures; 5 more ISO weeks; Coverage below 80%</t>
        </is>
      </c>
      <c r="J14" s="18" t="inlineStr">
        <is>
          <t>Initial review only</t>
        </is>
      </c>
    </row>
    <row r="16">
      <c r="A16" s="27" t="inlineStr">
        <is>
          <t>The original four sidecars count observations, not necessarily independent fixtures. Do not add their sample counts together.</t>
        </is>
      </c>
    </row>
    <row r="17">
      <c r="A17" s="27" t="inlineStr">
        <is>
          <t>Coverage and time gates must also pass. Reaching a sample count alone does not make a candidate ready.</t>
        </is>
      </c>
    </row>
    <row r="19">
      <c r="A19" s="31" t="inlineStr">
        <is>
          <t>Back to dashboard</t>
        </is>
      </c>
    </row>
    <row r="22">
      <c r="A22" s="26" t="inlineStr">
        <is>
          <t>Probability and calibration policies — fixed comparisons</t>
        </is>
      </c>
    </row>
    <row r="23" ht="44">
      <c r="A23" s="27" t="inlineStr">
        <is>
          <t>STRICT is primary. ROI is simulated; different selected cohorts are not paired forecast tests. See the detailed report before drawing conclusions.</t>
        </is>
      </c>
    </row>
    <row r="24" ht="34" customHeight="1">
      <c r="A24" s="24" t="inlineStr">
        <is>
          <t>Variant</t>
        </is>
      </c>
      <c r="B24" s="24" t="inlineStr">
        <is>
          <t>Tier</t>
        </is>
      </c>
      <c r="C24" s="24" t="inlineStr">
        <is>
          <t>Selected</t>
        </is>
      </c>
      <c r="D24" s="24" t="inlineStr">
        <is>
          <t>Settled</t>
        </is>
      </c>
      <c r="E24" s="24" t="inlineStr">
        <is>
          <t>Net ROI</t>
        </is>
      </c>
      <c r="F24" s="24" t="inlineStr">
        <is>
          <t>Brier</t>
        </is>
      </c>
      <c r="G24" s="24" t="inlineStr">
        <is>
          <t>Log loss</t>
        </is>
      </c>
      <c r="H24" s="24" t="inlineStr">
        <is>
          <t>Calibration gap</t>
        </is>
      </c>
      <c r="I24" s="24" t="inlineStr">
        <is>
          <t>Drawdown (units)</t>
        </is>
      </c>
      <c r="J24" s="24" t="inlineStr">
        <is>
          <t>Strict profit delta / fixture 95% interval</t>
        </is>
      </c>
    </row>
    <row r="25" ht="30" customHeight="1">
      <c r="A25" s="18" t="inlineStr">
        <is>
          <t>control</t>
        </is>
      </c>
      <c r="B25" s="18" t="inlineStr">
        <is>
          <t>STRICT</t>
        </is>
      </c>
      <c r="C25" s="19">
        <v>2</v>
      </c>
      <c r="D25" s="19">
        <v>0</v>
      </c>
      <c r="E25" s="20" t="inlineStr">
        <is>
          <t>Unavailable</t>
        </is>
      </c>
      <c r="F25" s="18" t="inlineStr">
        <is>
          <t>Unavailable</t>
        </is>
      </c>
      <c r="G25" s="18" t="inlineStr">
        <is>
          <t>Unavailable</t>
        </is>
      </c>
      <c r="H25" s="20" t="inlineStr">
        <is>
          <t>Unavailable</t>
        </is>
      </c>
      <c r="I25" s="18" t="inlineStr">
        <is>
          <t>Unavailable</t>
        </is>
      </c>
      <c r="J25" s="18" t="inlineStr">
        <is>
          <t>Collect more data</t>
        </is>
      </c>
    </row>
    <row r="26" ht="30" customHeight="1">
      <c r="A26" s="18" t="inlineStr">
        <is>
          <t>control</t>
        </is>
      </c>
      <c r="B26" s="18" t="inlineStr">
        <is>
          <t>PROVISIONAL</t>
        </is>
      </c>
      <c r="C26" s="19">
        <v>1</v>
      </c>
      <c r="D26" s="19">
        <v>0</v>
      </c>
      <c r="E26" s="20" t="inlineStr">
        <is>
          <t>Unavailable</t>
        </is>
      </c>
      <c r="F26" s="18" t="inlineStr">
        <is>
          <t>Unavailable</t>
        </is>
      </c>
      <c r="G26" s="18" t="inlineStr">
        <is>
          <t>Unavailable</t>
        </is>
      </c>
      <c r="H26" s="20" t="inlineStr">
        <is>
          <t>Unavailable</t>
        </is>
      </c>
      <c r="I26" s="18" t="inlineStr">
        <is>
          <t>Unavailable</t>
        </is>
      </c>
      <c r="J26" s="18" t="inlineStr">
        <is>
          <t>Not applicable</t>
        </is>
      </c>
    </row>
    <row r="27" ht="30" customHeight="1">
      <c r="A27" s="18" t="inlineStr">
        <is>
          <t>control</t>
        </is>
      </c>
      <c r="B27" s="18" t="inlineStr">
        <is>
          <t>ALL</t>
        </is>
      </c>
      <c r="C27" s="19">
        <v>3</v>
      </c>
      <c r="D27" s="19">
        <v>0</v>
      </c>
      <c r="E27" s="20" t="inlineStr">
        <is>
          <t>Unavailable</t>
        </is>
      </c>
      <c r="F27" s="18" t="inlineStr">
        <is>
          <t>Unavailable</t>
        </is>
      </c>
      <c r="G27" s="18" t="inlineStr">
        <is>
          <t>Unavailable</t>
        </is>
      </c>
      <c r="H27" s="20" t="inlineStr">
        <is>
          <t>Unavailable</t>
        </is>
      </c>
      <c r="I27" s="18" t="inlineStr">
        <is>
          <t>Unavailable</t>
        </is>
      </c>
      <c r="J27" s="18" t="inlineStr">
        <is>
          <t>Not applicable</t>
        </is>
      </c>
    </row>
    <row r="28" ht="30" customHeight="1">
      <c r="A28" s="18" t="inlineStr">
        <is>
          <t>blended_lower</t>
        </is>
      </c>
      <c r="B28" s="18" t="inlineStr">
        <is>
          <t>STRICT</t>
        </is>
      </c>
      <c r="C28" s="19">
        <v>4</v>
      </c>
      <c r="D28" s="19">
        <v>0</v>
      </c>
      <c r="E28" s="20" t="inlineStr">
        <is>
          <t>Unavailable</t>
        </is>
      </c>
      <c r="F28" s="18" t="inlineStr">
        <is>
          <t>Unavailable</t>
        </is>
      </c>
      <c r="G28" s="18" t="inlineStr">
        <is>
          <t>Unavailable</t>
        </is>
      </c>
      <c r="H28" s="20" t="inlineStr">
        <is>
          <t>Unavailable</t>
        </is>
      </c>
      <c r="I28" s="18" t="inlineStr">
        <is>
          <t>Unavailable</t>
        </is>
      </c>
      <c r="J28" s="18" t="inlineStr">
        <is>
          <t>Collect more data</t>
        </is>
      </c>
    </row>
    <row r="29" ht="30" customHeight="1">
      <c r="A29" s="18" t="inlineStr">
        <is>
          <t>blended_lower</t>
        </is>
      </c>
      <c r="B29" s="18" t="inlineStr">
        <is>
          <t>PROVISIONAL</t>
        </is>
      </c>
      <c r="C29" s="19">
        <v>1</v>
      </c>
      <c r="D29" s="19">
        <v>0</v>
      </c>
      <c r="E29" s="20" t="inlineStr">
        <is>
          <t>Unavailable</t>
        </is>
      </c>
      <c r="F29" s="18" t="inlineStr">
        <is>
          <t>Unavailable</t>
        </is>
      </c>
      <c r="G29" s="18" t="inlineStr">
        <is>
          <t>Unavailable</t>
        </is>
      </c>
      <c r="H29" s="20" t="inlineStr">
        <is>
          <t>Unavailable</t>
        </is>
      </c>
      <c r="I29" s="18" t="inlineStr">
        <is>
          <t>Unavailable</t>
        </is>
      </c>
      <c r="J29" s="18" t="inlineStr">
        <is>
          <t>Not applicable</t>
        </is>
      </c>
    </row>
    <row r="30" ht="30" customHeight="1">
      <c r="A30" s="18" t="inlineStr">
        <is>
          <t>blended_lower</t>
        </is>
      </c>
      <c r="B30" s="18" t="inlineStr">
        <is>
          <t>ALL</t>
        </is>
      </c>
      <c r="C30" s="19">
        <v>5</v>
      </c>
      <c r="D30" s="19">
        <v>0</v>
      </c>
      <c r="E30" s="20" t="inlineStr">
        <is>
          <t>Unavailable</t>
        </is>
      </c>
      <c r="F30" s="18" t="inlineStr">
        <is>
          <t>Unavailable</t>
        </is>
      </c>
      <c r="G30" s="18" t="inlineStr">
        <is>
          <t>Unavailable</t>
        </is>
      </c>
      <c r="H30" s="20" t="inlineStr">
        <is>
          <t>Unavailable</t>
        </is>
      </c>
      <c r="I30" s="18" t="inlineStr">
        <is>
          <t>Unavailable</t>
        </is>
      </c>
      <c r="J30" s="18" t="inlineStr">
        <is>
          <t>Not applicable</t>
        </is>
      </c>
    </row>
    <row r="31" ht="30" customHeight="1">
      <c r="A31" s="18" t="inlineStr">
        <is>
          <t>blended_higher</t>
        </is>
      </c>
      <c r="B31" s="18" t="inlineStr">
        <is>
          <t>STRICT</t>
        </is>
      </c>
      <c r="C31" s="19">
        <v>0</v>
      </c>
      <c r="D31" s="19">
        <v>0</v>
      </c>
      <c r="E31" s="20" t="inlineStr">
        <is>
          <t>Unavailable</t>
        </is>
      </c>
      <c r="F31" s="18" t="inlineStr">
        <is>
          <t>Unavailable</t>
        </is>
      </c>
      <c r="G31" s="18" t="inlineStr">
        <is>
          <t>Unavailable</t>
        </is>
      </c>
      <c r="H31" s="20" t="inlineStr">
        <is>
          <t>Unavailable</t>
        </is>
      </c>
      <c r="I31" s="18" t="inlineStr">
        <is>
          <t>Unavailable</t>
        </is>
      </c>
      <c r="J31" s="18" t="inlineStr">
        <is>
          <t>Collect more data</t>
        </is>
      </c>
    </row>
    <row r="32" ht="30" customHeight="1">
      <c r="A32" s="18" t="inlineStr">
        <is>
          <t>blended_higher</t>
        </is>
      </c>
      <c r="B32" s="18" t="inlineStr">
        <is>
          <t>PROVISIONAL</t>
        </is>
      </c>
      <c r="C32" s="19">
        <v>1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Not applicable</t>
        </is>
      </c>
    </row>
    <row r="33" ht="30" customHeight="1">
      <c r="A33" s="18" t="inlineStr">
        <is>
          <t>blended_higher</t>
        </is>
      </c>
      <c r="B33" s="18" t="inlineStr">
        <is>
          <t>ALL</t>
        </is>
      </c>
      <c r="C33" s="19">
        <v>1</v>
      </c>
      <c r="D33" s="19">
        <v>0</v>
      </c>
      <c r="E33" s="20" t="inlineStr">
        <is>
          <t>Unavailable</t>
        </is>
      </c>
      <c r="F33" s="18" t="inlineStr">
        <is>
          <t>Unavailable</t>
        </is>
      </c>
      <c r="G33" s="18" t="inlineStr">
        <is>
          <t>Unavailable</t>
        </is>
      </c>
      <c r="H33" s="20" t="inlineStr">
        <is>
          <t>Unavailable</t>
        </is>
      </c>
      <c r="I33" s="18" t="inlineStr">
        <is>
          <t>Unavailable</t>
        </is>
      </c>
      <c r="J33" s="18" t="inlineStr">
        <is>
          <t>Not applicable</t>
        </is>
      </c>
    </row>
    <row r="34" ht="30" customHeight="1">
      <c r="A34" s="18" t="inlineStr">
        <is>
          <t>raw_lower</t>
        </is>
      </c>
      <c r="B34" s="18" t="inlineStr">
        <is>
          <t>STRICT</t>
        </is>
      </c>
      <c r="C34" s="19">
        <v>2</v>
      </c>
      <c r="D34" s="19">
        <v>0</v>
      </c>
      <c r="E34" s="20" t="inlineStr">
        <is>
          <t>Unavailable</t>
        </is>
      </c>
      <c r="F34" s="18" t="inlineStr">
        <is>
          <t>Unavailable</t>
        </is>
      </c>
      <c r="G34" s="18" t="inlineStr">
        <is>
          <t>Unavailable</t>
        </is>
      </c>
      <c r="H34" s="20" t="inlineStr">
        <is>
          <t>Unavailable</t>
        </is>
      </c>
      <c r="I34" s="18" t="inlineStr">
        <is>
          <t>Unavailable</t>
        </is>
      </c>
      <c r="J34" s="18" t="inlineStr">
        <is>
          <t>Collect more data</t>
        </is>
      </c>
    </row>
    <row r="35" ht="30" customHeight="1">
      <c r="A35" s="18" t="inlineStr">
        <is>
          <t>raw_lower</t>
        </is>
      </c>
      <c r="B35" s="18" t="inlineStr">
        <is>
          <t>PROVISIONAL</t>
        </is>
      </c>
      <c r="C35" s="19">
        <v>1</v>
      </c>
      <c r="D35" s="19">
        <v>0</v>
      </c>
      <c r="E35" s="20" t="inlineStr">
        <is>
          <t>Unavailable</t>
        </is>
      </c>
      <c r="F35" s="18" t="inlineStr">
        <is>
          <t>Unavailable</t>
        </is>
      </c>
      <c r="G35" s="18" t="inlineStr">
        <is>
          <t>Unavailable</t>
        </is>
      </c>
      <c r="H35" s="20" t="inlineStr">
        <is>
          <t>Unavailable</t>
        </is>
      </c>
      <c r="I35" s="18" t="inlineStr">
        <is>
          <t>Unavailable</t>
        </is>
      </c>
      <c r="J35" s="18" t="inlineStr">
        <is>
          <t>Not applicable</t>
        </is>
      </c>
    </row>
    <row r="36" ht="30" customHeight="1">
      <c r="A36" s="18" t="inlineStr">
        <is>
          <t>raw_lower</t>
        </is>
      </c>
      <c r="B36" s="18" t="inlineStr">
        <is>
          <t>ALL</t>
        </is>
      </c>
      <c r="C36" s="19">
        <v>3</v>
      </c>
      <c r="D36" s="19">
        <v>0</v>
      </c>
      <c r="E36" s="20" t="inlineStr">
        <is>
          <t>Unavailable</t>
        </is>
      </c>
      <c r="F36" s="18" t="inlineStr">
        <is>
          <t>Unavailable</t>
        </is>
      </c>
      <c r="G36" s="18" t="inlineStr">
        <is>
          <t>Unavailable</t>
        </is>
      </c>
      <c r="H36" s="20" t="inlineStr">
        <is>
          <t>Unavailable</t>
        </is>
      </c>
      <c r="I36" s="18" t="inlineStr">
        <is>
          <t>Unavailable</t>
        </is>
      </c>
      <c r="J36" s="18" t="inlineStr">
        <is>
          <t>Not applicable</t>
        </is>
      </c>
    </row>
    <row r="37" ht="30" customHeight="1">
      <c r="A37" s="18" t="inlineStr">
        <is>
          <t>raw_higher</t>
        </is>
      </c>
      <c r="B37" s="18" t="inlineStr">
        <is>
          <t>STRICT</t>
        </is>
      </c>
      <c r="C37" s="19">
        <v>2</v>
      </c>
      <c r="D37" s="19">
        <v>0</v>
      </c>
      <c r="E37" s="20" t="inlineStr">
        <is>
          <t>Unavailable</t>
        </is>
      </c>
      <c r="F37" s="18" t="inlineStr">
        <is>
          <t>Unavailable</t>
        </is>
      </c>
      <c r="G37" s="18" t="inlineStr">
        <is>
          <t>Unavailable</t>
        </is>
      </c>
      <c r="H37" s="20" t="inlineStr">
        <is>
          <t>Unavailable</t>
        </is>
      </c>
      <c r="I37" s="18" t="inlineStr">
        <is>
          <t>Unavailable</t>
        </is>
      </c>
      <c r="J37" s="18" t="inlineStr">
        <is>
          <t>Collect more data</t>
        </is>
      </c>
    </row>
    <row r="38" ht="30" customHeight="1">
      <c r="A38" s="18" t="inlineStr">
        <is>
          <t>raw_higher</t>
        </is>
      </c>
      <c r="B38" s="18" t="inlineStr">
        <is>
          <t>PROVISIONAL</t>
        </is>
      </c>
      <c r="C38" s="19">
        <v>1</v>
      </c>
      <c r="D38" s="19">
        <v>0</v>
      </c>
      <c r="E38" s="20" t="inlineStr">
        <is>
          <t>Unavailable</t>
        </is>
      </c>
      <c r="F38" s="18" t="inlineStr">
        <is>
          <t>Unavailable</t>
        </is>
      </c>
      <c r="G38" s="18" t="inlineStr">
        <is>
          <t>Unavailable</t>
        </is>
      </c>
      <c r="H38" s="20" t="inlineStr">
        <is>
          <t>Unavailable</t>
        </is>
      </c>
      <c r="I38" s="18" t="inlineStr">
        <is>
          <t>Unavailable</t>
        </is>
      </c>
      <c r="J38" s="18" t="inlineStr">
        <is>
          <t>Not applicable</t>
        </is>
      </c>
    </row>
    <row r="39" ht="30" customHeight="1">
      <c r="A39" s="18" t="inlineStr">
        <is>
          <t>raw_higher</t>
        </is>
      </c>
      <c r="B39" s="18" t="inlineStr">
        <is>
          <t>ALL</t>
        </is>
      </c>
      <c r="C39" s="19">
        <v>3</v>
      </c>
      <c r="D39" s="19">
        <v>0</v>
      </c>
      <c r="E39" s="20" t="inlineStr">
        <is>
          <t>Unavailable</t>
        </is>
      </c>
      <c r="F39" s="18" t="inlineStr">
        <is>
          <t>Unavailable</t>
        </is>
      </c>
      <c r="G39" s="18" t="inlineStr">
        <is>
          <t>Unavailable</t>
        </is>
      </c>
      <c r="H39" s="20" t="inlineStr">
        <is>
          <t>Unavailable</t>
        </is>
      </c>
      <c r="I39" s="18" t="inlineStr">
        <is>
          <t>Unavailable</t>
        </is>
      </c>
      <c r="J39" s="18" t="inlineStr">
        <is>
          <t>Not applicable</t>
        </is>
      </c>
    </row>
    <row r="40" ht="30" customHeight="1">
      <c r="A40" s="18" t="inlineStr">
        <is>
          <t>adjusted_lower</t>
        </is>
      </c>
      <c r="B40" s="18" t="inlineStr">
        <is>
          <t>STRICT</t>
        </is>
      </c>
      <c r="C40" s="19">
        <v>2</v>
      </c>
      <c r="D40" s="19">
        <v>0</v>
      </c>
      <c r="E40" s="20" t="inlineStr">
        <is>
          <t>Unavailable</t>
        </is>
      </c>
      <c r="F40" s="18" t="inlineStr">
        <is>
          <t>Unavailable</t>
        </is>
      </c>
      <c r="G40" s="18" t="inlineStr">
        <is>
          <t>Unavailable</t>
        </is>
      </c>
      <c r="H40" s="20" t="inlineStr">
        <is>
          <t>Unavailable</t>
        </is>
      </c>
      <c r="I40" s="18" t="inlineStr">
        <is>
          <t>Unavailable</t>
        </is>
      </c>
      <c r="J40" s="18" t="inlineStr">
        <is>
          <t>Collect more data</t>
        </is>
      </c>
    </row>
    <row r="41" ht="30" customHeight="1">
      <c r="A41" s="18" t="inlineStr">
        <is>
          <t>adjusted_lower</t>
        </is>
      </c>
      <c r="B41" s="18" t="inlineStr">
        <is>
          <t>PROVISIONAL</t>
        </is>
      </c>
      <c r="C41" s="19">
        <v>1</v>
      </c>
      <c r="D41" s="19">
        <v>0</v>
      </c>
      <c r="E41" s="20" t="inlineStr">
        <is>
          <t>Unavailable</t>
        </is>
      </c>
      <c r="F41" s="18" t="inlineStr">
        <is>
          <t>Unavailable</t>
        </is>
      </c>
      <c r="G41" s="18" t="inlineStr">
        <is>
          <t>Unavailable</t>
        </is>
      </c>
      <c r="H41" s="20" t="inlineStr">
        <is>
          <t>Unavailable</t>
        </is>
      </c>
      <c r="I41" s="18" t="inlineStr">
        <is>
          <t>Unavailable</t>
        </is>
      </c>
      <c r="J41" s="18" t="inlineStr">
        <is>
          <t>Not applicable</t>
        </is>
      </c>
    </row>
    <row r="42" ht="30" customHeight="1">
      <c r="A42" s="18" t="inlineStr">
        <is>
          <t>adjusted_lower</t>
        </is>
      </c>
      <c r="B42" s="18" t="inlineStr">
        <is>
          <t>ALL</t>
        </is>
      </c>
      <c r="C42" s="19">
        <v>3</v>
      </c>
      <c r="D42" s="19">
        <v>0</v>
      </c>
      <c r="E42" s="20" t="inlineStr">
        <is>
          <t>Unavailable</t>
        </is>
      </c>
      <c r="F42" s="18" t="inlineStr">
        <is>
          <t>Unavailable</t>
        </is>
      </c>
      <c r="G42" s="18" t="inlineStr">
        <is>
          <t>Unavailable</t>
        </is>
      </c>
      <c r="H42" s="20" t="inlineStr">
        <is>
          <t>Unavailable</t>
        </is>
      </c>
      <c r="I42" s="18" t="inlineStr">
        <is>
          <t>Unavailable</t>
        </is>
      </c>
      <c r="J42" s="18" t="inlineStr">
        <is>
          <t>Not applicable</t>
        </is>
      </c>
    </row>
    <row r="43" ht="30" customHeight="1">
      <c r="A43" s="18" t="inlineStr">
        <is>
          <t>adjusted_higher</t>
        </is>
      </c>
      <c r="B43" s="18" t="inlineStr">
        <is>
          <t>STRICT</t>
        </is>
      </c>
      <c r="C43" s="19">
        <v>2</v>
      </c>
      <c r="D43" s="19">
        <v>0</v>
      </c>
      <c r="E43" s="20" t="inlineStr">
        <is>
          <t>Unavailable</t>
        </is>
      </c>
      <c r="F43" s="18" t="inlineStr">
        <is>
          <t>Unavailable</t>
        </is>
      </c>
      <c r="G43" s="18" t="inlineStr">
        <is>
          <t>Unavailable</t>
        </is>
      </c>
      <c r="H43" s="20" t="inlineStr">
        <is>
          <t>Unavailable</t>
        </is>
      </c>
      <c r="I43" s="18" t="inlineStr">
        <is>
          <t>Unavailable</t>
        </is>
      </c>
      <c r="J43" s="18" t="inlineStr">
        <is>
          <t>Collect more data</t>
        </is>
      </c>
    </row>
    <row r="44" ht="30" customHeight="1">
      <c r="A44" s="18" t="inlineStr">
        <is>
          <t>adjusted_higher</t>
        </is>
      </c>
      <c r="B44" s="18" t="inlineStr">
        <is>
          <t>PROVISIONAL</t>
        </is>
      </c>
      <c r="C44" s="19">
        <v>1</v>
      </c>
      <c r="D44" s="19">
        <v>0</v>
      </c>
      <c r="E44" s="20" t="inlineStr">
        <is>
          <t>Unavailable</t>
        </is>
      </c>
      <c r="F44" s="18" t="inlineStr">
        <is>
          <t>Unavailable</t>
        </is>
      </c>
      <c r="G44" s="18" t="inlineStr">
        <is>
          <t>Unavailable</t>
        </is>
      </c>
      <c r="H44" s="20" t="inlineStr">
        <is>
          <t>Unavailable</t>
        </is>
      </c>
      <c r="I44" s="18" t="inlineStr">
        <is>
          <t>Unavailable</t>
        </is>
      </c>
      <c r="J44" s="18" t="inlineStr">
        <is>
          <t>Not applicable</t>
        </is>
      </c>
    </row>
    <row r="45" ht="30" customHeight="1">
      <c r="A45" s="18" t="inlineStr">
        <is>
          <t>adjusted_higher</t>
        </is>
      </c>
      <c r="B45" s="18" t="inlineStr">
        <is>
          <t>ALL</t>
        </is>
      </c>
      <c r="C45" s="19">
        <v>3</v>
      </c>
      <c r="D45" s="19">
        <v>0</v>
      </c>
      <c r="E45" s="20" t="inlineStr">
        <is>
          <t>Unavailable</t>
        </is>
      </c>
      <c r="F45" s="18" t="inlineStr">
        <is>
          <t>Unavailable</t>
        </is>
      </c>
      <c r="G45" s="18" t="inlineStr">
        <is>
          <t>Unavailable</t>
        </is>
      </c>
      <c r="H45" s="20" t="inlineStr">
        <is>
          <t>Unavailable</t>
        </is>
      </c>
      <c r="I45" s="18" t="inlineStr">
        <is>
          <t>Unavailable</t>
        </is>
      </c>
      <c r="J45" s="18" t="inlineStr">
        <is>
          <t>Not applicable</t>
        </is>
      </c>
    </row>
    <row r="46" ht="30" customHeight="1">
      <c r="A46" s="18" t="inlineStr">
        <is>
          <t>penalty_half</t>
        </is>
      </c>
      <c r="B46" s="18" t="inlineStr">
        <is>
          <t>STRICT</t>
        </is>
      </c>
      <c r="C46" s="19">
        <v>2</v>
      </c>
      <c r="D46" s="19">
        <v>0</v>
      </c>
      <c r="E46" s="20" t="inlineStr">
        <is>
          <t>Unavailable</t>
        </is>
      </c>
      <c r="F46" s="18" t="inlineStr">
        <is>
          <t>Unavailable</t>
        </is>
      </c>
      <c r="G46" s="18" t="inlineStr">
        <is>
          <t>Unavailable</t>
        </is>
      </c>
      <c r="H46" s="20" t="inlineStr">
        <is>
          <t>Unavailable</t>
        </is>
      </c>
      <c r="I46" s="18" t="inlineStr">
        <is>
          <t>Unavailable</t>
        </is>
      </c>
      <c r="J46" s="18" t="inlineStr">
        <is>
          <t>Collect more data</t>
        </is>
      </c>
    </row>
    <row r="47" ht="30" customHeight="1">
      <c r="A47" s="18" t="inlineStr">
        <is>
          <t>penalty_half</t>
        </is>
      </c>
      <c r="B47" s="18" t="inlineStr">
        <is>
          <t>PROVISIONAL</t>
        </is>
      </c>
      <c r="C47" s="19">
        <v>1</v>
      </c>
      <c r="D47" s="19">
        <v>0</v>
      </c>
      <c r="E47" s="20" t="inlineStr">
        <is>
          <t>Unavailable</t>
        </is>
      </c>
      <c r="F47" s="18" t="inlineStr">
        <is>
          <t>Unavailable</t>
        </is>
      </c>
      <c r="G47" s="18" t="inlineStr">
        <is>
          <t>Unavailable</t>
        </is>
      </c>
      <c r="H47" s="20" t="inlineStr">
        <is>
          <t>Unavailable</t>
        </is>
      </c>
      <c r="I47" s="18" t="inlineStr">
        <is>
          <t>Unavailable</t>
        </is>
      </c>
      <c r="J47" s="18" t="inlineStr">
        <is>
          <t>Not applicable</t>
        </is>
      </c>
    </row>
    <row r="48" ht="30" customHeight="1">
      <c r="A48" s="18" t="inlineStr">
        <is>
          <t>penalty_half</t>
        </is>
      </c>
      <c r="B48" s="18" t="inlineStr">
        <is>
          <t>ALL</t>
        </is>
      </c>
      <c r="C48" s="19">
        <v>3</v>
      </c>
      <c r="D48" s="19">
        <v>0</v>
      </c>
      <c r="E48" s="20" t="inlineStr">
        <is>
          <t>Unavailable</t>
        </is>
      </c>
      <c r="F48" s="18" t="inlineStr">
        <is>
          <t>Unavailable</t>
        </is>
      </c>
      <c r="G48" s="18" t="inlineStr">
        <is>
          <t>Unavailable</t>
        </is>
      </c>
      <c r="H48" s="20" t="inlineStr">
        <is>
          <t>Unavailable</t>
        </is>
      </c>
      <c r="I48" s="18" t="inlineStr">
        <is>
          <t>Unavailable</t>
        </is>
      </c>
      <c r="J48" s="18" t="inlineStr">
        <is>
          <t>Not applicable</t>
        </is>
      </c>
    </row>
    <row r="49" ht="30" customHeight="1">
      <c r="A49" s="18" t="inlineStr">
        <is>
          <t>penalty_stronger</t>
        </is>
      </c>
      <c r="B49" s="18" t="inlineStr">
        <is>
          <t>STRICT</t>
        </is>
      </c>
      <c r="C49" s="19">
        <v>2</v>
      </c>
      <c r="D49" s="19">
        <v>0</v>
      </c>
      <c r="E49" s="20" t="inlineStr">
        <is>
          <t>Unavailable</t>
        </is>
      </c>
      <c r="F49" s="18" t="inlineStr">
        <is>
          <t>Unavailable</t>
        </is>
      </c>
      <c r="G49" s="18" t="inlineStr">
        <is>
          <t>Unavailable</t>
        </is>
      </c>
      <c r="H49" s="20" t="inlineStr">
        <is>
          <t>Unavailable</t>
        </is>
      </c>
      <c r="I49" s="18" t="inlineStr">
        <is>
          <t>Unavailable</t>
        </is>
      </c>
      <c r="J49" s="18" t="inlineStr">
        <is>
          <t>Collect more data</t>
        </is>
      </c>
    </row>
    <row r="50" ht="30" customHeight="1">
      <c r="A50" s="18" t="inlineStr">
        <is>
          <t>penalty_stronger</t>
        </is>
      </c>
      <c r="B50" s="18" t="inlineStr">
        <is>
          <t>PROVISIONAL</t>
        </is>
      </c>
      <c r="C50" s="19">
        <v>1</v>
      </c>
      <c r="D50" s="19">
        <v>0</v>
      </c>
      <c r="E50" s="20" t="inlineStr">
        <is>
          <t>Unavailable</t>
        </is>
      </c>
      <c r="F50" s="18" t="inlineStr">
        <is>
          <t>Unavailable</t>
        </is>
      </c>
      <c r="G50" s="18" t="inlineStr">
        <is>
          <t>Unavailable</t>
        </is>
      </c>
      <c r="H50" s="20" t="inlineStr">
        <is>
          <t>Unavailable</t>
        </is>
      </c>
      <c r="I50" s="18" t="inlineStr">
        <is>
          <t>Unavailable</t>
        </is>
      </c>
      <c r="J50" s="18" t="inlineStr">
        <is>
          <t>Not applicable</t>
        </is>
      </c>
    </row>
    <row r="51" ht="30" customHeight="1">
      <c r="A51" s="18" t="inlineStr">
        <is>
          <t>penalty_stronger</t>
        </is>
      </c>
      <c r="B51" s="18" t="inlineStr">
        <is>
          <t>ALL</t>
        </is>
      </c>
      <c r="C51" s="19">
        <v>3</v>
      </c>
      <c r="D51" s="19">
        <v>0</v>
      </c>
      <c r="E51" s="20" t="inlineStr">
        <is>
          <t>Unavailable</t>
        </is>
      </c>
      <c r="F51" s="18" t="inlineStr">
        <is>
          <t>Unavailable</t>
        </is>
      </c>
      <c r="G51" s="18" t="inlineStr">
        <is>
          <t>Unavailable</t>
        </is>
      </c>
      <c r="H51" s="20" t="inlineStr">
        <is>
          <t>Unavailable</t>
        </is>
      </c>
      <c r="I51" s="18" t="inlineStr">
        <is>
          <t>Unavailable</t>
        </is>
      </c>
      <c r="J51" s="18" t="inlineStr">
        <is>
          <t>Not applicable</t>
        </is>
      </c>
    </row>
  </sheetData>
  <autoFilter ref="A5:J14"/>
  <mergeCells count="6">
    <mergeCell ref="A2:J2"/>
    <mergeCell ref="A4:J4"/>
    <mergeCell ref="A16:J16"/>
    <mergeCell ref="A17:J17"/>
    <mergeCell ref="A22:J22"/>
    <mergeCell ref="A23:J23"/>
  </mergeCells>
  <conditionalFormatting sqref="B6:B14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19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Breakdowns!B25</f>
        <v>2026-W41</v>
      </c>
      <c r="B6" s="19">
        <f>Breakdowns!D25</f>
        <v>4.0</v>
      </c>
      <c r="C6" s="19">
        <f>COUNTIFS(Selections!$P$6:$P$29,A6,Selections!$M$6:$M$29,"&gt;0")</f>
        <v>4.0</v>
      </c>
      <c r="D6" s="22">
        <f>IF(C6=0,"n.a.",Breakdowns!J25)</f>
        <v>-1.48</v>
      </c>
      <c r="E6" s="22">
        <f>IF(SUM($C$6:C6)=0,"n.a.",SUM($D$6:D6))</f>
        <v>-1.48</v>
      </c>
      <c r="F6" s="20">
        <f>Breakdowns!H25</f>
        <v>0.5</v>
      </c>
    </row>
    <row r="7" ht="26" customHeight="1">
      <c r="A7" s="18" t="str">
        <f>Breakdowns!B26</f>
        <v>2026-W42</v>
      </c>
      <c r="B7" s="19">
        <f>Breakdowns!D26</f>
        <v>8.0</v>
      </c>
      <c r="C7" s="19">
        <f>COUNTIFS(Selections!$P$6:$P$29,A7,Selections!$M$6:$M$29,"&gt;0")</f>
        <v>8.0</v>
      </c>
      <c r="D7" s="22">
        <f>IF(C7=0,"n.a.",Breakdowns!J26)</f>
        <v>1.8599999999999999</v>
      </c>
      <c r="E7" s="22">
        <f>IF(SUM($C$6:C7)=0,"n.a.",SUM($D$6:D7))</f>
        <v>0.3799999999999999</v>
      </c>
      <c r="F7" s="20">
        <f>Breakdowns!H26</f>
        <v>0.875</v>
      </c>
    </row>
    <row r="8" ht="26" customHeight="1">
      <c r="A8" s="18" t="str">
        <f>Breakdowns!B27</f>
        <v>2026-W43</v>
      </c>
      <c r="B8" s="19">
        <f>Breakdowns!D27</f>
        <v>0.0</v>
      </c>
      <c r="C8" s="19">
        <f>COUNTIFS(Selections!$P$6:$P$29,A8,Selections!$M$6:$M$29,"&gt;0")</f>
        <v>0</v>
      </c>
      <c r="D8" s="22" t="str">
        <f>IF(C8=0,"n.a.",Breakdowns!J27)</f>
        <v>n.a.</v>
      </c>
      <c r="E8" s="22">
        <f>IF(SUM($C$6:C8)=0,"n.a.",SUM($D$6:D8))</f>
        <v>0.3799999999999999</v>
      </c>
      <c r="F8" s="20" t="str">
        <f>Breakdowns!H27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2026-10-17T09:20:26.047626+00:00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2026-10-16</t>
        </is>
      </c>
      <c r="C9" s="19">
        <v>964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2026-10-12</t>
        </is>
      </c>
      <c r="C10" s="19">
        <v>1200</v>
      </c>
      <c r="D10" s="19">
        <v>5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2026-10-16</t>
        </is>
      </c>
      <c r="C11" s="19">
        <v>1219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2026-10-16</t>
        </is>
      </c>
      <c r="C12" s="19">
        <v>973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2026-10-16</t>
        </is>
      </c>
      <c r="C13" s="19">
        <v>1201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3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0</v>
      </c>
      <c r="C19" s="19">
        <v>14</v>
      </c>
      <c r="D19" s="19">
        <v>10</v>
      </c>
      <c r="E19" s="20" t="inlineStr">
        <is>
          <t>Unavailable</t>
        </is>
      </c>
      <c r="F19" s="20" t="inlineStr">
        <is>
          <t>Unavailable</t>
        </is>
      </c>
    </row>
    <row r="20" ht="44" customHeight="1">
      <c r="A20" s="18" t="inlineStr">
        <is>
          <t>pinnacle</t>
        </is>
      </c>
      <c r="B20" s="19">
        <v>1</v>
      </c>
      <c r="C20" s="19">
        <v>13</v>
      </c>
      <c r="D20" s="19">
        <v>10</v>
      </c>
      <c r="E20" s="20">
        <v>0.05317884471232537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4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4</v>
      </c>
    </row>
    <row r="32" ht="44" customHeight="1">
      <c r="A32" s="18" t="inlineStr">
        <is>
          <t>Bookmakers: 1xBet</t>
        </is>
      </c>
      <c r="B32" s="19">
        <v>4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17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17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13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12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10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10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31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31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4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8">
      <c r="A58" s="26" t="inlineStr">
        <is>
          <t>EV sensitivity results</t>
        </is>
      </c>
    </row>
    <row r="59" ht="34" customHeight="1">
      <c r="A59" s="24" t="inlineStr">
        <is>
          <t>EV floor</t>
        </is>
      </c>
      <c r="B59" s="24" t="inlineStr">
        <is>
          <t>Tier</t>
        </is>
      </c>
      <c r="C59" s="24" t="inlineStr">
        <is>
          <t>Selected</t>
        </is>
      </c>
      <c r="D59" s="24" t="inlineStr">
        <is>
          <t>Settled</t>
        </is>
      </c>
      <c r="E59" s="24" t="inlineStr">
        <is>
          <t>Simulated ROI</t>
        </is>
      </c>
      <c r="F59" s="24" t="inlineStr">
        <is>
          <t>Drawdown (units)</t>
        </is>
      </c>
    </row>
    <row r="60" ht="44" customHeight="1">
      <c r="A60" s="20">
        <v>0.015</v>
      </c>
      <c r="B60" s="18" t="inlineStr">
        <is>
          <t>ALL</t>
        </is>
      </c>
      <c r="C60" s="19">
        <v>8</v>
      </c>
      <c r="D60" s="19">
        <v>4</v>
      </c>
      <c r="E60" s="20">
        <v>0.33749999999999997</v>
      </c>
      <c r="F60" s="22">
        <v>0.0</v>
      </c>
    </row>
    <row r="61" ht="44" customHeight="1">
      <c r="A61" s="20">
        <v>0.015</v>
      </c>
      <c r="B61" s="18" t="inlineStr">
        <is>
          <t>STRICT</t>
        </is>
      </c>
      <c r="C61" s="19">
        <v>7</v>
      </c>
      <c r="D61" s="19">
        <v>4</v>
      </c>
      <c r="E61" s="20">
        <v>0.33749999999999997</v>
      </c>
      <c r="F61" s="22">
        <v>0.0</v>
      </c>
    </row>
    <row r="62" ht="44" customHeight="1">
      <c r="A62" s="20">
        <v>0.015</v>
      </c>
      <c r="B62" s="18" t="inlineStr">
        <is>
          <t>PROVISIONAL</t>
        </is>
      </c>
      <c r="C62" s="19">
        <v>1</v>
      </c>
      <c r="D62" s="19">
        <v>0</v>
      </c>
      <c r="E62" s="20"/>
      <c r="F62" s="22"/>
    </row>
    <row r="63" ht="44" customHeight="1">
      <c r="A63" s="20">
        <v>0.03</v>
      </c>
      <c r="B63" s="18" t="inlineStr">
        <is>
          <t>ALL</t>
        </is>
      </c>
      <c r="C63" s="19">
        <v>7</v>
      </c>
      <c r="D63" s="19">
        <v>4</v>
      </c>
      <c r="E63" s="20">
        <v>0.33749999999999997</v>
      </c>
      <c r="F63" s="22">
        <v>0.0</v>
      </c>
    </row>
    <row r="64" ht="44" customHeight="1">
      <c r="A64" s="20">
        <v>0.03</v>
      </c>
      <c r="B64" s="18" t="inlineStr">
        <is>
          <t>STRICT</t>
        </is>
      </c>
      <c r="C64" s="19">
        <v>6</v>
      </c>
      <c r="D64" s="19">
        <v>4</v>
      </c>
      <c r="E64" s="20">
        <v>0.33749999999999997</v>
      </c>
      <c r="F64" s="22">
        <v>0.0</v>
      </c>
    </row>
    <row r="65" ht="44" customHeight="1">
      <c r="A65" s="20">
        <v>0.03</v>
      </c>
      <c r="B65" s="18" t="inlineStr">
        <is>
          <t>PROVISIONAL</t>
        </is>
      </c>
      <c r="C65" s="19">
        <v>1</v>
      </c>
      <c r="D65" s="19">
        <v>0</v>
      </c>
      <c r="E65" s="20"/>
      <c r="F65" s="22"/>
    </row>
    <row r="66" ht="44" customHeight="1">
      <c r="A66" s="20">
        <v>0.05</v>
      </c>
      <c r="B66" s="18" t="inlineStr">
        <is>
          <t>ALL</t>
        </is>
      </c>
      <c r="C66" s="19">
        <v>6</v>
      </c>
      <c r="D66" s="19">
        <v>4</v>
      </c>
      <c r="E66" s="20">
        <v>0.33749999999999997</v>
      </c>
      <c r="F66" s="22">
        <v>0.0</v>
      </c>
    </row>
    <row r="67" ht="44" customHeight="1">
      <c r="A67" s="20">
        <v>0.05</v>
      </c>
      <c r="B67" s="18" t="inlineStr">
        <is>
          <t>STRICT</t>
        </is>
      </c>
      <c r="C67" s="19">
        <v>5</v>
      </c>
      <c r="D67" s="19">
        <v>4</v>
      </c>
      <c r="E67" s="20">
        <v>0.33749999999999997</v>
      </c>
      <c r="F67" s="22">
        <v>0.0</v>
      </c>
    </row>
    <row r="68" ht="44" customHeight="1">
      <c r="A68" s="20">
        <v>0.05</v>
      </c>
      <c r="B68" s="18" t="inlineStr">
        <is>
          <t>PROVISIONAL</t>
        </is>
      </c>
      <c r="C68" s="19">
        <v>1</v>
      </c>
      <c r="D68" s="19">
        <v>0</v>
      </c>
      <c r="E68" s="20"/>
      <c r="F68" s="22"/>
    </row>
    <row r="71">
      <c r="A71" s="26" t="inlineStr">
        <is>
          <t>Daily review observations</t>
        </is>
      </c>
    </row>
    <row r="72" ht="34" customHeight="1">
      <c r="A72" s="24" t="inlineStr">
        <is>
          <t>Review date</t>
        </is>
      </c>
      <c r="B72" s="24" t="inlineStr">
        <is>
          <t>Graded</t>
        </is>
      </c>
      <c r="C72" s="24" t="inlineStr">
        <is>
          <t>Win rate</t>
        </is>
      </c>
      <c r="D72" s="24" t="inlineStr">
        <is>
          <t>Simulated ROI</t>
        </is>
      </c>
      <c r="E72" s="24" t="inlineStr">
        <is>
          <t>Brier</t>
        </is>
      </c>
    </row>
    <row r="73" ht="44" customHeight="1">
      <c r="A73" s="18" t="inlineStr">
        <is>
          <t>2026-10-13</t>
        </is>
      </c>
      <c r="B73" s="19">
        <v>9</v>
      </c>
      <c r="C73" s="20">
        <v>0.666667</v>
      </c>
      <c r="D73" s="20">
        <v>-0.096667</v>
      </c>
      <c r="E73" s="21">
        <v>0.250532</v>
      </c>
    </row>
    <row r="74" ht="44" customHeight="1">
      <c r="A74" s="18" t="inlineStr">
        <is>
          <t>2026-10-14</t>
        </is>
      </c>
      <c r="B74" s="19">
        <v>11</v>
      </c>
      <c r="C74" s="20">
        <v>0.727273</v>
      </c>
      <c r="D74" s="20">
        <v>0.01</v>
      </c>
      <c r="E74" s="21">
        <v>0.215932</v>
      </c>
    </row>
    <row r="75" ht="44" customHeight="1">
      <c r="A75" s="18" t="inlineStr">
        <is>
          <t>2026-10-15</t>
        </is>
      </c>
      <c r="B75" s="19">
        <v>11</v>
      </c>
      <c r="C75" s="20">
        <v>0.727273</v>
      </c>
      <c r="D75" s="20">
        <v>0.01</v>
      </c>
      <c r="E75" s="21">
        <v>0.215932</v>
      </c>
    </row>
    <row r="76" ht="44" customHeight="1">
      <c r="A76" s="18" t="inlineStr">
        <is>
          <t>2026-10-16</t>
        </is>
      </c>
      <c r="B76" s="19">
        <v>12</v>
      </c>
      <c r="C76" s="20">
        <v>0.75</v>
      </c>
      <c r="D76" s="20">
        <v>0.031667</v>
      </c>
      <c r="E76" s="21">
        <v>0.199836</v>
      </c>
    </row>
    <row r="77" ht="44" customHeight="1">
      <c r="A77" s="18" t="inlineStr">
        <is>
          <t>2026-10-17</t>
        </is>
      </c>
      <c r="B77" s="19">
        <v>12</v>
      </c>
      <c r="C77" s="20">
        <v>0.75</v>
      </c>
      <c r="D77" s="20">
        <v>0.031667</v>
      </c>
      <c r="E77" s="21">
        <v>0.199836</v>
      </c>
    </row>
    <row r="80">
      <c r="A80" s="26" t="inlineStr">
        <is>
          <t>Dependency versions</t>
        </is>
      </c>
    </row>
    <row r="81" ht="34" customHeight="1">
      <c r="A81" s="24" t="inlineStr">
        <is>
          <t>Dependency</t>
        </is>
      </c>
      <c r="B81" s="24" t="inlineStr">
        <is>
          <t>Version</t>
        </is>
      </c>
    </row>
    <row r="82" ht="44" customHeight="1">
      <c r="A82" s="18" t="inlineStr">
        <is>
          <t>python</t>
        </is>
      </c>
      <c r="B82" s="18" t="inlineStr">
        <is>
          <t>3.12.15</t>
        </is>
      </c>
    </row>
    <row r="83" ht="44" customHeight="1">
      <c r="A83" s="18" t="inlineStr">
        <is>
          <t>numpy</t>
        </is>
      </c>
      <c r="B83" s="18" t="inlineStr">
        <is>
          <t>2.5.4</t>
        </is>
      </c>
    </row>
    <row r="84" ht="44" customHeight="1">
      <c r="A84" s="18" t="inlineStr">
        <is>
          <t>pandas</t>
        </is>
      </c>
      <c r="B84" s="18" t="inlineStr">
        <is>
          <t>3.0.6</t>
        </is>
      </c>
    </row>
    <row r="85" ht="44" customHeight="1">
      <c r="A85" s="18" t="inlineStr">
        <is>
          <t>scipy</t>
        </is>
      </c>
      <c r="B85" s="18" t="inlineStr">
        <is>
          <t>1.18.1</t>
        </is>
      </c>
    </row>
    <row r="86" ht="44" customHeight="1">
      <c r="A86" s="18" t="inlineStr">
        <is>
          <t>requests</t>
        </is>
      </c>
      <c r="B86" s="18" t="inlineStr">
        <is>
          <t>2.34.2</t>
        </is>
      </c>
    </row>
    <row r="87" ht="44" customHeight="1">
      <c r="A87" s="18" t="inlineStr">
        <is>
          <t>python-dotenv</t>
        </is>
      </c>
      <c r="B87" s="18" t="inlineStr">
        <is>
          <t>1.2.4</t>
        </is>
      </c>
    </row>
    <row r="88" ht="44" customHeight="1">
      <c r="A88" s="18" t="inlineStr">
        <is>
          <t>coverage</t>
        </is>
      </c>
      <c r="B88" s="18" t="inlineStr">
        <is>
          <t>7.16.2</t>
        </is>
      </c>
    </row>
    <row r="89" ht="44" customHeight="1">
      <c r="A89" s="18" t="inlineStr">
        <is>
          <t>PyYAML</t>
        </is>
      </c>
      <c r="B89" s="18" t="inlineStr">
        <is>
          <t>6.0.3</t>
        </is>
      </c>
    </row>
    <row r="92">
      <c r="A92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58:F58"/>
    <mergeCell ref="A71:F71"/>
    <mergeCell ref="A80:F80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hyperlinks>
    <hyperlink ref="A92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</row>
  </sheetData>
  <autoFilter ref="A5:H36"/>
  <mergeCells count="2">
    <mergeCell ref="A2:H2"/>
    <mergeCell ref="A4:H4"/>
  </mergeCells>
</worksheet>
</file>