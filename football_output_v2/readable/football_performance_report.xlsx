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2026-10-21T05:05:18.583647+00:00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38</v>
      </c>
      <c r="E6" s="19">
        <f>COUNTIFS(Selections!$K$6:$K$47,"WON")</f>
        <v>28</v>
      </c>
      <c r="F6" s="19">
        <f>COUNTIFS(Selections!$K$6:$K$47,"LOST")</f>
        <v>10</v>
      </c>
      <c r="G6" s="19">
        <f>COUNTA(Selections!$A$6:$A$47)-(COUNTIFS(Selections!$K$6:$K$47,"WON")+COUNTIFS(Selections!$K$6:$K$47,"LOST"))</f>
        <v>4</v>
      </c>
      <c r="H6" s="20">
        <f>IF((COUNTIFS(Selections!$K$6:$K$47,"WON")+COUNTIFS(Selections!$K$6:$K$47,"LOST"))=0,"n.a.",COUNTIFS(Selections!$K$6:$K$47,"WON")/(COUNTIFS(Selections!$K$6:$K$47,"WON")+COUNTIFS(Selections!$K$6:$K$47,"LOST")))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27</v>
      </c>
      <c r="E8" s="19">
        <f>COUNTIFS(Selections!$F$6:$F$47,"PROVISIONAL",Selections!$K$6:$K$47,"WON")</f>
        <v>18</v>
      </c>
      <c r="F8" s="19">
        <f>COUNTIFS(Selections!$F$6:$F$47,"PROVISIONAL",Selections!$K$6:$K$47,"LOST")</f>
        <v>9</v>
      </c>
      <c r="G8" s="19">
        <f>COUNTIFS(Selections!$F$6:$F$47,"PROVISIONAL")-(COUNTIFS(Selections!$F$6:$F$47,"PROVISIONAL",Selections!$K$6:$K$47,"WON")+COUNTIFS(Selections!$F$6:$F$47,"PROVISIONAL",Selections!$K$6:$K$47,"LOST"))</f>
        <v>2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12</v>
      </c>
      <c r="E14" s="19">
        <f>COUNTIFS(Selections!$C$6:$C$47,"UEFA Champions League",Selections!$K$6:$K$47,"WON")</f>
        <v>10</v>
      </c>
      <c r="F14" s="19">
        <f>COUNTIFS(Selections!$C$6:$C$47,"UEFA Champions League",Selections!$K$6:$K$47,"LOST")</f>
        <v>2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2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3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1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0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6</v>
      </c>
      <c r="E17" s="19">
        <f>COUNTIFS(Selections!$E$6:$E$47,"Double Chance 12",Selections!$K$6:$K$47,"WON")</f>
        <v>5</v>
      </c>
      <c r="F17" s="19">
        <f>COUNTIFS(Selections!$E$6:$E$47,"Double Chance 12",Selections!$K$6:$K$47,"LOST")</f>
        <v>1</v>
      </c>
      <c r="G17" s="19">
        <f>COUNTIFS(Selections!$E$6:$E$47,"Double Chance 12")-(COUNTIFS(Selections!$E$6:$E$47,"Double Chance 12",Selections!$K$6:$K$47,"WON")+COUNTIFS(Selections!$E$6:$E$47,"Double Chance 12",Selections!$K$6:$K$47,"LOST"))</f>
        <v>0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5</v>
      </c>
      <c r="E18" s="19">
        <f>COUNTIFS(Selections!$E$6:$E$47,"Double Chance 1X",Selections!$K$6:$K$47,"WON")</f>
        <v>4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2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6</v>
      </c>
      <c r="E19" s="19">
        <f>COUNTIFS(Selections!$E$6:$E$47,"Double Chance X2",Selections!$K$6:$K$47,"WON")</f>
        <v>4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0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7</v>
      </c>
      <c r="E21" s="19">
        <f>COUNTIFS(Selections!$E$6:$E$47,"Over 1.5",Selections!$K$6:$K$47,"WON")</f>
        <v>6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2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11</v>
      </c>
      <c r="E24" s="19">
        <f>COUNTIFS(Selections!$G$6:$G$47,"48h-top-twelve-probability-ev-no-under35-v15",Selections!$K$6:$K$47,"WON")</f>
        <v>7</v>
      </c>
      <c r="F24" s="19">
        <f>COUNTIFS(Selections!$G$6:$G$47,"48h-top-twelve-probability-ev-no-under35-v15",Selections!$K$6:$K$47,"LOST")</f>
        <v>4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12</v>
      </c>
      <c r="E33" s="19">
        <f>COUNTIFS(Selections!$P$6:$P$47,"2026-W43",Selections!$K$6:$K$47,"WON")</f>
        <v>7</v>
      </c>
      <c r="F33" s="19">
        <f>COUNTIFS(Selections!$P$6:$P$47,"2026-W43",Selections!$K$6:$K$47,"LOST")</f>
        <v>5</v>
      </c>
      <c r="G33" s="19">
        <f>COUNTIFS(Selections!$P$6:$P$47,"2026-W43")-(COUNTIFS(Selections!$P$6:$P$47,"2026-W43",Selections!$K$6:$K$47,"WON")+COUNTIFS(Selections!$P$6:$P$47,"2026-W43",Selections!$K$6:$K$47,"LOST"))</f>
        <v>1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IF(ISNUMBER(M39),M39*(I39*L39-1-U39),"")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IF(ISNUMBER(M40),M40*(I40*L40-1-U40),"")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IF(ISNUMBER(M41),M41*(I41*L41-1-U41),"")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IF(ISNUMBER(M42),M42*(I42*L42-1-U42),"")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IF(ISNUMBER(M44),M44*(I44*L44-1-U44),"")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IF(ISNUMBER(M45),M45*(I45*L45-1-U45),"")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IF(ISNUMBER(M46),M46*(I46*L46-1-U46),"")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IF(ISNUMBER(M47),M47*(I47*L47-1-U47),"")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2026-10-21T05:05:18.583647+00:00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1969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7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NOT_COLLECTED</t>
        </is>
      </c>
      <c r="C19" s="18"/>
      <c r="D19" s="18"/>
      <c r="E19" s="18"/>
      <c r="F19" s="18"/>
    </row>
    <row r="20" ht="44" customHeight="1">
      <c r="A20" s="18" t="inlineStr">
        <is>
          <t>EPL</t>
        </is>
      </c>
      <c r="B20" s="18" t="inlineStr">
        <is>
          <t>NOT_COLLECTED</t>
        </is>
      </c>
      <c r="C20" s="18"/>
      <c r="D20" s="18"/>
      <c r="E20" s="18"/>
      <c r="F20" s="18"/>
    </row>
    <row r="21" ht="44" customHeight="1">
      <c r="A21" s="18" t="inlineStr">
        <is>
          <t>LaLiga</t>
        </is>
      </c>
      <c r="B21" s="18" t="inlineStr">
        <is>
          <t>NOT_COLLECTED</t>
        </is>
      </c>
      <c r="C21" s="18"/>
      <c r="D21" s="18"/>
      <c r="E21" s="18"/>
      <c r="F21" s="18"/>
    </row>
    <row r="22" ht="44" customHeight="1">
      <c r="A22" s="18" t="inlineStr">
        <is>
          <t>Ligue1</t>
        </is>
      </c>
      <c r="B22" s="18" t="inlineStr">
        <is>
          <t>NOT_COLLECTED</t>
        </is>
      </c>
      <c r="C22" s="18"/>
      <c r="D22" s="18"/>
      <c r="E22" s="18"/>
      <c r="F22" s="18"/>
    </row>
    <row r="23" ht="44" customHeight="1">
      <c r="A23" s="18" t="inlineStr">
        <is>
          <t>SerieA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UCL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12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12</v>
      </c>
    </row>
    <row r="42" ht="44" customHeight="1">
      <c r="A42" s="18" t="inlineStr">
        <is>
          <t>Bookmakers: 1xBet</t>
        </is>
      </c>
      <c r="B42" s="19">
        <v>8</v>
      </c>
    </row>
    <row r="43" ht="44" customHeight="1">
      <c r="A43" s="18" t="inlineStr">
        <is>
          <t>Bookmakers: Pinnacle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6</v>
      </c>
    </row>
    <row r="46" ht="44" customHeight="1">
      <c r="A46" s="18" t="inlineStr">
        <is>
          <t>Upcoming kickoff count</t>
        </is>
      </c>
      <c r="B46" s="19">
        <v>6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NOT_INSTALLED</t>
        </is>
      </c>
    </row>
    <row r="110" ht="44" customHeight="1">
      <c r="A110" s="18" t="inlineStr">
        <is>
          <t>PyYAML</t>
        </is>
      </c>
      <c r="B110" s="18" t="inlineStr">
        <is>
          <t>NOT_INSTALLED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