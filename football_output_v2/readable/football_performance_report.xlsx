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0.3399999999999994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0.631578947368421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0.33999999999999964</c:v>
                </c:pt>
                <c:pt idx="34">
                  <c:v>0.33999999999999964</c:v>
                </c:pt>
                <c:pt idx="35">
                  <c:v>0.33999999999999964</c:v>
                </c:pt>
                <c:pt idx="36">
                  <c:v>0.33999999999999964</c:v>
                </c:pt>
                <c:pt idx="37">
                  <c:v>0.33999999999999964</c:v>
                </c:pt>
                <c:pt idx="38">
                  <c:v>0.33999999999999964</c:v>
                </c:pt>
                <c:pt idx="39">
                  <c:v>0.33999999999999964</c:v>
                </c:pt>
                <c:pt idx="40">
                  <c:v>0.33999999999999964</c:v>
                </c:pt>
                <c:pt idx="41">
                  <c:v>0.33999999999999964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2">
                  <c:v>0.6487583343163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2">
                  <c:v>0.625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30</v>
      </c>
      <c r="C8" s="18"/>
      <c r="D8" s="18" t="str">
        <v>PROVISIONAL</v>
      </c>
      <c r="E8" s="18">
        <f>Breakdowns!D8</f>
        <v>19</v>
      </c>
      <c r="F8" s="20">
        <f>Breakdowns!H8</f>
        <v>0.631578947368421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8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0.7333333333333333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0.011333333333333322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0.33999999999999964</v>
      </c>
      <c r="C14" s="18"/>
      <c r="D14" s="18" t="inlineStr">
        <is>
          <t>30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0.1756947807165656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0.618421052631579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0.5338084063157895</v>
      </c>
      <c r="C17" s="18"/>
      <c r="D17" s="18" t="inlineStr">
        <is>
          <t>Over 1.5</t>
        </is>
      </c>
      <c r="E17" s="18">
        <f>COUNT(Predictions!J6:J176)</f>
        <v>76</v>
      </c>
      <c r="F17" s="20">
        <f>IF(E17=0,"n.a.",AVERAGE(Predictions!J6:J176))</f>
        <v>0.8157894736842105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0.5555169795568831</v>
      </c>
      <c r="C18" s="18"/>
      <c r="D18" s="18" t="inlineStr">
        <is>
          <t>Under 3.5</t>
        </is>
      </c>
      <c r="E18" s="18">
        <f>COUNT(Predictions!K6:K176)</f>
        <v>76</v>
      </c>
      <c r="F18" s="20">
        <f>IF(E18=0,"n.a.",AVERAGE(Predictions!K6:K176))</f>
        <v>0.5921052631578947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0.8581750444608938</v>
      </c>
      <c r="C19" s="18"/>
      <c r="D19" s="18" t="inlineStr">
        <is>
          <t>BTTS Yes</t>
        </is>
      </c>
      <c r="E19" s="18">
        <f>COUNT(Predictions!L6:L176)</f>
        <v>76</v>
      </c>
      <c r="F19" s="20">
        <f>IF(E19=0,"n.a.",AVERAGE(Predictions!L6:L176))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76</v>
      </c>
      <c r="F20" s="20">
        <f>IF(E20=0,"n.a.",AVERAGE(Predictions!M6:M176))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22 wins from 30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2026-10-20T05:29:06.640753+00:00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0.33999999999999964</v>
      </c>
      <c r="G43" s="22">
        <f>$B$4+F43</f>
        <v>100.34</v>
      </c>
      <c r="H43" s="22">
        <f>MAX($B$4,$G$10:G43)</f>
        <v>102.81</v>
      </c>
      <c r="I43" s="22">
        <f>H43-G43</f>
        <v>2.469999999999999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0.33999999999999964</v>
      </c>
      <c r="G44" s="22">
        <f>$B$4+F44</f>
        <v>100.34</v>
      </c>
      <c r="H44" s="22">
        <f>MAX($B$4,$G$10:G44)</f>
        <v>102.81</v>
      </c>
      <c r="I44" s="22">
        <f>H44-G44</f>
        <v>2.469999999999999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0.33999999999999964</v>
      </c>
      <c r="G45" s="22">
        <f>$B$4+F45</f>
        <v>100.34</v>
      </c>
      <c r="H45" s="22">
        <f>MAX($B$4,$G$10:G45)</f>
        <v>102.81</v>
      </c>
      <c r="I45" s="22">
        <f>H45-G45</f>
        <v>2.469999999999999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0.33999999999999964</v>
      </c>
      <c r="G46" s="22">
        <f>$B$4+F46</f>
        <v>100.34</v>
      </c>
      <c r="H46" s="22">
        <f>MAX($B$4,$G$10:G46)</f>
        <v>102.81</v>
      </c>
      <c r="I46" s="22">
        <f>H46-G46</f>
        <v>2.469999999999999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0.33999999999999964</v>
      </c>
      <c r="G47" s="22">
        <f>$B$4+F47</f>
        <v>100.34</v>
      </c>
      <c r="H47" s="22">
        <f>MAX($B$4,$G$10:G47)</f>
        <v>102.81</v>
      </c>
      <c r="I47" s="22">
        <f>H47-G47</f>
        <v>2.469999999999999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0.33999999999999964</v>
      </c>
      <c r="G48" s="22">
        <f>$B$4+F48</f>
        <v>100.34</v>
      </c>
      <c r="H48" s="22">
        <f>MAX($B$4,$G$10:G48)</f>
        <v>102.81</v>
      </c>
      <c r="I48" s="22">
        <f>H48-G48</f>
        <v>2.469999999999999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0.33999999999999964</v>
      </c>
      <c r="G49" s="22">
        <f>$B$4+F49</f>
        <v>100.34</v>
      </c>
      <c r="H49" s="22">
        <f>MAX($B$4,$G$10:G49)</f>
        <v>102.81</v>
      </c>
      <c r="I49" s="22">
        <f>H49-G49</f>
        <v>2.469999999999999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0.33999999999999964</v>
      </c>
      <c r="G50" s="22">
        <f>$B$4+F50</f>
        <v>100.34</v>
      </c>
      <c r="H50" s="22">
        <f>MAX($B$4,$G$10:G50)</f>
        <v>102.81</v>
      </c>
      <c r="I50" s="22">
        <f>H50-G50</f>
        <v>2.469999999999999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PENDING_KICKOFF_OR_FINAL_SCORE</t>
        </is>
      </c>
      <c r="D51" s="22" t="str">
        <f>IF(ISNUMBER(Selections!M47),Selections!M47,"")</f>
        <v/>
      </c>
      <c r="E51" s="22" t="str">
        <f>IF(ISNUMBER(Selections!N47),Selections!N47,"")</f>
        <v/>
      </c>
      <c r="F51" s="22">
        <f>SUM($E$10:E51)</f>
        <v>0.33999999999999964</v>
      </c>
      <c r="G51" s="22">
        <f>$B$4+F51</f>
        <v>100.34</v>
      </c>
      <c r="H51" s="22">
        <f>MAX($B$4,$G$10:G51)</f>
        <v>102.81</v>
      </c>
      <c r="I51" s="22">
        <f>H51-G51</f>
        <v>2.469999999999999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30</v>
      </c>
      <c r="E6" s="19">
        <f>COUNTIFS(Selections!$K$6:$K$47,"WON")</f>
        <v>22</v>
      </c>
      <c r="F6" s="19">
        <f>COUNTIFS(Selections!$K$6:$K$47,"LOST")</f>
        <v>8</v>
      </c>
      <c r="G6" s="19">
        <f>COUNTA(Selections!$A$6:$A$47)-(COUNTIFS(Selections!$K$6:$K$47,"WON")+COUNTIFS(Selections!$K$6:$K$47,"LOST"))</f>
        <v>12</v>
      </c>
      <c r="H6" s="20">
        <f>IF((COUNTIFS(Selections!$K$6:$K$47,"WON")+COUNTIFS(Selections!$K$6:$K$47,"LOST"))=0,"n.a.",COUNTIFS(Selections!$K$6:$K$47,"WON")/(COUNTIFS(Selections!$K$6:$K$47,"WON")+COUNTIFS(Selections!$K$6:$K$47,"LOST")))</f>
        <v>0.7333333333333333</v>
      </c>
      <c r="I6" s="22">
        <f>SUM(Selections!$M$6:$M$47)</f>
        <v>30</v>
      </c>
      <c r="J6" s="22">
        <f>SUM(Selections!$N$6:$N$47)</f>
        <v>0.33999999999999964</v>
      </c>
      <c r="K6" s="20">
        <f>IF(SUM(Selections!$M$6:$M$47)=0,"n.a.",SUM(Selections!$N$6:$N$47)/SUM(Selections!$M$6:$M$47))</f>
        <v>0.011333333333333322</v>
      </c>
      <c r="L6" s="21">
        <f>IF(SUM(Selections!$T$6:$T$47)=0,"n.a.",SUM(Selections!$O$6:$O$47)/SUM(Selections!$T$6:$T$47))</f>
        <v>0.1756947807165656</v>
      </c>
      <c r="M6" s="20">
        <f>IF(SUM(Selections!$T$6:$T$47)=0,"n.a.",SUM(Selections!$S$6:$S$47)/SUM(Selections!$T$6:$T$47))</f>
        <v>0.7528774106324534</v>
      </c>
      <c r="N6" s="20">
        <f>IF(SUM(Selections!$T$6:$T$47)=0,"n.a.",(SUMIFS(Selections!$L$6:$L$47,Selections!$T$6:$T$47,1))/SUM(Selections!$T$6:$T$47))</f>
        <v>0.7333333333333333</v>
      </c>
      <c r="O6" s="20">
        <f>IF(SUM(Selections!$T$6:$T$47)=0,"n.a.",(SUM(Selections!$S$6:$S$47)-(SUMIFS(Selections!$L$6:$L$47,Selections!$T$6:$T$47,1)))/SUM(Selections!$T$6:$T$47))</f>
        <v>0.01954407729912011</v>
      </c>
      <c r="P6" s="19">
        <f>SUM(Selections!$T$6:$T$47)</f>
        <v>30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19</v>
      </c>
      <c r="E8" s="19">
        <f>COUNTIFS(Selections!$F$6:$F$47,"PROVISIONAL",Selections!$K$6:$K$47,"WON")</f>
        <v>12</v>
      </c>
      <c r="F8" s="19">
        <f>COUNTIFS(Selections!$F$6:$F$47,"PROVISIONAL",Selections!$K$6:$K$47,"LOST")</f>
        <v>7</v>
      </c>
      <c r="G8" s="19">
        <f>COUNTIFS(Selections!$F$6:$F$47,"PROVISIONAL")-(COUNTIFS(Selections!$F$6:$F$47,"PROVISIONAL",Selections!$K$6:$K$47,"WON")+COUNTIFS(Selections!$F$6:$F$47,"PROVISIONAL",Selections!$K$6:$K$47,"LOST"))</f>
        <v>10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0.631578947368421</v>
      </c>
      <c r="I8" s="22">
        <f>SUMIFS(Selections!$M$6:$M$47,Selections!$F$6:$F$47,"PROVISIONAL")</f>
        <v>19</v>
      </c>
      <c r="J8" s="22">
        <f>SUMIFS(Selections!$N$6:$N$47,Selections!$F$6:$F$47,"PROVISIONAL")</f>
        <v>-2.9800000000000004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-0.15684210526315792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0.2217172617546396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0.7515474732121495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0.631578947368421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0.11996852584372852</v>
      </c>
      <c r="P8" s="19">
        <f>SUMIFS(Selections!$T$6:$T$47,Selections!$F$6:$F$47,"PROVISIONAL")</f>
        <v>19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(n=19).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4</v>
      </c>
      <c r="E14" s="19">
        <f>COUNTIFS(Selections!$C$6:$C$47,"UEFA Champions League",Selections!$K$6:$K$47,"WON")</f>
        <v>4</v>
      </c>
      <c r="F14" s="19">
        <f>COUNTIFS(Selections!$C$6:$C$47,"UEFA Champions League",Selections!$K$6:$K$47,"LOST")</f>
        <v>0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10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1.0</v>
      </c>
      <c r="I14" s="22">
        <f>SUMIFS(Selections!$M$6:$M$47,Selections!$C$6:$C$47,"UEFA Champions League")</f>
        <v>4</v>
      </c>
      <c r="J14" s="22">
        <f>SUMIFS(Selections!$N$6:$N$47,Selections!$C$6:$C$47,"UEFA Champions League")</f>
        <v>1.92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0.48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0.0698562520379194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0.7594464766601356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1.0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-0.24055352333986435</v>
      </c>
      <c r="P14" s="19">
        <f>SUMIFS(Selections!$T$6:$T$47,Selections!$C$6:$C$47,"UEFA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2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0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1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1.0</v>
      </c>
      <c r="I16" s="22">
        <f>SUMIFS(Selections!$M$6:$M$47,Selections!$E$6:$E$47,"Both Teams to Score - Yes")</f>
        <v>2</v>
      </c>
      <c r="J16" s="22">
        <f>SUMIFS(Selections!$N$6:$N$47,Selections!$E$6:$E$47,"Both Teams to Score - Yes")</f>
        <v>1.02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0.51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0.0816693584120611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0.7143269086376708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1.0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-0.2856730913623292</v>
      </c>
      <c r="P16" s="19">
        <f>SUMIFS(Selections!$T$6:$T$47,Selections!$E$6:$E$47,"Both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2</v>
      </c>
      <c r="E17" s="19">
        <f>COUNTIFS(Selections!$E$6:$E$47,"Double Chance 12",Selections!$K$6:$K$47,"WON")</f>
        <v>2</v>
      </c>
      <c r="F17" s="19">
        <f>COUNTIFS(Selections!$E$6:$E$47,"Double Chance 12",Selections!$K$6:$K$47,"LOST")</f>
        <v>0</v>
      </c>
      <c r="G17" s="19">
        <f>COUNTIFS(Selections!$E$6:$E$47,"Double Chance 12")-(COUNTIFS(Selections!$E$6:$E$47,"Double Chance 12",Selections!$K$6:$K$47,"WON")+COUNTIFS(Selections!$E$6:$E$47,"Double Chance 12",Selections!$K$6:$K$47,"LOST"))</f>
        <v>4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1.0</v>
      </c>
      <c r="I17" s="22">
        <f>SUMIFS(Selections!$M$6:$M$47,Selections!$E$6:$E$47,"Double Chance 12")</f>
        <v>2</v>
      </c>
      <c r="J17" s="22">
        <f>SUMIFS(Selections!$N$6:$N$47,Selections!$E$6:$E$47,"Double Chance 12")</f>
        <v>0.55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0.275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0.06039485652956292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0.7543630828815686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1.0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-0.24563691711843139</v>
      </c>
      <c r="P17" s="19">
        <f>SUMIFS(Selections!$T$6:$T$47,Selections!$E$6:$E$47,"Double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4</v>
      </c>
      <c r="E18" s="19">
        <f>COUNTIFS(Selections!$E$6:$E$47,"Double Chance 1X",Selections!$K$6:$K$47,"WON")</f>
        <v>3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3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0.75</v>
      </c>
      <c r="I18" s="22">
        <f>SUMIFS(Selections!$M$6:$M$47,Selections!$E$6:$E$47,"Double Chance 1X")</f>
        <v>4</v>
      </c>
      <c r="J18" s="22">
        <f>SUMIFS(Selections!$N$6:$N$47,Selections!$E$6:$E$47,"Double Chance 1X")</f>
        <v>0.0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0.13517908536329296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0.7354173027428206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0.75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-0.014582697257179422</v>
      </c>
      <c r="P18" s="19">
        <f>SUMIFS(Selections!$T$6:$T$47,Selections!$E$6:$E$47,"Double Chance 1X")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5</v>
      </c>
      <c r="E19" s="19">
        <f>COUNTIFS(Selections!$E$6:$E$47,"Double Chance X2",Selections!$K$6:$K$47,"WON")</f>
        <v>3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1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</v>
      </c>
      <c r="I19" s="22">
        <f>SUMIFS(Selections!$M$6:$M$47,Selections!$E$6:$E$47,"Double Chance X2")</f>
        <v>5</v>
      </c>
      <c r="J19" s="22">
        <f>SUMIFS(Selections!$N$6:$N$47,Selections!$E$6:$E$47,"Double Chance X2")</f>
        <v>-0.7900000000000003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-0.15800000000000006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0.17121847217742003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0.6534848341608861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0.05348483416088612</v>
      </c>
      <c r="P19" s="19">
        <f>SUMIFS(Selections!$T$6:$T$47,Selections!$E$6:$E$47,"Double Chance X2")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6</v>
      </c>
      <c r="E21" s="19">
        <f>COUNTIFS(Selections!$E$6:$E$47,"Over 1.5",Selections!$K$6:$K$47,"WON")</f>
        <v>5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3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0.8333333333333334</v>
      </c>
      <c r="I21" s="22">
        <f>SUMIFS(Selections!$M$6:$M$47,Selections!$E$6:$E$47,"Over 1.5")</f>
        <v>6</v>
      </c>
      <c r="J21" s="22">
        <f>SUMIFS(Selections!$N$6:$N$47,Selections!$E$6:$E$47,"Over 1.5")</f>
        <v>0.32999999999999985</v>
      </c>
      <c r="K21" s="20">
        <f>IF(SUMIFS(Selections!$M$6:$M$47,Selections!$E$6:$E$47,"Over 1.5")=0,"n.a.",SUMIFS(Selections!$N$6:$N$47,Selections!$E$6:$E$47,"Over 1.5")/SUMIFS(Selections!$M$6:$M$47,Selections!$E$6:$E$47,"Over 1.5"))</f>
        <v>0.05499999999999997</v>
      </c>
      <c r="L21" s="21">
        <f>IF(SUMIFS(Selections!$T$6:$T$47,Selections!$E$6:$E$47,"Over 1.5")=0,"n.a.",SUMIFS(Selections!$O$6:$O$47,Selections!$E$6:$E$47,"Over 1.5")/SUMIFS(Selections!$T$6:$T$47,Selections!$E$6:$E$47,"Over 1.5"))</f>
        <v>0.11632878708164611</v>
      </c>
      <c r="M21" s="20">
        <f>IF(SUMIFS(Selections!$T$6:$T$47,Selections!$E$6:$E$47,"Over 1.5")=0,"n.a.",SUMIFS(Selections!$S$6:$S$47,Selections!$E$6:$E$47,"Over 1.5")/SUMIFS(Selections!$T$6:$T$47,Selections!$E$6:$E$47,"Over 1.5"))</f>
        <v>0.8626789824199815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0.8333333333333334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0.029345649086648162</v>
      </c>
      <c r="P21" s="19">
        <f>SUMIFS(Selections!$T$6:$T$47,Selections!$E$6:$E$47,"Over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3</v>
      </c>
      <c r="E24" s="19">
        <f>COUNTIFS(Selections!$G$6:$G$47,"48h-top-twelve-probability-ev-no-under35-v15",Selections!$K$6:$K$47,"WON")</f>
        <v>1</v>
      </c>
      <c r="F24" s="19">
        <f>COUNTIFS(Selections!$G$6:$G$47,"48h-top-twelve-probability-ev-no-under35-v15",Selections!$K$6:$K$47,"LOST")</f>
        <v>2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9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0.3333333333333333</v>
      </c>
      <c r="I24" s="22">
        <f>SUMIFS(Selections!$M$6:$M$47,Selections!$G$6:$G$47,"48h-top-twelve-probability-ev-no-under35-v15")</f>
        <v>3</v>
      </c>
      <c r="J24" s="22">
        <f>SUMIFS(Selections!$N$6:$N$47,Selections!$G$6:$G$47,"48h-top-twelve-probability-ev-no-under35-v15")</f>
        <v>-1.47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0.22802133303745656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0.5820047877318658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0.3333333333333333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0.2486714543985325</v>
      </c>
      <c r="P24" s="19">
        <f>SUMIFS(Selections!$T$6:$T$47,Selections!$G$6:$G$47,"48h-top-twelve-probability-ev-no-under35-v15")</f>
        <v>3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(n=3).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4</v>
      </c>
      <c r="E33" s="19">
        <f>COUNTIFS(Selections!$P$6:$P$47,"2026-W43",Selections!$K$6:$K$47,"WON")</f>
        <v>1</v>
      </c>
      <c r="F33" s="19">
        <f>COUNTIFS(Selections!$P$6:$P$47,"2026-W43",Selections!$K$6:$K$47,"LOST")</f>
        <v>3</v>
      </c>
      <c r="G33" s="19">
        <f>COUNTIFS(Selections!$P$6:$P$47,"2026-W43")-(COUNTIFS(Selections!$P$6:$P$47,"2026-W43",Selections!$K$6:$K$47,"WON")+COUNTIFS(Selections!$P$6:$P$47,"2026-W43",Selections!$K$6:$K$47,"LOST"))</f>
        <v>9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0.25</v>
      </c>
      <c r="I33" s="22">
        <f>SUMIFS(Selections!$M$6:$M$47,Selections!$P$6:$P$47,"2026-W43")</f>
        <v>4</v>
      </c>
      <c r="J33" s="22">
        <f>SUMIFS(Selections!$N$6:$N$47,Selections!$P$6:$P$47,"2026-W43")</f>
        <v>-2.4699999999999998</v>
      </c>
      <c r="K33" s="20">
        <f>IF(SUMIFS(Selections!$M$6:$M$47,Selections!$P$6:$P$47,"2026-W43")=0,"n.a.",SUMIFS(Selections!$N$6:$N$47,Selections!$P$6:$P$47,"2026-W43")/SUMIFS(Selections!$M$6:$M$47,Selections!$P$6:$P$47,"2026-W43"))</f>
        <v>-0.6174999999999999</v>
      </c>
      <c r="L33" s="21">
        <f>IF(SUMIFS(Selections!$T$6:$T$47,Selections!$P$6:$P$47,"2026-W43")=0,"n.a.",SUMIFS(Selections!$O$6:$O$47,Selections!$P$6:$P$47,"2026-W43")/SUMIFS(Selections!$T$6:$T$47,Selections!$P$6:$P$47,"2026-W43"))</f>
        <v>0.27118988646739084</v>
      </c>
      <c r="M33" s="20">
        <f>IF(SUMIFS(Selections!$T$6:$T$47,Selections!$P$6:$P$47,"2026-W43")=0,"n.a.",SUMIFS(Selections!$S$6:$S$47,Selections!$P$6:$P$47,"2026-W43")/SUMIFS(Selections!$T$6:$T$47,Selections!$P$6:$P$47,"2026-W43"))</f>
        <v>0.5947548835971719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0.25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0.3447548835971719</v>
      </c>
      <c r="P33" s="19">
        <f>SUMIFS(Selections!$T$6:$T$47,Selections!$P$6:$P$47,"2026-W43")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0</v>
      </c>
      <c r="E7" s="20" t="str">
        <f>IF(D7=0,"n.a.",SUMIFS(Selections!$S$6:$S$47,Selections!$S$6:$S$47,"&gt;="&amp;B7,Selections!$S$6:$S$47,"&lt;"&amp;C7,Selections!$T$6:$T$47,1)/D7)</f>
        <v>n.a.</v>
      </c>
      <c r="F7" s="20" t="str">
        <f>IF(D7=0,"n.a.",SUMIFS(Selections!$L$6:$L$47,Selections!$S$6:$S$47,"&gt;="&amp;B7,Selections!$S$6:$S$47,"&lt;"&amp;C7,Selections!$T$6:$T$47,1)/D7)</f>
        <v>n.a.</v>
      </c>
      <c r="G7" s="20" t="str">
        <f>IF(D7=0,"n.a.",E7-F7)</f>
        <v>n.a.</v>
      </c>
      <c r="H7" s="21" t="str">
        <f>IF(D7=0,"n.a.",SUMIFS(Selections!$O$6:$O$47,Selections!$S$6:$S$47,"&gt;="&amp;B7,Selections!$S$6:$S$47,"&lt;"&amp;C7,Selections!$T$6:$T$47,1)/D7)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10</v>
      </c>
      <c r="E9" s="20">
        <f>IF(D9=0,"n.a.",SUMIFS(Selections!$S$6:$S$47,Selections!$S$6:$S$47,"&gt;="&amp;B9,Selections!$S$6:$S$47,"&lt;"&amp;C9,Selections!$T$6:$T$47,1)/D9)</f>
        <v>0.7555864760496519</v>
      </c>
      <c r="F9" s="20">
        <f>IF(D9=0,"n.a.",SUMIFS(Selections!$L$6:$L$47,Selections!$S$6:$S$47,"&gt;="&amp;B9,Selections!$S$6:$S$47,"&lt;"&amp;C9,Selections!$T$6:$T$47,1)/D9)</f>
        <v>0.8</v>
      </c>
      <c r="G9" s="20">
        <f>IF(D9=0,"n.a.",E9-F9)</f>
        <v>-0.044413523950348144</v>
      </c>
      <c r="H9" s="21">
        <f>IF(D9=0,"n.a.",SUMIFS(Selections!$O$6:$O$47,Selections!$S$6:$S$47,"&gt;="&amp;B9,Selections!$S$6:$S$47,"&lt;"&amp;C9,Selections!$T$6:$T$47,1)/D9)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9</v>
      </c>
      <c r="E10" s="20">
        <f>IF(D10=0,"n.a.",SUMIFS(Selections!$S$6:$S$47,Selections!$S$6:$S$47,"&gt;="&amp;B10,Selections!$S$6:$S$47,"&lt;"&amp;C10,Selections!$T$6:$T$47,1)/D10)</f>
        <v>0.835660279924899</v>
      </c>
      <c r="F10" s="20">
        <f>IF(D10=0,"n.a.",SUMIFS(Selections!$L$6:$L$47,Selections!$S$6:$S$47,"&gt;="&amp;B10,Selections!$S$6:$S$47,"&lt;"&amp;C10,Selections!$T$6:$T$47,1)/D10)</f>
        <v>0.7777777777777778</v>
      </c>
      <c r="G10" s="20">
        <f>IF(D10=0,"n.a.",E10-F10)</f>
        <v>0.057882502147121206</v>
      </c>
      <c r="H10" s="21">
        <f>IF(D10=0,"n.a.",SUMIFS(Selections!$O$6:$O$47,Selections!$S$6:$S$47,"&gt;="&amp;B10,Selections!$S$6:$S$47,"&lt;"&amp;C10,Selections!$T$6:$T$47,1)/D10)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2</v>
      </c>
      <c r="E11" s="20">
        <f>IF(D11=0,"n.a.",SUMIFS(Selections!$S$6:$S$47,Selections!$S$6:$S$47,"&gt;="&amp;B11,Selections!$S$6:$S$47,"&lt;"&amp;C11,Selections!$T$6:$T$47,1)/D11)</f>
        <v>0.9328573882219562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-0.06714261177804381</v>
      </c>
      <c r="H11" s="21">
        <f>IF(D11=0,"n.a.",SUMIFS(Selections!$O$6:$O$47,Selections!$S$6:$S$47,"&gt;="&amp;B11,Selections!$S$6:$S$47,"&lt;"&amp;C11,Selections!$T$6:$T$47,1)/D11)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archive IDs show which prediction is graded. Times are UTC.</t>
        </is>
      </c>
      <c r="B4" s="27" t="inlineStr">
        <is>
          <t>Latest eligible pre-match selection per fixture. Generated/captured times and archive IDs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a18515a42a8daaed253da4026cd3842636af06e7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a18515a42a8daaed253da4026cd3842636af06e7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a18515a42a8daaed253da4026cd3842636af06e7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a18515a42a8daaed253da4026cd3842636af06e7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a18515a42a8daaed253da4026cd3842636af06e7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a18515a42a8daaed253da4026cd3842636af06e7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a18515a42a8daaed253da4026cd3842636af06e7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/>
      <c r="K47" s="18" t="inlineStr">
        <is>
          <t>PENDING_KICKOFF_OR_FINAL_SCORE</t>
        </is>
      </c>
      <c r="L47" s="18"/>
      <c r="M47" s="22" t="str">
        <f>IF(AND(ISNUMBER(L47),ISNUMBER(I47),I47&gt;1),'ROI Plan'!$B$5,"")</f>
        <v/>
      </c>
      <c r="N47" s="22" t="str">
        <f>IF(ISNUMBER(M47),M47*(I47*L47-1-U47),"")</f>
        <v/>
      </c>
      <c r="O47" s="21">
        <f>IF(AND(ISNUMBER(L47),ISNUMBER(H47)),(H47-L47)^2,"")</f>
      </c>
      <c r="P47" s="18" t="inlineStr">
        <is>
          <t>2026-W43</t>
        </is>
      </c>
      <c r="Q47" s="18" t="inlineStr">
        <is>
          <t>a18515a42a8daaed253da4026cd3842636af06e7</t>
        </is>
      </c>
      <c r="R47" s="18"/>
      <c r="S47" s="20">
        <f>IF(AND(ISNUMBER(L47),ISNUMBER(H47)),H47,"")</f>
      </c>
      <c r="T47" s="19">
        <f>IF(AND(ISNUMBER(L47),ISNUMBER(H47)),1,0)</f>
        <v>0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110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42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0.7368421052631579</v>
      </c>
      <c r="H14" s="18" t="inlineStr">
        <is>
          <t>Approval review</t>
        </is>
      </c>
      <c r="I14" s="18" t="inlineStr">
        <is>
          <t>258 more paired fixtures; 4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9</v>
      </c>
      <c r="E82" s="20">
        <v>0.8888888888888888</v>
      </c>
      <c r="F82" s="18" t="inlineStr">
        <is>
          <t>56.5% to 98.0%</t>
        </is>
      </c>
      <c r="G82" s="20">
        <v>0.21666666666666665</v>
      </c>
      <c r="H82" s="19">
        <v>1.9499999999999997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9</v>
      </c>
      <c r="E84" s="20">
        <v>0.8888888888888888</v>
      </c>
      <c r="F84" s="18" t="inlineStr">
        <is>
          <t>56.5% to 98.0%</t>
        </is>
      </c>
      <c r="G84" s="20">
        <v>0.21666666666666665</v>
      </c>
      <c r="H84" s="19">
        <v>1.9499999999999997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9</v>
      </c>
      <c r="E85" s="20">
        <v>0.7777777777777778</v>
      </c>
      <c r="F85" s="18" t="inlineStr">
        <is>
          <t>45.3% to 93.7%</t>
        </is>
      </c>
      <c r="G85" s="20">
        <v>-0.04222222222222224</v>
      </c>
      <c r="H85" s="19">
        <v>-0.3800000000000001</v>
      </c>
      <c r="I85" s="19">
        <v>1.0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9</v>
      </c>
      <c r="E87" s="20">
        <v>0.7777777777777778</v>
      </c>
      <c r="F87" s="18" t="inlineStr">
        <is>
          <t>45.3% to 93.7%</t>
        </is>
      </c>
      <c r="G87" s="20">
        <v>-0.04222222222222224</v>
      </c>
      <c r="H87" s="19">
        <v>-0.3800000000000001</v>
      </c>
      <c r="I87" s="19">
        <v>1.0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9</v>
      </c>
      <c r="E88" s="20">
        <v>0.7777777777777778</v>
      </c>
      <c r="F88" s="18" t="inlineStr">
        <is>
          <t>45.3% to 93.7%</t>
        </is>
      </c>
      <c r="G88" s="20">
        <v>-0.04222222222222224</v>
      </c>
      <c r="H88" s="19">
        <v>-0.3800000000000001</v>
      </c>
      <c r="I88" s="19">
        <v>1.0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9</v>
      </c>
      <c r="E90" s="20">
        <v>0.7777777777777778</v>
      </c>
      <c r="F90" s="18" t="inlineStr">
        <is>
          <t>45.3% to 93.7%</t>
        </is>
      </c>
      <c r="G90" s="20">
        <v>-0.04222222222222224</v>
      </c>
      <c r="H90" s="19">
        <v>-0.3800000000000001</v>
      </c>
      <c r="I90" s="19">
        <v>1.0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10</v>
      </c>
      <c r="E91" s="20">
        <v>0.5</v>
      </c>
      <c r="F91" s="18" t="inlineStr">
        <is>
          <t>23.7% to 76.3%</t>
        </is>
      </c>
      <c r="G91" s="20">
        <v>-0.167</v>
      </c>
      <c r="H91" s="19">
        <v>-1.6700000000000002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10</v>
      </c>
      <c r="E93" s="20">
        <v>0.5</v>
      </c>
      <c r="F93" s="18" t="inlineStr">
        <is>
          <t>23.7% to 76.3%</t>
        </is>
      </c>
      <c r="G93" s="20">
        <v>-0.167</v>
      </c>
      <c r="H93" s="19">
        <v>-1.6700000000000002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0.7392679373711076</v>
      </c>
      <c r="D96" s="20">
        <v>0.8888888888888888</v>
      </c>
      <c r="E96" s="20">
        <v>-0.1496209515177812</v>
      </c>
      <c r="F96" s="19">
        <v>0.13387032588494915</v>
      </c>
      <c r="G96" s="19">
        <v>0.4461626488280618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0.7914719991990796</v>
      </c>
      <c r="D97" s="20">
        <v>0.7777777777777778</v>
      </c>
      <c r="E97" s="20">
        <v>0.013694221421301833</v>
      </c>
      <c r="F97" s="19">
        <v>0.1755111774403296</v>
      </c>
      <c r="G97" s="19">
        <v>0.531027606284624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0.7914719991990796</v>
      </c>
      <c r="D98" s="20">
        <v>0.7777777777777778</v>
      </c>
      <c r="E98" s="20">
        <v>0.013694221421301833</v>
      </c>
      <c r="F98" s="19">
        <v>0.1755111774403296</v>
      </c>
      <c r="G98" s="19">
        <v>0.531027606284624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0.6037001914253727</v>
      </c>
      <c r="D99" s="20">
        <v>0.5</v>
      </c>
      <c r="E99" s="20">
        <v>0.10370019142537268</v>
      </c>
      <c r="F99" s="19">
        <v>0.2294640694405304</v>
      </c>
      <c r="G99" s="19">
        <v>0.6464121271370601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4.0</v>
      </c>
      <c r="C8" s="19">
        <f>COUNTIFS(Selections!$P$6:$P$47,A8,Selections!$M$6:$M$47,"&gt;0")</f>
        <v>4.0</v>
      </c>
      <c r="D8" s="22">
        <f>IF(C8=0,"n.a.",Breakdowns!J33)</f>
        <v>-2.4699999999999998</v>
      </c>
      <c r="E8" s="22">
        <f>IF(SUM($C$6:C8)=0,"n.a.",SUM($D$6:D8))</f>
        <v>0.3399999999999994</v>
      </c>
      <c r="F8" s="20">
        <f>Breakdowns!H33</f>
        <v>0.25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30</v>
      </c>
      <c r="C8" s="19">
        <v>22</v>
      </c>
      <c r="D8" s="19">
        <v>8</v>
      </c>
      <c r="E8" s="19">
        <v>12</v>
      </c>
      <c r="F8" s="20">
        <v>0.733333</v>
      </c>
      <c r="G8" s="20">
        <v>0.011333</v>
      </c>
      <c r="H8" s="19">
        <v>0.34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2</v>
      </c>
      <c r="E44" s="19">
        <v>1</v>
      </c>
      <c r="F44" s="20">
        <v>0.5</v>
      </c>
      <c r="G44" s="20">
        <v>-0.245</v>
      </c>
      <c r="H44" s="19">
        <v>-0.49</v>
      </c>
      <c r="I44" s="19">
        <v>8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1</v>
      </c>
      <c r="E45" s="19">
        <v>1</v>
      </c>
      <c r="F45" s="20">
        <v>1.0</v>
      </c>
      <c r="G45" s="20">
        <v>0.53</v>
      </c>
      <c r="H45" s="19">
        <v>0.53</v>
      </c>
      <c r="I45" s="19">
        <v>9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3</v>
      </c>
      <c r="E46" s="19">
        <v>1</v>
      </c>
      <c r="F46" s="20">
        <v>0.333333</v>
      </c>
      <c r="G46" s="20">
        <v>-0.49</v>
      </c>
      <c r="H46" s="19">
        <v>-1.47</v>
      </c>
      <c r="I46" s="19">
        <v>9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2026-10-20T05:29:06.640753+00:00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6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15</v>
      </c>
      <c r="C19" s="19">
        <v>18</v>
      </c>
      <c r="D19" s="19">
        <v>9</v>
      </c>
      <c r="E19" s="20">
        <v>-0.015263869459869432</v>
      </c>
      <c r="F19" s="20">
        <v>0.03261078246378731</v>
      </c>
    </row>
    <row r="20" ht="44" customHeight="1">
      <c r="A20" s="18" t="inlineStr">
        <is>
          <t>pinnacle</t>
        </is>
      </c>
      <c r="B20" s="19">
        <v>18</v>
      </c>
      <c r="C20" s="19">
        <v>15</v>
      </c>
      <c r="D20" s="19">
        <v>9</v>
      </c>
      <c r="E20" s="20">
        <v>-0.01801841732721175</v>
      </c>
      <c r="F20" s="20" t="inlineStr">
        <is>
          <t>Unavailable</t>
        </is>
      </c>
    </row>
    <row r="23">
      <c r="A23" s="27" t="inlineStr">
        <is>
          <t>Near-close quotes: latest selections. Observed quotes are not guaranteed official closes; accepted execution is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Account availability</t>
        </is>
      </c>
      <c r="B27" s="18" t="inlineStr">
        <is>
          <t>Not verified with bookmaker accounts</t>
        </is>
      </c>
    </row>
    <row r="28" ht="44" customHeight="1">
      <c r="A28" s="18" t="inlineStr">
        <is>
          <t>Bookmakers: 1xBet</t>
        </is>
      </c>
      <c r="B28" s="19">
        <v>12</v>
      </c>
    </row>
    <row r="29" ht="44" customHeight="1">
      <c r="A29" s="18" t="inlineStr">
        <is>
          <t>Costs recorded</t>
        </is>
      </c>
      <c r="B29" s="19">
        <v>12</v>
      </c>
    </row>
    <row r="30" ht="44" customHeight="1">
      <c r="A30" s="18" t="inlineStr">
        <is>
          <t>Exchange quotes</t>
        </is>
      </c>
      <c r="B30" s="19">
        <v>0</v>
      </c>
    </row>
    <row r="31" ht="44" customHeight="1">
      <c r="A31" s="18" t="inlineStr">
        <is>
          <t>Missing quote age</t>
        </is>
      </c>
      <c r="B31" s="19">
        <v>0</v>
      </c>
    </row>
    <row r="32" ht="44" customHeight="1">
      <c r="A32" s="18" t="inlineStr">
        <is>
          <t>Past kickoff count</t>
        </is>
      </c>
      <c r="B32" s="19">
        <v>3</v>
      </c>
    </row>
    <row r="33" ht="44" customHeight="1">
      <c r="A33" s="18" t="inlineStr">
        <is>
          <t>Quote age over 24h</t>
        </is>
      </c>
      <c r="B33" s="19">
        <v>0</v>
      </c>
    </row>
    <row r="34" ht="44" customHeight="1">
      <c r="A34" s="18" t="inlineStr">
        <is>
          <t>Selected quotes</t>
        </is>
      </c>
      <c r="B34" s="19">
        <v>12</v>
      </c>
    </row>
    <row r="35" ht="44" customHeight="1">
      <c r="A35" s="18" t="inlineStr">
        <is>
          <t>Unknown kickoff count</t>
        </is>
      </c>
      <c r="B35" s="19">
        <v>0</v>
      </c>
    </row>
    <row r="36" ht="44" customHeight="1">
      <c r="A36" s="18" t="inlineStr">
        <is>
          <t>Upcoming kickoff count</t>
        </is>
      </c>
      <c r="B36" s="19">
        <v>9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25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25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21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20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18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18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39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39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12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4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30</v>
      </c>
      <c r="C84" s="20">
        <v>0.733333</v>
      </c>
      <c r="D84" s="20">
        <v>0.011333</v>
      </c>
      <c r="E84" s="21">
        <v>0.175695</v>
      </c>
    </row>
    <row r="85" ht="44" customHeight="1">
      <c r="A85" s="18" t="inlineStr">
        <is>
          <t>2026-10-20</t>
        </is>
      </c>
      <c r="B85" s="19">
        <v>30</v>
      </c>
      <c r="C85" s="20">
        <v>0.733333</v>
      </c>
      <c r="D85" s="20">
        <v>0.011333</v>
      </c>
      <c r="E85" s="21">
        <v>0.175695</v>
      </c>
    </row>
    <row r="88">
      <c r="A88" s="26" t="inlineStr">
        <is>
          <t>Dependency versions</t>
        </is>
      </c>
    </row>
    <row r="89" ht="34" customHeight="1">
      <c r="A89" s="24" t="inlineStr">
        <is>
          <t>Dependency</t>
        </is>
      </c>
      <c r="B89" s="24" t="inlineStr">
        <is>
          <t>Version</t>
        </is>
      </c>
    </row>
    <row r="90" ht="44" customHeight="1">
      <c r="A90" s="18" t="inlineStr">
        <is>
          <t>PyYAML</t>
        </is>
      </c>
      <c r="B90" s="18" t="inlineStr">
        <is>
          <t>6.0.3</t>
        </is>
      </c>
    </row>
    <row r="91" ht="44" customHeight="1">
      <c r="A91" s="18" t="inlineStr">
        <is>
          <t>coverage</t>
        </is>
      </c>
      <c r="B91" s="18" t="inlineStr">
        <is>
          <t>7.16.2</t>
        </is>
      </c>
    </row>
    <row r="92" ht="44" customHeight="1">
      <c r="A92" s="18" t="inlineStr">
        <is>
          <t>numpy</t>
        </is>
      </c>
      <c r="B92" s="18" t="inlineStr">
        <is>
          <t>2.5.4</t>
        </is>
      </c>
    </row>
    <row r="93" ht="44" customHeight="1">
      <c r="A93" s="18" t="inlineStr">
        <is>
          <t>pandas</t>
        </is>
      </c>
      <c r="B93" s="18" t="inlineStr">
        <is>
          <t>3.0.6</t>
        </is>
      </c>
    </row>
    <row r="94" ht="44" customHeight="1">
      <c r="A94" s="18" t="inlineStr">
        <is>
          <t>python</t>
        </is>
      </c>
      <c r="B94" s="18" t="inlineStr">
        <is>
          <t>3.12.15</t>
        </is>
      </c>
    </row>
    <row r="95" ht="44" customHeight="1">
      <c r="A95" s="18" t="inlineStr">
        <is>
          <t>python-dotenv</t>
        </is>
      </c>
      <c r="B95" s="18" t="inlineStr">
        <is>
          <t>1.2.4</t>
        </is>
      </c>
    </row>
    <row r="96" ht="44" customHeight="1">
      <c r="A96" s="18" t="inlineStr">
        <is>
          <t>rapidfuzz</t>
        </is>
      </c>
      <c r="B96" s="18" t="inlineStr">
        <is>
          <t>3.14.6</t>
        </is>
      </c>
    </row>
    <row r="97" ht="44" customHeight="1">
      <c r="A97" s="18" t="inlineStr">
        <is>
          <t>requests</t>
        </is>
      </c>
      <c r="B97" s="18" t="inlineStr">
        <is>
          <t>2.34.2</t>
        </is>
      </c>
    </row>
    <row r="98" ht="44" customHeight="1">
      <c r="A98" s="18" t="inlineStr">
        <is>
          <t>scipy</t>
        </is>
      </c>
      <c r="B98" s="18" t="inlineStr">
        <is>
          <t>1.18.1</t>
        </is>
      </c>
    </row>
    <row r="101">
      <c r="A101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8:F8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1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