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  <c:pt idx="33">
                  <c:v>2.8099999999999996</c:v>
                </c:pt>
                <c:pt idx="34">
                  <c:v>2.8099999999999996</c:v>
                </c:pt>
                <c:pt idx="35">
                  <c:v>2.8099999999999996</c:v>
                </c:pt>
                <c:pt idx="36">
                  <c:v>2.8099999999999996</c:v>
                </c:pt>
                <c:pt idx="37">
                  <c:v>2.8099999999999996</c:v>
                </c:pt>
                <c:pt idx="38">
                  <c:v>2.8099999999999996</c:v>
                </c:pt>
                <c:pt idx="39">
                  <c:v>2.8099999999999996</c:v>
                </c:pt>
                <c:pt idx="40">
                  <c:v>2.8099999999999996</c:v>
                </c:pt>
                <c:pt idx="41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16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16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0.5347836531944444</v>
      </c>
      <c r="C17" s="18"/>
      <c r="D17" s="18" t="inlineStr">
        <is>
          <t>Over 1.5</t>
        </is>
      </c>
      <c r="E17" s="18">
        <f>COUNT(Predictions!J6:J176)</f>
        <v>72</v>
      </c>
      <c r="F17" s="20">
        <f>IF(E17=0,"n.a.",AVERAGE(Predictions!J6:J176))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COUNT(Predictions!K6:K176)</f>
        <v>72</v>
      </c>
      <c r="F18" s="20">
        <f>IF(E18=0,"n.a.",AVERAGE(Predictions!K6:K176))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COUNT(Predictions!L6:L176)</f>
        <v>72</v>
      </c>
      <c r="F19" s="20">
        <f>IF(E19=0,"n.a.",AVERAGE(Predictions!L6:L176))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72</v>
      </c>
      <c r="F20" s="20">
        <f>IF(E20=0,"n.a.",AVERAGE(Predictions!M6:M176))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2026-10-19T17:30:28.114801+00:00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2.8099999999999996</v>
      </c>
      <c r="G43" s="22">
        <f>$B$4+F43</f>
        <v>102.81</v>
      </c>
      <c r="H43" s="22">
        <f>MAX($B$4,$G$10:G43)</f>
        <v>102.81</v>
      </c>
      <c r="I43" s="22">
        <f>H43-G43</f>
        <v>0.0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2.8099999999999996</v>
      </c>
      <c r="G44" s="22">
        <f>$B$4+F44</f>
        <v>102.81</v>
      </c>
      <c r="H44" s="22">
        <f>MAX($B$4,$G$10:G44)</f>
        <v>102.81</v>
      </c>
      <c r="I44" s="22">
        <f>H44-G44</f>
        <v>0.0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2.8099999999999996</v>
      </c>
      <c r="G45" s="22">
        <f>$B$4+F45</f>
        <v>102.81</v>
      </c>
      <c r="H45" s="22">
        <f>MAX($B$4,$G$10:G45)</f>
        <v>102.81</v>
      </c>
      <c r="I45" s="22">
        <f>H45-G45</f>
        <v>0.0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2.8099999999999996</v>
      </c>
      <c r="G46" s="22">
        <f>$B$4+F46</f>
        <v>102.81</v>
      </c>
      <c r="H46" s="22">
        <f>MAX($B$4,$G$10:G46)</f>
        <v>102.81</v>
      </c>
      <c r="I46" s="22">
        <f>H46-G46</f>
        <v>0.0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2.8099999999999996</v>
      </c>
      <c r="G47" s="22">
        <f>$B$4+F47</f>
        <v>102.81</v>
      </c>
      <c r="H47" s="22">
        <f>MAX($B$4,$G$10:G47)</f>
        <v>102.81</v>
      </c>
      <c r="I47" s="22">
        <f>H47-G47</f>
        <v>0.0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2.8099999999999996</v>
      </c>
      <c r="G48" s="22">
        <f>$B$4+F48</f>
        <v>102.81</v>
      </c>
      <c r="H48" s="22">
        <f>MAX($B$4,$G$10:G48)</f>
        <v>102.81</v>
      </c>
      <c r="I48" s="22">
        <f>H48-G48</f>
        <v>0.0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2.8099999999999996</v>
      </c>
      <c r="G49" s="22">
        <f>$B$4+F49</f>
        <v>102.81</v>
      </c>
      <c r="H49" s="22">
        <f>MAX($B$4,$G$10:G49)</f>
        <v>102.81</v>
      </c>
      <c r="I49" s="22">
        <f>H49-G49</f>
        <v>0.0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2.8099999999999996</v>
      </c>
      <c r="G50" s="22">
        <f>$B$4+F50</f>
        <v>102.81</v>
      </c>
      <c r="H50" s="22">
        <f>MAX($B$4,$G$10:G50)</f>
        <v>102.81</v>
      </c>
      <c r="I50" s="22">
        <f>H50-G50</f>
        <v>0.0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2.8099999999999996</v>
      </c>
      <c r="G51" s="22">
        <f>$B$4+F51</f>
        <v>102.81</v>
      </c>
      <c r="H51" s="22">
        <f>MAX($B$4,$G$10:G51)</f>
        <v>102.81</v>
      </c>
      <c r="I51" s="22">
        <f>H51-G51</f>
        <v>0.0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26</v>
      </c>
      <c r="E6" s="19">
        <f>COUNTIFS(Selections!$K$6:$K$47,"WON")</f>
        <v>21</v>
      </c>
      <c r="F6" s="19">
        <f>COUNTIFS(Selections!$K$6:$K$47,"LOST")</f>
        <v>5</v>
      </c>
      <c r="G6" s="19">
        <f>COUNTA(Selections!$A$6:$A$47)-(COUNTIFS(Selections!$K$6:$K$47,"WON")+COUNTIFS(Selections!$K$6:$K$47,"LOST"))</f>
        <v>16</v>
      </c>
      <c r="H6" s="20">
        <f>IF((COUNTIFS(Selections!$K$6:$K$47,"WON")+COUNTIFS(Selections!$K$6:$K$47,"LOST"))=0,"n.a.",COUNTIFS(Selections!$K$6:$K$47,"WON")/(COUNTIFS(Selections!$K$6:$K$47,"WON")+COUNTIFS(Selections!$K$6:$K$47,"LOST")))</f>
        <v>0.8076923076923077</v>
      </c>
      <c r="I6" s="22">
        <f>SUM(Selections!$M$6:$M$47)</f>
        <v>26</v>
      </c>
      <c r="J6" s="22">
        <f>SUM(Selections!$N$6:$N$47)</f>
        <v>2.8099999999999996</v>
      </c>
      <c r="K6" s="20">
        <f>IF(SUM(Selections!$M$6:$M$47)=0,"n.a.",SUM(Selections!$N$6:$N$47)/SUM(Selections!$M$6:$M$47))</f>
        <v>0.10807692307692306</v>
      </c>
      <c r="L6" s="21">
        <f>IF(SUM(Selections!$T$6:$T$47)=0,"n.a.",SUM(Selections!$O$6:$O$47)/SUM(Selections!$T$6:$T$47))</f>
        <v>0.16100322598566943</v>
      </c>
      <c r="M6" s="20">
        <f>IF(SUM(Selections!$T$6:$T$47)=0,"n.a.",SUM(Selections!$S$6:$S$47)/SUM(Selections!$T$6:$T$47))</f>
        <v>0.7772039532532659</v>
      </c>
      <c r="N6" s="20">
        <f>IF(SUM(Selections!$T$6:$T$47)=0,"n.a.",(SUMIFS(Selections!$L$6:$L$47,Selections!$T$6:$T$47,1))/SUM(Selections!$T$6:$T$47))</f>
        <v>0.8076923076923077</v>
      </c>
      <c r="O6" s="20">
        <f>IF(SUM(Selections!$T$6:$T$47)=0,"n.a.",(SUM(Selections!$S$6:$S$47)-(SUMIFS(Selections!$L$6:$L$47,Selections!$T$6:$T$47,1)))/SUM(Selections!$T$6:$T$47))</f>
        <v>-0.030488354439041854</v>
      </c>
      <c r="P6" s="19">
        <f>SUM(Selections!$T$6:$T$47)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15</v>
      </c>
      <c r="E8" s="19">
        <f>COUNTIFS(Selections!$F$6:$F$47,"PROVISIONAL",Selections!$K$6:$K$47,"WON")</f>
        <v>11</v>
      </c>
      <c r="F8" s="19">
        <f>COUNTIFS(Selections!$F$6:$F$47,"PROVISIONAL",Selections!$K$6:$K$47,"LOST")</f>
        <v>4</v>
      </c>
      <c r="G8" s="19">
        <f>COUNTIFS(Selections!$F$6:$F$47,"PROVISIONAL")-(COUNTIFS(Selections!$F$6:$F$47,"PROVISIONAL",Selections!$K$6:$K$47,"WON")+COUNTIFS(Selections!$F$6:$F$47,"PROVISIONAL",Selections!$K$6:$K$47,"LOST"))</f>
        <v>14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0.7333333333333333</v>
      </c>
      <c r="I8" s="22">
        <f>SUMIFS(Selections!$M$6:$M$47,Selections!$F$6:$F$47,"PROVISIONAL")</f>
        <v>15</v>
      </c>
      <c r="J8" s="22">
        <f>SUMIFS(Selections!$N$6:$N$47,Selections!$F$6:$F$47,"PROVISIONAL")</f>
        <v>-0.5100000000000002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-0.034000000000000016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0.2085245618312393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0.7933588304428102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0.7333333333333333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0.06002549710947691</v>
      </c>
      <c r="P8" s="19">
        <f>SUMIFS(Selections!$T$6:$T$47,Selections!$F$6:$F$47,"PROVISIONAL")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6</v>
      </c>
      <c r="E10" s="19">
        <f>COUNTIFS(Selections!$C$6:$C$47,"La Liga",Selections!$K$6:$K$47,"WON")</f>
        <v>6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2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6</v>
      </c>
      <c r="J10" s="22">
        <f>SUMIFS(Selections!$N$6:$N$47,Selections!$C$6:$C$47,"La Liga")</f>
        <v>1.8199999999999998</v>
      </c>
      <c r="K10" s="20">
        <f>IF(SUMIFS(Selections!$M$6:$M$47,Selections!$C$6:$C$47,"La Liga")=0,"n.a.",SUMIFS(Selections!$N$6:$N$47,Selections!$C$6:$C$47,"La Liga")/SUMIFS(Selections!$M$6:$M$47,Selections!$C$6:$C$47,"La Liga"))</f>
        <v>0.3033333333333333</v>
      </c>
      <c r="L10" s="21">
        <f>IF(SUMIFS(Selections!$T$6:$T$47,Selections!$C$6:$C$47,"La Liga")=0,"n.a.",SUMIFS(Selections!$O$6:$O$47,Selections!$C$6:$C$47,"La Liga")/SUMIFS(Selections!$T$6:$T$47,Selections!$C$6:$C$47,"La Liga"))</f>
        <v>0.035061219735885975</v>
      </c>
      <c r="M10" s="20">
        <f>IF(SUMIFS(Selections!$T$6:$T$47,Selections!$C$6:$C$47,"La Liga")=0,"n.a.",SUMIFS(Selections!$S$6:$S$47,Selections!$C$6:$C$47,"La Liga")/SUMIFS(Selections!$T$6:$T$47,Selections!$C$6:$C$47,"La Liga"))</f>
        <v>0.8259716952617202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-0.1740283047382798</v>
      </c>
      <c r="P10" s="19">
        <f>SUMIFS(Selections!$T$6:$T$47,Selections!$C$6:$C$47,"La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6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3</v>
      </c>
      <c r="G12" s="19">
        <f>COUNTIFS(Selections!$C$6:$C$47,"Premier League")-(COUNTIFS(Selections!$C$6:$C$47,"Premier League",Selections!$K$6:$K$47,"WON")+COUNTIFS(Selections!$C$6:$C$47,"Premier League",Selections!$K$6:$K$47,"LOST"))</f>
        <v>1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0.5</v>
      </c>
      <c r="I12" s="22">
        <f>SUMIFS(Selections!$M$6:$M$47,Selections!$C$6:$C$47,"Premier League")</f>
        <v>6</v>
      </c>
      <c r="J12" s="22">
        <f>SUMIFS(Selections!$N$6:$N$47,Selections!$C$6:$C$47,"Premier League")</f>
        <v>-2.14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-0.3566666666666667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0.34451819985468496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0.8130289690439606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0.3130289690439606</v>
      </c>
      <c r="P12" s="19">
        <f>SUMIFS(Selections!$T$6:$T$47,Selections!$C$6:$C$47,"Premier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5</v>
      </c>
      <c r="E13" s="19">
        <f>COUNTIFS(Selections!$C$6:$C$47,"Serie A",Selections!$K$6:$K$47,"WON")</f>
        <v>4</v>
      </c>
      <c r="F13" s="19">
        <f>COUNTIFS(Selections!$C$6:$C$47,"Serie A",Selections!$K$6:$K$47,"LOST")</f>
        <v>1</v>
      </c>
      <c r="G13" s="19">
        <f>COUNTIFS(Selections!$C$6:$C$47,"Serie A")-(COUNTIFS(Selections!$C$6:$C$47,"Serie A",Selections!$K$6:$K$47,"WON")+COUNTIFS(Selections!$C$6:$C$47,"Serie A",Selections!$K$6:$K$47,"LOST"))</f>
        <v>2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0.8</v>
      </c>
      <c r="I13" s="22">
        <f>SUMIFS(Selections!$M$6:$M$47,Selections!$C$6:$C$47,"Serie A")</f>
        <v>5</v>
      </c>
      <c r="J13" s="22">
        <f>SUMIFS(Selections!$N$6:$N$47,Selections!$C$6:$C$47,"Serie A")</f>
        <v>0.8</v>
      </c>
      <c r="K13" s="20">
        <f>IF(SUMIFS(Selections!$M$6:$M$47,Selections!$C$6:$C$47,"Serie A")=0,"n.a.",SUMIFS(Selections!$N$6:$N$47,Selections!$C$6:$C$47,"Serie A")/SUMIFS(Selections!$M$6:$M$47,Selections!$C$6:$C$47,"Serie A"))</f>
        <v>0.16</v>
      </c>
      <c r="L13" s="21">
        <f>IF(SUMIFS(Selections!$T$6:$T$47,Selections!$C$6:$C$47,"Serie A")=0,"n.a.",SUMIFS(Selections!$O$6:$O$47,Selections!$C$6:$C$47,"Serie A")/SUMIFS(Selections!$T$6:$T$47,Selections!$C$6:$C$47,"Serie A"))</f>
        <v>0.1502962767075388</v>
      </c>
      <c r="M13" s="20">
        <f>IF(SUMIFS(Selections!$T$6:$T$47,Selections!$C$6:$C$47,"Serie A")=0,"n.a.",SUMIFS(Selections!$S$6:$S$47,Selections!$C$6:$C$47,"Serie A")/SUMIFS(Selections!$T$6:$T$47,Selections!$C$6:$C$47,"Serie A"))</f>
        <v>0.7063993976931371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0.8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-0.09360060230686296</v>
      </c>
      <c r="P13" s="19">
        <f>SUMIFS(Selections!$T$6:$T$47,Selections!$C$6:$C$47,"Serie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2</v>
      </c>
      <c r="E18" s="19">
        <f>COUNTIFS(Selections!$E$6:$E$47,"Double Chance 1X",Selections!$K$6:$K$47,"WON")</f>
        <v>2</v>
      </c>
      <c r="F18" s="19">
        <f>COUNTIFS(Selections!$E$6:$E$47,"Double Chance 1X",Selections!$K$6:$K$47,"LOST")</f>
        <v>0</v>
      </c>
      <c r="G18" s="19">
        <f>COUNTIFS(Selections!$E$6:$E$47,"Double Chance 1X")-(COUNTIFS(Selections!$E$6:$E$47,"Double Chance 1X",Selections!$K$6:$K$47,"WON")+COUNTIFS(Selections!$E$6:$E$47,"Double Chance 1X",Selections!$K$6:$K$47,"LOST"))</f>
        <v>5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1.0</v>
      </c>
      <c r="I18" s="22">
        <f>SUMIFS(Selections!$M$6:$M$47,Selections!$E$6:$E$47,"Double Chance 1X")</f>
        <v>2</v>
      </c>
      <c r="J18" s="22">
        <f>SUMIFS(Selections!$N$6:$N$47,Selections!$E$6:$E$47,"Double Chance 1X")</f>
        <v>0.47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0.235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0.03126325569114972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0.8246942179771811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1.0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-0.17530578202281888</v>
      </c>
      <c r="P18" s="19">
        <f>SUMIFS(Selections!$T$6:$T$47,Selections!$E$6:$E$47,"Double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3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0</v>
      </c>
      <c r="G19" s="19">
        <f>COUNTIFS(Selections!$E$6:$E$47,"Double Chance X2")-(COUNTIFS(Selections!$E$6:$E$47,"Double Chance X2",Selections!$K$6:$K$47,"WON")+COUNTIFS(Selections!$E$6:$E$47,"Double Chance X2",Selections!$K$6:$K$47,"LOST"))</f>
        <v>3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1.0</v>
      </c>
      <c r="I19" s="22">
        <f>SUMIFS(Selections!$M$6:$M$47,Selections!$E$6:$E$47,"Double Chance X2")</f>
        <v>3</v>
      </c>
      <c r="J19" s="22">
        <f>SUMIFS(Selections!$N$6:$N$47,Selections!$E$6:$E$47,"Double Chance X2")</f>
        <v>1.2099999999999997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0.40333333333333327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0.08317421502946969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0.726895137144221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1.0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-0.27310486285577895</v>
      </c>
      <c r="P19" s="19">
        <f>SUMIFS(Selections!$T$6:$T$47,Selections!$E$6:$E$47,"Double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7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1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2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0.8571428571428571</v>
      </c>
      <c r="I23" s="22">
        <f>SUMIFS(Selections!$M$6:$M$47,Selections!$G$6:$G$47,"48h-top-ten-probability-ev-no-under35-v14")</f>
        <v>7</v>
      </c>
      <c r="J23" s="22">
        <f>SUMIFS(Selections!$N$6:$N$47,Selections!$G$6:$G$47,"48h-top-ten-probability-ev-no-under35-v14")</f>
        <v>1.0499999999999998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0.14999999999999997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0.14695610816590257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0.7493258100280961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0.8571428571428571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-0.10781704711476103</v>
      </c>
      <c r="P23" s="19">
        <f>SUMIFS(Selections!$T$6:$T$47,Selections!$G$6:$G$47,"48h-top-ten-probability-ev-no-under35-v14")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0</v>
      </c>
      <c r="E24" s="19">
        <f>COUNTIFS(Selections!$G$6:$G$47,"48h-top-twelve-probability-ev-no-under35-v15",Selections!$K$6:$K$47,"WON")</f>
        <v>0</v>
      </c>
      <c r="F24" s="19">
        <f>COUNTIFS(Selections!$G$6:$G$47,"48h-top-twelve-probability-ev-no-under35-v15",Selections!$K$6:$K$47,"LOST")</f>
        <v>0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12</v>
      </c>
      <c r="H24" s="20" t="str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n.a.</v>
      </c>
      <c r="I24" s="22">
        <f>SUMIFS(Selections!$M$6:$M$47,Selections!$G$6:$G$47,"48h-top-twelve-probability-ev-no-under35-v15")</f>
        <v>0</v>
      </c>
      <c r="J24" s="22">
        <f>SUMIFS(Selections!$N$6:$N$47,Selections!$G$6:$G$47,"48h-top-twelve-probability-ev-no-under35-v15")</f>
        <v>0</v>
      </c>
      <c r="K24" s="20" t="str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n.a.</v>
      </c>
      <c r="L24" s="21" t="str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n.a.</v>
      </c>
      <c r="M24" s="20" t="str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n.a.</v>
      </c>
      <c r="N24" s="20" t="str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n.a.</v>
      </c>
      <c r="O24" s="20" t="str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n.a.</v>
      </c>
      <c r="P24" s="19">
        <f>SUMIFS(Selections!$T$6:$T$47,Selections!$G$6:$G$47,"48h-top-twelve-probability-ev-no-under35-v15")</f>
        <v>0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(n=0).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0</v>
      </c>
      <c r="E33" s="19">
        <f>COUNTIFS(Selections!$P$6:$P$47,"2026-W43",Selections!$K$6:$K$47,"WON")</f>
        <v>0</v>
      </c>
      <c r="F33" s="19">
        <f>COUNTIFS(Selections!$P$6:$P$47,"2026-W43",Selections!$K$6:$K$47,"LOST")</f>
        <v>0</v>
      </c>
      <c r="G33" s="19">
        <f>COUNTIFS(Selections!$P$6:$P$47,"2026-W43")-(COUNTIFS(Selections!$P$6:$P$47,"2026-W43",Selections!$K$6:$K$47,"WON")+COUNTIFS(Selections!$P$6:$P$47,"2026-W43",Selections!$K$6:$K$47,"LOST"))</f>
        <v>13</v>
      </c>
      <c r="H33" s="20" t="str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n.a.</v>
      </c>
      <c r="I33" s="22">
        <f>SUMIFS(Selections!$M$6:$M$47,Selections!$P$6:$P$47,"2026-W43")</f>
        <v>0</v>
      </c>
      <c r="J33" s="22">
        <f>SUMIFS(Selections!$N$6:$N$47,Selections!$P$6:$P$47,"2026-W43")</f>
        <v>0</v>
      </c>
      <c r="K33" s="20" t="str">
        <f>IF(SUMIFS(Selections!$M$6:$M$47,Selections!$P$6:$P$47,"2026-W43")=0,"n.a.",SUMIFS(Selections!$N$6:$N$47,Selections!$P$6:$P$47,"2026-W43")/SUMIFS(Selections!$M$6:$M$47,Selections!$P$6:$P$47,"2026-W43"))</f>
        <v>n.a.</v>
      </c>
      <c r="L33" s="21" t="str">
        <f>IF(SUMIFS(Selections!$T$6:$T$47,Selections!$P$6:$P$47,"2026-W43")=0,"n.a.",SUMIFS(Selections!$O$6:$O$47,Selections!$P$6:$P$47,"2026-W43")/SUMIFS(Selections!$T$6:$T$47,Selections!$P$6:$P$47,"2026-W43"))</f>
        <v>n.a.</v>
      </c>
      <c r="M33" s="20" t="str">
        <f>IF(SUMIFS(Selections!$T$6:$T$47,Selections!$P$6:$P$47,"2026-W43")=0,"n.a.",SUMIFS(Selections!$S$6:$S$47,Selections!$P$6:$P$47,"2026-W43")/SUMIFS(Selections!$T$6:$T$47,Selections!$P$6:$P$47,"2026-W43"))</f>
        <v>n.a.</v>
      </c>
      <c r="N33" s="20" t="str">
        <f>IF(SUMIFS(Selections!$T$6:$T$47,Selections!$P$6:$P$47,"2026-W43")=0,"n.a.",(SUMIFS(Selections!$L$6:$L$47,Selections!$P$6:$P$47,"2026-W43",Selections!$T$6:$T$47,1))/SUMIFS(Selections!$T$6:$T$47,Selections!$P$6:$P$47,"2026-W43"))</f>
        <v>n.a.</v>
      </c>
      <c r="O33" s="20" t="str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n.a.</v>
      </c>
      <c r="P33" s="19">
        <f>SUMIFS(Selections!$T$6:$T$47,Selections!$P$6:$P$47,"2026-W43")</f>
        <v>0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(n=0).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0</v>
      </c>
      <c r="E6" s="20" t="str">
        <f>IF(D6=0,"n.a.",SUMIFS(Selections!$S$6:$S$47,Selections!$S$6:$S$47,"&gt;="&amp;B6,Selections!$S$6:$S$47,"&lt;"&amp;C6,Selections!$T$6:$T$47,1)/D6)</f>
        <v>n.a.</v>
      </c>
      <c r="F6" s="20" t="str">
        <f>IF(D6=0,"n.a.",SUMIFS(Selections!$L$6:$L$47,Selections!$S$6:$S$47,"&gt;="&amp;B6,Selections!$S$6:$S$47,"&lt;"&amp;C6,Selections!$T$6:$T$47,1)/D6)</f>
        <v>n.a.</v>
      </c>
      <c r="G6" s="20" t="str">
        <f>IF(D6=0,"n.a.",E6-F6)</f>
        <v>n.a.</v>
      </c>
      <c r="H6" s="21" t="str">
        <f>IF(D6=0,"n.a.",SUMIFS(Selections!$O$6:$O$47,Selections!$S$6:$S$47,"&gt;="&amp;B6,Selections!$S$6:$S$47,"&lt;"&amp;C6,Selections!$T$6:$T$47,1)/D6)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5</v>
      </c>
      <c r="E8" s="20">
        <f>IF(D8=0,"n.a.",SUMIFS(Selections!$S$6:$S$47,Selections!$S$6:$S$47,"&gt;="&amp;B8,Selections!$S$6:$S$47,"&lt;"&amp;C8,Selections!$T$6:$T$47,1)/D8)</f>
        <v>0.652956145664078</v>
      </c>
      <c r="F8" s="20">
        <f>IF(D8=0,"n.a.",SUMIFS(Selections!$L$6:$L$47,Selections!$S$6:$S$47,"&gt;="&amp;B8,Selections!$S$6:$S$47,"&lt;"&amp;C8,Selections!$T$6:$T$47,1)/D8)</f>
        <v>0.8</v>
      </c>
      <c r="G8" s="20">
        <f>IF(D8=0,"n.a.",E8-F8)</f>
        <v>-0.14704385433592204</v>
      </c>
      <c r="H8" s="21">
        <f>IF(D8=0,"n.a.",SUMIFS(Selections!$O$6:$O$47,Selections!$S$6:$S$47,"&gt;="&amp;B8,Selections!$S$6:$S$47,"&lt;"&amp;C8,Selections!$T$6:$T$47,1)/D8)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f7295b8c0c24a17c573629dd27429b0b04eadbc1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a18515a42a8daaed253da4026cd3842636af06e7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a18515a42a8daaed253da4026cd3842636af06e7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a18515a42a8daaed253da4026cd3842636af06e7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0.34782608695652173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18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18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19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19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19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19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18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18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0.0</v>
      </c>
      <c r="C8" s="19">
        <f>COUNTIFS(Selections!$P$6:$P$47,A8,Selections!$M$6:$M$47,"&gt;0")</f>
        <v>0</v>
      </c>
      <c r="D8" s="22" t="str">
        <f>IF(C8=0,"n.a.",Breakdowns!J33)</f>
        <v>n.a.</v>
      </c>
      <c r="E8" s="22">
        <f>IF(SUM($C$6:C8)=0,"n.a.",SUM($D$6:D8))</f>
        <v>2.809999999999999</v>
      </c>
      <c r="F8" s="20" t="str">
        <f>Breakdowns!H33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26</v>
      </c>
      <c r="C8" s="19">
        <v>21</v>
      </c>
      <c r="D8" s="19">
        <v>5</v>
      </c>
      <c r="E8" s="19">
        <v>16</v>
      </c>
      <c r="F8" s="20">
        <v>0.807692</v>
      </c>
      <c r="G8" s="20">
        <v>0.108077</v>
      </c>
      <c r="H8" s="19">
        <v>2.81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0</v>
      </c>
      <c r="E44" s="19">
        <v>0</v>
      </c>
      <c r="F44" s="20"/>
      <c r="G44" s="20"/>
      <c r="H44" s="18"/>
      <c r="I44" s="19">
        <v>10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0</v>
      </c>
      <c r="E45" s="19">
        <v>0</v>
      </c>
      <c r="F45" s="20"/>
      <c r="G45" s="20"/>
      <c r="H45" s="18"/>
      <c r="I45" s="19">
        <v>10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0</v>
      </c>
      <c r="E46" s="19">
        <v>0</v>
      </c>
      <c r="F46" s="20"/>
      <c r="G46" s="20"/>
      <c r="H46" s="18"/>
      <c r="I46" s="19">
        <v>12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2026-10-19T17:30:28.114801+00:00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11</v>
      </c>
      <c r="C19" s="19">
        <v>19</v>
      </c>
      <c r="D19" s="19">
        <v>12</v>
      </c>
      <c r="E19" s="20">
        <v>-0.019442282621055528</v>
      </c>
      <c r="F19" s="20">
        <v>0.02662252003787726</v>
      </c>
    </row>
    <row r="20" ht="44" customHeight="1">
      <c r="A20" s="18" t="inlineStr">
        <is>
          <t>pinnacle</t>
        </is>
      </c>
      <c r="B20" s="19">
        <v>13</v>
      </c>
      <c r="C20" s="19">
        <v>17</v>
      </c>
      <c r="D20" s="19">
        <v>12</v>
      </c>
      <c r="E20" s="20">
        <v>-0.026103996307180077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12</v>
      </c>
    </row>
    <row r="32" ht="44" customHeight="1">
      <c r="A32" s="18" t="inlineStr">
        <is>
          <t>Bookmakers: 1xBet</t>
        </is>
      </c>
      <c r="B32" s="19">
        <v>12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0</v>
      </c>
    </row>
    <row r="35" ht="44" customHeight="1">
      <c r="A35" s="18" t="inlineStr">
        <is>
          <t>Upcoming kickoff count</t>
        </is>
      </c>
      <c r="B35" s="19">
        <v>12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25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25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21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20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18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18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39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39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12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4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7.16.2</t>
        </is>
      </c>
    </row>
    <row r="97" ht="44" customHeight="1">
      <c r="A97" s="18" t="inlineStr">
        <is>
          <t>PyYAML</t>
        </is>
      </c>
      <c r="B97" s="18" t="inlineStr">
        <is>
          <t>6.0.3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