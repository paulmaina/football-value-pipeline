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0.5769230769230769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0.5751885569230769</v>
      </c>
      <c r="C17" s="18"/>
      <c r="D17" s="18" t="inlineStr">
        <is>
          <t>Over 1.5</t>
        </is>
      </c>
      <c r="E17" s="18">
        <f>COUNT(Predictions!J6:J244)</f>
        <v>156</v>
      </c>
      <c r="F17" s="20">
        <f>IF(E17=0,"n.a.",AVERAGE(Predictions!J6:J244))</f>
        <v>0.8012820512820513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COUNT(Predictions!K6:K244)</f>
        <v>156</v>
      </c>
      <c r="F18" s="20">
        <f>IF(E18=0,"n.a.",AVERAGE(Predictions!K6:K244))</f>
        <v>0.6346153846153846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COUNT(Predictions!L6:L244)</f>
        <v>156</v>
      </c>
      <c r="F19" s="20">
        <f>IF(E19=0,"n.a.",AVERAGE(Predictions!L6:L244))</f>
        <v>0.5705128205128205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156</v>
      </c>
      <c r="F20" s="20">
        <f>IF(E20=0,"n.a.",AVERAGE(Predictions!M6:M244))</f>
        <v>0.5705128205128205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2026-10-27T05:20:22.368701+00:00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2026-10-27T05:20:22.368701+00:00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9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8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6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5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34</v>
      </c>
      <c r="C35" s="19">
        <v>38</v>
      </c>
      <c r="D35" s="19">
        <v>1</v>
      </c>
      <c r="E35" s="20">
        <v>-0.02780450127606808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72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46</v>
      </c>
      <c r="C37" s="19">
        <v>26</v>
      </c>
      <c r="D37" s="19">
        <v>1</v>
      </c>
      <c r="E37" s="20">
        <v>-0.030666655948099794</v>
      </c>
      <c r="F37" s="20">
        <v>0.014734308422460327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0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2026-10-27</t>
        </is>
      </c>
      <c r="B112" s="19">
        <v>60</v>
      </c>
      <c r="C112" s="20">
        <v>0.766667</v>
      </c>
      <c r="D112" s="20">
        <v>0.064667</v>
      </c>
      <c r="E112" s="21">
        <v>0.153157</v>
      </c>
    </row>
    <row r="115">
      <c r="A115" s="26" t="inlineStr">
        <is>
          <t>Dependency versions</t>
        </is>
      </c>
    </row>
    <row r="116" ht="34" customHeight="1">
      <c r="A116" s="24" t="inlineStr">
        <is>
          <t>Dependency</t>
        </is>
      </c>
      <c r="B116" s="24" t="inlineStr">
        <is>
          <t>Version</t>
        </is>
      </c>
    </row>
    <row r="117" ht="44" customHeight="1">
      <c r="A117" s="18" t="inlineStr">
        <is>
          <t>python</t>
        </is>
      </c>
      <c r="B117" s="18" t="inlineStr">
        <is>
          <t>3.12.15</t>
        </is>
      </c>
    </row>
    <row r="118" ht="44" customHeight="1">
      <c r="A118" s="18" t="inlineStr">
        <is>
          <t>numpy</t>
        </is>
      </c>
      <c r="B118" s="18" t="inlineStr">
        <is>
          <t>2.5.4</t>
        </is>
      </c>
    </row>
    <row r="119" ht="44" customHeight="1">
      <c r="A119" s="18" t="inlineStr">
        <is>
          <t>pandas</t>
        </is>
      </c>
      <c r="B119" s="18" t="inlineStr">
        <is>
          <t>3.1.0</t>
        </is>
      </c>
    </row>
    <row r="120" ht="44" customHeight="1">
      <c r="A120" s="18" t="inlineStr">
        <is>
          <t>scipy</t>
        </is>
      </c>
      <c r="B120" s="18" t="inlineStr">
        <is>
          <t>1.18.1</t>
        </is>
      </c>
    </row>
    <row r="121" ht="44" customHeight="1">
      <c r="A121" s="18" t="inlineStr">
        <is>
          <t>requests</t>
        </is>
      </c>
      <c r="B121" s="18" t="inlineStr">
        <is>
          <t>2.34.2</t>
        </is>
      </c>
    </row>
    <row r="122" ht="44" customHeight="1">
      <c r="A122" s="18" t="inlineStr">
        <is>
          <t>rapidfuzz</t>
        </is>
      </c>
      <c r="B122" s="18" t="inlineStr">
        <is>
          <t>3.14.6</t>
        </is>
      </c>
    </row>
    <row r="123" ht="44" customHeight="1">
      <c r="A123" s="18" t="inlineStr">
        <is>
          <t>python-dotenv</t>
        </is>
      </c>
      <c r="B123" s="18" t="inlineStr">
        <is>
          <t>1.2.4</t>
        </is>
      </c>
    </row>
    <row r="124" ht="44" customHeight="1">
      <c r="A124" s="18" t="inlineStr">
        <is>
          <t>coverage</t>
        </is>
      </c>
      <c r="B124" s="18" t="inlineStr">
        <is>
          <t>NOT_INSTALLED</t>
        </is>
      </c>
    </row>
    <row r="125" ht="44" customHeight="1">
      <c r="A125" s="18" t="inlineStr">
        <is>
          <t>PyYAML</t>
        </is>
      </c>
      <c r="B125" s="18" t="inlineStr">
        <is>
          <t>NOT_INSTALLED</t>
        </is>
      </c>
    </row>
    <row r="128">
      <c r="A128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5:F11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8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2026-10-27T05:20:22.368701+00:00;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-0.040520696326017715</v>
      </c>
      <c r="F20" s="20">
        <v>0.24193548387096775</v>
      </c>
      <c r="G20" s="22">
        <v>-20.705675200420465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-0.0359965113628846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