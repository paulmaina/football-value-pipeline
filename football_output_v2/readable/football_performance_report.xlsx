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3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33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0.5347836531944444</v>
      </c>
      <c r="C17" s="18"/>
      <c r="D17" s="18" t="inlineStr">
        <is>
          <t>Over 1.5</t>
        </is>
      </c>
      <c r="E17" s="18">
        <f>COUNT(Predictions!J6:J168)</f>
        <v>72</v>
      </c>
      <c r="F17" s="20">
        <f>IF(E17=0,"n.a.",AVERAGE(Predictions!J6:J168))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COUNT(Predictions!K6:K168)</f>
        <v>72</v>
      </c>
      <c r="F18" s="20">
        <f>IF(E18=0,"n.a.",AVERAGE(Predictions!K6:K168))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COUNT(Predictions!L6:L168)</f>
        <v>72</v>
      </c>
      <c r="F19" s="20">
        <f>IF(E19=0,"n.a.",AVERAGE(Predictions!L6:L168))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72</v>
      </c>
      <c r="F20" s="20">
        <f>IF(E20=0,"n.a.",AVERAGE(Predictions!M6:M168))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2026-10-19T10:19:55.856775+00:00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26</v>
      </c>
      <c r="E6" s="19">
        <f>COUNTIFS(Selections!$K$6:$K$38,"WON")</f>
        <v>21</v>
      </c>
      <c r="F6" s="19">
        <f>COUNTIFS(Selections!$K$6:$K$38,"LOST")</f>
        <v>5</v>
      </c>
      <c r="G6" s="19">
        <f>COUNTA(Selections!$A$6:$A$38)-(COUNTIFS(Selections!$K$6:$K$38,"WON")+COUNTIFS(Selections!$K$6:$K$38,"LOST"))</f>
        <v>7</v>
      </c>
      <c r="H6" s="20">
        <f>IF((COUNTIFS(Selections!$K$6:$K$38,"WON")+COUNTIFS(Selections!$K$6:$K$38,"LOST"))=0,"n.a.",COUNTIFS(Selections!$K$6:$K$38,"WON")/(COUNTIFS(Selections!$K$6:$K$38,"WON")+COUNTIFS(Selections!$K$6:$K$38,"LOST")))</f>
        <v>0.8076923076923077</v>
      </c>
      <c r="I6" s="22">
        <f>SUM(Selections!$M$6:$M$38)</f>
        <v>26</v>
      </c>
      <c r="J6" s="22">
        <f>SUM(Selections!$N$6:$N$38)</f>
        <v>2.8099999999999996</v>
      </c>
      <c r="K6" s="20">
        <f>IF(SUM(Selections!$M$6:$M$38)=0,"n.a.",SUM(Selections!$N$6:$N$38)/SUM(Selections!$M$6:$M$38))</f>
        <v>0.10807692307692306</v>
      </c>
      <c r="L6" s="21">
        <f>IF(SUM(Selections!$T$6:$T$38)=0,"n.a.",SUM(Selections!$O$6:$O$38)/SUM(Selections!$T$6:$T$38))</f>
        <v>0.16100322598566943</v>
      </c>
      <c r="M6" s="20">
        <f>IF(SUM(Selections!$T$6:$T$38)=0,"n.a.",SUM(Selections!$S$6:$S$38)/SUM(Selections!$T$6:$T$38))</f>
        <v>0.7772039532532659</v>
      </c>
      <c r="N6" s="20">
        <f>IF(SUM(Selections!$T$6:$T$38)=0,"n.a.",(SUMIFS(Selections!$L$6:$L$38,Selections!$T$6:$T$38,1))/SUM(Selections!$T$6:$T$38))</f>
        <v>0.8076923076923077</v>
      </c>
      <c r="O6" s="20">
        <f>IF(SUM(Selections!$T$6:$T$38)=0,"n.a.",(SUM(Selections!$S$6:$S$38)-(SUMIFS(Selections!$L$6:$L$38,Selections!$T$6:$T$38,1)))/SUM(Selections!$T$6:$T$38))</f>
        <v>-0.030488354439041854</v>
      </c>
      <c r="P6" s="19">
        <f>SUM(Selections!$T$6:$T$38)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13</v>
      </c>
      <c r="D7" s="19">
        <f>(COUNTIFS(Selections!$F$6:$F$38,"STRICT",Selections!$K$6:$K$38,"WON")+COUNTIFS(Selections!$F$6:$F$38,"STRICT",Selections!$K$6:$K$38,"LOST"))</f>
        <v>11</v>
      </c>
      <c r="E7" s="19">
        <f>COUNTIFS(Selections!$F$6:$F$38,"STRICT",Selections!$K$6:$K$38,"WON")</f>
        <v>10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2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0.9090909090909091</v>
      </c>
      <c r="I7" s="22">
        <f>SUMIFS(Selections!$M$6:$M$38,Selections!$F$6:$F$38,"STRICT")</f>
        <v>11</v>
      </c>
      <c r="J7" s="22">
        <f>SUMIFS(Selections!$N$6:$N$38,Selections!$F$6:$F$38,"STRICT")</f>
        <v>3.32</v>
      </c>
      <c r="K7" s="20">
        <f>IF(SUMIFS(Selections!$M$6:$M$38,Selections!$F$6:$F$38,"STRICT")=0,"n.a.",SUMIFS(Selections!$N$6:$N$38,Selections!$F$6:$F$38,"STRICT")/SUMIFS(Selections!$M$6:$M$38,Selections!$F$6:$F$38,"STRICT"))</f>
        <v>0.3018181818181818</v>
      </c>
      <c r="L7" s="21">
        <f>IF(SUMIFS(Selections!$T$6:$T$38,Selections!$F$6:$F$38,"STRICT")=0,"n.a.",SUMIFS(Selections!$O$6:$O$38,Selections!$F$6:$F$38,"STRICT")/SUMIFS(Selections!$T$6:$T$38,Selections!$F$6:$F$38,"STRICT"))</f>
        <v>0.09620140437807416</v>
      </c>
      <c r="M7" s="20">
        <f>IF(SUMIFS(Selections!$T$6:$T$38,Selections!$F$6:$F$38,"STRICT")=0,"n.a.",SUMIFS(Selections!$S$6:$S$38,Selections!$F$6:$F$38,"STRICT")/SUMIFS(Selections!$T$6:$T$38,Selections!$F$6:$F$38,"STRICT"))</f>
        <v>0.7551745752675235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0.9090909090909091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-0.15391633382338554</v>
      </c>
      <c r="P7" s="19">
        <f>SUMIFS(Selections!$T$6:$T$38,Selections!$F$6:$F$38,"STRICT")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20</v>
      </c>
      <c r="D8" s="19">
        <f>(COUNTIFS(Selections!$F$6:$F$38,"PROVISIONAL",Selections!$K$6:$K$38,"WON")+COUNTIFS(Selections!$F$6:$F$38,"PROVISIONAL",Selections!$K$6:$K$38,"LOST"))</f>
        <v>15</v>
      </c>
      <c r="E8" s="19">
        <f>COUNTIFS(Selections!$F$6:$F$38,"PROVISIONAL",Selections!$K$6:$K$38,"WON")</f>
        <v>11</v>
      </c>
      <c r="F8" s="19">
        <f>COUNTIFS(Selections!$F$6:$F$38,"PROVISIONAL",Selections!$K$6:$K$38,"LOST")</f>
        <v>4</v>
      </c>
      <c r="G8" s="19">
        <f>COUNTIFS(Selections!$F$6:$F$38,"PROVISIONAL")-(COUNTIFS(Selections!$F$6:$F$38,"PROVISIONAL",Selections!$K$6:$K$38,"WON")+COUNTIFS(Selections!$F$6:$F$38,"PROVISIONAL",Selections!$K$6:$K$38,"LOST"))</f>
        <v>5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0.7333333333333333</v>
      </c>
      <c r="I8" s="22">
        <f>SUMIFS(Selections!$M$6:$M$38,Selections!$F$6:$F$38,"PROVISIONAL")</f>
        <v>15</v>
      </c>
      <c r="J8" s="22">
        <f>SUMIFS(Selections!$N$6:$N$38,Selections!$F$6:$F$38,"PROVISIONAL")</f>
        <v>-0.5100000000000002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-0.034000000000000016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0.2085245618312393</v>
      </c>
      <c r="M8" s="20">
        <f>IF(SUMIFS(Selections!$T$6:$T$38,Selections!$F$6:$F$38,"PROVISIONAL")=0,"n.a.",SUMIFS(Selections!$S$6:$S$38,Selections!$F$6:$F$38,"PROVISIONAL")/SUMIFS(Selections!$T$6:$T$38,Selections!$F$6:$F$38,"PROVISIONAL"))</f>
        <v>0.7933588304428102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0.7333333333333333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0.06002549710947691</v>
      </c>
      <c r="P8" s="19">
        <f>SUMIFS(Selections!$T$6:$T$38,Selections!$F$6:$F$38,"PROVISIONAL")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3</v>
      </c>
      <c r="E9" s="19">
        <f>COUNTIFS(Selections!$C$6:$C$38,"Bundesliga",Selections!$K$6:$K$38,"WON")</f>
        <v>3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0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3</v>
      </c>
      <c r="J9" s="22">
        <f>SUMIFS(Selections!$N$6:$N$38,Selections!$C$6:$C$38,"Bundesliga")</f>
        <v>0.74</v>
      </c>
      <c r="K9" s="20">
        <f>IF(SUMIFS(Selections!$M$6:$M$38,Selections!$C$6:$C$38,"Bundesliga")=0,"n.a.",SUMIFS(Selections!$N$6:$N$38,Selections!$C$6:$C$38,"Bundesliga")/SUMIFS(Selections!$M$6:$M$38,Selections!$C$6:$C$38,"Bundesliga"))</f>
        <v>0.24666666666666667</v>
      </c>
      <c r="L9" s="21">
        <f>IF(SUMIFS(Selections!$T$6:$T$38,Selections!$C$6:$C$38,"Bundesliga")=0,"n.a.",SUMIFS(Selections!$O$6:$O$38,Selections!$C$6:$C$38,"Bundesliga")/SUMIFS(Selections!$T$6:$T$38,Selections!$C$6:$C$38,"Bundesliga"))</f>
        <v>0.03973352985046064</v>
      </c>
      <c r="M9" s="20">
        <f>IF(SUMIFS(Selections!$T$6:$T$38,Selections!$C$6:$C$38,"Bundesliga")=0,"n.a.",SUMIFS(Selections!$S$6:$S$38,Selections!$C$6:$C$38,"Bundesliga")/SUMIFS(Selections!$T$6:$T$38,Selections!$C$6:$C$38,"Bundesliga"))</f>
        <v>0.8037750849699149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-0.1962249150300851</v>
      </c>
      <c r="P9" s="19">
        <f>SUMIFS(Selections!$T$6:$T$38,Selections!$C$6:$C$38,"Bundesliga")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6</v>
      </c>
      <c r="E10" s="19">
        <f>COUNTIFS(Selections!$C$6:$C$38,"La Liga",Selections!$K$6:$K$38,"WON")</f>
        <v>6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2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6</v>
      </c>
      <c r="J10" s="22">
        <f>SUMIFS(Selections!$N$6:$N$38,Selections!$C$6:$C$38,"La Liga")</f>
        <v>1.8199999999999998</v>
      </c>
      <c r="K10" s="20">
        <f>IF(SUMIFS(Selections!$M$6:$M$38,Selections!$C$6:$C$38,"La Liga")=0,"n.a.",SUMIFS(Selections!$N$6:$N$38,Selections!$C$6:$C$38,"La Liga")/SUMIFS(Selections!$M$6:$M$38,Selections!$C$6:$C$38,"La Liga"))</f>
        <v>0.3033333333333333</v>
      </c>
      <c r="L10" s="21">
        <f>IF(SUMIFS(Selections!$T$6:$T$38,Selections!$C$6:$C$38,"La Liga")=0,"n.a.",SUMIFS(Selections!$O$6:$O$38,Selections!$C$6:$C$38,"La Liga")/SUMIFS(Selections!$T$6:$T$38,Selections!$C$6:$C$38,"La Liga"))</f>
        <v>0.035061219735885975</v>
      </c>
      <c r="M10" s="20">
        <f>IF(SUMIFS(Selections!$T$6:$T$38,Selections!$C$6:$C$38,"La Liga")=0,"n.a.",SUMIFS(Selections!$S$6:$S$38,Selections!$C$6:$C$38,"La Liga")/SUMIFS(Selections!$T$6:$T$38,Selections!$C$6:$C$38,"La Liga"))</f>
        <v>0.8259716952617202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-0.1740283047382798</v>
      </c>
      <c r="P10" s="19">
        <f>SUMIFS(Selections!$T$6:$T$38,Selections!$C$6:$C$38,"La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2</v>
      </c>
      <c r="E11" s="19">
        <f>COUNTIFS(Selections!$C$6:$C$38,"Ligue 1",Selections!$K$6:$K$38,"WON")</f>
        <v>1</v>
      </c>
      <c r="F11" s="19">
        <f>COUNTIFS(Selections!$C$6:$C$38,"Ligue 1",Selections!$K$6:$K$38,"LOST")</f>
        <v>1</v>
      </c>
      <c r="G11" s="19">
        <f>COUNTIFS(Selections!$C$6:$C$38,"Ligue 1")-(COUNTIFS(Selections!$C$6:$C$38,"Ligue 1",Selections!$K$6:$K$38,"WON")+COUNTIFS(Selections!$C$6:$C$38,"Ligue 1",Selections!$K$6:$K$38,"LOST"))</f>
        <v>1</v>
      </c>
      <c r="H11" s="20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0.5</v>
      </c>
      <c r="I11" s="22">
        <f>SUMIFS(Selections!$M$6:$M$38,Selections!$C$6:$C$38,"Ligue 1")</f>
        <v>2</v>
      </c>
      <c r="J11" s="22">
        <f>SUMIFS(Selections!$N$6:$N$38,Selections!$C$6:$C$38,"Ligue 1")</f>
        <v>-0.33000000000000007</v>
      </c>
      <c r="K11" s="20">
        <f>IF(SUMIFS(Selections!$M$6:$M$38,Selections!$C$6:$C$38,"Ligue 1")=0,"n.a.",SUMIFS(Selections!$N$6:$N$38,Selections!$C$6:$C$38,"Ligue 1")/SUMIFS(Selections!$M$6:$M$38,Selections!$C$6:$C$38,"Ligue 1"))</f>
        <v>-0.16500000000000004</v>
      </c>
      <c r="L11" s="21">
        <f>IF(SUMIFS(Selections!$T$6:$T$38,Selections!$C$6:$C$38,"Ligue 1")=0,"n.a.",SUMIFS(Selections!$O$6:$O$38,Selections!$C$6:$C$38,"Ligue 1")/SUMIFS(Selections!$T$6:$T$38,Selections!$C$6:$C$38,"Ligue 1"))</f>
        <v>0.37925018842161284</v>
      </c>
      <c r="M11" s="20">
        <f>IF(SUMIFS(Selections!$T$6:$T$38,Selections!$C$6:$C$38,"Ligue 1")=0,"n.a.",SUMIFS(Selections!$S$6:$S$38,Selections!$C$6:$C$38,"Ligue 1")/SUMIFS(Selections!$T$6:$T$38,Selections!$C$6:$C$38,"Ligue 1"))</f>
        <v>0.6960953243674277</v>
      </c>
      <c r="N11" s="20">
        <f>IF(SUMIFS(Selections!$T$6:$T$38,Selections!$C$6:$C$38,"Ligue 1")=0,"n.a.",(SUMIFS(Selections!$L$6:$L$38,Selections!$C$6:$C$38,"Ligue 1",Selections!$T$6:$T$38,1))/SUMIFS(Selections!$T$6:$T$38,Selections!$C$6:$C$38,"Ligue 1"))</f>
        <v>0.5</v>
      </c>
      <c r="O11" s="20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0.19609532436742771</v>
      </c>
      <c r="P11" s="19">
        <f>SUMIFS(Selections!$T$6:$T$38,Selections!$C$6:$C$38,"Ligue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6</v>
      </c>
      <c r="E12" s="19">
        <f>COUNTIFS(Selections!$C$6:$C$38,"Premier League",Selections!$K$6:$K$38,"WON")</f>
        <v>3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1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0.5</v>
      </c>
      <c r="I12" s="22">
        <f>SUMIFS(Selections!$M$6:$M$38,Selections!$C$6:$C$38,"Premier League")</f>
        <v>6</v>
      </c>
      <c r="J12" s="22">
        <f>SUMIFS(Selections!$N$6:$N$38,Selections!$C$6:$C$38,"Premier League")</f>
        <v>-2.14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-0.3566666666666667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0.34451819985468496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0.8130289690439606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0.5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0.3130289690439606</v>
      </c>
      <c r="P12" s="19">
        <f>SUMIFS(Selections!$T$6:$T$38,Selections!$C$6:$C$38,"Premier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5</v>
      </c>
      <c r="E13" s="19">
        <f>COUNTIFS(Selections!$C$6:$C$38,"Serie A",Selections!$K$6:$K$38,"WON")</f>
        <v>4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1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0.8</v>
      </c>
      <c r="I13" s="22">
        <f>SUMIFS(Selections!$M$6:$M$38,Selections!$C$6:$C$38,"Serie A")</f>
        <v>5</v>
      </c>
      <c r="J13" s="22">
        <f>SUMIFS(Selections!$N$6:$N$38,Selections!$C$6:$C$38,"Serie A")</f>
        <v>0.8</v>
      </c>
      <c r="K13" s="20">
        <f>IF(SUMIFS(Selections!$M$6:$M$38,Selections!$C$6:$C$38,"Serie A")=0,"n.a.",SUMIFS(Selections!$N$6:$N$38,Selections!$C$6:$C$38,"Serie A")/SUMIFS(Selections!$M$6:$M$38,Selections!$C$6:$C$38,"Serie A"))</f>
        <v>0.16</v>
      </c>
      <c r="L13" s="21">
        <f>IF(SUMIFS(Selections!$T$6:$T$38,Selections!$C$6:$C$38,"Serie A")=0,"n.a.",SUMIFS(Selections!$O$6:$O$38,Selections!$C$6:$C$38,"Serie A")/SUMIFS(Selections!$T$6:$T$38,Selections!$C$6:$C$38,"Serie A"))</f>
        <v>0.1502962767075388</v>
      </c>
      <c r="M13" s="20">
        <f>IF(SUMIFS(Selections!$T$6:$T$38,Selections!$C$6:$C$38,"Serie A")=0,"n.a.",SUMIFS(Selections!$S$6:$S$38,Selections!$C$6:$C$38,"Serie A")/SUMIFS(Selections!$T$6:$T$38,Selections!$C$6:$C$38,"Serie A"))</f>
        <v>0.7063993976931371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0.8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-0.09360060230686296</v>
      </c>
      <c r="P13" s="19">
        <f>SUMIFS(Selections!$T$6:$T$38,Selections!$C$6:$C$38,"Serie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1.92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0.48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0.0698562520379194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0.7594464766601356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-0.24055352333986435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0.4253283778022773</v>
      </c>
      <c r="M15" s="20">
        <f>IF(SUMIFS(Selections!$T$6:$T$38,Selections!$E$6:$E$38,"Away win")=0,"n.a.",SUMIFS(Selections!$S$6:$S$38,Selections!$E$6:$E$38,"Away win")/SUMIFS(Selections!$T$6:$T$38,Selections!$E$6:$E$38,"Away win"))</f>
        <v>0.6521720461674797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0.6521720461674797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2</v>
      </c>
      <c r="D16" s="19">
        <f>(COUNTIFS(Selections!$E$6:$E$38,"Both Teams to Score - Yes",Selections!$K$6:$K$38,"WON")+COUNTIFS(Selections!$E$6:$E$38,"Both Teams to Score - Yes",Selections!$K$6:$K$38,"LOST"))</f>
        <v>2</v>
      </c>
      <c r="E16" s="19">
        <f>COUNTIFS(Selections!$E$6:$E$38,"Both Teams to Score - Yes",Selections!$K$6:$K$38,"WON")</f>
        <v>2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2</v>
      </c>
      <c r="J16" s="22">
        <f>SUMIFS(Selections!$N$6:$N$38,Selections!$E$6:$E$38,"Both Teams to Score - Yes")</f>
        <v>1.02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0.51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0.0816693584120611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0.7143269086376708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-0.2856730913623292</v>
      </c>
      <c r="P16" s="19">
        <f>SUMIFS(Selections!$T$6:$T$38,Selections!$E$6:$E$38,"Both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2</v>
      </c>
      <c r="E17" s="19">
        <f>COUNTIFS(Selections!$E$6:$E$38,"Double Chance 12",Selections!$K$6:$K$38,"WON")</f>
        <v>2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1</v>
      </c>
      <c r="H17" s="20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1.0</v>
      </c>
      <c r="I17" s="22">
        <f>SUMIFS(Selections!$M$6:$M$38,Selections!$E$6:$E$38,"Double Chance 12")</f>
        <v>2</v>
      </c>
      <c r="J17" s="22">
        <f>SUMIFS(Selections!$N$6:$N$38,Selections!$E$6:$E$38,"Double Chance 12")</f>
        <v>0.55</v>
      </c>
      <c r="K17" s="20">
        <f>IF(SUMIFS(Selections!$M$6:$M$38,Selections!$E$6:$E$38,"Double Chance 12")=0,"n.a.",SUMIFS(Selections!$N$6:$N$38,Selections!$E$6:$E$38,"Double Chance 12")/SUMIFS(Selections!$M$6:$M$38,Selections!$E$6:$E$38,"Double Chance 12"))</f>
        <v>0.275</v>
      </c>
      <c r="L17" s="21">
        <f>IF(SUMIFS(Selections!$T$6:$T$38,Selections!$E$6:$E$38,"Double Chance 12")=0,"n.a.",SUMIFS(Selections!$O$6:$O$38,Selections!$E$6:$E$38,"Double Chance 12")/SUMIFS(Selections!$T$6:$T$38,Selections!$E$6:$E$38,"Double Chance 12"))</f>
        <v>0.06039485652956292</v>
      </c>
      <c r="M17" s="20">
        <f>IF(SUMIFS(Selections!$T$6:$T$38,Selections!$E$6:$E$38,"Double Chance 12")=0,"n.a.",SUMIFS(Selections!$S$6:$S$38,Selections!$E$6:$E$38,"Double Chance 12")/SUMIFS(Selections!$T$6:$T$38,Selections!$E$6:$E$38,"Double Chance 12"))</f>
        <v>0.7543630828815686</v>
      </c>
      <c r="N17" s="20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1.0</v>
      </c>
      <c r="O17" s="20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-0.24563691711843139</v>
      </c>
      <c r="P17" s="19">
        <f>SUMIFS(Selections!$T$6:$T$38,Selections!$E$6:$E$38,"Double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2</v>
      </c>
      <c r="E18" s="19">
        <f>COUNTIFS(Selections!$E$6:$E$38,"Double Chance 1X",Selections!$K$6:$K$38,"WON")</f>
        <v>2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2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2</v>
      </c>
      <c r="J18" s="22">
        <f>SUMIFS(Selections!$N$6:$N$38,Selections!$E$6:$E$38,"Double Chance 1X")</f>
        <v>0.47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0.235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0.03126325569114972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0.8246942179771811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-0.17530578202281888</v>
      </c>
      <c r="P18" s="19">
        <f>SUMIFS(Selections!$T$6:$T$38,Selections!$E$6:$E$38,"Double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3</v>
      </c>
      <c r="D19" s="19">
        <f>(COUNTIFS(Selections!$E$6:$E$38,"Double Chance X2",Selections!$K$6:$K$38,"WON")+COUNTIFS(Selections!$E$6:$E$38,"Double Chance X2",Selections!$K$6:$K$38,"LOST"))</f>
        <v>3</v>
      </c>
      <c r="E19" s="19">
        <f>COUNTIFS(Selections!$E$6:$E$38,"Double Chance X2",Selections!$K$6:$K$38,"WON")</f>
        <v>3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0</v>
      </c>
      <c r="H19" s="20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1.0</v>
      </c>
      <c r="I19" s="22">
        <f>SUMIFS(Selections!$M$6:$M$38,Selections!$E$6:$E$38,"Double Chance X2")</f>
        <v>3</v>
      </c>
      <c r="J19" s="22">
        <f>SUMIFS(Selections!$N$6:$N$38,Selections!$E$6:$E$38,"Double Chance X2")</f>
        <v>1.2099999999999997</v>
      </c>
      <c r="K19" s="20">
        <f>IF(SUMIFS(Selections!$M$6:$M$38,Selections!$E$6:$E$38,"Double Chance X2")=0,"n.a.",SUMIFS(Selections!$N$6:$N$38,Selections!$E$6:$E$38,"Double Chance X2")/SUMIFS(Selections!$M$6:$M$38,Selections!$E$6:$E$38,"Double Chance X2"))</f>
        <v>0.40333333333333327</v>
      </c>
      <c r="L19" s="21">
        <f>IF(SUMIFS(Selections!$T$6:$T$38,Selections!$E$6:$E$38,"Double Chance X2")=0,"n.a.",SUMIFS(Selections!$O$6:$O$38,Selections!$E$6:$E$38,"Double Chance X2")/SUMIFS(Selections!$T$6:$T$38,Selections!$E$6:$E$38,"Double Chance X2"))</f>
        <v>0.08317421502946969</v>
      </c>
      <c r="M19" s="20">
        <f>IF(SUMIFS(Selections!$T$6:$T$38,Selections!$E$6:$E$38,"Double Chance X2")=0,"n.a.",SUMIFS(Selections!$S$6:$S$38,Selections!$E$6:$E$38,"Double Chance X2")/SUMIFS(Selections!$T$6:$T$38,Selections!$E$6:$E$38,"Double Chance X2"))</f>
        <v>0.726895137144221</v>
      </c>
      <c r="N19" s="20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1.0</v>
      </c>
      <c r="O19" s="20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-0.27310486285577895</v>
      </c>
      <c r="P19" s="19">
        <f>SUMIFS(Selections!$T$6:$T$38,Selections!$E$6:$E$38,"Double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7</v>
      </c>
      <c r="D20" s="19">
        <f>(COUNTIFS(Selections!$E$6:$E$38,"Home win",Selections!$K$6:$K$38,"WON")+COUNTIFS(Selections!$E$6:$E$38,"Home win",Selections!$K$6:$K$38,"LOST"))</f>
        <v>5</v>
      </c>
      <c r="E20" s="19">
        <f>COUNTIFS(Selections!$E$6:$E$38,"Home win",Selections!$K$6:$K$38,"WON")</f>
        <v>5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2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5</v>
      </c>
      <c r="J20" s="22">
        <f>SUMIFS(Selections!$N$6:$N$38,Selections!$E$6:$E$38,"Home win")</f>
        <v>2.5300000000000002</v>
      </c>
      <c r="K20" s="20">
        <f>IF(SUMIFS(Selections!$M$6:$M$38,Selections!$E$6:$E$38,"Home win")=0,"n.a.",SUMIFS(Selections!$N$6:$N$38,Selections!$E$6:$E$38,"Home win")/SUMIFS(Selections!$M$6:$M$38,Selections!$E$6:$E$38,"Home win"))</f>
        <v>0.506</v>
      </c>
      <c r="L20" s="21">
        <f>IF(SUMIFS(Selections!$T$6:$T$38,Selections!$E$6:$E$38,"Home win")=0,"n.a.",SUMIFS(Selections!$O$6:$O$38,Selections!$E$6:$E$38,"Home win")/SUMIFS(Selections!$T$6:$T$38,Selections!$E$6:$E$38,"Home win"))</f>
        <v>0.08395111444229483</v>
      </c>
      <c r="M20" s="20">
        <f>IF(SUMIFS(Selections!$T$6:$T$38,Selections!$E$6:$E$38,"Home win")=0,"n.a.",SUMIFS(Selections!$S$6:$S$38,Selections!$E$6:$E$38,"Home win")/SUMIFS(Selections!$T$6:$T$38,Selections!$E$6:$E$38,"Home win"))</f>
        <v>0.717377401189973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-0.28262259881002705</v>
      </c>
      <c r="P20" s="19">
        <f>SUMIFS(Selections!$T$6:$T$38,Selections!$E$6:$E$38,"Home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8</v>
      </c>
      <c r="D21" s="19">
        <f>(COUNTIFS(Selections!$E$6:$E$38,"Over 1.5",Selections!$K$6:$K$38,"WON")+COUNTIFS(Selections!$E$6:$E$38,"Over 1.5",Selections!$K$6:$K$38,"LOST"))</f>
        <v>6</v>
      </c>
      <c r="E21" s="19">
        <f>COUNTIFS(Selections!$E$6:$E$38,"Over 1.5",Selections!$K$6:$K$38,"WON")</f>
        <v>5</v>
      </c>
      <c r="F21" s="19">
        <f>COUNTIFS(Selections!$E$6:$E$38,"Over 1.5",Selections!$K$6:$K$38,"LOST")</f>
        <v>1</v>
      </c>
      <c r="G21" s="19">
        <f>COUNTIFS(Selections!$E$6:$E$38,"Over 1.5")-(COUNTIFS(Selections!$E$6:$E$38,"Over 1.5",Selections!$K$6:$K$38,"WON")+COUNTIFS(Selections!$E$6:$E$38,"Over 1.5",Selections!$K$6:$K$38,"LOST"))</f>
        <v>2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0.8333333333333334</v>
      </c>
      <c r="I21" s="22">
        <f>SUMIFS(Selections!$M$6:$M$38,Selections!$E$6:$E$38,"Over 1.5")</f>
        <v>6</v>
      </c>
      <c r="J21" s="22">
        <f>SUMIFS(Selections!$N$6:$N$38,Selections!$E$6:$E$38,"Over 1.5")</f>
        <v>0.32999999999999985</v>
      </c>
      <c r="K21" s="20">
        <f>IF(SUMIFS(Selections!$M$6:$M$38,Selections!$E$6:$E$38,"Over 1.5")=0,"n.a.",SUMIFS(Selections!$N$6:$N$38,Selections!$E$6:$E$38,"Over 1.5")/SUMIFS(Selections!$M$6:$M$38,Selections!$E$6:$E$38,"Over 1.5"))</f>
        <v>0.05499999999999997</v>
      </c>
      <c r="L21" s="21">
        <f>IF(SUMIFS(Selections!$T$6:$T$38,Selections!$E$6:$E$38,"Over 1.5")=0,"n.a.",SUMIFS(Selections!$O$6:$O$38,Selections!$E$6:$E$38,"Over 1.5")/SUMIFS(Selections!$T$6:$T$38,Selections!$E$6:$E$38,"Over 1.5"))</f>
        <v>0.11632878708164611</v>
      </c>
      <c r="M21" s="20">
        <f>IF(SUMIFS(Selections!$T$6:$T$38,Selections!$E$6:$E$38,"Over 1.5")=0,"n.a.",SUMIFS(Selections!$S$6:$S$38,Selections!$E$6:$E$38,"Over 1.5")/SUMIFS(Selections!$T$6:$T$38,Selections!$E$6:$E$38,"Over 1.5"))</f>
        <v>0.8626789824199815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0.8333333333333334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0.029345649086648162</v>
      </c>
      <c r="P21" s="19">
        <f>SUMIFS(Selections!$T$6:$T$38,Selections!$E$6:$E$38,"Over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5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0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0.4093699233539641</v>
      </c>
      <c r="M22" s="20">
        <f>IF(SUMIFS(Selections!$T$6:$T$38,Selections!$E$6:$E$38,"Under 3.5")=0,"n.a.",SUMIFS(Selections!$S$6:$S$38,Selections!$E$6:$E$38,"Under 3.5")/SUMIFS(Selections!$T$6:$T$38,Selections!$E$6:$E$38,"Under 3.5"))</f>
        <v>0.8049432015044351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0.4049432015044351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10</v>
      </c>
      <c r="D23" s="19">
        <f>(COUNTIFS(Selections!$G$6:$G$38,"48h-top-ten-probability-ev-no-under35-v14",Selections!$K$6:$K$38,"WON")+COUNTIFS(Selections!$G$6:$G$38,"48h-top-ten-probability-ev-no-under35-v14",Selections!$K$6:$K$38,"LOST"))</f>
        <v>7</v>
      </c>
      <c r="E23" s="19">
        <f>COUNTIFS(Selections!$G$6:$G$38,"48h-top-ten-probability-ev-no-under35-v14",Selections!$K$6:$K$38,"WON")</f>
        <v>6</v>
      </c>
      <c r="F23" s="19">
        <f>COUNTIFS(Selections!$G$6:$G$38,"48h-top-ten-probability-ev-no-under35-v14",Selections!$K$6:$K$38,"LOST")</f>
        <v>1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3</v>
      </c>
      <c r="H23" s="20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0.8571428571428571</v>
      </c>
      <c r="I23" s="22">
        <f>SUMIFS(Selections!$M$6:$M$38,Selections!$G$6:$G$38,"48h-top-ten-probability-ev-no-under35-v14")</f>
        <v>7</v>
      </c>
      <c r="J23" s="22">
        <f>SUMIFS(Selections!$N$6:$N$38,Selections!$G$6:$G$38,"48h-top-ten-probability-ev-no-under35-v14")</f>
        <v>1.0499999999999998</v>
      </c>
      <c r="K23" s="20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0.14999999999999997</v>
      </c>
      <c r="L23" s="21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0.14695610816590257</v>
      </c>
      <c r="M23" s="20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0.7493258100280961</v>
      </c>
      <c r="N23" s="20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0.8571428571428571</v>
      </c>
      <c r="O23" s="20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-0.10781704711476103</v>
      </c>
      <c r="P23" s="19">
        <f>SUMIFS(Selections!$T$6:$T$38,Selections!$G$6:$G$38,"48h-top-ten-probability-ev-no-under35-v14")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COUNTIFS(Selections!$G$6:$G$38,"72h-all-markets-ev15-one-book-v6")</f>
        <v>1</v>
      </c>
      <c r="D24" s="19">
        <f>(COUNTIFS(Selections!$G$6:$G$38,"72h-all-markets-ev15-one-book-v6",Selections!$K$6:$K$38,"WON")+COUNTIFS(Selections!$G$6:$G$38,"72h-all-markets-ev15-one-book-v6",Selections!$K$6:$K$38,"LOST"))</f>
        <v>1</v>
      </c>
      <c r="E24" s="19">
        <f>COUNTIFS(Selections!$G$6:$G$38,"72h-all-markets-ev15-one-book-v6",Selections!$K$6:$K$38,"WON")</f>
        <v>1</v>
      </c>
      <c r="F24" s="19">
        <f>COUNTIFS(Selections!$G$6:$G$38,"72h-all-markets-ev15-one-book-v6",Selections!$K$6:$K$38,"LOST")</f>
        <v>0</v>
      </c>
      <c r="G24" s="19">
        <f>COUNTIFS(Selections!$G$6:$G$38,"72h-all-markets-ev15-one-book-v6")-(COUNTIFS(Selections!$G$6:$G$38,"72h-all-markets-ev15-one-book-v6",Selections!$K$6:$K$38,"WON")+COUNTIFS(Selections!$G$6:$G$38,"72h-all-markets-ev15-one-book-v6",Selections!$K$6:$K$38,"LOST"))</f>
        <v>0</v>
      </c>
      <c r="H24" s="20">
        <f>IF((COUNTIFS(Selections!$G$6:$G$38,"72h-all-markets-ev15-one-book-v6",Selections!$K$6:$K$38,"WON")+COUNTIFS(Selections!$G$6:$G$38,"72h-all-markets-ev15-one-book-v6",Selections!$K$6:$K$38,"LOST"))=0,"n.a.",COUNTIFS(Selections!$G$6:$G$38,"72h-all-markets-ev15-one-book-v6",Selections!$K$6:$K$38,"WON")/(COUNTIFS(Selections!$G$6:$G$38,"72h-all-markets-ev15-one-book-v6",Selections!$K$6:$K$38,"WON")+COUNTIFS(Selections!$G$6:$G$38,"72h-all-markets-ev15-one-book-v6",Selections!$K$6:$K$38,"LOST")))</f>
        <v>1.0</v>
      </c>
      <c r="I24" s="22">
        <f>SUMIFS(Selections!$M$6:$M$38,Selections!$G$6:$G$38,"72h-all-markets-ev15-one-book-v6")</f>
        <v>1</v>
      </c>
      <c r="J24" s="22">
        <f>SUMIFS(Selections!$N$6:$N$38,Selections!$G$6:$G$38,"72h-all-markets-ev15-one-book-v6")</f>
        <v>0.44999999999999996</v>
      </c>
      <c r="K24" s="20">
        <f>IF(SUMIFS(Selections!$M$6:$M$38,Selections!$G$6:$G$38,"72h-all-markets-ev15-one-book-v6")=0,"n.a.",SUMIFS(Selections!$N$6:$N$38,Selections!$G$6:$G$38,"72h-all-markets-ev15-one-book-v6")/SUMIFS(Selections!$M$6:$M$38,Selections!$G$6:$G$38,"72h-all-markets-ev15-one-book-v6"))</f>
        <v>0.44999999999999996</v>
      </c>
      <c r="L24" s="21">
        <f>IF(SUMIFS(Selections!$T$6:$T$38,Selections!$G$6:$G$38,"72h-all-markets-ev15-one-book-v6")=0,"n.a.",SUMIFS(Selections!$O$6:$O$38,Selections!$G$6:$G$38,"72h-all-markets-ev15-one-book-v6")/SUMIFS(Selections!$T$6:$T$38,Selections!$G$6:$G$38,"72h-all-markets-ev15-one-book-v6"))</f>
        <v>0.08610395019172555</v>
      </c>
      <c r="M24" s="20">
        <f>IF(SUMIFS(Selections!$T$6:$T$38,Selections!$G$6:$G$38,"72h-all-markets-ev15-one-book-v6")=0,"n.a.",SUMIFS(Selections!$S$6:$S$38,Selections!$G$6:$G$38,"72h-all-markets-ev15-one-book-v6")/SUMIFS(Selections!$T$6:$T$38,Selections!$G$6:$G$38,"72h-all-markets-ev15-one-book-v6"))</f>
        <v>0.706565253946085</v>
      </c>
      <c r="N24" s="20">
        <f>IF(SUMIFS(Selections!$T$6:$T$38,Selections!$G$6:$G$38,"72h-all-markets-ev15-one-book-v6")=0,"n.a.",(SUMIFS(Selections!$L$6:$L$38,Selections!$G$6:$G$38,"72h-all-markets-ev15-one-book-v6",Selections!$T$6:$T$38,1))/SUMIFS(Selections!$T$6:$T$38,Selections!$G$6:$G$38,"72h-all-markets-ev15-one-book-v6"))</f>
        <v>1.0</v>
      </c>
      <c r="O24" s="20">
        <f>IF(SUMIFS(Selections!$T$6:$T$38,Selections!$G$6:$G$38,"72h-all-markets-ev15-one-book-v6")=0,"n.a.",(SUMIFS(Selections!$S$6:$S$38,Selections!$G$6:$G$38,"72h-all-markets-ev15-one-book-v6")-(SUMIFS(Selections!$L$6:$L$38,Selections!$G$6:$G$38,"72h-all-markets-ev15-one-book-v6",Selections!$T$6:$T$38,1)))/SUMIFS(Selections!$T$6:$T$38,Selections!$G$6:$G$38,"72h-all-markets-ev15-one-book-v6"))</f>
        <v>-0.29343474605391495</v>
      </c>
      <c r="P24" s="19">
        <f>SUMIFS(Selections!$T$6:$T$38,Selections!$G$6:$G$38,"72h-all-markets-ev15-one-book-v6")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COUNTIFS(Selections!$G$6:$G$38,"72h-all-markets-net-ev15-execution-v7")</f>
        <v>5</v>
      </c>
      <c r="D25" s="19">
        <f>(COUNTIFS(Selections!$G$6:$G$38,"72h-all-markets-net-ev15-execution-v7",Selections!$K$6:$K$38,"WON")+COUNTIFS(Selections!$G$6:$G$38,"72h-all-markets-net-ev15-execution-v7",Selections!$K$6:$K$38,"LOST"))</f>
        <v>4</v>
      </c>
      <c r="E25" s="19">
        <f>COUNTIFS(Selections!$G$6:$G$38,"72h-all-markets-net-ev15-execution-v7",Selections!$K$6:$K$38,"WON")</f>
        <v>4</v>
      </c>
      <c r="F25" s="19">
        <f>COUNTIFS(Selections!$G$6:$G$38,"72h-all-markets-net-ev15-execution-v7",Selections!$K$6:$K$38,"LOST")</f>
        <v>0</v>
      </c>
      <c r="G25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1</v>
      </c>
      <c r="H25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1.0</v>
      </c>
      <c r="I25" s="22">
        <f>SUMIFS(Selections!$M$6:$M$38,Selections!$G$6:$G$38,"72h-all-markets-net-ev15-execution-v7")</f>
        <v>4</v>
      </c>
      <c r="J25" s="22">
        <f>SUMIFS(Selections!$N$6:$N$38,Selections!$G$6:$G$38,"72h-all-markets-net-ev15-execution-v7")</f>
        <v>1.74</v>
      </c>
      <c r="K25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0.435</v>
      </c>
      <c r="L25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0.05403053120768371</v>
      </c>
      <c r="M25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0.7950551078170468</v>
      </c>
      <c r="N25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1.0</v>
      </c>
      <c r="O25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-0.2049448921829532</v>
      </c>
      <c r="P25" s="19">
        <f>SUMIFS(Selections!$T$6:$T$38,Selections!$G$6:$G$38,"72h-all-markets-net-ev15-execution-v7")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COUNTIFS(Selections!$G$6:$G$38,"72h-seven-markets-fresh-references-net-ev15-v11")</f>
        <v>6</v>
      </c>
      <c r="D26" s="19">
        <f>(COUNTIFS(Selections!$G$6:$G$38,"72h-seven-markets-fresh-references-net-ev15-v11",Selections!$K$6:$K$38,"WON")+COUNTIFS(Selections!$G$6:$G$38,"72h-seven-markets-fresh-references-net-ev15-v11",Selections!$K$6:$K$38,"LOST"))</f>
        <v>5</v>
      </c>
      <c r="E26" s="19">
        <f>COUNTIFS(Selections!$G$6:$G$38,"72h-seven-markets-fresh-references-net-ev15-v11",Selections!$K$6:$K$38,"WON")</f>
        <v>4</v>
      </c>
      <c r="F26" s="19">
        <f>COUNTIFS(Selections!$G$6:$G$38,"72h-seven-markets-fresh-references-net-ev15-v11",Selections!$K$6:$K$38,"LOST")</f>
        <v>1</v>
      </c>
      <c r="G26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1</v>
      </c>
      <c r="H26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0.8</v>
      </c>
      <c r="I26" s="22">
        <f>SUMIFS(Selections!$M$6:$M$38,Selections!$G$6:$G$38,"72h-seven-markets-fresh-references-net-ev15-v11")</f>
        <v>5</v>
      </c>
      <c r="J26" s="22">
        <f>SUMIFS(Selections!$N$6:$N$38,Selections!$G$6:$G$38,"72h-seven-markets-fresh-references-net-ev15-v11")</f>
        <v>0.3600000000000001</v>
      </c>
      <c r="K26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0.07200000000000002</v>
      </c>
      <c r="L26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0.12900891729637554</v>
      </c>
      <c r="M26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0.7527708085856005</v>
      </c>
      <c r="N26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0.8</v>
      </c>
      <c r="O26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-0.04722919141439952</v>
      </c>
      <c r="P26" s="19">
        <f>SUMIFS(Selections!$T$6:$T$38,Selections!$G$6:$G$38,"72h-seven-markets-fresh-references-net-ev15-v11")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COUNTIFS(Selections!$G$6:$G$38,"72h-ucl-v2")</f>
        <v>1</v>
      </c>
      <c r="D27" s="19">
        <f>(COUNTIFS(Selections!$G$6:$G$38,"72h-ucl-v2",Selections!$K$6:$K$38,"WON")+COUNTIFS(Selections!$G$6:$G$38,"72h-ucl-v2",Selections!$K$6:$K$38,"LOST"))</f>
        <v>1</v>
      </c>
      <c r="E27" s="19">
        <f>COUNTIFS(Selections!$G$6:$G$38,"72h-ucl-v2",Selections!$K$6:$K$38,"WON")</f>
        <v>1</v>
      </c>
      <c r="F27" s="19">
        <f>COUNTIFS(Selections!$G$6:$G$38,"72h-ucl-v2",Selections!$K$6:$K$38,"LOST")</f>
        <v>0</v>
      </c>
      <c r="G27" s="19">
        <f>COUNTIFS(Selections!$G$6:$G$38,"72h-ucl-v2")-(COUNTIFS(Selections!$G$6:$G$38,"72h-ucl-v2",Selections!$K$6:$K$38,"WON")+COUNTIFS(Selections!$G$6:$G$38,"72h-ucl-v2",Selections!$K$6:$K$38,"LOST"))</f>
        <v>0</v>
      </c>
      <c r="H27" s="20">
        <f>IF((COUNTIFS(Selections!$G$6:$G$38,"72h-ucl-v2",Selections!$K$6:$K$38,"WON")+COUNTIFS(Selections!$G$6:$G$38,"72h-ucl-v2",Selections!$K$6:$K$38,"LOST"))=0,"n.a.",COUNTIFS(Selections!$G$6:$G$38,"72h-ucl-v2",Selections!$K$6:$K$38,"WON")/(COUNTIFS(Selections!$G$6:$G$38,"72h-ucl-v2",Selections!$K$6:$K$38,"WON")+COUNTIFS(Selections!$G$6:$G$38,"72h-ucl-v2",Selections!$K$6:$K$38,"LOST")))</f>
        <v>1.0</v>
      </c>
      <c r="I27" s="22">
        <f>SUMIFS(Selections!$M$6:$M$38,Selections!$G$6:$G$38,"72h-ucl-v2")</f>
        <v>1</v>
      </c>
      <c r="J27" s="22">
        <f>SUMIFS(Selections!$N$6:$N$38,Selections!$G$6:$G$38,"72h-ucl-v2")</f>
        <v>0.28</v>
      </c>
      <c r="K27" s="20">
        <f>IF(SUMIFS(Selections!$M$6:$M$38,Selections!$G$6:$G$38,"72h-ucl-v2")=0,"n.a.",SUMIFS(Selections!$N$6:$N$38,Selections!$G$6:$G$38,"72h-ucl-v2")/SUMIFS(Selections!$M$6:$M$38,Selections!$G$6:$G$38,"72h-ucl-v2"))</f>
        <v>0.28</v>
      </c>
      <c r="L27" s="21">
        <f>IF(SUMIFS(Selections!$T$6:$T$38,Selections!$G$6:$G$38,"72h-ucl-v2")=0,"n.a.",SUMIFS(Selections!$O$6:$O$38,Selections!$G$6:$G$38,"72h-ucl-v2")/SUMIFS(Selections!$T$6:$T$38,Selections!$G$6:$G$38,"72h-ucl-v2"))</f>
        <v>0.041442876272802645</v>
      </c>
      <c r="M27" s="20">
        <f>IF(SUMIFS(Selections!$T$6:$T$38,Selections!$G$6:$G$38,"72h-ucl-v2")=0,"n.a.",SUMIFS(Selections!$S$6:$S$38,Selections!$G$6:$G$38,"72h-ucl-v2")/SUMIFS(Selections!$T$6:$T$38,Selections!$G$6:$G$38,"72h-ucl-v2"))</f>
        <v>0.7964247650798294</v>
      </c>
      <c r="N27" s="20">
        <f>IF(SUMIFS(Selections!$T$6:$T$38,Selections!$G$6:$G$38,"72h-ucl-v2")=0,"n.a.",(SUMIFS(Selections!$L$6:$L$38,Selections!$G$6:$G$38,"72h-ucl-v2",Selections!$T$6:$T$38,1))/SUMIFS(Selections!$T$6:$T$38,Selections!$G$6:$G$38,"72h-ucl-v2"))</f>
        <v>1.0</v>
      </c>
      <c r="O27" s="20">
        <f>IF(SUMIFS(Selections!$T$6:$T$38,Selections!$G$6:$G$38,"72h-ucl-v2")=0,"n.a.",(SUMIFS(Selections!$S$6:$S$38,Selections!$G$6:$G$38,"72h-ucl-v2")-(SUMIFS(Selections!$L$6:$L$38,Selections!$G$6:$G$38,"72h-ucl-v2",Selections!$T$6:$T$38,1)))/SUMIFS(Selections!$T$6:$T$38,Selections!$G$6:$G$38,"72h-ucl-v2"))</f>
        <v>-0.2035752349201706</v>
      </c>
      <c r="P27" s="19">
        <f>SUMIFS(Selections!$T$6:$T$38,Selections!$G$6:$G$38,"72h-ucl-v2")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COUNTIFS(Selections!$G$6:$G$38,"72h-ucl-v3")</f>
        <v>7</v>
      </c>
      <c r="D28" s="19">
        <f>(COUNTIFS(Selections!$G$6:$G$38,"72h-ucl-v3",Selections!$K$6:$K$38,"WON")+COUNTIFS(Selections!$G$6:$G$38,"72h-ucl-v3",Selections!$K$6:$K$38,"LOST"))</f>
        <v>6</v>
      </c>
      <c r="E28" s="19">
        <f>COUNTIFS(Selections!$G$6:$G$38,"72h-ucl-v3",Selections!$K$6:$K$38,"WON")</f>
        <v>3</v>
      </c>
      <c r="F28" s="19">
        <f>COUNTIFS(Selections!$G$6:$G$38,"72h-ucl-v3",Selections!$K$6:$K$38,"LOST")</f>
        <v>3</v>
      </c>
      <c r="G28" s="19">
        <f>COUNTIFS(Selections!$G$6:$G$38,"72h-ucl-v3")-(COUNTIFS(Selections!$G$6:$G$38,"72h-ucl-v3",Selections!$K$6:$K$38,"WON")+COUNTIFS(Selections!$G$6:$G$38,"72h-ucl-v3",Selections!$K$6:$K$38,"LOST"))</f>
        <v>1</v>
      </c>
      <c r="H28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0.5</v>
      </c>
      <c r="I28" s="22">
        <f>SUMIFS(Selections!$M$6:$M$38,Selections!$G$6:$G$38,"72h-ucl-v3")</f>
        <v>6</v>
      </c>
      <c r="J28" s="22">
        <f>SUMIFS(Selections!$N$6:$N$38,Selections!$G$6:$G$38,"72h-ucl-v3")</f>
        <v>-1.7100000000000002</v>
      </c>
      <c r="K28" s="20">
        <f>IF(SUMIFS(Selections!$M$6:$M$38,Selections!$G$6:$G$38,"72h-ucl-v3")=0,"n.a.",SUMIFS(Selections!$N$6:$N$38,Selections!$G$6:$G$38,"72h-ucl-v3")/SUMIFS(Selections!$M$6:$M$38,Selections!$G$6:$G$38,"72h-ucl-v3"))</f>
        <v>-0.28500000000000003</v>
      </c>
      <c r="L28" s="21">
        <f>IF(SUMIFS(Selections!$T$6:$T$38,Selections!$G$6:$G$38,"72h-ucl-v3")=0,"n.a.",SUMIFS(Selections!$O$6:$O$38,Selections!$G$6:$G$38,"72h-ucl-v3")/SUMIFS(Selections!$T$6:$T$38,Selections!$G$6:$G$38,"72h-ucl-v3"))</f>
        <v>0.3538657630451178</v>
      </c>
      <c r="M28" s="20">
        <f>IF(SUMIFS(Selections!$T$6:$T$38,Selections!$G$6:$G$38,"72h-ucl-v3")=0,"n.a.",SUMIFS(Selections!$S$6:$S$38,Selections!$G$6:$G$38,"72h-ucl-v3")/SUMIFS(Selections!$T$6:$T$38,Selections!$G$6:$G$38,"72h-ucl-v3"))</f>
        <v>0.7987491501653422</v>
      </c>
      <c r="N28" s="20">
        <f>IF(SUMIFS(Selections!$T$6:$T$38,Selections!$G$6:$G$38,"72h-ucl-v3")=0,"n.a.",(SUMIFS(Selections!$L$6:$L$38,Selections!$G$6:$G$38,"72h-ucl-v3",Selections!$T$6:$T$38,1))/SUMIFS(Selections!$T$6:$T$38,Selections!$G$6:$G$38,"72h-ucl-v3"))</f>
        <v>0.5</v>
      </c>
      <c r="O28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0.2987491501653422</v>
      </c>
      <c r="P28" s="19">
        <f>SUMIFS(Selections!$T$6:$T$38,Selections!$G$6:$G$38,"72h-ucl-v3")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COUNTIFS(Selections!$G$6:$G$38,"legacy/unspecified")</f>
        <v>3</v>
      </c>
      <c r="D29" s="19">
        <f>(COUNTIFS(Selections!$G$6:$G$38,"legacy/unspecified",Selections!$K$6:$K$38,"WON")+COUNTIFS(Selections!$G$6:$G$38,"legacy/unspecified",Selections!$K$6:$K$38,"LOST"))</f>
        <v>2</v>
      </c>
      <c r="E29" s="19">
        <f>COUNTIFS(Selections!$G$6:$G$38,"legacy/unspecified",Selections!$K$6:$K$38,"WON")</f>
        <v>2</v>
      </c>
      <c r="F29" s="19">
        <f>COUNTIFS(Selections!$G$6:$G$38,"legacy/unspecified",Selections!$K$6:$K$38,"LOST")</f>
        <v>0</v>
      </c>
      <c r="G29" s="19">
        <f>COUNTIFS(Selections!$G$6:$G$38,"legacy/unspecified")-(COUNTIFS(Selections!$G$6:$G$38,"legacy/unspecified",Selections!$K$6:$K$38,"WON")+COUNTIFS(Selections!$G$6:$G$38,"legacy/unspecified",Selections!$K$6:$K$38,"LOST"))</f>
        <v>1</v>
      </c>
      <c r="H29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1.0</v>
      </c>
      <c r="I29" s="22">
        <f>SUMIFS(Selections!$M$6:$M$38,Selections!$G$6:$G$38,"legacy/unspecified")</f>
        <v>2</v>
      </c>
      <c r="J29" s="22">
        <f>SUMIFS(Selections!$N$6:$N$38,Selections!$G$6:$G$38,"legacy/unspecified")</f>
        <v>0.6399999999999999</v>
      </c>
      <c r="K29" s="20">
        <f>IF(SUMIFS(Selections!$M$6:$M$38,Selections!$G$6:$G$38,"legacy/unspecified")=0,"n.a.",SUMIFS(Selections!$N$6:$N$38,Selections!$G$6:$G$38,"legacy/unspecified")/SUMIFS(Selections!$M$6:$M$38,Selections!$G$6:$G$38,"legacy/unspecified"))</f>
        <v>0.31999999999999995</v>
      </c>
      <c r="L29" s="21">
        <f>IF(SUMIFS(Selections!$T$6:$T$38,Selections!$G$6:$G$38,"legacy/unspecified")=0,"n.a.",SUMIFS(Selections!$O$6:$O$38,Selections!$G$6:$G$38,"legacy/unspecified")/SUMIFS(Selections!$T$6:$T$38,Selections!$G$6:$G$38,"legacy/unspecified"))</f>
        <v>0.022741501209119913</v>
      </c>
      <c r="M29" s="20">
        <f>IF(SUMIFS(Selections!$T$6:$T$38,Selections!$G$6:$G$38,"legacy/unspecified")=0,"n.a.",SUMIFS(Selections!$S$6:$S$38,Selections!$G$6:$G$38,"legacy/unspecified")/SUMIFS(Selections!$T$6:$T$38,Selections!$G$6:$G$38,"legacy/unspecified"))</f>
        <v>0.8612313600870412</v>
      </c>
      <c r="N29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1.0</v>
      </c>
      <c r="O29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-0.13876863991295885</v>
      </c>
      <c r="P29" s="19">
        <f>SUMIFS(Selections!$T$6:$T$38,Selections!$G$6:$G$38,"legacy/unspecified")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COUNTIFS(Selections!$P$6:$P$38,"2026-W41")</f>
        <v>5</v>
      </c>
      <c r="D30" s="19">
        <f>(COUNTIFS(Selections!$P$6:$P$38,"2026-W41",Selections!$K$6:$K$38,"WON")+COUNTIFS(Selections!$P$6:$P$38,"2026-W41",Selections!$K$6:$K$38,"LOST"))</f>
        <v>4</v>
      </c>
      <c r="E30" s="19">
        <f>COUNTIFS(Selections!$P$6:$P$38,"2026-W41",Selections!$K$6:$K$38,"WON")</f>
        <v>2</v>
      </c>
      <c r="F30" s="19">
        <f>COUNTIFS(Selections!$P$6:$P$38,"2026-W41",Selections!$K$6:$K$38,"LOST")</f>
        <v>2</v>
      </c>
      <c r="G30" s="19">
        <f>COUNTIFS(Selections!$P$6:$P$38,"2026-W41")-(COUNTIFS(Selections!$P$6:$P$38,"2026-W41",Selections!$K$6:$K$38,"WON")+COUNTIFS(Selections!$P$6:$P$38,"2026-W41",Selections!$K$6:$K$38,"LOST"))</f>
        <v>1</v>
      </c>
      <c r="H30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30" s="22">
        <f>SUMIFS(Selections!$M$6:$M$38,Selections!$P$6:$P$38,"2026-W41")</f>
        <v>4</v>
      </c>
      <c r="J30" s="22">
        <f>SUMIFS(Selections!$N$6:$N$38,Selections!$P$6:$P$38,"2026-W41")</f>
        <v>-1.48</v>
      </c>
      <c r="K30" s="20">
        <f>IF(SUMIFS(Selections!$M$6:$M$38,Selections!$P$6:$P$38,"2026-W41")=0,"n.a.",SUMIFS(Selections!$N$6:$N$38,Selections!$P$6:$P$38,"2026-W41")/SUMIFS(Selections!$M$6:$M$38,Selections!$P$6:$P$38,"2026-W41"))</f>
        <v>-0.37</v>
      </c>
      <c r="L30" s="21">
        <f>IF(SUMIFS(Selections!$T$6:$T$38,Selections!$P$6:$P$38,"2026-W41")=0,"n.a.",SUMIFS(Selections!$O$6:$O$38,Selections!$P$6:$P$38,"2026-W41")/SUMIFS(Selections!$T$6:$T$38,Selections!$P$6:$P$38,"2026-W41"))</f>
        <v>0.32924630276534106</v>
      </c>
      <c r="M30" s="20">
        <f>IF(SUMIFS(Selections!$T$6:$T$38,Selections!$P$6:$P$38,"2026-W41")=0,"n.a.",SUMIFS(Selections!$S$6:$S$38,Selections!$P$6:$P$38,"2026-W41")/SUMIFS(Selections!$T$6:$T$38,Selections!$P$6:$P$38,"2026-W41"))</f>
        <v>0.8212200676021444</v>
      </c>
      <c r="N30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30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0.3212200676021444</v>
      </c>
      <c r="P30" s="19">
        <f>SUMIFS(Selections!$T$6:$T$38,Selections!$P$6:$P$38,"2026-W41")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COUNTIFS(Selections!$P$6:$P$38,"2026-W42")</f>
        <v>24</v>
      </c>
      <c r="D31" s="19">
        <f>(COUNTIFS(Selections!$P$6:$P$38,"2026-W42",Selections!$K$6:$K$38,"WON")+COUNTIFS(Selections!$P$6:$P$38,"2026-W42",Selections!$K$6:$K$38,"LOST"))</f>
        <v>22</v>
      </c>
      <c r="E31" s="19">
        <f>COUNTIFS(Selections!$P$6:$P$38,"2026-W42",Selections!$K$6:$K$38,"WON")</f>
        <v>19</v>
      </c>
      <c r="F31" s="19">
        <f>COUNTIFS(Selections!$P$6:$P$38,"2026-W42",Selections!$K$6:$K$38,"LOST")</f>
        <v>3</v>
      </c>
      <c r="G31" s="19">
        <f>COUNTIFS(Selections!$P$6:$P$38,"2026-W42")-(COUNTIFS(Selections!$P$6:$P$38,"2026-W42",Selections!$K$6:$K$38,"WON")+COUNTIFS(Selections!$P$6:$P$38,"2026-W42",Selections!$K$6:$K$38,"LOST"))</f>
        <v>2</v>
      </c>
      <c r="H31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0.8636363636363636</v>
      </c>
      <c r="I31" s="22">
        <f>SUMIFS(Selections!$M$6:$M$38,Selections!$P$6:$P$38,"2026-W42")</f>
        <v>22</v>
      </c>
      <c r="J31" s="22">
        <f>SUMIFS(Selections!$N$6:$N$38,Selections!$P$6:$P$38,"2026-W42")</f>
        <v>4.289999999999999</v>
      </c>
      <c r="K31" s="20">
        <f>IF(SUMIFS(Selections!$M$6:$M$38,Selections!$P$6:$P$38,"2026-W42")=0,"n.a.",SUMIFS(Selections!$N$6:$N$38,Selections!$P$6:$P$38,"2026-W42")/SUMIFS(Selections!$M$6:$M$38,Selections!$P$6:$P$38,"2026-W42"))</f>
        <v>0.19499999999999995</v>
      </c>
      <c r="L31" s="21">
        <f>IF(SUMIFS(Selections!$T$6:$T$38,Selections!$P$6:$P$38,"2026-W42")=0,"n.a.",SUMIFS(Selections!$O$6:$O$38,Selections!$P$6:$P$38,"2026-W42")/SUMIFS(Selections!$T$6:$T$38,Selections!$P$6:$P$38,"2026-W42"))</f>
        <v>0.13041357566209277</v>
      </c>
      <c r="M31" s="20">
        <f>IF(SUMIFS(Selections!$T$6:$T$38,Selections!$P$6:$P$38,"2026-W42")=0,"n.a.",SUMIFS(Selections!$S$6:$S$38,Selections!$P$6:$P$38,"2026-W42")/SUMIFS(Selections!$T$6:$T$38,Selections!$P$6:$P$38,"2026-W42"))</f>
        <v>0.7692010233716516</v>
      </c>
      <c r="N31" s="20">
        <f>IF(SUMIFS(Selections!$T$6:$T$38,Selections!$P$6:$P$38,"2026-W42")=0,"n.a.",(SUMIFS(Selections!$L$6:$L$38,Selections!$P$6:$P$38,"2026-W42",Selections!$T$6:$T$38,1))/SUMIFS(Selections!$T$6:$T$38,Selections!$P$6:$P$38,"2026-W42"))</f>
        <v>0.8636363636363636</v>
      </c>
      <c r="O31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-0.09443534026471201</v>
      </c>
      <c r="P31" s="19">
        <f>SUMIFS(Selections!$T$6:$T$38,Selections!$P$6:$P$38,"2026-W42")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COUNTIFS(Selections!$P$6:$P$38,"2026-W43")</f>
        <v>4</v>
      </c>
      <c r="D32" s="19">
        <f>(COUNTIFS(Selections!$P$6:$P$38,"2026-W43",Selections!$K$6:$K$38,"WON")+COUNTIFS(Selections!$P$6:$P$38,"2026-W43",Selections!$K$6:$K$38,"LOST"))</f>
        <v>0</v>
      </c>
      <c r="E32" s="19">
        <f>COUNTIFS(Selections!$P$6:$P$38,"2026-W43",Selections!$K$6:$K$38,"WON")</f>
        <v>0</v>
      </c>
      <c r="F32" s="19">
        <f>COUNTIFS(Selections!$P$6:$P$38,"2026-W43",Selections!$K$6:$K$38,"LOST")</f>
        <v>0</v>
      </c>
      <c r="G32" s="19">
        <f>COUNTIFS(Selections!$P$6:$P$38,"2026-W43")-(COUNTIFS(Selections!$P$6:$P$38,"2026-W43",Selections!$K$6:$K$38,"WON")+COUNTIFS(Selections!$P$6:$P$38,"2026-W43",Selections!$K$6:$K$38,"LOST"))</f>
        <v>4</v>
      </c>
      <c r="H32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2" s="22">
        <f>SUMIFS(Selections!$M$6:$M$38,Selections!$P$6:$P$38,"2026-W43")</f>
        <v>0</v>
      </c>
      <c r="J32" s="22">
        <f>SUMIFS(Selections!$N$6:$N$38,Selections!$P$6:$P$38,"2026-W43")</f>
        <v>0</v>
      </c>
      <c r="K32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2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2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2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2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2" s="19">
        <f>SUMIFS(Selections!$T$6:$T$38,Selections!$P$6:$P$38,"2026-W43")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5</v>
      </c>
      <c r="E8" s="20">
        <f>IF(D8=0,"n.a.",SUMIFS(Selections!$S$6:$S$38,Selections!$S$6:$S$38,"&gt;="&amp;B8,Selections!$S$6:$S$38,"&lt;"&amp;C8,Selections!$T$6:$T$38,1)/D8)</f>
        <v>0.652956145664078</v>
      </c>
      <c r="F8" s="20">
        <f>IF(D8=0,"n.a.",SUMIFS(Selections!$L$6:$L$38,Selections!$S$6:$S$38,"&gt;="&amp;B8,Selections!$S$6:$S$38,"&lt;"&amp;C8,Selections!$T$6:$T$38,1)/D8)</f>
        <v>0.8</v>
      </c>
      <c r="G8" s="20">
        <f>IF(D8=0,"n.a.",E8-F8)</f>
        <v>-0.14704385433592204</v>
      </c>
      <c r="H8" s="21">
        <f>IF(D8=0,"n.a.",SUMIFS(Selections!$O$6:$O$38,Selections!$S$6:$S$38,"&gt;="&amp;B8,Selections!$S$6:$S$38,"&lt;"&amp;C8,Selections!$T$6:$T$38,1)/D8)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10</v>
      </c>
      <c r="E9" s="20">
        <f>IF(D9=0,"n.a.",SUMIFS(Selections!$S$6:$S$38,Selections!$S$6:$S$38,"&gt;="&amp;B9,Selections!$S$6:$S$38,"&lt;"&amp;C9,Selections!$T$6:$T$38,1)/D9)</f>
        <v>0.7555864760496519</v>
      </c>
      <c r="F9" s="20">
        <f>IF(D9=0,"n.a.",SUMIFS(Selections!$L$6:$L$38,Selections!$S$6:$S$38,"&gt;="&amp;B9,Selections!$S$6:$S$38,"&lt;"&amp;C9,Selections!$T$6:$T$38,1)/D9)</f>
        <v>0.8</v>
      </c>
      <c r="G9" s="20">
        <f>IF(D9=0,"n.a.",E9-F9)</f>
        <v>-0.044413523950348144</v>
      </c>
      <c r="H9" s="21">
        <f>IF(D9=0,"n.a.",SUMIFS(Selections!$O$6:$O$38,Selections!$S$6:$S$38,"&gt;="&amp;B9,Selections!$S$6:$S$38,"&lt;"&amp;C9,Selections!$T$6:$T$38,1)/D9)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9</v>
      </c>
      <c r="E10" s="20">
        <f>IF(D10=0,"n.a.",SUMIFS(Selections!$S$6:$S$38,Selections!$S$6:$S$38,"&gt;="&amp;B10,Selections!$S$6:$S$38,"&lt;"&amp;C10,Selections!$T$6:$T$38,1)/D10)</f>
        <v>0.835660279924899</v>
      </c>
      <c r="F10" s="20">
        <f>IF(D10=0,"n.a.",SUMIFS(Selections!$L$6:$L$38,Selections!$S$6:$S$38,"&gt;="&amp;B10,Selections!$S$6:$S$38,"&lt;"&amp;C10,Selections!$T$6:$T$38,1)/D10)</f>
        <v>0.7777777777777778</v>
      </c>
      <c r="G10" s="20">
        <f>IF(D10=0,"n.a.",E10-F10)</f>
        <v>0.057882502147121206</v>
      </c>
      <c r="H10" s="21">
        <f>IF(D10=0,"n.a.",SUMIFS(Selections!$O$6:$O$38,Selections!$S$6:$S$38,"&gt;="&amp;B10,Selections!$S$6:$S$38,"&lt;"&amp;C10,Selections!$T$6:$T$38,1)/D10)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2</v>
      </c>
      <c r="E11" s="20">
        <f>IF(D11=0,"n.a.",SUMIFS(Selections!$S$6:$S$38,Selections!$S$6:$S$38,"&gt;="&amp;B11,Selections!$S$6:$S$38,"&lt;"&amp;C11,Selections!$T$6:$T$38,1)/D11)</f>
        <v>0.9328573882219562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-0.06714261177804381</v>
      </c>
      <c r="H11" s="21">
        <f>IF(D11=0,"n.a.",SUMIFS(Selections!$O$6:$O$38,Selections!$S$6:$S$38,"&gt;="&amp;B11,Selections!$S$6:$S$38,"&lt;"&amp;C11,Selections!$T$6:$T$38,1)/D11)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2026-10-18T14:35:10.311946+00:00</t>
        </is>
      </c>
      <c r="W35" t="inlineStr" s="18">
        <is>
          <t>2026-10-18T14:40:44Z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2026-10-18T14:35:10.311946+00:00</t>
        </is>
      </c>
      <c r="W36" t="inlineStr" s="18">
        <is>
          <t>2026-10-18T14:40:44Z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0.7277974703294219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67fd2fe2099c1790c025bb0cfbd2aab9f3b77d01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2026-10-18T09:58:14.607821+00:00</t>
        </is>
      </c>
      <c r="W38" t="inlineStr" s="18">
        <is>
          <t>2026-10-18T09:58:45Z</t>
        </is>
      </c>
    </row>
  </sheetData>
  <mergeCells count="2">
    <mergeCell ref="B2:W2"/>
    <mergeCell ref="B4:W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0.5714285714285714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COUNTIFS(Selections!$P$6:$P$38,A6,Selections!$M$6:$M$38,"&gt;0")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COUNTIFS(Selections!$P$6:$P$38,A7,Selections!$M$6:$M$38,"&gt;0")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COUNTIFS(Selections!$P$6:$P$38,A8,Selections!$M$6:$M$38,"&gt;0")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33</v>
      </c>
      <c r="B8" s="19">
        <v>26</v>
      </c>
      <c r="C8" s="19">
        <v>21</v>
      </c>
      <c r="D8" s="19">
        <v>5</v>
      </c>
      <c r="E8" s="19">
        <v>7</v>
      </c>
      <c r="F8" s="20">
        <v>0.807692</v>
      </c>
      <c r="G8" s="20">
        <v>0.108077</v>
      </c>
      <c r="H8" s="19">
        <v>2.81</v>
      </c>
      <c r="I8" s="19">
        <v>32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6">
      <c r="A46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2026-10-19T10:19:55.856775+00:00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4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4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36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9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Captured</t>
        </is>
      </c>
      <c r="C56" s="19">
        <v>1</v>
      </c>
    </row>
    <row r="57" ht="44" customHeight="1">
      <c r="A57" s="18" t="inlineStr">
        <is>
          <t>Shortlist probability / EV weights</t>
        </is>
      </c>
      <c r="B57" s="18" t="inlineStr">
        <is>
          <t>Legacy not recorded</t>
        </is>
      </c>
      <c r="C57" s="19">
        <v>35</v>
      </c>
    </row>
    <row r="60">
      <c r="A60" s="26" t="inlineStr">
        <is>
          <t>EV sensitivity results</t>
        </is>
      </c>
    </row>
    <row r="61" ht="34" customHeight="1">
      <c r="A61" s="24" t="inlineStr">
        <is>
          <t>EV floor</t>
        </is>
      </c>
      <c r="B61" s="24" t="inlineStr">
        <is>
          <t>Tier</t>
        </is>
      </c>
      <c r="C61" s="24" t="inlineStr">
        <is>
          <t>Selected</t>
        </is>
      </c>
      <c r="D61" s="24" t="inlineStr">
        <is>
          <t>Settled</t>
        </is>
      </c>
      <c r="E61" s="24" t="inlineStr">
        <is>
          <t>Simulated ROI</t>
        </is>
      </c>
      <c r="F61" s="24" t="inlineStr">
        <is>
          <t>Drawdown (units)</t>
        </is>
      </c>
    </row>
    <row r="62" ht="44" customHeight="1">
      <c r="A62" s="20">
        <v>0.015</v>
      </c>
      <c r="B62" s="18" t="inlineStr">
        <is>
          <t>ALL</t>
        </is>
      </c>
      <c r="C62" s="19">
        <v>9</v>
      </c>
      <c r="D62" s="19">
        <v>7</v>
      </c>
      <c r="E62" s="20">
        <v>0.12142857142857141</v>
      </c>
      <c r="F62" s="22">
        <v>1.0</v>
      </c>
    </row>
    <row r="63" ht="44" customHeight="1">
      <c r="A63" s="20">
        <v>0.015</v>
      </c>
      <c r="B63" s="18" t="inlineStr">
        <is>
          <t>STRICT</t>
        </is>
      </c>
      <c r="C63" s="19">
        <v>7</v>
      </c>
      <c r="D63" s="19">
        <v>6</v>
      </c>
      <c r="E63" s="20">
        <v>0.09833333333333331</v>
      </c>
      <c r="F63" s="22">
        <v>1.0</v>
      </c>
    </row>
    <row r="64" ht="44" customHeight="1">
      <c r="A64" s="20">
        <v>0.015</v>
      </c>
      <c r="B64" s="18" t="inlineStr">
        <is>
          <t>PROVISIONAL</t>
        </is>
      </c>
      <c r="C64" s="19">
        <v>2</v>
      </c>
      <c r="D64" s="19">
        <v>1</v>
      </c>
      <c r="E64" s="20">
        <v>0.26</v>
      </c>
      <c r="F64" s="22">
        <v>0.0</v>
      </c>
    </row>
    <row r="65" ht="44" customHeight="1">
      <c r="A65" s="20">
        <v>0.03</v>
      </c>
      <c r="B65" s="18" t="inlineStr">
        <is>
          <t>ALL</t>
        </is>
      </c>
      <c r="C65" s="19">
        <v>8</v>
      </c>
      <c r="D65" s="19">
        <v>6</v>
      </c>
      <c r="E65" s="20">
        <v>0.10166666666666664</v>
      </c>
      <c r="F65" s="22">
        <v>1.0</v>
      </c>
    </row>
    <row r="66" ht="44" customHeight="1">
      <c r="A66" s="20">
        <v>0.03</v>
      </c>
      <c r="B66" s="18" t="inlineStr">
        <is>
          <t>STRICT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0.03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0.05</v>
      </c>
      <c r="B68" s="18" t="inlineStr">
        <is>
          <t>ALL</t>
        </is>
      </c>
      <c r="C68" s="19">
        <v>7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STRICT</t>
        </is>
      </c>
      <c r="C69" s="19">
        <v>5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0.05</v>
      </c>
      <c r="B70" s="18" t="inlineStr">
        <is>
          <t>PROVISIONAL</t>
        </is>
      </c>
      <c r="C70" s="19">
        <v>2</v>
      </c>
      <c r="D70" s="19">
        <v>0</v>
      </c>
      <c r="E70" s="20"/>
      <c r="F70" s="22"/>
    </row>
    <row r="73">
      <c r="A73" s="26" t="inlineStr">
        <is>
          <t>Daily review observations</t>
        </is>
      </c>
    </row>
    <row r="74" ht="34" customHeight="1">
      <c r="A74" s="24" t="inlineStr">
        <is>
          <t>Review date</t>
        </is>
      </c>
      <c r="B74" s="24" t="inlineStr">
        <is>
          <t>Graded</t>
        </is>
      </c>
      <c r="C74" s="24" t="inlineStr">
        <is>
          <t>Win rate</t>
        </is>
      </c>
      <c r="D74" s="24" t="inlineStr">
        <is>
          <t>Simulated ROI</t>
        </is>
      </c>
      <c r="E74" s="24" t="inlineStr">
        <is>
          <t>Brier</t>
        </is>
      </c>
    </row>
    <row r="75" ht="44" customHeight="1">
      <c r="A75" s="18" t="inlineStr">
        <is>
          <t>2026-10-13</t>
        </is>
      </c>
      <c r="B75" s="19">
        <v>9</v>
      </c>
      <c r="C75" s="20">
        <v>0.666667</v>
      </c>
      <c r="D75" s="20">
        <v>-0.096667</v>
      </c>
      <c r="E75" s="21">
        <v>0.250532</v>
      </c>
    </row>
    <row r="76" ht="44" customHeight="1">
      <c r="A76" s="18" t="inlineStr">
        <is>
          <t>2026-10-14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2026-10-15</t>
        </is>
      </c>
      <c r="B77" s="19">
        <v>11</v>
      </c>
      <c r="C77" s="20">
        <v>0.727273</v>
      </c>
      <c r="D77" s="20">
        <v>0.01</v>
      </c>
      <c r="E77" s="21">
        <v>0.215932</v>
      </c>
    </row>
    <row r="78" ht="44" customHeight="1">
      <c r="A78" s="18" t="inlineStr">
        <is>
          <t>2026-10-16</t>
        </is>
      </c>
      <c r="B78" s="19">
        <v>12</v>
      </c>
      <c r="C78" s="20">
        <v>0.75</v>
      </c>
      <c r="D78" s="20">
        <v>0.031667</v>
      </c>
      <c r="E78" s="21">
        <v>0.199836</v>
      </c>
    </row>
    <row r="79" ht="44" customHeight="1">
      <c r="A79" s="18" t="inlineStr">
        <is>
          <t>2026-10-17</t>
        </is>
      </c>
      <c r="B79" s="19">
        <v>17</v>
      </c>
      <c r="C79" s="20">
        <v>0.764706</v>
      </c>
      <c r="D79" s="20">
        <v>0.044706</v>
      </c>
      <c r="E79" s="21">
        <v>0.178798</v>
      </c>
    </row>
    <row r="80" ht="44" customHeight="1">
      <c r="A80" s="18" t="inlineStr">
        <is>
          <t>2026-10-18</t>
        </is>
      </c>
      <c r="B80" s="19">
        <v>26</v>
      </c>
      <c r="C80" s="20">
        <v>0.807692</v>
      </c>
      <c r="D80" s="20">
        <v>0.108077</v>
      </c>
      <c r="E80" s="21">
        <v>0.161003</v>
      </c>
    </row>
    <row r="81" ht="44" customHeight="1">
      <c r="A81" s="18" t="inlineStr">
        <is>
          <t>2026-10-19</t>
        </is>
      </c>
      <c r="B81" s="19">
        <v>26</v>
      </c>
      <c r="C81" s="20">
        <v>0.807692</v>
      </c>
      <c r="D81" s="20">
        <v>0.108077</v>
      </c>
      <c r="E81" s="21">
        <v>0.161003</v>
      </c>
    </row>
    <row r="84">
      <c r="A84" s="26" t="inlineStr">
        <is>
          <t>Dependency versions</t>
        </is>
      </c>
    </row>
    <row r="85" ht="34" customHeight="1">
      <c r="A85" s="24" t="inlineStr">
        <is>
          <t>Dependency</t>
        </is>
      </c>
      <c r="B85" s="24" t="inlineStr">
        <is>
          <t>Version</t>
        </is>
      </c>
    </row>
    <row r="86" ht="44" customHeight="1">
      <c r="A86" s="18" t="inlineStr">
        <is>
          <t>python</t>
        </is>
      </c>
      <c r="B86" s="18" t="inlineStr">
        <is>
          <t>3.12.15</t>
        </is>
      </c>
    </row>
    <row r="87" ht="44" customHeight="1">
      <c r="A87" s="18" t="inlineStr">
        <is>
          <t>numpy</t>
        </is>
      </c>
      <c r="B87" s="18" t="inlineStr">
        <is>
          <t>2.5.4</t>
        </is>
      </c>
    </row>
    <row r="88" ht="44" customHeight="1">
      <c r="A88" s="18" t="inlineStr">
        <is>
          <t>pandas</t>
        </is>
      </c>
      <c r="B88" s="18" t="inlineStr">
        <is>
          <t>3.0.6</t>
        </is>
      </c>
    </row>
    <row r="89" ht="44" customHeight="1">
      <c r="A89" s="18" t="inlineStr">
        <is>
          <t>scipy</t>
        </is>
      </c>
      <c r="B89" s="18" t="inlineStr">
        <is>
          <t>1.18.1</t>
        </is>
      </c>
    </row>
    <row r="90" ht="44" customHeight="1">
      <c r="A90" s="18" t="inlineStr">
        <is>
          <t>requests</t>
        </is>
      </c>
      <c r="B90" s="18" t="inlineStr">
        <is>
          <t>2.34.2</t>
        </is>
      </c>
    </row>
    <row r="91" ht="44" customHeight="1">
      <c r="A91" s="18" t="inlineStr">
        <is>
          <t>python-dotenv</t>
        </is>
      </c>
      <c r="B91" s="18" t="inlineStr">
        <is>
          <t>1.2.4</t>
        </is>
      </c>
    </row>
    <row r="92" ht="44" customHeight="1">
      <c r="A92" s="18" t="inlineStr">
        <is>
          <t>coverage</t>
        </is>
      </c>
      <c r="B92" s="18" t="inlineStr">
        <is>
          <t>7.16.2</t>
        </is>
      </c>
    </row>
    <row r="93" ht="44" customHeight="1">
      <c r="A93" s="18" t="inlineStr">
        <is>
          <t>PyYAML</t>
        </is>
      </c>
      <c r="B93" s="18" t="inlineStr">
        <is>
          <t>6.0.3</t>
        </is>
      </c>
    </row>
    <row r="96">
      <c r="A9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60:F60"/>
    <mergeCell ref="A73:F73"/>
    <mergeCell ref="A84:F8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hyperlinks>
    <hyperlink ref="A9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