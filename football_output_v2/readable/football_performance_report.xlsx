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Monitoring1.xml" ContentType="application/vnd.openxmlformats-officedocument.drawingml.chart+xml"/>
  <Override PartName="/xl/charts/chartMonitoring2.xml" ContentType="application/vnd.openxmlformats-officedocument.drawingml.chart+xml"/>
  <Override PartName="/xl/drawings/drawingMonitoring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4dc47d3224b1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ashboard" sheetId="1" ns1:id="Rccc920fc3bf74ea4"/>
    <sheet name="Experiments" sheetId="7" ns1:id="rIdReadable7"/>
    <sheet name="Pipeline Health" sheetId="10" ns1:id="rIdReadable10"/>
    <sheet name="Weekly Trends" sheetId="8" ns1:id="rIdReadable8"/>
    <sheet name="Breakdowns" sheetId="3" ns1:id="R87976848626641f2"/>
    <sheet name="Calibration" sheetId="4" ns1:id="R6fe18dcc89cb4419"/>
    <sheet name="Selections" sheetId="5" ns1:id="R320e3c7a9bc644fa"/>
    <sheet name="Predictions" sheetId="6" ns1:id="Rcc8cb310aa834b56"/>
    <sheet name="ROI Plan" sheetId="2" ns1:id="R6859d2273dee43f9"/>
    <sheet name="Capture Details" sheetId="11" ns1:id="rIdReadable11"/>
    <sheet name="Metric Guide" sheetId="9" ns1:id="rIdReadable9"/>
  </sheets>
  <calcPr fullCalcOnLoad="1" calcMode="auto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8">
    <numFmt numFmtId="200" formatCode="yyyy-mm-dd hh:mm"/>
    <numFmt numFmtId="201" formatCode="0.0%"/>
    <numFmt numFmtId="202" formatCode="0.00"/>
    <numFmt numFmtId="203" formatCode="0.0000"/>
    <numFmt numFmtId="204" formatCode="#,##0"/>
    <numFmt numFmtId="205" formatCode="0.000"/>
    <numFmt numFmtId="206" formatCode="0.00;[Red]-0.00"/>
    <numFmt numFmtId="207" formatCode="dd mmm yy hh:mm"/>
  </numFmts>
  <fonts count="13">
    <font>
      <sz val="11"/>
      <name val="Carlito"/>
    </font>
    <font>
      <sz val="10"/>
      <color rgb="FF243247"/>
      <name val="Arial"/>
    </font>
    <font>
      <b/>
      <sz val="16"/>
      <color rgb="FF172B4D"/>
      <name val="Arial"/>
    </font>
    <font>
      <b/>
      <sz val="10"/>
      <color rgb="FFFFFFFF"/>
      <name val="Arial"/>
    </font>
    <font>
      <sz val="11"/>
      <name val="Arial"/>
      <color rgb="FF243746"/>
    </font>
    <font>
      <sz val="11"/>
      <name val="Arial"/>
      <color rgb="FFFFFFFF"/>
      <b/>
    </font>
    <font>
      <sz val="16"/>
      <name val="Arial"/>
      <color rgb="FF243E5B"/>
      <b/>
    </font>
    <font>
      <sz val="11"/>
      <name val="Arial"/>
      <color rgb="FF243E5B"/>
      <b/>
    </font>
    <font>
      <sz val="11"/>
      <name val="Arial"/>
      <color rgb="FF526477"/>
    </font>
    <font>
      <sz val="11"/>
      <name val="Arial"/>
      <color rgb="FF805B10"/>
      <b/>
    </font>
    <font>
      <sz val="11"/>
      <name val="Arial"/>
      <color rgb="FF9C3030"/>
      <b/>
    </font>
    <font>
      <sz val="11"/>
      <name val="Arial"/>
      <color rgb="FF176547"/>
      <b/>
    </font>
    <font>
      <sz val="11"/>
      <name val="Arial"/>
      <color rgb="FF245BA0"/>
      <b/>
    </font>
  </fonts>
  <fills count="10">
    <fill>
      <patternFill patternType="none"/>
    </fill>
    <fill>
      <patternFill patternType="gray125"/>
    </fill>
    <fill>
      <patternFill patternType="solid">
        <fgColor rgb="FF263E60"/>
      </patternFill>
    </fill>
    <fill>
      <patternFill patternType="solid">
        <fgColor rgb="FFFFF1BF"/>
      </patternFill>
    </fill>
    <fill>
      <patternFill patternType="solid">
        <fgColor rgb="FFFFFFFF"/>
        <bgColor indexed="64"/>
      </patternFill>
    </fill>
    <fill>
      <patternFill patternType="solid">
        <fgColor rgb="FF243E5B"/>
        <bgColor indexed="64"/>
      </patternFill>
    </fill>
    <fill>
      <patternFill patternType="solid">
        <fgColor rgb="FFEAF0F5"/>
        <bgColor indexed="64"/>
      </patternFill>
    </fill>
    <fill>
      <patternFill patternType="solid">
        <fgColor rgb="FFFFF3CF"/>
        <bgColor indexed="64"/>
      </patternFill>
    </fill>
    <fill>
      <patternFill patternType="solid">
        <fgColor rgb="FFFCE9E9"/>
        <bgColor indexed="64"/>
      </patternFill>
    </fill>
    <fill>
      <patternFill patternType="solid">
        <fgColor rgb="FFE5F3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DB9C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1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3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right"/>
    </xf>
    <xf numFmtId="201" fontId="1" fillId="0" borderId="0" xfId="0" applyNumberFormat="1" applyFont="1" applyFill="1" applyBorder="1" applyAlignment="1">
      <alignment horizontal="right"/>
    </xf>
    <xf numFmtId="203" fontId="1" fillId="0" borderId="0" xfId="0" applyNumberFormat="1" applyFont="1" applyFill="1" applyBorder="1" applyAlignment="1">
      <alignment horizontal="right"/>
    </xf>
    <xf numFmtId="202" fontId="1" fillId="0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/>
    <xf numFmtId="202" fontId="1" fillId="3" borderId="0" xfId="0" applyNumberFormat="1" applyFont="1" applyFill="1" applyBorder="1"/>
    <xf fontId="4" fillId="4" borderId="0" xfId="0" numFmtId="0" applyFont="1" applyFill="1" applyAlignment="1" applyNumberFormat="1">
      <alignment horizontal="left" vertical="center" wrapText="1"/>
    </xf>
    <xf fontId="4" fillId="4" borderId="0" xfId="0" numFmtId="204" applyFont="1" applyFill="1" applyAlignment="1" applyNumberFormat="1">
      <alignment horizontal="right" vertical="center" wrapText="1"/>
    </xf>
    <xf fontId="4" fillId="4" borderId="0" xfId="0" numFmtId="201" applyFont="1" applyFill="1" applyAlignment="1" applyNumberFormat="1">
      <alignment horizontal="right" vertical="center" wrapText="1"/>
    </xf>
    <xf fontId="4" fillId="4" borderId="0" xfId="0" numFmtId="205" applyFont="1" applyFill="1" applyAlignment="1" applyNumberFormat="1">
      <alignment horizontal="right" vertical="center" wrapText="1"/>
    </xf>
    <xf fontId="4" fillId="4" borderId="0" xfId="0" numFmtId="206" applyFont="1" applyFill="1" applyAlignment="1" applyNumberFormat="1">
      <alignment horizontal="right" vertical="center" wrapText="1"/>
    </xf>
    <xf fontId="4" fillId="4" borderId="0" xfId="0" numFmtId="207" applyFont="1" applyFill="1" applyAlignment="1" applyNumberFormat="1">
      <alignment horizontal="left" vertical="center" wrapText="1"/>
    </xf>
    <xf fontId="5" fillId="5" borderId="0" xfId="0" numFmtId="0" applyFont="1" applyFill="1" applyAlignment="1" applyNumberFormat="1">
      <alignment horizontal="center" vertical="center" wrapText="1"/>
    </xf>
    <xf fontId="6" fillId="4" borderId="0" xfId="0" numFmtId="0" applyFont="1" applyFill="1" applyAlignment="1" applyNumberFormat="1">
      <alignment horizontal="left" vertical="center" wrapText="1"/>
    </xf>
    <xf fontId="7" fillId="6" borderId="0" xfId="0" numFmtId="0" applyFont="1" applyFill="1" applyAlignment="1" applyNumberFormat="1">
      <alignment horizontal="left" vertical="center" wrapText="1"/>
    </xf>
    <xf fontId="8" fillId="4" borderId="0" xfId="0" numFmtId="0" applyFont="1" applyFill="1" applyAlignment="1" applyNumberFormat="1">
      <alignment horizontal="left" vertical="center" wrapText="1"/>
    </xf>
    <xf fontId="9" fillId="7" borderId="0" xfId="0" numFmtId="0" applyFont="1" applyFill="1" applyAlignment="1" applyNumberFormat="1">
      <alignment horizontal="left" vertical="center" wrapText="1"/>
    </xf>
    <xf fontId="10" fillId="8" borderId="0" xfId="0" numFmtId="0" applyFont="1" applyFill="1" applyAlignment="1" applyNumberFormat="1">
      <alignment horizontal="left" vertical="center" wrapText="1"/>
    </xf>
    <xf fontId="11" fillId="9" borderId="0" xfId="0" numFmtId="0" applyFont="1" applyFill="1" applyAlignment="1" applyNumberFormat="1">
      <alignment horizontal="left" vertical="center" wrapText="1"/>
    </xf>
    <xf fontId="12" fillId="4" borderId="0" xfId="0" numFmtId="0" applyFont="1" applyFill="1" applyAlignment="1" applyNumberFormat="1">
      <alignment horizontal="left" vertical="center" wrapText="1"/>
    </xf>
  </cellXfs>
  <cellStyles count="1">
    <cellStyle name="Normal" xfId="0"/>
  </cellStyles>
  <dxfs count="6">
    <dxf>
      <font>
        <color rgb="FFB42318"/>
      </font>
      <fill>
        <patternFill patternType="solid">
          <bgColor rgb="FFFEE4E2"/>
        </patternFill>
      </fill>
    </dxf>
    <dxf>
      <font>
        <color rgb="FFB42318"/>
      </font>
      <fill>
        <patternFill patternType="solid">
          <bgColor rgb="FFFEE4E2"/>
        </patternFill>
      </fill>
    </dxf>
    <dxf>
      <font>
        <color rgb="FF9A6700"/>
      </font>
      <fill>
        <patternFill patternType="solid">
          <bgColor rgb="FFFFF1BF"/>
        </patternFill>
      </fill>
    </dxf>
    <dxf>
      <font>
        <sz val="11"/>
        <name val="Arial"/>
        <color rgb="FF805B10"/>
        <b/>
      </font>
      <fill>
        <patternFill patternType="solid">
          <fgColor rgb="FFFFF3CF"/>
          <bgColor indexed="64"/>
        </patternFill>
      </fill>
    </dxf>
    <dxf>
      <font>
        <sz val="11"/>
        <name val="Arial"/>
        <color rgb="FF9C3030"/>
        <b/>
      </font>
      <fill>
        <patternFill patternType="solid">
          <fgColor rgb="FFFCE9E9"/>
          <bgColor indexed="64"/>
        </patternFill>
      </fill>
    </dxf>
    <dxf>
      <font>
        <sz val="11"/>
        <name val="Arial"/>
        <color rgb="FF176547"/>
        <b/>
      </font>
      <fill>
        <patternFill patternType="solid">
          <fgColor rgb="FFE5F3EA"/>
          <bgColor indexed="64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12b68d6b698473b" /><Relationship Type="http://schemas.openxmlformats.org/officeDocument/2006/relationships/theme" Target="/xl/theme/theme1.xml" Id="R7ebbddc5c22d4554" /><Relationship Type="http://schemas.openxmlformats.org/officeDocument/2006/relationships/sharedStrings" Target="/xl/sharedStrings.xml" Id="Rd461963173bb48e4" /><Relationship Type="http://schemas.openxmlformats.org/officeDocument/2006/relationships/worksheet" Target="/xl/worksheets/sheet1.xml" Id="Rccc920fc3bf74ea4" /><Relationship Type="http://schemas.openxmlformats.org/officeDocument/2006/relationships/worksheet" Target="/xl/worksheets/sheet2.xml" Id="R6859d2273dee43f9" /><Relationship Type="http://schemas.openxmlformats.org/officeDocument/2006/relationships/worksheet" Target="/xl/worksheets/sheet3.xml" Id="R87976848626641f2" /><Relationship Type="http://schemas.openxmlformats.org/officeDocument/2006/relationships/worksheet" Target="/xl/worksheets/sheet4.xml" Id="R6fe18dcc89cb4419" /><Relationship Type="http://schemas.openxmlformats.org/officeDocument/2006/relationships/worksheet" Target="/xl/worksheets/sheet5.xml" Id="R320e3c7a9bc644fa" /><Relationship Type="http://schemas.openxmlformats.org/officeDocument/2006/relationships/worksheet" Target="/xl/worksheets/sheet6.xml" Id="Rcc8cb310aa834b56" /><Relationship Id="rIdReadable7" Type="http://schemas.openxmlformats.org/officeDocument/2006/relationships/worksheet" Target="worksheets/sheet7.xml" /><Relationship Id="rIdReadable8" Type="http://schemas.openxmlformats.org/officeDocument/2006/relationships/worksheet" Target="worksheets/sheet8.xml" /><Relationship Id="rIdReadable9" Type="http://schemas.openxmlformats.org/officeDocument/2006/relationships/worksheet" Target="worksheets/sheet9.xml" /><Relationship Id="rIdReadable10" Type="http://schemas.openxmlformats.org/officeDocument/2006/relationships/worksheet" Target="worksheets/sheet10.xml" /><Relationship Id="rIdReadable11" Type="http://schemas.openxmlformats.org/officeDocument/2006/relationships/worksheet" Target="worksheets/sheet11.xml" /></Relationships>
</file>

<file path=xl/charts/chartMonitoring1.xml><?xml version="1.0" encoding="utf-8"?>
<chartSpace xmlns="http://schemas.openxmlformats.org/drawingml/2006/chart" xmlns:ns1="http://schemas.openxmlformats.org/drawingml/2006/main">
  <chart>
    <title>
      <tx>
        <rich>
          <ns1:bodyPr/>
          <ns1:lstStyle/>
          <ns1:p>
            <ns1:r>
              <ns1:rPr sz="1200"/>
              <ns1:t>Settled selections by ISO week</ns1:t>
            </ns1:r>
          </ns1:p>
        </rich>
      </tx>
    </title>
    <plotArea>
      <layout/>
      <barChart>
        <barDir val="col"/>
        <grouping val="clustered"/>
        <ser>
          <idx val="0"/>
          <order val="0"/>
          <tx>
            <v>Settled selections by ISO week</v>
          </tx>
          <spPr>
            <ns1:solidFill>
              <ns1:srgbClr val="336A9C"/>
            </ns1:solidFill>
            <ns1:ln w="25400">
              <ns1:solidFill>
                <ns1:srgbClr val="336A9C"/>
              </ns1:solidFill>
            </ns1:ln>
          </spPr>
          <cat>
            <strRef>
              <f>'Weekly Trends'!$A$6:$A$8</f>
              <strCache>
                <ptCount val="3"/>
                <pt idx="0">
                  <v>2026-W41</v>
                </pt>
                <pt idx="1">
                  <v>2026-W42</v>
                </pt>
                <pt idx="2">
                  <v>2026-W43</v>
                </pt>
              </strCache>
            </strRef>
          </cat>
          <val>
            <numRef>
              <f>'Weekly Trends'!$B$6:$B$8</f>
              <numCache>
                <formatCode>0</formatCode>
                <ptCount val="3"/>
                <pt idx="0">
                  <v>4.0</v>
                </pt>
                <pt idx="1">
                  <v>7.0</v>
                </pt>
                <pt idx="2">
                  <v>0.0</v>
                </pt>
              </numCache>
            </numRef>
          </val>
        </ser>
        <axId val="1"/>
        <axId val="2"/>
      </barChart>
      <catAx>
        <axId val="1"/>
        <scaling>
          <orientation val="minMax"/>
        </scaling>
        <axPos val="b"/>
        <numFmt formatCode="0" sourceLinked="0"/>
        <crossAx val="2"/>
        <crosses val="min"/>
      </catAx>
      <valAx>
        <axId val="2"/>
        <scaling>
          <orientation val="minMax"/>
          <min val="0"/>
        </scaling>
        <axPos val="l"/>
        <numFmt formatCode="0" sourceLinked="0"/>
        <crossAx val="1"/>
        <crosses val="autoZero"/>
      </valAx>
    </plotArea>
    <plotVisOnly val="1"/>
    <dispBlanksAs val="gap"/>
  </chart>
</chartSpace>
</file>

<file path=xl/charts/chartMonitoring2.xml><?xml version="1.0" encoding="utf-8"?>
<chartSpace xmlns="http://schemas.openxmlformats.org/drawingml/2006/chart" xmlns:ns1="http://schemas.openxmlformats.org/drawingml/2006/main">
  <chart>
    <title>
      <tx>
        <rich>
          <ns1:bodyPr/>
          <ns1:lstStyle/>
          <ns1:p>
            <ns1:r>
              <ns1:rPr sz="1200"/>
              <ns1:t>Cumulative simulated profit (units)</ns1:t>
            </ns1:r>
          </ns1:p>
        </rich>
      </tx>
    </title>
    <plotArea>
      <layout/>
      <lineChart>
        <grouping val="standard"/>
        <ser>
          <idx val="0"/>
          <order val="0"/>
          <tx>
            <v>Cumulative simulated profit (units)</v>
          </tx>
          <spPr>
            <ns1:solidFill>
              <ns1:srgbClr val="336A9C"/>
            </ns1:solidFill>
            <ns1:ln w="25400">
              <ns1:solidFill>
                <ns1:srgbClr val="336A9C"/>
              </ns1:solidFill>
            </ns1:ln>
          </spPr>
          <cat>
            <strRef>
              <f>'Weekly Trends'!$A$6:$A$8</f>
              <strCache>
                <ptCount val="3"/>
                <pt idx="0">
                  <v>2026-W41</v>
                </pt>
                <pt idx="1">
                  <v>2026-W42</v>
                </pt>
                <pt idx="2">
                  <v>2026-W43</v>
                </pt>
              </strCache>
            </strRef>
          </cat>
          <val>
            <numRef>
              <f>'Weekly Trends'!$E$6:$E$8</f>
              <numCache>
                <formatCode>0.00</formatCode>
                <ptCount val="3"/>
                <pt idx="0">
                  <v>-1.48</v>
                </pt>
                <pt idx="1">
                  <v>0.10999999999999988</v>
                </pt>
                <pt idx="2">
                  <v>0.10999999999999988</v>
                </pt>
              </numCache>
            </numRef>
          </val>
          <smooth val="0"/>
        </ser>
        <axId val="1"/>
        <axId val="2"/>
      </lineChart>
      <catAx>
        <axId val="1"/>
        <scaling>
          <orientation val="minMax"/>
        </scaling>
        <axPos val="b"/>
        <numFmt formatCode="0" sourceLinked="0"/>
        <crossAx val="2"/>
        <crosses val="min"/>
      </catAx>
      <valAx>
        <axId val="2"/>
        <scaling>
          <orientation val="minMax"/>
        </scaling>
        <axPos val="l"/>
        <numFmt formatCode="0.00" sourceLinked="0"/>
        <crossAx val="1"/>
        <crosses val="autoZero"/>
      </valAx>
    </plotArea>
    <plotVisOnly val="1"/>
    <dispBlanksAs val="gap"/>
  </chart>
</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beffbb236b4723" /><Relationship Type="http://schemas.openxmlformats.org/officeDocument/2006/relationships/chart" Target="/xl/drawings/charts/chart2.xml" Id="Rc84acae8c5114e58" /><Relationship Type="http://schemas.openxmlformats.org/officeDocument/2006/relationships/chart" Target="/xl/drawings/charts/chart3.xml" Id="R90fd18e031a34679" /></Relationships>
</file>

<file path=xl/drawings/_rels/drawingMonitoring.xml.rels><?xml version='1.0' encoding='utf-8'?>
<Relationships xmlns="http://schemas.openxmlformats.org/package/2006/relationships"><Relationship Id="rId1" Type="http://schemas.openxmlformats.org/officeDocument/2006/relationships/chart" Target="../charts/chartMonitoring1.xml" /><Relationship Id="rId2" Type="http://schemas.openxmlformats.org/officeDocument/2006/relationships/chart" Target="../charts/chartMonitoring2.xml" /></Relationships>
</file>

<file path=xl/drawings/charts/chart1.xml><?xml version="1.0" encoding="utf-8"?>
<c:chartSpace xmlns:c="http://schemas.openxmlformats.org/drawingml/2006/chart" xmlns:ns1="http://schemas.openxmlformats.org/drawingml/2006/main">
  <c:lang val="en-US"/>
  <c:roundedCorners val="0"/>
  <c:chart>
    <c:title>
      <c:tx>
        <c:rich>
          <ns1:bodyPr/>
          <ns1:lstStyle/>
          <ns1:p>
            <ns1:r>
              <ns1:rPr sz="900">
                <ns1:latin typeface="Arial"/>
                <ns1:ea typeface="Arial"/>
                <ns1:cs typeface="Arial"/>
              </ns1:rPr>
              <ns1:t>Win rate by qualification</ns1:t>
            </ns1:r>
          </ns1:p>
        </c:rich>
      </c:tx>
      <c:overlay val="0"/>
      <c:txPr>
        <ns1:bodyPr anchorCtr="1"/>
        <ns1:lstStyle/>
        <ns1:p>
          <ns1:pPr>
            <ns1:defRPr sz="900">
              <ns1:latin typeface="Arial"/>
              <ns1:ea typeface="Arial"/>
              <ns1:cs typeface="Arial"/>
            </ns1:defRPr>
          </ns1:pPr>
        </ns1:p>
      </c:txPr>
    </c:title>
    <c:plotArea>
      <c:barChart>
        <c:barDir val="col"/>
        <c:varyColors val="0"/>
        <c:ser>
          <c:idx val="0"/>
          <c:order val="0"/>
          <c:tx>
            <c:v>Win rate</c:v>
          </c:tx>
          <c:cat>
            <c:strRef>
              <c:f>'Breakdowns'!$B$7:$B$8</c:f>
              <c:strCache>
                <c:ptCount val="2"/>
                <c:pt idx="0">
                  <c:v>STRICT</c:v>
                </c:pt>
                <c:pt idx="1">
                  <c:v>PROVISIONAL</c:v>
                </c:pt>
              </c:strCache>
            </c:strRef>
          </c:cat>
          <c:val>
            <c:numRef>
              <c:f>'Breakdowns'!$H$7:$H$8</c:f>
              <c:numCache>
                <c:formatCode>General</c:formatCode>
                <c:ptCount val="2"/>
                <c:pt idx="0">
                  <c:v>1.0</c:v>
                </c:pt>
                <c:pt idx="1">
                  <c:v>0.4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General"/>
        <c:majorTickMark val="none"/>
        <c:minorTickMark val="none"/>
        <c:tickLblPos val="nextTo"/>
        <c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0%" sourceLinked="0"/>
        <c:majorTickMark val="none"/>
        <c:minorTickMark val="none"/>
        <c:txPr>
          <ns1:bodyPr anchorCtr="1"/>
          <ns1:lstStyle/>
          <ns1:p>
            <ns1:pPr>
              <ns1:defRPr>
                <ns1:latin typeface="Arial"/>
                <ns1:ea typeface="Arial"/>
                <ns1:cs typeface="Arial"/>
              </ns1:defRPr>
            </ns1:pPr>
          </ns1:p>
        </c:txPr>
        <c:crossAx val="48650112"/>
        <c:crossBetween val="between"/>
      </c:valAx>
    </c:plotArea>
    <c:legend>
      <c:legendPos val="b"/>
      <c:overlay val="0"/>
      <c:txPr>
        <ns1:bodyPr anchorCtr="1"/>
        <ns1:lstStyle/>
        <ns1:p>
          <ns1:pPr>
            <ns1:defRPr sz="750">
              <ns1:latin typeface="Arial"/>
              <ns1:ea typeface="Arial"/>
              <ns1:cs typeface="Arial"/>
            </ns1:defRPr>
          </ns1:pPr>
        </ns1:p>
      </c:txPr>
    </c:legend>
    <c:plotVisOnly val="1"/>
  </c:chart>
  <c:spPr>
    <ns1:ln w="9525">
      <ns1:solidFill>
        <ns1:srgbClr val="D9D9D9"/>
      </ns1:solidFill>
      <ns1:prstDash val="solid"/>
    </ns1:ln>
  </c:spPr>
</c:chartSpace>
</file>

<file path=xl/drawings/charts/chart2.xml><?xml version="1.0" encoding="utf-8"?>
<c:chartSpace xmlns:c="http://schemas.openxmlformats.org/drawingml/2006/chart" xmlns:ns1="http://schemas.openxmlformats.org/drawingml/2006/main">
  <c:lang val="en-US"/>
  <c:roundedCorners val="0"/>
  <c:chart>
    <c:title>
      <c:tx>
        <c:rich>
          <ns1:bodyPr/>
          <ns1:lstStyle/>
          <ns1:p>
            <ns1:r>
              <ns1:rPr sz="900">
                <ns1:latin typeface="Arial"/>
                <ns1:ea typeface="Arial"/>
                <ns1:cs typeface="Arial"/>
              </ns1:rPr>
              <ns1:t>Cumulative simulated profit (units)</ns1:t>
            </ns1:r>
          </ns1:p>
        </c:rich>
      </c:tx>
      <c:overlay val="0"/>
      <c:txPr>
        <ns1:bodyPr anchorCtr="1"/>
        <ns1:lstStyle/>
        <ns1:p>
          <ns1:pPr>
            <ns1:defRPr sz="900">
              <ns1:latin typeface="Arial"/>
              <ns1:ea typeface="Arial"/>
              <ns1:cs typeface="Arial"/>
            </ns1:defRPr>
          </ns1:pPr>
        </ns1:p>
      </c:txPr>
    </c:title>
    <c:plotArea>
      <c:lineChart>
        <c:grouping val="standard"/>
        <c:varyColors val="0"/>
        <c:ser>
          <c:idx val="0"/>
          <c:order val="0"/>
          <c:tx>
            <c:v>Cumulative profit</c:v>
          </c:tx>
          <c:spPr>
            <ns1:ln w="19050">
              <ns1:solidFill>
                <ns1:srgbClr val="406B9C"/>
              </ns1:solidFill>
              <ns1:prstDash val="solid"/>
            </ns1:ln>
          </c:spPr>
          <c:marker>
            <c:symbol val="none"/>
          </c:marker>
          <c:cat>
            <c:strRef>
              <c:f>'ROI Plan'!$A$10:$A$31</c:f>
              <c:strCache>
                <c:ptCount val="22"/>
                <c:pt idx="0">
                  <c:v>2026-10-11T12:00:00+00:00</c:v>
                </c:pt>
                <c:pt idx="1">
                  <c:v>2026-10-11T13:00:00+00:00</c:v>
                </c:pt>
                <c:pt idx="2">
                  <c:v>2026-10-11T13:00:00+00:00</c:v>
                </c:pt>
                <c:pt idx="3">
                  <c:v>2026-10-11T13:00:00+00:00</c:v>
                </c:pt>
                <c:pt idx="4">
                  <c:v>2026-10-11T19:00:00+00:00</c:v>
                </c:pt>
                <c:pt idx="5">
                  <c:v>2026-10-12T16:30:00+00:00</c:v>
                </c:pt>
                <c:pt idx="6">
                  <c:v>2026-10-12T19:00:00+00:00</c:v>
                </c:pt>
                <c:pt idx="7">
                  <c:v>2026-10-12T19:00:00+00:00</c:v>
                </c:pt>
                <c:pt idx="8">
                  <c:v>2026-10-13T19:00:00+00:00</c:v>
                </c:pt>
                <c:pt idx="9">
                  <c:v>2026-10-13T19:00:00+00:00</c:v>
                </c:pt>
                <c:pt idx="10">
                  <c:v>2026-10-14T16:45:00+00:00</c:v>
                </c:pt>
                <c:pt idx="11">
                  <c:v>2026-10-14T19:00:00+00:00</c:v>
                </c:pt>
                <c:pt idx="12">
                  <c:v>2026-10-14T19:00:00+00:00</c:v>
                </c:pt>
                <c:pt idx="13">
                  <c:v>2026-10-16T19:00:00+00:00</c:v>
                </c:pt>
                <c:pt idx="14">
                  <c:v>2026-10-17T13:00:00+00:00</c:v>
                </c:pt>
                <c:pt idx="15">
                  <c:v>2026-10-17T13:30:00+00:00</c:v>
                </c:pt>
                <c:pt idx="16">
                  <c:v>2026-10-17T14:00:00+00:00</c:v>
                </c:pt>
                <c:pt idx="17">
                  <c:v>2026-10-17T14:00:00+00:00</c:v>
                </c:pt>
                <c:pt idx="18">
                  <c:v>2026-10-18T12:00:00+00:00</c:v>
                </c:pt>
                <c:pt idx="19">
                  <c:v>2026-10-18T16:30:00+00:00</c:v>
                </c:pt>
                <c:pt idx="20">
                  <c:v>2026-10-18T19:00:00+00:00</c:v>
                </c:pt>
                <c:pt idx="21">
                  <c:v>2026-10-19T19:00:00+00:00</c:v>
                </c:pt>
              </c:strCache>
            </c:strRef>
          </c:cat>
          <c:val>
            <c:numRef>
              <c:f>'ROI Plan'!$F$10:$F$31</c:f>
              <c:numCache>
                <c:formatCode>General</c:formatCode>
                <c:ptCount val="22"/>
                <c:pt idx="0">
                  <c:v>0</c:v>
                </c:pt>
                <c:pt idx="1">
                  <c:v>-1.0</c:v>
                </c:pt>
                <c:pt idx="2">
                  <c:v>-2.0</c:v>
                </c:pt>
                <c:pt idx="3">
                  <c:v>-1.72</c:v>
                </c:pt>
                <c:pt idx="4">
                  <c:v>-1.48</c:v>
                </c:pt>
                <c:pt idx="5">
                  <c:v>-0.8500000000000001</c:v>
                </c:pt>
                <c:pt idx="6">
                  <c:v>-0.51</c:v>
                </c:pt>
                <c:pt idx="7">
                  <c:v>-1.51</c:v>
                </c:pt>
                <c:pt idx="8">
                  <c:v>-1.36</c:v>
                </c:pt>
                <c:pt idx="9">
                  <c:v>-0.8700000000000001</c:v>
                </c:pt>
                <c:pt idx="10">
                  <c:v>-0.8700000000000001</c:v>
                </c:pt>
                <c:pt idx="11">
                  <c:v>-0.13000000000000012</c:v>
                </c:pt>
                <c:pt idx="12">
                  <c:v>0.10999999999999988</c:v>
                </c:pt>
                <c:pt idx="13">
                  <c:v>0.10999999999999988</c:v>
                </c:pt>
                <c:pt idx="14">
                  <c:v>0.10999999999999988</c:v>
                </c:pt>
                <c:pt idx="15">
                  <c:v>0.10999999999999988</c:v>
                </c:pt>
                <c:pt idx="16">
                  <c:v>0.10999999999999988</c:v>
                </c:pt>
                <c:pt idx="17">
                  <c:v>0.10999999999999988</c:v>
                </c:pt>
                <c:pt idx="18">
                  <c:v>0.10999999999999988</c:v>
                </c:pt>
                <c:pt idx="19">
                  <c:v>0.10999999999999988</c:v>
                </c:pt>
                <c:pt idx="20">
                  <c:v>0.10999999999999988</c:v>
                </c:pt>
                <c:pt idx="21">
                  <c:v>0.10999999999999988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General"/>
        <c:majorTickMark val="none"/>
        <c:minorTickMark val="none"/>
        <c:tickLblPos val="nextTo"/>
        <c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0.0" sourceLinked="0"/>
        <c:majorTickMark val="none"/>
        <c:minorTickMark val="none"/>
        <c:txPr>
          <ns1:bodyPr anchorCtr="1"/>
          <ns1:lstStyle/>
          <ns1:p>
            <ns1:pPr>
              <ns1:defRPr>
                <ns1:latin typeface="Arial"/>
                <ns1:ea typeface="Arial"/>
                <ns1:cs typeface="Arial"/>
              </ns1:defRPr>
            </ns1:pPr>
          </ns1:p>
        </c:txPr>
        <c:crossAx val="48650112"/>
        <c:crossBetween val="between"/>
      </c:valAx>
    </c:plotArea>
    <c:legend>
      <c:legendPos val="b"/>
      <c:overlay val="0"/>
      <c:txPr>
        <ns1:bodyPr anchorCtr="1"/>
        <ns1:lstStyle/>
        <ns1:p>
          <ns1:pPr>
            <ns1:defRPr sz="750">
              <ns1:latin typeface="Arial"/>
              <ns1:ea typeface="Arial"/>
              <ns1:cs typeface="Arial"/>
            </ns1:defRPr>
          </ns1:pPr>
        </ns1:p>
      </c:txPr>
    </c:legend>
    <c:plotVisOnly val="1"/>
  </c:chart>
  <c:spPr>
    <ns1:ln w="9525">
      <ns1:solidFill>
        <ns1:srgbClr val="D9D9D9"/>
      </ns1:solidFill>
      <ns1:prstDash val="solid"/>
    </ns1:ln>
  </c:spPr>
</c:chartSpace>
</file>

<file path=xl/drawings/charts/chart3.xml><?xml version="1.0" encoding="utf-8"?>
<c:chartSpace xmlns:c="http://schemas.openxmlformats.org/drawingml/2006/chart" xmlns:ns1="http://schemas.openxmlformats.org/drawingml/2006/main">
  <c:lang val="en-US"/>
  <c:roundedCorners val="0"/>
  <c:chart>
    <c:title>
      <c:tx>
        <c:rich>
          <ns1:bodyPr/>
          <ns1:lstStyle/>
          <ns1:p>
            <ns1:r>
              <ns1:rPr sz="900">
                <ns1:latin typeface="Arial"/>
                <ns1:ea typeface="Arial"/>
                <ns1:cs typeface="Arial"/>
              </ns1:rPr>
              <ns1:t>Forecast vs observed win rate</ns1:t>
            </ns1:r>
          </ns1:p>
        </c:rich>
      </c:tx>
      <c:overlay val="0"/>
      <c:txPr>
        <ns1:bodyPr anchorCtr="1"/>
        <ns1:lstStyle/>
        <ns1:p>
          <ns1:pPr>
            <ns1:defRPr sz="900">
              <ns1:latin typeface="Arial"/>
              <ns1:ea typeface="Arial"/>
              <ns1:cs typeface="Arial"/>
            </ns1:defRPr>
          </ns1:pPr>
        </ns1:p>
      </c:txPr>
    </c:title>
    <c:plotArea>
      <c:barChart>
        <c:barDir val="col"/>
        <c:varyColors val="0"/>
        <c:ser>
          <c:idx val="0"/>
          <c:order val="0"/>
          <c:tx>
            <c:v>Mean forecast</c:v>
          </c:tx>
          <c:cat>
            <c:strRef>
              <c:f>'Calibration'!$A$6:$A$11</c:f>
              <c:strCache>
                <c:ptCount val="6"/>
                <c:pt idx="0">
                  <c:v>0%–50%</c:v>
                </c:pt>
                <c:pt idx="1">
                  <c:v>50%–60%</c:v>
                </c:pt>
                <c:pt idx="2">
                  <c:v>60%–70%</c:v>
                </c:pt>
                <c:pt idx="3">
                  <c:v>70%–80%</c:v>
                </c:pt>
                <c:pt idx="4">
                  <c:v>80%–90%</c:v>
                </c:pt>
                <c:pt idx="5">
                  <c:v>90%–100%</c:v>
                </c:pt>
              </c:strCache>
            </c:strRef>
          </c:cat>
          <c:val>
            <c:numRef>
              <c:f>'Calibration'!$E$6:$E$11</c:f>
              <c:numCache>
                <c:formatCode>General</c:formatCode>
                <c:ptCount val="6"/>
                <c:pt idx="2">
                  <c:v>0.672911773109177</c:v>
                </c:pt>
                <c:pt idx="3">
                  <c:v>0.7598033602744063</c:v>
                </c:pt>
                <c:pt idx="4">
                  <c:v>0.8566010078816761</c:v>
                </c:pt>
                <c:pt idx="5">
                  <c:v>0.9297203731151685</c:v>
                </c:pt>
              </c:numCache>
            </c:numRef>
          </c:val>
        </c:ser>
        <c:ser>
          <c:idx val="1"/>
          <c:order val="1"/>
          <c:tx>
            <c:v>Observed win rate</c:v>
          </c:tx>
          <c:cat>
            <c:strRef>
              <c:f>'Calibration'!$A$6:$A$11</c:f>
              <c:strCache>
                <c:ptCount val="6"/>
                <c:pt idx="0">
                  <c:v>0%–50%</c:v>
                </c:pt>
                <c:pt idx="1">
                  <c:v>50%–60%</c:v>
                </c:pt>
                <c:pt idx="2">
                  <c:v>60%–70%</c:v>
                </c:pt>
                <c:pt idx="3">
                  <c:v>70%–80%</c:v>
                </c:pt>
                <c:pt idx="4">
                  <c:v>80%–90%</c:v>
                </c:pt>
                <c:pt idx="5">
                  <c:v>90%–100%</c:v>
                </c:pt>
              </c:strCache>
            </c:strRef>
          </c:cat>
          <c:val>
            <c:numRef>
              <c:f>'Calibration'!$F$6:$F$11</c:f>
              <c:numCache>
                <c:formatCode>General</c:formatCode>
                <c:ptCount val="6"/>
                <c:pt idx="2">
                  <c:v>1.0</c:v>
                </c:pt>
                <c:pt idx="3">
                  <c:v>0.75</c:v>
                </c:pt>
                <c:pt idx="4">
                  <c:v>0.3333333333333333</c:v>
                </c:pt>
                <c:pt idx="5">
                  <c:v>1.0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General"/>
        <c:majorTickMark val="none"/>
        <c:minorTickMark val="none"/>
        <c:tickLblPos val="nextTo"/>
        <c: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ns1:ln w="9525">
              <ns1:solidFill>
                <ns1:srgbClr val="CCCCCC"/>
              </ns1:solidFill>
              <ns1:prstDash val="dash"/>
            </ns1:ln>
          </c:spPr>
        </c:majorGridlines>
        <c:numFmt formatCode="0%" sourceLinked="0"/>
        <c:majorTickMark val="none"/>
        <c:minorTickMark val="none"/>
        <c:txPr>
          <ns1:bodyPr anchorCtr="1"/>
          <ns1:lstStyle/>
          <ns1:p>
            <ns1:pPr>
              <ns1:defRPr>
                <ns1:latin typeface="Arial"/>
                <ns1:ea typeface="Arial"/>
                <ns1:cs typeface="Arial"/>
              </ns1:defRPr>
            </ns1:pPr>
          </ns1:p>
        </c:txPr>
        <c:crossAx val="48650112"/>
        <c:crossBetween val="between"/>
      </c:valAx>
    </c:plotArea>
    <c:legend>
      <c:legendPos val="b"/>
      <c:overlay val="0"/>
      <c:txPr>
        <ns1:bodyPr anchorCtr="1"/>
        <ns1:lstStyle/>
        <ns1:p>
          <ns1:pPr>
            <ns1:defRPr sz="750">
              <ns1:latin typeface="Arial"/>
              <ns1:ea typeface="Arial"/>
              <ns1:cs typeface="Arial"/>
            </ns1:defRPr>
          </ns1:pPr>
        </ns1:p>
      </c:txPr>
    </c:legend>
    <c:plotVisOnly val="1"/>
  </c:chart>
  <c:spPr>
    <ns1:ln w="9525">
      <ns1:solidFill>
        <ns1:srgbClr val="D9D9D9"/>
      </ns1:solidFill>
      <ns1:prstDash val="solid"/>
    </ns1:ln>
  </c:spPr>
</c:chartSpace>
</file>

<file path=xl/drawings/drawing1.xml><?xml version="1.0" encoding="utf-8"?>
<wsDr xmlns="http://schemas.openxmlformats.org/drawingml/2006/spreadsheetDrawing" xmlns:ns1="http://schemas.openxmlformats.org/drawingml/2006/main" xmlns:ns2="http://schemas.openxmlformats.org/drawingml/2006/chart" xmlns:ns3="http://schemas.openxmlformats.org/officeDocument/2006/relationships">
  <twoCellAnchor>
    <from>
      <col>8</col>
      <colOff>0</colOff>
      <row>5</row>
      <rowOff>0</rowOff>
    </from>
    <to>
      <col>17</col>
      <colOff>0</colOff>
      <row>20</row>
      <rowOff>0</rowOff>
    </to>
    <graphicFrame macro="">
      <nvGraphicFramePr>
        <cNvPr id="1" name="Chart"/>
        <cNvGraphicFramePr/>
      </nvGraphicFramePr>
      <xfrm>
        <ns1:off x="0" y="0"/>
        <ns1:ext cx="0" cy="0"/>
      </xfrm>
      <ns1:graphic>
        <ns1:graphicData uri="http://schemas.openxmlformats.org/drawingml/2006/chart">
          <ns2:chart ns3:id="Rd5beffbb236b4723"/>
        </ns1:graphicData>
      </ns1:graphic>
    </graphicFrame>
    <clientData/>
  </twoCellAnchor>
  <twoCellAnchor>
    <from>
      <col>0</col>
      <colOff>0</colOff>
      <row>50</row>
      <rowOff>0</rowOff>
    </from>
    <to>
      <col>8</col>
      <colOff>0</colOff>
      <row>66</row>
      <rowOff>0</rowOff>
    </to>
    <graphicFrame macro="">
      <nvGraphicFramePr>
        <cNvPr id="2" name="Chart"/>
        <cNvGraphicFramePr/>
      </nvGraphicFramePr>
      <xfrm>
        <ns1:off x="0" y="0"/>
        <ns1:ext cx="0" cy="0"/>
      </xfrm>
      <ns1:graphic>
        <ns1:graphicData uri="http://schemas.openxmlformats.org/drawingml/2006/chart">
          <ns2:chart ns3:id="Rc84acae8c5114e58"/>
        </ns1:graphicData>
      </ns1:graphic>
    </graphicFrame>
    <clientData/>
  </twoCellAnchor>
  <twoCellAnchor>
    <from>
      <col>8</col>
      <colOff>0</colOff>
      <row>50</row>
      <rowOff>0</rowOff>
    </from>
    <to>
      <col>17</col>
      <colOff>0</colOff>
      <row>66</row>
      <rowOff>0</rowOff>
    </to>
    <graphicFrame macro="">
      <nvGraphicFramePr>
        <cNvPr id="3" name="Chart"/>
        <cNvGraphicFramePr/>
      </nvGraphicFramePr>
      <xfrm>
        <ns1:off x="0" y="0"/>
        <ns1:ext cx="0" cy="0"/>
      </xfrm>
      <ns1:graphic>
        <ns1:graphicData uri="http://schemas.openxmlformats.org/drawingml/2006/chart">
          <ns2:chart ns3:id="R90fd18e031a34679"/>
        </ns1:graphicData>
      </ns1:graphic>
    </graphicFrame>
    <clientData/>
  </twoCellAnchor>
</wsDr>
</file>

<file path=xl/drawings/drawingMonitoring.xml><?xml version="1.0" encoding="utf-8"?>
<wsDr xmlns="http://schemas.openxmlformats.org/drawingml/2006/spreadsheetDrawing" xmlns:ns1="http://schemas.openxmlformats.org/drawingml/2006/main" xmlns:ns2="http://schemas.openxmlformats.org/drawingml/2006/chart" xmlns:ns3="http://schemas.openxmlformats.org/officeDocument/2006/relationships">
  <twoCellAnchor>
    <from>
      <col>0</col>
      <colOff>0</colOff>
      <row>12</row>
      <rowOff>0</rowOff>
    </from>
    <to>
      <col>8</col>
      <colOff>0</colOff>
      <row>28</row>
      <rowOff>0</rowOff>
    </to>
    <graphicFrame macro="">
      <nvGraphicFramePr>
        <cNvPr id="1" name="Settled selections by ISO week"/>
        <cNvGraphicFramePr/>
      </nvGraphicFramePr>
      <xfrm>
        <ns1:off x="0" y="0"/>
        <ns1:ext cx="0" cy="0"/>
      </xfrm>
      <ns1:graphic>
        <ns1:graphicData uri="http://schemas.openxmlformats.org/drawingml/2006/chart">
          <ns2:chart ns3:id="rId1"/>
        </ns1:graphicData>
      </ns1:graphic>
    </graphicFrame>
    <clientData/>
  </twoCellAnchor>
  <twoCellAnchor>
    <from>
      <col>0</col>
      <colOff>0</colOff>
      <row>30</row>
      <rowOff>0</rowOff>
    </from>
    <to>
      <col>8</col>
      <colOff>0</colOff>
      <row>46</row>
      <rowOff>0</rowOff>
    </to>
    <graphicFrame macro="">
      <nvGraphicFramePr>
        <cNvPr id="2" name="Cumulative simulated profit (units)"/>
        <cNvGraphicFramePr/>
      </nvGraphicFramePr>
      <xfrm>
        <ns1:off x="0" y="0"/>
        <ns1:ext cx="0" cy="0"/>
      </xfrm>
      <ns1:graphic>
        <ns1:graphicData uri="http://schemas.openxmlformats.org/drawingml/2006/chart">
          <ns2:chart ns3:id="rId2"/>
        </ns1:graphicData>
      </ns1:graphic>
    </graphicFrame>
    <clientData/>
  </twoCellAnchor>
</wsDr>
</file>

<file path=xl/tables/table1.xml><?xml version="1.0" encoding="utf-8"?>
<table xmlns="http://schemas.openxmlformats.org/spreadsheetml/2006/main" id="5" name="ROILedger" displayName="ROILedger" ref="A9:J31" headerRowCount="1" totalsRowCount="0" totalsRowShown="0">
  <tableColumns count="10">
    <tableColumn id="1" name="Kickoff label"/>
    <tableColumn id="2" name="Match"/>
    <tableColumn id="3" name="Status"/>
    <tableColumn id="4" name="Staked units"/>
    <tableColumn id="5" name="Profit units"/>
    <tableColumn id="6" name="Cumulative profit"/>
    <tableColumn id="7" name="Simulated bankroll"/>
    <tableColumn id="8" name="Peak bankroll"/>
    <tableColumn id="9" name="Drawdown"/>
    <tableColumn id="10" name="ISO 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BreakdownsTable" displayName="BreakdownsTable" ref="A5:Q26" headerRowCount="1" totalsRowCount="0" totalsRowShown="0">
  <tableColumns count="17">
    <tableColumn id="1" name="Dimension"/>
    <tableColumn id="2" name="Group"/>
    <tableColumn id="3" name="Archived"/>
    <tableColumn id="4" name="Settled"/>
    <tableColumn id="5" name="Wins"/>
    <tableColumn id="6" name="Losses"/>
    <tableColumn id="7" name="Pending"/>
    <tableColumn id="8" name="Win rate"/>
    <tableColumn id="9" name="Staked units"/>
    <tableColumn id="10" name="Profit units"/>
    <tableColumn id="11" name="ROI"/>
    <tableColumn id="12" name="Brier"/>
    <tableColumn id="13" name="Mean forecast"/>
    <tableColumn id="14" name="Observed rate"/>
    <tableColumn id="15" name="Calibration gap"/>
    <tableColumn id="16" name="Probability samples"/>
    <tableColumn id="17" name="Revie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CalibrationTable" displayName="CalibrationTable" ref="A5:I11" headerRowCount="1" totalsRowCount="0" totalsRowShown="0">
  <tableColumns count="9">
    <tableColumn id="1" name="Probability band"/>
    <tableColumn id="2" name="Lower bound"/>
    <tableColumn id="3" name="Upper bound"/>
    <tableColumn id="4" name="Samples"/>
    <tableColumn id="5" name="Mean forecast"/>
    <tableColumn id="6" name="Observed win rate"/>
    <tableColumn id="7" name="Overconfidence"/>
    <tableColumn id="8" name="Binary Brier"/>
    <tableColumn id="9" name="Revie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SelectionsTable" displayName="SelectionsTable" ref="A5:T27" headerRowCount="1" totalsRowCount="0" totalsRowShown="0">
  <tableColumns count="20">
    <tableColumn id="1" name="Fixture key"/>
    <tableColumn id="2" name="Kickoff UTC"/>
    <tableColumn id="3" name="League"/>
    <tableColumn id="4" name="Match"/>
    <tableColumn id="5" name="Market"/>
    <tableColumn id="6" name="Tier"/>
    <tableColumn id="7" name="Selection policy"/>
    <tableColumn id="8" name="Adjusted probability"/>
    <tableColumn id="9" name="Decimal odds"/>
    <tableColumn id="10" name="Final score"/>
    <tableColumn id="11" name="Status"/>
    <tableColumn id="12" name="Won = 1"/>
    <tableColumn id="13" name="Stake units"/>
    <tableColumn id="14" name="Profit units"/>
    <tableColumn id="15" name="Binary Brier"/>
    <tableColumn id="16" name="ISO week"/>
    <tableColumn id="17" name="Snapshot commit"/>
    <tableColumn id="18" name="Result source"/>
    <tableColumn id="19" name="Scored forecast"/>
    <tableColumn id="20" name="Probability sa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PredictionsTable" displayName="PredictionsTable" ref="A5:P147" headerRowCount="1" totalsRowCount="0" totalsRowShown="0">
  <tableColumns count="16">
    <tableColumn id="1" name="Fixture key"/>
    <tableColumn id="2" name="Kickoff UTC"/>
    <tableColumn id="3" name="League"/>
    <tableColumn id="4" name="Match"/>
    <tableColumn id="5" name="Selection policy"/>
    <tableColumn id="6" name="Status"/>
    <tableColumn id="7" name="Final score"/>
    <tableColumn id="8" name="1X2 correct"/>
    <tableColumn id="9" name="1X2 Brier"/>
    <tableColumn id="10" name="Over 1.5 correct"/>
    <tableColumn id="11" name="Under 3.5 correct"/>
    <tableColumn id="12" name="BTTS Yes correct"/>
    <tableColumn id="13" name="BTTS No correct"/>
    <tableColumn id="14" name="ISO week"/>
    <tableColumn id="15" name="Snapshot commit"/>
    <tableColumn id="16" name="Result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2f4e5f229c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37aba3ca943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f56e743408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876b1102740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ad9493206746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36e2e62cba44b5" /></Relationships>
</file>

<file path=xl/worksheets/_rels/sheet8.xml.rels><?xml version='1.0' encoding='utf-8'?>
<Relationships xmlns="http://schemas.openxmlformats.org/package/2006/relationships"><Relationship Id="rIdMonitoring" Type="http://schemas.openxmlformats.org/officeDocument/2006/relationships/drawing" Target="../drawings/drawingMonitoring.xml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63E60"/>
  </sheetPr>
  <sheetViews>
    <sheetView workbookViewId="0" showGridLines="0" zoomScale="90"/>
  </sheetViews>
  <sheetFormatPr defaultRowHeight="15"/>
  <cols>
    <col min="1" max="1" width="34" customWidth="1"/>
    <col min="2" max="2" width="17" customWidth="1"/>
    <col min="3" max="3" width="3" customWidth="1"/>
    <col min="4" max="4" width="31" customWidth="1"/>
    <col min="5" max="5" width="13" customWidth="1"/>
    <col min="6" max="6" width="17" customWidth="1"/>
  </cols>
  <sheetData>
    <row r="1" ht="26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ht="26" customHeight="1">
      <c r="A2" s="25" t="str">
        <v>Football forward performance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ht="26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ht="26" customHeight="1">
      <c r="A4" s="27" t="str">
        <v>Only verified 90-minute results settle a selection. Win rate = wins / settled selections.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ht="26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ht="26" customHeight="1">
      <c r="A6" s="24" t="str">
        <v>Metric</v>
      </c>
      <c r="B6" s="24" t="str">
        <v>Result</v>
      </c>
      <c r="C6" s="18"/>
      <c r="D6" s="24" t="str">
        <v>Tier</v>
      </c>
      <c r="E6" s="24" t="str">
        <v>Settled</v>
      </c>
      <c r="F6" s="24" t="str">
        <v>Win rate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ht="26" customHeight="1">
      <c r="A7" s="18" t="str">
        <v>Archived selections</v>
      </c>
      <c r="B7" s="19">
        <f>Breakdowns!C6</f>
        <v>22</v>
      </c>
      <c r="C7" s="18"/>
      <c r="D7" s="18" t="str">
        <v>STRICT</v>
      </c>
      <c r="E7" s="18">
        <f>Breakdowns!D7</f>
        <v>6</v>
      </c>
      <c r="F7" s="20">
        <f>Breakdowns!H7</f>
        <v>1.0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ht="26" customHeight="1">
      <c r="A8" s="18" t="str">
        <v>Settled selections</v>
      </c>
      <c r="B8" s="19">
        <f>Breakdowns!D6</f>
        <v>11</v>
      </c>
      <c r="C8" s="18"/>
      <c r="D8" s="18" t="str">
        <v>PROVISIONAL</v>
      </c>
      <c r="E8" s="18">
        <f>Breakdowns!D8</f>
        <v>5</v>
      </c>
      <c r="F8" s="20">
        <f>Breakdowns!H8</f>
        <v>0.4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ht="26" customHeight="1">
      <c r="A9" s="18" t="str">
        <v>Wins</v>
      </c>
      <c r="B9" s="19">
        <f>Breakdowns!E6</f>
        <v>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6" customHeight="1">
      <c r="A10" s="18" t="str">
        <v>Losses</v>
      </c>
      <c r="B10" s="19">
        <f>Breakdowns!F6</f>
        <v>3</v>
      </c>
      <c r="C10" s="18"/>
      <c r="D10" s="18" t="str">
        <v>Evidence status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ht="26" customHeight="1">
      <c r="A11" s="18" t="str">
        <v>Pending / unverified</v>
      </c>
      <c r="B11" s="19">
        <f>Breakdowns!G6</f>
        <v>11</v>
      </c>
      <c r="C11" s="18"/>
      <c r="D11" s="28" t="str">
        <f>IF(B8=0,"Awaiting verified results",IF(B8&lt;30,"Early sample: continue forward testing","Review calibration and ROI by segment"))</f>
        <v>Early sample: continue forward testing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ht="26" customHeight="1">
      <c r="A12" s="18" t="str">
        <v>Win rate</v>
      </c>
      <c r="B12" s="20">
        <f>Breakdowns!H6</f>
        <v>0.7272727272727273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ht="26" customHeight="1">
      <c r="A13" s="18" t="str">
        <v>Simulated flat-stake ROI</v>
      </c>
      <c r="B13" s="20">
        <f>Breakdowns!K6</f>
        <v>0.009999999999999988</v>
      </c>
      <c r="C13" s="18"/>
      <c r="D13" s="18" t="str">
        <v>Results coverage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ht="26" customHeight="1">
      <c r="A14" s="18" t="inlineStr">
        <is>
          <t>Simulated net profit (units)</t>
        </is>
      </c>
      <c r="B14" s="22">
        <f>Breakdowns!J6</f>
        <v>0.10999999999999988</v>
      </c>
      <c r="C14" s="18"/>
      <c r="D14" s="18" t="inlineStr">
        <is>
          <t>11 settled; 11 pending / unverified</t>
        </is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ht="26" customHeight="1">
      <c r="A15" s="18" t="inlineStr">
        <is>
          <t>Selection Brier (lower is better)</t>
        </is>
      </c>
      <c r="B15" s="21">
        <f>Breakdowns!L6</f>
        <v>0.21593196515478594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ht="26" customHeight="1">
      <c r="A16" s="18" t="str">
        <v>1X2 forecast accuracy</v>
      </c>
      <c r="B16" s="20">
        <f>IF(COUNT(Predictions!H6:H147)=0,"n.a.",AVERAGE(Predictions!H6:H147))</f>
        <v>0.6470588235294118</v>
      </c>
      <c r="C16" s="18"/>
      <c r="D16" s="24" t="inlineStr">
        <is>
          <t>Forecast metric</t>
        </is>
      </c>
      <c r="E16" s="24" t="inlineStr">
        <is>
          <t>Samples</t>
        </is>
      </c>
      <c r="F16" s="24" t="inlineStr">
        <is>
          <t>Accuracy</t>
        </is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ht="26" customHeight="1">
      <c r="A17" s="18" t="str">
        <v>1X2 multiclass Brier</v>
      </c>
      <c r="B17" s="21">
        <f>IF(COUNT(Predictions!I6:I147)=0,"n.a.",AVERAGE(Predictions!I6:I147))</f>
        <v>0.5424825611764706</v>
      </c>
      <c r="C17" s="18"/>
      <c r="D17" s="18" t="inlineStr">
        <is>
          <t>Over 1.5</t>
        </is>
      </c>
      <c r="E17" s="18">
        <f>COUNT(Predictions!J6:J147)</f>
        <v>34</v>
      </c>
      <c r="F17" s="20">
        <f>IF(E17=0,"n.a.",AVERAGE(Predictions!J6:J147))</f>
        <v>0.9117647058823529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ht="26" customHeight="1">
      <c r="A18" s="18" t="str">
        <v>Win-rate 95% lower</v>
      </c>
      <c r="B18" s="20">
        <f>IF(B8=0,"n.a.",(B12+1.96^2/(2*B8)-1.96*SQRT(B12*(1-B12)/B8+1.96^2/(4*B8^2)))/(1+1.96^2/B8))</f>
        <v>0.4343497069897537</v>
      </c>
      <c r="C18" s="18"/>
      <c r="D18" s="18" t="inlineStr">
        <is>
          <t>Under 3.5</t>
        </is>
      </c>
      <c r="E18" s="18">
        <f>COUNT(Predictions!K6:K147)</f>
        <v>34</v>
      </c>
      <c r="F18" s="20">
        <f>IF(E18=0,"n.a.",AVERAGE(Predictions!K6:K147))</f>
        <v>0.5588235294117647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ht="26" customHeight="1">
      <c r="A19" s="18" t="str">
        <v>Win-rate 95% upper</v>
      </c>
      <c r="B19" s="20">
        <f>IF(B8=0,"n.a.",(B12+1.96^2/(2*B8)+1.96*SQRT(B12*(1-B12)/B8+1.96^2/(4*B8^2)))/(1+1.96^2/B8))</f>
        <v>0.9025411942607853</v>
      </c>
      <c r="C19" s="18"/>
      <c r="D19" s="18" t="inlineStr">
        <is>
          <t>BTTS Yes</t>
        </is>
      </c>
      <c r="E19" s="18">
        <f>COUNT(Predictions!L6:L147)</f>
        <v>34</v>
      </c>
      <c r="F19" s="20">
        <f>IF(E19=0,"n.a.",AVERAGE(Predictions!L6:L147))</f>
        <v>0.5294117647058824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ht="26" customHeight="1">
      <c r="A20" s="18"/>
      <c r="B20" s="18"/>
      <c r="C20" s="18"/>
      <c r="D20" s="18" t="inlineStr">
        <is>
          <t>BTTS No</t>
        </is>
      </c>
      <c r="E20" s="18">
        <f>COUNT(Predictions!M6:M147)</f>
        <v>34</v>
      </c>
      <c r="F20" s="20">
        <f>IF(E20=0,"n.a.",AVERAGE(Predictions!M6:M147))</f>
        <v>0.5294117647058824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ht="34" customHeight="1">
      <c r="A21" s="27" t="inlineStr">
        <is>
          <t>Conclusion: 8 wins from 11 settled selections. Early evidence; do not retune from this sample.</t>
        </is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ht="26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ht="26" customHeight="1">
      <c r="A23" s="27" t="str">
        <v>ROI Plan: editable bankroll and flat stake. ROI excludes settled entries with missing odds.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ht="26" customHeight="1">
      <c r="A24" s="27" t="str">
        <v>Model review: compare tiers, markets, leagues and policies in Breakdowns. Decisions remain manual.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ht="26" customHeight="1">
      <c r="A25" s="27" t="str">
        <v>Weeks use the ISO calendar, not competition matchweek numbers.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ht="34" customHeight="1">
      <c r="A26" s="27" t="inlineStr">
        <is>
          <t>Result-source issues: none recorded</t>
        </is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ht="26" customHeight="1">
      <c r="A27" s="27" t="inlineStr">
        <is>
          <t>Review UTC: 2026-10-15T15:13:16.300635+00:00</t>
        </is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ht="34" customHeight="1">
      <c r="A28" s="27" t="inlineStr">
        <is>
          <t>PROVISIONAL is a research watchlist. Positive simulated ROI does not establish profitability.</t>
        </is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ht="34" customHeight="1">
      <c r="A29" s="27" t="inlineStr">
        <is>
          <t>Review notes use 30 scored samples as a prompt, not statistical proof. Reassess on a future holdout.</t>
        </is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ht="2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26" customHeight="1">
      <c r="A31" s="31" t="inlineStr">
        <is>
          <t>Experiment readiness</t>
        </is>
      </c>
      <c r="B31" s="1"/>
      <c r="C31" s="1"/>
      <c r="D31" s="31" t="inlineStr">
        <is>
          <t>Collection health</t>
        </is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2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6" customHeight="1">
      <c r="A33" s="26" t="inlineStr">
        <is>
          <t>Monitoring and next actions</t>
        </is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34" customHeight="1">
      <c r="A34" s="24" t="inlineStr">
        <is>
          <t>Check</t>
        </is>
      </c>
      <c r="B34" s="24" t="inlineStr">
        <is>
          <t>Status</t>
        </is>
      </c>
      <c r="C34" s="24"/>
      <c r="D34" s="24" t="inlineStr">
        <is>
          <t>Next action</t>
        </is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44" customHeight="1">
      <c r="A35" s="18" t="inlineStr">
        <is>
          <t>Experiments ready</t>
        </is>
      </c>
      <c r="B35" s="19">
        <v>0</v>
      </c>
      <c r="C35" s="18"/>
      <c r="D35" s="18" t="inlineStr">
        <is>
          <t>Continue generating and pushing forecasts</t>
        </is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44" customHeight="1">
      <c r="A36" s="18" t="inlineStr">
        <is>
          <t>Unavailable / stale reports</t>
        </is>
      </c>
      <c r="B36" s="19">
        <v>0</v>
      </c>
      <c r="C36" s="18"/>
      <c r="D36" s="18" t="inlineStr">
        <is>
          <t>No stale experiment reports recorded</t>
        </is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44" customHeight="1">
      <c r="A37" s="18" t="inlineStr">
        <is>
          <t>Missing near-close quotes</t>
        </is>
      </c>
      <c r="B37" s="19">
        <v>25</v>
      </c>
      <c r="C37" s="18"/>
      <c r="D37" s="18" t="inlineStr">
        <is>
          <t>Check local collection and push quotes; counts overlap across bookmakers</t>
        </is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44" customHeight="1">
      <c r="A38" s="18" t="inlineStr">
        <is>
          <t>Rejected quote files</t>
        </is>
      </c>
      <c r="B38" s="19">
        <v>0</v>
      </c>
      <c r="C38" s="18"/>
      <c r="D38" s="18" t="inlineStr">
        <is>
          <t>No rejected quote files recorded</t>
        </is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44" customHeight="1">
      <c r="A39" s="18" t="inlineStr">
        <is>
          <t>Latest frozen capture</t>
        </is>
      </c>
      <c r="B39" s="18" t="inlineStr">
        <is>
          <t>2026-10-15 13:21:36 UTC</t>
        </is>
      </c>
      <c r="C39" s="18"/>
      <c r="D39" s="18" t="inlineStr">
        <is>
          <t>See Capture Details for all six experiment states</t>
        </is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6" customHeight="1">
      <c r="A41" s="31" t="inlineStr">
        <is>
          <t>Weekly samples and profit</t>
        </is>
      </c>
      <c r="B41" s="1"/>
      <c r="C41" s="1"/>
      <c r="D41" s="31" t="inlineStr">
        <is>
          <t>Metric definitions</t>
        </is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6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6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6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26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2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26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2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2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2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26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2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2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2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26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2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26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2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19">
    <mergeCell ref="A2:F2"/>
    <mergeCell ref="A4:F4"/>
    <mergeCell ref="A21:F21"/>
    <mergeCell ref="A23:F23"/>
    <mergeCell ref="A24:F24"/>
    <mergeCell ref="A25:F25"/>
    <mergeCell ref="A26:F26"/>
    <mergeCell ref="A27:F27"/>
    <mergeCell ref="A28:F28"/>
    <mergeCell ref="A29:F29"/>
    <mergeCell ref="D11:F12"/>
    <mergeCell ref="D14:F15"/>
    <mergeCell ref="A33:F33"/>
    <mergeCell ref="D34:F34"/>
    <mergeCell ref="D35:F35"/>
    <mergeCell ref="D36:F36"/>
    <mergeCell ref="D37:F37"/>
    <mergeCell ref="D38:F38"/>
    <mergeCell ref="D39:F39"/>
  </mergeCells>
  <hyperlinks>
    <hyperlink ref="A31" location="'Experiments'!A1" display="Experiment readiness"/>
    <hyperlink ref="D31" location="'Pipeline Health'!A1" display="Collection health"/>
    <hyperlink ref="A41" location="'Weekly Trends'!A1" display="Weekly samples and profit"/>
    <hyperlink ref="D41" location="'Metric Guide'!A1" display="Metric definitions"/>
  </hyperlinks>
  <pageMargins left="0.7" right="0.7" top="0.75" bottom="0.75" header="0.3" footer="0.3"/>
  <drawing ns1:id="R612f4e5f229c462f"/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2" ySplit="9" topLeftCell="C10" activePane="bottomRight" state="frozen"/>
    </sheetView>
  </sheetViews>
  <sheetFormatPr defaultRowHeight="15"/>
  <cols>
    <col min="1" max="1" width="24" customWidth="1"/>
    <col min="2" max="2" width="44" customWidth="1"/>
    <col min="3" max="3" width="36" customWidth="1"/>
    <col min="4" max="4" width="16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6" customWidth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>
      <c r="A2" s="25" t="str">
        <v>ROI Plan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" customHeight="1">
      <c r="A4" s="1" t="str">
        <v>Starting bankroll (units)</v>
      </c>
      <c r="B4" s="17" t="n">
        <v>100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2" customHeight="1">
      <c r="A5" s="1" t="str">
        <v>Flat stake per bet (units)</v>
      </c>
      <c r="B5" s="17" t="n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22" customHeight="1">
      <c r="A7" s="1" t="str">
        <v>Simulation in kickoff order. Separate flat stakes, no accumulators. Pending and missing-odds entries have no stake.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22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44" customHeight="1">
      <c r="A9" s="24" t="str">
        <v>Kickoff label</v>
      </c>
      <c r="B9" s="24" t="str">
        <v>Match</v>
      </c>
      <c r="C9" s="24" t="str">
        <v>Status</v>
      </c>
      <c r="D9" s="24" t="str">
        <v>Staked units</v>
      </c>
      <c r="E9" s="24" t="str">
        <v>Profit units</v>
      </c>
      <c r="F9" s="24" t="str">
        <v>Cumulative profit</v>
      </c>
      <c r="G9" s="24" t="str">
        <v>Simulated bankroll</v>
      </c>
      <c r="H9" s="24" t="str">
        <v>Peak bankroll</v>
      </c>
      <c r="I9" s="24" t="str">
        <v>Drawdown</v>
      </c>
      <c r="J9" s="24" t="str">
        <v>ISO week</v>
      </c>
      <c r="K9" s="24"/>
      <c r="L9" s="24"/>
      <c r="M9" s="24"/>
      <c r="N9" s="24"/>
      <c r="O9" s="24"/>
      <c r="P9" s="24"/>
      <c r="Q9" s="24"/>
      <c r="R9" s="24"/>
    </row>
    <row r="10" ht="36" customHeight="1">
      <c r="A10" s="18" t="inlineStr">
        <is>
          <t>2026-10-11T12:00:00+00:00</t>
        </is>
      </c>
      <c r="B10" s="18" t="inlineStr">
        <is>
          <t>Elche CF vs Celta Vigo</t>
        </is>
      </c>
      <c r="C10" s="18" t="inlineStr">
        <is>
          <t>UNVERIFIED_FIXTURE_OR_RESULT</t>
        </is>
      </c>
      <c r="D10" s="22" t="str">
        <f>IF(ISNUMBER(Selections!M6),Selections!M6,"")</f>
        <v/>
      </c>
      <c r="E10" s="22" t="str">
        <f>IF(ISNUMBER(Selections!N6),Selections!N6,"")</f>
        <v/>
      </c>
      <c r="F10" s="22">
        <f>SUM($E$10:E10)</f>
        <v>0</v>
      </c>
      <c r="G10" s="22">
        <f>$B$4+F10</f>
        <v>100</v>
      </c>
      <c r="H10" s="22">
        <f>MAX($B$4,$G$10:G10)</f>
        <v>100</v>
      </c>
      <c r="I10" s="22">
        <f>H10-G10</f>
        <v>0</v>
      </c>
      <c r="J10" s="18" t="inlineStr">
        <is>
          <t>2026-W41</t>
        </is>
      </c>
      <c r="K10" s="18"/>
      <c r="L10" s="18"/>
      <c r="M10" s="18"/>
      <c r="N10" s="18"/>
      <c r="O10" s="18"/>
      <c r="P10" s="18"/>
      <c r="Q10" s="18"/>
      <c r="R10" s="18"/>
    </row>
    <row r="11" ht="36" customHeight="1">
      <c r="A11" s="18" t="inlineStr">
        <is>
          <t>2026-10-11T13:00:00+00:00</t>
        </is>
      </c>
      <c r="B11" s="18" t="inlineStr">
        <is>
          <t>Crystal Palace vs Nottingham Forest</t>
        </is>
      </c>
      <c r="C11" s="18" t="inlineStr">
        <is>
          <t>LOST</t>
        </is>
      </c>
      <c r="D11" s="22">
        <f>IF(ISNUMBER(Selections!M7),Selections!M7,"")</f>
        <v>1</v>
      </c>
      <c r="E11" s="22">
        <f>IF(ISNUMBER(Selections!N7),Selections!N7,"")</f>
        <v>-1.0</v>
      </c>
      <c r="F11" s="22">
        <f>SUM($E$10:E11)</f>
        <v>-1.0</v>
      </c>
      <c r="G11" s="22">
        <f>$B$4+F11</f>
        <v>99.0</v>
      </c>
      <c r="H11" s="22">
        <f>MAX($B$4,$G$10:G11)</f>
        <v>100</v>
      </c>
      <c r="I11" s="22">
        <f>H11-G11</f>
        <v>1.0</v>
      </c>
      <c r="J11" s="18" t="inlineStr">
        <is>
          <t>2026-W41</t>
        </is>
      </c>
      <c r="K11" s="18"/>
      <c r="L11" s="18"/>
      <c r="M11" s="18"/>
      <c r="N11" s="18"/>
      <c r="O11" s="18"/>
      <c r="P11" s="18"/>
      <c r="Q11" s="18"/>
      <c r="R11" s="18"/>
    </row>
    <row r="12" ht="36" customHeight="1">
      <c r="A12" s="18" t="inlineStr">
        <is>
          <t>2026-10-11T13:00:00+00:00</t>
        </is>
      </c>
      <c r="B12" s="18" t="inlineStr">
        <is>
          <t>Hull City vs Everton</t>
        </is>
      </c>
      <c r="C12" s="18" t="inlineStr">
        <is>
          <t>LOST</t>
        </is>
      </c>
      <c r="D12" s="22">
        <f>IF(ISNUMBER(Selections!M8),Selections!M8,"")</f>
        <v>1</v>
      </c>
      <c r="E12" s="22">
        <f>IF(ISNUMBER(Selections!N8),Selections!N8,"")</f>
        <v>-1.0</v>
      </c>
      <c r="F12" s="22">
        <f>SUM($E$10:E12)</f>
        <v>-2.0</v>
      </c>
      <c r="G12" s="22">
        <f>$B$4+F12</f>
        <v>98.0</v>
      </c>
      <c r="H12" s="22">
        <f>MAX($B$4,$G$10:G12)</f>
        <v>100</v>
      </c>
      <c r="I12" s="22">
        <f>H12-G12</f>
        <v>2.0</v>
      </c>
      <c r="J12" s="18" t="inlineStr">
        <is>
          <t>2026-W41</t>
        </is>
      </c>
      <c r="K12" s="18"/>
      <c r="L12" s="18"/>
      <c r="M12" s="18"/>
      <c r="N12" s="18"/>
      <c r="O12" s="18"/>
      <c r="P12" s="18"/>
      <c r="Q12" s="18"/>
      <c r="R12" s="18"/>
    </row>
    <row r="13" ht="36" customHeight="1">
      <c r="A13" s="18" t="inlineStr">
        <is>
          <t>2026-10-11T13:00:00+00:00</t>
        </is>
      </c>
      <c r="B13" s="18" t="inlineStr">
        <is>
          <t>Lecce vs Bologna</t>
        </is>
      </c>
      <c r="C13" s="18" t="inlineStr">
        <is>
          <t>WON</t>
        </is>
      </c>
      <c r="D13" s="22">
        <f>IF(ISNUMBER(Selections!M9),Selections!M9,"")</f>
        <v>1</v>
      </c>
      <c r="E13" s="22">
        <f>IF(ISNUMBER(Selections!N9),Selections!N9,"")</f>
        <v>0.28</v>
      </c>
      <c r="F13" s="22">
        <f>SUM($E$10:E13)</f>
        <v>-1.72</v>
      </c>
      <c r="G13" s="22">
        <f>$B$4+F13</f>
        <v>98.28</v>
      </c>
      <c r="H13" s="22">
        <f>MAX($B$4,$G$10:G13)</f>
        <v>100</v>
      </c>
      <c r="I13" s="22">
        <f>H13-G13</f>
        <v>1.7199999999999989</v>
      </c>
      <c r="J13" s="18" t="inlineStr">
        <is>
          <t>2026-W41</t>
        </is>
      </c>
      <c r="K13" s="18"/>
      <c r="L13" s="18"/>
      <c r="M13" s="18"/>
      <c r="N13" s="18"/>
      <c r="O13" s="18"/>
      <c r="P13" s="18"/>
      <c r="Q13" s="18"/>
      <c r="R13" s="18"/>
    </row>
    <row r="14" ht="36" customHeight="1">
      <c r="A14" s="18" t="inlineStr">
        <is>
          <t>2026-10-11T19:00:00+00:00</t>
        </is>
      </c>
      <c r="B14" s="18" t="inlineStr">
        <is>
          <t>Real Racing Club de Santander vs Valencia</t>
        </is>
      </c>
      <c r="C14" s="18" t="inlineStr">
        <is>
          <t>WON</t>
        </is>
      </c>
      <c r="D14" s="22">
        <f>IF(ISNUMBER(Selections!M10),Selections!M10,"")</f>
        <v>1</v>
      </c>
      <c r="E14" s="22">
        <f>IF(ISNUMBER(Selections!N10),Selections!N10,"")</f>
        <v>0.24</v>
      </c>
      <c r="F14" s="22">
        <f>SUM($E$10:E14)</f>
        <v>-1.48</v>
      </c>
      <c r="G14" s="22">
        <f>$B$4+F14</f>
        <v>98.52</v>
      </c>
      <c r="H14" s="22">
        <f>MAX($B$4,$G$10:G14)</f>
        <v>100</v>
      </c>
      <c r="I14" s="22">
        <f>H14-G14</f>
        <v>1.480000000000004</v>
      </c>
      <c r="J14" s="18" t="inlineStr">
        <is>
          <t>2026-W41</t>
        </is>
      </c>
      <c r="K14" s="18"/>
      <c r="L14" s="18"/>
      <c r="M14" s="18"/>
      <c r="N14" s="18"/>
      <c r="O14" s="18"/>
      <c r="P14" s="18"/>
      <c r="Q14" s="18"/>
      <c r="R14" s="18"/>
    </row>
    <row r="15" ht="36" customHeight="1">
      <c r="A15" s="18" t="inlineStr">
        <is>
          <t>2026-10-12T16:30:00+00:00</t>
        </is>
      </c>
      <c r="B15" s="18" t="inlineStr">
        <is>
          <t>Atalanta BC vs Venezia</t>
        </is>
      </c>
      <c r="C15" s="18" t="inlineStr">
        <is>
          <t>WON</t>
        </is>
      </c>
      <c r="D15" s="22">
        <f>IF(ISNUMBER(Selections!M11),Selections!M11,"")</f>
        <v>1</v>
      </c>
      <c r="E15" s="22">
        <f>IF(ISNUMBER(Selections!N11),Selections!N11,"")</f>
        <v>0.6299999999999999</v>
      </c>
      <c r="F15" s="22">
        <f>SUM($E$10:E15)</f>
        <v>-0.8500000000000001</v>
      </c>
      <c r="G15" s="22">
        <f>$B$4+F15</f>
        <v>99.15</v>
      </c>
      <c r="H15" s="22">
        <f>MAX($B$4,$G$10:G15)</f>
        <v>100</v>
      </c>
      <c r="I15" s="22">
        <f>H15-G15</f>
        <v>0.8499999999999943</v>
      </c>
      <c r="J15" s="18" t="inlineStr">
        <is>
          <t>2026-W42</t>
        </is>
      </c>
      <c r="K15" s="18"/>
      <c r="L15" s="18"/>
      <c r="M15" s="18"/>
      <c r="N15" s="18"/>
      <c r="O15" s="18"/>
      <c r="P15" s="18"/>
      <c r="Q15" s="18"/>
      <c r="R15" s="18"/>
    </row>
    <row r="16" ht="36" customHeight="1">
      <c r="A16" s="18" t="inlineStr">
        <is>
          <t>2026-10-12T19:00:00+00:00</t>
        </is>
      </c>
      <c r="B16" s="18" t="inlineStr">
        <is>
          <t>Levante vs Sevilla</t>
        </is>
      </c>
      <c r="C16" s="18" t="inlineStr">
        <is>
          <t>WON</t>
        </is>
      </c>
      <c r="D16" s="22">
        <f>IF(ISNUMBER(Selections!M12),Selections!M12,"")</f>
        <v>1</v>
      </c>
      <c r="E16" s="22">
        <f>IF(ISNUMBER(Selections!N12),Selections!N12,"")</f>
        <v>0.3400000000000001</v>
      </c>
      <c r="F16" s="22">
        <f>SUM($E$10:E16)</f>
        <v>-0.51</v>
      </c>
      <c r="G16" s="22">
        <f>$B$4+F16</f>
        <v>99.49</v>
      </c>
      <c r="H16" s="22">
        <f>MAX($B$4,$G$10:G16)</f>
        <v>100</v>
      </c>
      <c r="I16" s="22">
        <f>H16-G16</f>
        <v>0.5100000000000051</v>
      </c>
      <c r="J16" s="18" t="inlineStr">
        <is>
          <t>2026-W42</t>
        </is>
      </c>
      <c r="K16" s="18"/>
      <c r="L16" s="18"/>
      <c r="M16" s="18"/>
      <c r="N16" s="18"/>
      <c r="O16" s="18"/>
      <c r="P16" s="18"/>
      <c r="Q16" s="18"/>
      <c r="R16" s="18"/>
    </row>
    <row r="17" ht="36" customHeight="1">
      <c r="A17" s="18" t="inlineStr">
        <is>
          <t>2026-10-12T19:00:00+00:00</t>
        </is>
      </c>
      <c r="B17" s="18" t="inlineStr">
        <is>
          <t>Coventry City vs Newcastle United</t>
        </is>
      </c>
      <c r="C17" s="18" t="inlineStr">
        <is>
          <t>LOST</t>
        </is>
      </c>
      <c r="D17" s="22">
        <f>IF(ISNUMBER(Selections!M13),Selections!M13,"")</f>
        <v>1</v>
      </c>
      <c r="E17" s="22">
        <f>IF(ISNUMBER(Selections!N13),Selections!N13,"")</f>
        <v>-1.0</v>
      </c>
      <c r="F17" s="22">
        <f>SUM($E$10:E17)</f>
        <v>-1.51</v>
      </c>
      <c r="G17" s="22">
        <f>$B$4+F17</f>
        <v>98.49</v>
      </c>
      <c r="H17" s="22">
        <f>MAX($B$4,$G$10:G17)</f>
        <v>100</v>
      </c>
      <c r="I17" s="22">
        <f>H17-G17</f>
        <v>1.5100000000000051</v>
      </c>
      <c r="J17" s="18" t="inlineStr">
        <is>
          <t>2026-W42</t>
        </is>
      </c>
      <c r="K17" s="18"/>
      <c r="L17" s="18"/>
      <c r="M17" s="18"/>
      <c r="N17" s="18"/>
      <c r="O17" s="18"/>
      <c r="P17" s="18"/>
      <c r="Q17" s="18"/>
      <c r="R17" s="18"/>
    </row>
    <row r="18" ht="36" customHeight="1">
      <c r="A18" s="18" t="inlineStr">
        <is>
          <t>2026-10-13T19:00:00+00:00</t>
        </is>
      </c>
      <c r="B18" s="18" t="inlineStr">
        <is>
          <t>Atlético Madrid vs Manchester United</t>
        </is>
      </c>
      <c r="C18" s="18" t="inlineStr">
        <is>
          <t>WON</t>
        </is>
      </c>
      <c r="D18" s="22">
        <f>IF(ISNUMBER(Selections!M14),Selections!M14,"")</f>
        <v>1</v>
      </c>
      <c r="E18" s="22">
        <f>IF(ISNUMBER(Selections!N14),Selections!N14,"")</f>
        <v>0.1499999999999999</v>
      </c>
      <c r="F18" s="22">
        <f>SUM($E$10:E18)</f>
        <v>-1.36</v>
      </c>
      <c r="G18" s="22">
        <f>$B$4+F18</f>
        <v>98.64</v>
      </c>
      <c r="H18" s="22">
        <f>MAX($B$4,$G$10:G18)</f>
        <v>100</v>
      </c>
      <c r="I18" s="22">
        <f>H18-G18</f>
        <v>1.3599999999999994</v>
      </c>
      <c r="J18" s="18" t="inlineStr">
        <is>
          <t>2026-W42</t>
        </is>
      </c>
      <c r="K18" s="18"/>
      <c r="L18" s="18"/>
      <c r="M18" s="18"/>
      <c r="N18" s="18"/>
      <c r="O18" s="18"/>
      <c r="P18" s="18"/>
      <c r="Q18" s="18"/>
      <c r="R18" s="18"/>
    </row>
    <row r="19" ht="36" customHeight="1">
      <c r="A19" s="18" t="inlineStr">
        <is>
          <t>2026-10-13T19:00:00+00:00</t>
        </is>
      </c>
      <c r="B19" s="18" t="inlineStr">
        <is>
          <t>Galatasaray vs Barcelona</t>
        </is>
      </c>
      <c r="C19" s="18" t="inlineStr">
        <is>
          <t>WON</t>
        </is>
      </c>
      <c r="D19" s="22">
        <f>IF(ISNUMBER(Selections!M15),Selections!M15,"")</f>
        <v>1</v>
      </c>
      <c r="E19" s="22">
        <f>IF(ISNUMBER(Selections!N15),Selections!N15,"")</f>
        <v>0.49</v>
      </c>
      <c r="F19" s="22">
        <f>SUM($E$10:E19)</f>
        <v>-0.8700000000000001</v>
      </c>
      <c r="G19" s="22">
        <f>$B$4+F19</f>
        <v>99.13</v>
      </c>
      <c r="H19" s="22">
        <f>MAX($B$4,$G$10:G19)</f>
        <v>100</v>
      </c>
      <c r="I19" s="22">
        <f>H19-G19</f>
        <v>0.8700000000000045</v>
      </c>
      <c r="J19" s="18" t="inlineStr">
        <is>
          <t>2026-W42</t>
        </is>
      </c>
      <c r="K19" s="18"/>
      <c r="L19" s="18"/>
      <c r="M19" s="18"/>
      <c r="N19" s="18"/>
      <c r="O19" s="18"/>
      <c r="P19" s="18"/>
      <c r="Q19" s="18"/>
      <c r="R19" s="18"/>
    </row>
    <row r="20" ht="36" customHeight="1">
      <c r="A20" s="18" t="inlineStr">
        <is>
          <t>2026-10-14T16:45:00+00:00</t>
        </is>
      </c>
      <c r="B20" s="18" t="inlineStr">
        <is>
          <t>Feyenoord vs Como</t>
        </is>
      </c>
      <c r="C20" s="18" t="inlineStr">
        <is>
          <t>UNVERIFIED_FIXTURE_OR_RESULT</t>
        </is>
      </c>
      <c r="D20" s="22" t="str">
        <f>IF(ISNUMBER(Selections!M16),Selections!M16,"")</f>
        <v/>
      </c>
      <c r="E20" s="22" t="str">
        <f>IF(ISNUMBER(Selections!N16),Selections!N16,"")</f>
        <v/>
      </c>
      <c r="F20" s="22">
        <f>SUM($E$10:E20)</f>
        <v>-0.8700000000000001</v>
      </c>
      <c r="G20" s="22">
        <f>$B$4+F20</f>
        <v>99.13</v>
      </c>
      <c r="H20" s="22">
        <f>MAX($B$4,$G$10:G20)</f>
        <v>100</v>
      </c>
      <c r="I20" s="22">
        <f>H20-G20</f>
        <v>0.8700000000000045</v>
      </c>
      <c r="J20" s="18" t="inlineStr">
        <is>
          <t>2026-W42</t>
        </is>
      </c>
      <c r="K20" s="18"/>
      <c r="L20" s="18"/>
      <c r="M20" s="18"/>
      <c r="N20" s="18"/>
      <c r="O20" s="18"/>
      <c r="P20" s="18"/>
      <c r="Q20" s="18"/>
      <c r="R20" s="18"/>
    </row>
    <row r="21" ht="36" customHeight="1">
      <c r="A21" s="18" t="inlineStr">
        <is>
          <t>2026-10-14T19:00:00+00:00</t>
        </is>
      </c>
      <c r="B21" s="18" t="inlineStr">
        <is>
          <t>Aston Villa vs Fenerbahce</t>
        </is>
      </c>
      <c r="C21" s="18" t="inlineStr">
        <is>
          <t>WON</t>
        </is>
      </c>
      <c r="D21" s="22">
        <f>IF(ISNUMBER(Selections!M17),Selections!M17,"")</f>
        <v>1</v>
      </c>
      <c r="E21" s="22">
        <f>IF(ISNUMBER(Selections!N17),Selections!N17,"")</f>
        <v>0.74</v>
      </c>
      <c r="F21" s="22">
        <f>SUM($E$10:E21)</f>
        <v>-0.13000000000000012</v>
      </c>
      <c r="G21" s="22">
        <f>$B$4+F21</f>
        <v>99.87</v>
      </c>
      <c r="H21" s="22">
        <f>MAX($B$4,$G$10:G21)</f>
        <v>100</v>
      </c>
      <c r="I21" s="22">
        <f>H21-G21</f>
        <v>0.12999999999999545</v>
      </c>
      <c r="J21" s="18" t="inlineStr">
        <is>
          <t>2026-W42</t>
        </is>
      </c>
      <c r="K21" s="18"/>
      <c r="L21" s="18"/>
      <c r="M21" s="18"/>
      <c r="N21" s="18"/>
      <c r="O21" s="18"/>
      <c r="P21" s="18"/>
      <c r="Q21" s="18"/>
      <c r="R21" s="18"/>
    </row>
    <row r="22" ht="36" customHeight="1">
      <c r="A22" s="18" t="inlineStr">
        <is>
          <t>2026-10-14T19:00:00+00:00</t>
        </is>
      </c>
      <c r="B22" s="18" t="inlineStr">
        <is>
          <t>Real Betis vs Porto</t>
        </is>
      </c>
      <c r="C22" s="18" t="inlineStr">
        <is>
          <t>WON</t>
        </is>
      </c>
      <c r="D22" s="22">
        <f>IF(ISNUMBER(Selections!M18),Selections!M18,"")</f>
        <v>1</v>
      </c>
      <c r="E22" s="22">
        <f>IF(ISNUMBER(Selections!N18),Selections!N18,"")</f>
        <v>0.24</v>
      </c>
      <c r="F22" s="22">
        <f>SUM($E$10:E22)</f>
        <v>0.10999999999999988</v>
      </c>
      <c r="G22" s="22">
        <f>$B$4+F22</f>
        <v>100.11</v>
      </c>
      <c r="H22" s="22">
        <f>MAX($B$4,$G$10:G22)</f>
        <v>100.11</v>
      </c>
      <c r="I22" s="22">
        <f>H22-G22</f>
        <v>0.0</v>
      </c>
      <c r="J22" s="18" t="inlineStr">
        <is>
          <t>2026-W42</t>
        </is>
      </c>
      <c r="K22" s="18"/>
      <c r="L22" s="18"/>
      <c r="M22" s="18"/>
      <c r="N22" s="18"/>
      <c r="O22" s="18"/>
      <c r="P22" s="18"/>
      <c r="Q22" s="18"/>
      <c r="R22" s="18"/>
    </row>
    <row r="23" ht="36" customHeight="1">
      <c r="A23" s="18" t="inlineStr">
        <is>
          <t>2026-10-16T19:00:00+00:00</t>
        </is>
      </c>
      <c r="B23" s="18" t="inlineStr">
        <is>
          <t>Deportivo La Coruña vs Levante</t>
        </is>
      </c>
      <c r="C23" s="18" t="inlineStr">
        <is>
          <t>PENDING_KICKOFF_OR_FINAL_SCORE</t>
        </is>
      </c>
      <c r="D23" s="22" t="str">
        <f>IF(ISNUMBER(Selections!M19),Selections!M19,"")</f>
        <v/>
      </c>
      <c r="E23" s="22" t="str">
        <f>IF(ISNUMBER(Selections!N19),Selections!N19,"")</f>
        <v/>
      </c>
      <c r="F23" s="22">
        <f>SUM($E$10:E23)</f>
        <v>0.10999999999999988</v>
      </c>
      <c r="G23" s="22">
        <f>$B$4+F23</f>
        <v>100.11</v>
      </c>
      <c r="H23" s="22">
        <f>MAX($B$4,$G$10:G23)</f>
        <v>100.11</v>
      </c>
      <c r="I23" s="22">
        <f>H23-G23</f>
        <v>0.0</v>
      </c>
      <c r="J23" s="18" t="inlineStr">
        <is>
          <t>2026-W42</t>
        </is>
      </c>
      <c r="K23" s="18"/>
      <c r="L23" s="18"/>
      <c r="M23" s="18"/>
      <c r="N23" s="18"/>
      <c r="O23" s="18"/>
      <c r="P23" s="18"/>
      <c r="Q23" s="18"/>
      <c r="R23" s="18"/>
    </row>
    <row r="24" ht="36" customHeight="1">
      <c r="A24" s="18" t="inlineStr">
        <is>
          <t>2026-10-17T13:00:00+00:00</t>
        </is>
      </c>
      <c r="B24" s="18" t="inlineStr">
        <is>
          <t>Venezia vs Napoli</t>
        </is>
      </c>
      <c r="C24" s="18" t="inlineStr">
        <is>
          <t>PENDING_KICKOFF_OR_FINAL_SCORE</t>
        </is>
      </c>
      <c r="D24" s="22" t="str">
        <f>IF(ISNUMBER(Selections!M20),Selections!M20,"")</f>
        <v/>
      </c>
      <c r="E24" s="22" t="str">
        <f>IF(ISNUMBER(Selections!N20),Selections!N20,"")</f>
        <v/>
      </c>
      <c r="F24" s="22">
        <f>SUM($E$10:E24)</f>
        <v>0.10999999999999988</v>
      </c>
      <c r="G24" s="22">
        <f>$B$4+F24</f>
        <v>100.11</v>
      </c>
      <c r="H24" s="22">
        <f>MAX($B$4,$G$10:G24)</f>
        <v>100.11</v>
      </c>
      <c r="I24" s="22">
        <f>H24-G24</f>
        <v>0.0</v>
      </c>
      <c r="J24" s="18" t="inlineStr">
        <is>
          <t>2026-W42</t>
        </is>
      </c>
      <c r="K24" s="18"/>
      <c r="L24" s="18"/>
      <c r="M24" s="18"/>
      <c r="N24" s="18"/>
      <c r="O24" s="18"/>
      <c r="P24" s="18"/>
      <c r="Q24" s="18"/>
      <c r="R24" s="18"/>
    </row>
    <row r="25" ht="36" customHeight="1">
      <c r="A25" s="18" t="inlineStr">
        <is>
          <t>2026-10-17T13:30:00+00:00</t>
        </is>
      </c>
      <c r="B25" s="18" t="inlineStr">
        <is>
          <t>Werder Bremen vs SC Paderborn</t>
        </is>
      </c>
      <c r="C25" s="18" t="inlineStr">
        <is>
          <t>PENDING_KICKOFF_OR_FINAL_SCORE</t>
        </is>
      </c>
      <c r="D25" s="22" t="str">
        <f>IF(ISNUMBER(Selections!M21),Selections!M21,"")</f>
        <v/>
      </c>
      <c r="E25" s="22" t="str">
        <f>IF(ISNUMBER(Selections!N21),Selections!N21,"")</f>
        <v/>
      </c>
      <c r="F25" s="22">
        <f>SUM($E$10:E25)</f>
        <v>0.10999999999999988</v>
      </c>
      <c r="G25" s="22">
        <f>$B$4+F25</f>
        <v>100.11</v>
      </c>
      <c r="H25" s="22">
        <f>MAX($B$4,$G$10:G25)</f>
        <v>100.11</v>
      </c>
      <c r="I25" s="22">
        <f>H25-G25</f>
        <v>0.0</v>
      </c>
      <c r="J25" s="18" t="inlineStr">
        <is>
          <t>2026-W42</t>
        </is>
      </c>
      <c r="K25" s="18"/>
      <c r="L25" s="18"/>
      <c r="M25" s="18"/>
      <c r="N25" s="18"/>
      <c r="O25" s="18"/>
      <c r="P25" s="18"/>
      <c r="Q25" s="18"/>
      <c r="R25" s="18"/>
    </row>
    <row r="26" ht="36" customHeight="1">
      <c r="A26" s="18" t="inlineStr">
        <is>
          <t>2026-10-17T14:00:00+00:00</t>
        </is>
      </c>
      <c r="B26" s="18" t="inlineStr">
        <is>
          <t>Fulham vs Hull City</t>
        </is>
      </c>
      <c r="C26" s="18" t="inlineStr">
        <is>
          <t>PENDING_KICKOFF_OR_FINAL_SCORE</t>
        </is>
      </c>
      <c r="D26" s="22" t="str">
        <f>IF(ISNUMBER(Selections!M22),Selections!M22,"")</f>
        <v/>
      </c>
      <c r="E26" s="22" t="str">
        <f>IF(ISNUMBER(Selections!N22),Selections!N22,"")</f>
        <v/>
      </c>
      <c r="F26" s="22">
        <f>SUM($E$10:E26)</f>
        <v>0.10999999999999988</v>
      </c>
      <c r="G26" s="22">
        <f>$B$4+F26</f>
        <v>100.11</v>
      </c>
      <c r="H26" s="22">
        <f>MAX($B$4,$G$10:G26)</f>
        <v>100.11</v>
      </c>
      <c r="I26" s="22">
        <f>H26-G26</f>
        <v>0.0</v>
      </c>
      <c r="J26" s="18" t="inlineStr">
        <is>
          <t>2026-W42</t>
        </is>
      </c>
      <c r="K26" s="18"/>
      <c r="L26" s="18"/>
      <c r="M26" s="18"/>
      <c r="N26" s="18"/>
      <c r="O26" s="18"/>
      <c r="P26" s="18"/>
      <c r="Q26" s="18"/>
      <c r="R26" s="18"/>
    </row>
    <row r="27" ht="36" customHeight="1">
      <c r="A27" s="18" t="inlineStr">
        <is>
          <t>2026-10-17T14:00:00+00:00</t>
        </is>
      </c>
      <c r="B27" s="18" t="inlineStr">
        <is>
          <t>Manchester City vs Ipswich Town</t>
        </is>
      </c>
      <c r="C27" s="18" t="inlineStr">
        <is>
          <t>PENDING_KICKOFF_OR_FINAL_SCORE</t>
        </is>
      </c>
      <c r="D27" s="22" t="str">
        <f>IF(ISNUMBER(Selections!M23),Selections!M23,"")</f>
        <v/>
      </c>
      <c r="E27" s="22" t="str">
        <f>IF(ISNUMBER(Selections!N23),Selections!N23,"")</f>
        <v/>
      </c>
      <c r="F27" s="22">
        <f>SUM($E$10:E27)</f>
        <v>0.10999999999999988</v>
      </c>
      <c r="G27" s="22">
        <f>$B$4+F27</f>
        <v>100.11</v>
      </c>
      <c r="H27" s="22">
        <f>MAX($B$4,$G$10:G27)</f>
        <v>100.11</v>
      </c>
      <c r="I27" s="22">
        <f>H27-G27</f>
        <v>0.0</v>
      </c>
      <c r="J27" s="18" t="inlineStr">
        <is>
          <t>2026-W42</t>
        </is>
      </c>
      <c r="K27" s="18"/>
      <c r="L27" s="18"/>
      <c r="M27" s="18"/>
      <c r="N27" s="18"/>
      <c r="O27" s="18"/>
      <c r="P27" s="18"/>
      <c r="Q27" s="18"/>
      <c r="R27" s="18"/>
    </row>
    <row r="28" ht="36" customHeight="1">
      <c r="A28" s="18" t="inlineStr">
        <is>
          <t>2026-10-18T12:00:00+00:00</t>
        </is>
      </c>
      <c r="B28" s="18" t="inlineStr">
        <is>
          <t>CA Osasuna vs Real Racing Club de Santander</t>
        </is>
      </c>
      <c r="C28" s="18" t="inlineStr">
        <is>
          <t>PENDING_KICKOFF_OR_FINAL_SCORE</t>
        </is>
      </c>
      <c r="D28" s="22" t="str">
        <f>IF(ISNUMBER(Selections!M24),Selections!M24,"")</f>
        <v/>
      </c>
      <c r="E28" s="22" t="str">
        <f>IF(ISNUMBER(Selections!N24),Selections!N24,"")</f>
        <v/>
      </c>
      <c r="F28" s="22">
        <f>SUM($E$10:E28)</f>
        <v>0.10999999999999988</v>
      </c>
      <c r="G28" s="22">
        <f>$B$4+F28</f>
        <v>100.11</v>
      </c>
      <c r="H28" s="22">
        <f>MAX($B$4,$G$10:G28)</f>
        <v>100.11</v>
      </c>
      <c r="I28" s="22">
        <f>H28-G28</f>
        <v>0.0</v>
      </c>
      <c r="J28" s="18" t="inlineStr">
        <is>
          <t>2026-W42</t>
        </is>
      </c>
      <c r="K28" s="18"/>
      <c r="L28" s="18"/>
      <c r="M28" s="18"/>
      <c r="N28" s="18"/>
      <c r="O28" s="18"/>
      <c r="P28" s="18"/>
      <c r="Q28" s="18"/>
      <c r="R28" s="18"/>
    </row>
    <row r="29" ht="36" customHeight="1">
      <c r="A29" s="18" t="inlineStr">
        <is>
          <t>2026-10-18T16:30:00+00:00</t>
        </is>
      </c>
      <c r="B29" s="18" t="inlineStr">
        <is>
          <t>Málaga vs Real Sociedad</t>
        </is>
      </c>
      <c r="C29" s="18" t="inlineStr">
        <is>
          <t>PENDING_KICKOFF_OR_FINAL_SCORE</t>
        </is>
      </c>
      <c r="D29" s="22" t="str">
        <f>IF(ISNUMBER(Selections!M25),Selections!M25,"")</f>
        <v/>
      </c>
      <c r="E29" s="22" t="str">
        <f>IF(ISNUMBER(Selections!N25),Selections!N25,"")</f>
        <v/>
      </c>
      <c r="F29" s="22">
        <f>SUM($E$10:E29)</f>
        <v>0.10999999999999988</v>
      </c>
      <c r="G29" s="22">
        <f>$B$4+F29</f>
        <v>100.11</v>
      </c>
      <c r="H29" s="22">
        <f>MAX($B$4,$G$10:G29)</f>
        <v>100.11</v>
      </c>
      <c r="I29" s="22">
        <f>H29-G29</f>
        <v>0.0</v>
      </c>
      <c r="J29" s="18" t="inlineStr">
        <is>
          <t>2026-W42</t>
        </is>
      </c>
      <c r="K29" s="18"/>
      <c r="L29" s="18"/>
      <c r="M29" s="18"/>
      <c r="N29" s="18"/>
      <c r="O29" s="18"/>
      <c r="P29" s="18"/>
      <c r="Q29" s="18"/>
      <c r="R29" s="18"/>
    </row>
    <row r="30" ht="36" customHeight="1">
      <c r="A30" s="18" t="inlineStr">
        <is>
          <t>2026-10-18T19:00:00+00:00</t>
        </is>
      </c>
      <c r="B30" s="18" t="inlineStr">
        <is>
          <t>Real Madrid vs Sevilla</t>
        </is>
      </c>
      <c r="C30" s="18" t="inlineStr">
        <is>
          <t>PENDING_KICKOFF_OR_FINAL_SCORE</t>
        </is>
      </c>
      <c r="D30" s="22" t="str">
        <f>IF(ISNUMBER(Selections!M26),Selections!M26,"")</f>
        <v/>
      </c>
      <c r="E30" s="22" t="str">
        <f>IF(ISNUMBER(Selections!N26),Selections!N26,"")</f>
        <v/>
      </c>
      <c r="F30" s="22">
        <f>SUM($E$10:E30)</f>
        <v>0.10999999999999988</v>
      </c>
      <c r="G30" s="22">
        <f>$B$4+F30</f>
        <v>100.11</v>
      </c>
      <c r="H30" s="22">
        <f>MAX($B$4,$G$10:G30)</f>
        <v>100.11</v>
      </c>
      <c r="I30" s="22">
        <f>H30-G30</f>
        <v>0.0</v>
      </c>
      <c r="J30" s="18" t="inlineStr">
        <is>
          <t>2026-W42</t>
        </is>
      </c>
      <c r="K30" s="18"/>
      <c r="L30" s="18"/>
      <c r="M30" s="18"/>
      <c r="N30" s="18"/>
      <c r="O30" s="18"/>
      <c r="P30" s="18"/>
      <c r="Q30" s="18"/>
      <c r="R30" s="18"/>
    </row>
    <row r="31" ht="36" customHeight="1">
      <c r="A31" s="18" t="inlineStr">
        <is>
          <t>2026-10-19T19:00:00+00:00</t>
        </is>
      </c>
      <c r="B31" s="18" t="inlineStr">
        <is>
          <t>Tottenham Hotspur vs Coventry City</t>
        </is>
      </c>
      <c r="C31" s="18" t="inlineStr">
        <is>
          <t>PENDING_KICKOFF_OR_FINAL_SCORE</t>
        </is>
      </c>
      <c r="D31" s="22" t="str">
        <f>IF(ISNUMBER(Selections!M27),Selections!M27,"")</f>
        <v/>
      </c>
      <c r="E31" s="22" t="str">
        <f>IF(ISNUMBER(Selections!N27),Selections!N27,"")</f>
        <v/>
      </c>
      <c r="F31" s="22">
        <f>SUM($E$10:E31)</f>
        <v>0.10999999999999988</v>
      </c>
      <c r="G31" s="22">
        <f>$B$4+F31</f>
        <v>100.11</v>
      </c>
      <c r="H31" s="22">
        <f>MAX($B$4,$G$10:G31)</f>
        <v>100.11</v>
      </c>
      <c r="I31" s="22">
        <f>H31-G31</f>
        <v>0.0</v>
      </c>
      <c r="J31" s="18" t="inlineStr">
        <is>
          <t>2026-W43</t>
        </is>
      </c>
      <c r="K31" s="18"/>
      <c r="L31" s="18"/>
      <c r="M31" s="18"/>
      <c r="N31" s="18"/>
      <c r="O31" s="18"/>
      <c r="P31" s="18"/>
      <c r="Q31" s="18"/>
      <c r="R31" s="18"/>
    </row>
  </sheetData>
  <mergeCells count="1">
    <mergeCell ref="A2:J2"/>
  </mergeCells>
  <conditionalFormatting sqref="E10:E31">
    <cfRule type="cellIs" dxfId="1" priority="1" operator="lessThan">
      <formula>0</formula>
    </cfRule>
  </conditionalFormatting>
  <dataValidations count="1">
    <dataValidation type="decimal" operator="greaterThan" sqref="B4:B5">
      <formula1>0</formula1>
    </dataValidation>
  </dataValidations>
  <pageMargins left="0.7" right="0.7" top="0.75" bottom="0.75" header="0.3" footer="0.3"/>
  <tableParts count="1">
    <tablePart ns1:id="R73437aba3ca943b0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2" ySplit="5" topLeftCell="C6" activePane="bottomRight" state="frozen"/>
    </sheetView>
  </sheetViews>
  <sheetFormatPr defaultRowHeight="15"/>
  <cols>
    <col min="1" max="1" width="18" customWidth="1"/>
    <col min="2" max="2" width="3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6" customWidth="1"/>
    <col min="10" max="10" width="16" customWidth="1"/>
    <col min="11" max="11" width="15" customWidth="1"/>
    <col min="12" max="12" width="15" customWidth="1"/>
    <col min="13" max="13" width="18" customWidth="1"/>
    <col min="14" max="14" width="18" customWidth="1"/>
    <col min="15" max="15" width="18" customWidth="1"/>
    <col min="16" max="16" width="18" customWidth="1"/>
    <col min="17" max="17" width="48" customWidth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>
      <c r="A2" s="25" t="str">
        <v>Breakdowns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" customHeight="1">
      <c r="A4" s="27" t="inlineStr">
        <is>
          <t>Calculated from the archived selection ledger. Pending outcomes are excluded from rates.</t>
        </is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44" customHeight="1">
      <c r="A5" s="24" t="str">
        <v>Dimension</v>
      </c>
      <c r="B5" s="24" t="str">
        <v>Group</v>
      </c>
      <c r="C5" s="24" t="str">
        <v>Archived</v>
      </c>
      <c r="D5" s="24" t="str">
        <v>Settled</v>
      </c>
      <c r="E5" s="24" t="str">
        <v>Wins</v>
      </c>
      <c r="F5" s="24" t="str">
        <v>Losses</v>
      </c>
      <c r="G5" s="24" t="str">
        <v>Pending</v>
      </c>
      <c r="H5" s="24" t="str">
        <v>Win rate</v>
      </c>
      <c r="I5" s="24" t="str">
        <v>Staked units</v>
      </c>
      <c r="J5" s="24" t="str">
        <v>Profit units</v>
      </c>
      <c r="K5" s="24" t="str">
        <v>ROI</v>
      </c>
      <c r="L5" s="24" t="str">
        <v>Brier</v>
      </c>
      <c r="M5" s="24" t="str">
        <v>Mean forecast</v>
      </c>
      <c r="N5" s="24" t="str">
        <v>Observed rate</v>
      </c>
      <c r="O5" s="24" t="inlineStr">
        <is>
          <t>Calibration gap</t>
        </is>
      </c>
      <c r="P5" s="24" t="str">
        <v>Probability samples</v>
      </c>
      <c r="Q5" s="24" t="str">
        <v>Review</v>
      </c>
      <c r="R5" s="24"/>
    </row>
    <row r="6" ht="36" customHeight="1">
      <c r="A6" s="18" t="inlineStr">
        <is>
          <t>All</t>
        </is>
      </c>
      <c r="B6" s="18" t="inlineStr">
        <is>
          <t>All selections</t>
        </is>
      </c>
      <c r="C6" s="19">
        <f>COUNTA(Selections!$A$6:$A$27)</f>
        <v>22</v>
      </c>
      <c r="D6" s="19">
        <f>(COUNTIFS(Selections!$K$6:$K$27,"WON")+COUNTIFS(Selections!$K$6:$K$27,"LOST"))</f>
        <v>11</v>
      </c>
      <c r="E6" s="19">
        <f>COUNTIFS(Selections!$K$6:$K$27,"WON")</f>
        <v>8</v>
      </c>
      <c r="F6" s="19">
        <f>COUNTIFS(Selections!$K$6:$K$27,"LOST")</f>
        <v>3</v>
      </c>
      <c r="G6" s="19">
        <f>COUNTA(Selections!$A$6:$A$27)-(COUNTIFS(Selections!$K$6:$K$27,"WON")+COUNTIFS(Selections!$K$6:$K$27,"LOST"))</f>
        <v>11</v>
      </c>
      <c r="H6" s="20">
        <f>IF((COUNTIFS(Selections!$K$6:$K$27,"WON")+COUNTIFS(Selections!$K$6:$K$27,"LOST"))=0,"n.a.",COUNTIFS(Selections!$K$6:$K$27,"WON")/(COUNTIFS(Selections!$K$6:$K$27,"WON")+COUNTIFS(Selections!$K$6:$K$27,"LOST")))</f>
        <v>0.7272727272727273</v>
      </c>
      <c r="I6" s="22">
        <f>SUM(Selections!$M$6:$M$27)</f>
        <v>11</v>
      </c>
      <c r="J6" s="22">
        <f>SUM(Selections!$N$6:$N$27)</f>
        <v>0.10999999999999988</v>
      </c>
      <c r="K6" s="20">
        <f>IF(SUM(Selections!$M$6:$M$27)=0,"n.a.",SUM(Selections!$N$6:$N$27)/SUM(Selections!$M$6:$M$27))</f>
        <v>0.009999999999999988</v>
      </c>
      <c r="L6" s="21">
        <f>IF(SUM(Selections!$T$6:$T$27)=0,"n.a.",SUM(Selections!$O$6:$O$27)/SUM(Selections!$T$6:$T$27))</f>
        <v>0.21593196515478594</v>
      </c>
      <c r="M6" s="20">
        <f>IF(SUM(Selections!$T$6:$T$27)=0,"n.a.",SUM(Selections!$S$6:$S$27)/SUM(Selections!$T$6:$T$27))</f>
        <v>0.8012982506537586</v>
      </c>
      <c r="N6" s="20">
        <f>IF(SUM(Selections!$T$6:$T$27)=0,"n.a.",(SUMIFS(Selections!$L$6:$L$27,Selections!$T$6:$T$27,1))/SUM(Selections!$T$6:$T$27))</f>
        <v>0.7272727272727273</v>
      </c>
      <c r="O6" s="20">
        <f>IF(SUM(Selections!$T$6:$T$27)=0,"n.a.",(SUM(Selections!$S$6:$S$27)-(SUMIFS(Selections!$L$6:$L$27,Selections!$T$6:$T$27,1)))/SUM(Selections!$T$6:$T$27))</f>
        <v>0.0740255233810313</v>
      </c>
      <c r="P6" s="19">
        <f>SUM(Selections!$T$6:$T$27)</f>
        <v>11</v>
      </c>
      <c r="Q6" s="18" t="str">
        <f>IF(P6&lt;30,"Collect more scored forecasts (n="&amp;P6&amp;").",IF(O6&gt;0.1,"Review overconfidence on a future holdout.",IF(K6&lt;0,"Review prices and EV on a future holdout.","Continue forward testing. No automatic model change.")))</f>
        <v>Collect more scored forecasts (n=11).</v>
      </c>
      <c r="R6" s="18"/>
    </row>
    <row r="7" ht="36" customHeight="1">
      <c r="A7" s="18" t="inlineStr">
        <is>
          <t>Tier</t>
        </is>
      </c>
      <c r="B7" s="18" t="inlineStr">
        <is>
          <t>STRICT</t>
        </is>
      </c>
      <c r="C7" s="19">
        <f>COUNTIFS(Selections!$F$6:$F$27,"STRICT")</f>
        <v>12</v>
      </c>
      <c r="D7" s="19">
        <f>(COUNTIFS(Selections!$F$6:$F$27,"STRICT",Selections!$K$6:$K$27,"WON")+COUNTIFS(Selections!$F$6:$F$27,"STRICT",Selections!$K$6:$K$27,"LOST"))</f>
        <v>6</v>
      </c>
      <c r="E7" s="19">
        <f>COUNTIFS(Selections!$F$6:$F$27,"STRICT",Selections!$K$6:$K$27,"WON")</f>
        <v>6</v>
      </c>
      <c r="F7" s="19">
        <f>COUNTIFS(Selections!$F$6:$F$27,"STRICT",Selections!$K$6:$K$27,"LOST")</f>
        <v>0</v>
      </c>
      <c r="G7" s="19">
        <f>COUNTIFS(Selections!$F$6:$F$27,"STRICT")-(COUNTIFS(Selections!$F$6:$F$27,"STRICT",Selections!$K$6:$K$27,"WON")+COUNTIFS(Selections!$F$6:$F$27,"STRICT",Selections!$K$6:$K$27,"LOST"))</f>
        <v>6</v>
      </c>
      <c r="H7" s="20">
        <f>IF((COUNTIFS(Selections!$F$6:$F$27,"STRICT",Selections!$K$6:$K$27,"WON")+COUNTIFS(Selections!$F$6:$F$27,"STRICT",Selections!$K$6:$K$27,"LOST"))=0,"n.a.",COUNTIFS(Selections!$F$6:$F$27,"STRICT",Selections!$K$6:$K$27,"WON")/(COUNTIFS(Selections!$F$6:$F$27,"STRICT",Selections!$K$6:$K$27,"WON")+COUNTIFS(Selections!$F$6:$F$27,"STRICT",Selections!$K$6:$K$27,"LOST")))</f>
        <v>1.0</v>
      </c>
      <c r="I7" s="22">
        <f>SUMIFS(Selections!$M$6:$M$27,Selections!$F$6:$F$27,"STRICT")</f>
        <v>6</v>
      </c>
      <c r="J7" s="22">
        <f>SUMIFS(Selections!$N$6:$N$27,Selections!$F$6:$F$27,"STRICT")</f>
        <v>2.59</v>
      </c>
      <c r="K7" s="20">
        <f>IF(SUMIFS(Selections!$M$6:$M$27,Selections!$F$6:$F$27,"STRICT")=0,"n.a.",SUMIFS(Selections!$N$6:$N$27,Selections!$F$6:$F$27,"STRICT")/SUMIFS(Selections!$M$6:$M$27,Selections!$F$6:$F$27,"STRICT"))</f>
        <v>0.43166666666666664</v>
      </c>
      <c r="L7" s="21">
        <f>IF(SUMIFS(Selections!$T$6:$T$27,Selections!$F$6:$F$27,"STRICT")=0,"n.a.",SUMIFS(Selections!$O$6:$O$27,Selections!$F$6:$F$27,"STRICT")/SUMIFS(Selections!$T$6:$T$27,Selections!$F$6:$F$27,"STRICT"))</f>
        <v>0.05977136033853501</v>
      </c>
      <c r="M7" s="20">
        <f>IF(SUMIFS(Selections!$T$6:$T$27,Selections!$F$6:$F$27,"STRICT")=0,"n.a.",SUMIFS(Selections!$S$6:$S$27,Selections!$F$6:$F$27,"STRICT")/SUMIFS(Selections!$T$6:$T$27,Selections!$F$6:$F$27,"STRICT"))</f>
        <v>0.7821551913450109</v>
      </c>
      <c r="N7" s="20">
        <f>IF(SUMIFS(Selections!$T$6:$T$27,Selections!$F$6:$F$27,"STRICT")=0,"n.a.",(SUMIFS(Selections!$L$6:$L$27,Selections!$F$6:$F$27,"STRICT",Selections!$T$6:$T$27,1))/SUMIFS(Selections!$T$6:$T$27,Selections!$F$6:$F$27,"STRICT"))</f>
        <v>1.0</v>
      </c>
      <c r="O7" s="20">
        <f>IF(SUMIFS(Selections!$T$6:$T$27,Selections!$F$6:$F$27,"STRICT")=0,"n.a.",(SUMIFS(Selections!$S$6:$S$27,Selections!$F$6:$F$27,"STRICT")-(SUMIFS(Selections!$L$6:$L$27,Selections!$F$6:$F$27,"STRICT",Selections!$T$6:$T$27,1)))/SUMIFS(Selections!$T$6:$T$27,Selections!$F$6:$F$27,"STRICT"))</f>
        <v>-0.21784480865498912</v>
      </c>
      <c r="P7" s="19">
        <f>SUMIFS(Selections!$T$6:$T$27,Selections!$F$6:$F$27,"STRICT")</f>
        <v>6</v>
      </c>
      <c r="Q7" s="18" t="str">
        <f>IF(P7&lt;30,"Collect more scored forecasts (n="&amp;P7&amp;").",IF(O7&gt;0.1,"Review overconfidence on a future holdout.",IF(K7&lt;0,"Review prices and EV on a future holdout.","Continue forward testing. No automatic model change.")))</f>
        <v>Collect more scored forecasts (n=6).</v>
      </c>
      <c r="R7" s="18"/>
    </row>
    <row r="8" ht="36" customHeight="1">
      <c r="A8" s="18" t="inlineStr">
        <is>
          <t>Tier</t>
        </is>
      </c>
      <c r="B8" s="18" t="inlineStr">
        <is>
          <t>PROVISIONAL</t>
        </is>
      </c>
      <c r="C8" s="19">
        <f>COUNTIFS(Selections!$F$6:$F$27,"PROVISIONAL")</f>
        <v>10</v>
      </c>
      <c r="D8" s="19">
        <f>(COUNTIFS(Selections!$F$6:$F$27,"PROVISIONAL",Selections!$K$6:$K$27,"WON")+COUNTIFS(Selections!$F$6:$F$27,"PROVISIONAL",Selections!$K$6:$K$27,"LOST"))</f>
        <v>5</v>
      </c>
      <c r="E8" s="19">
        <f>COUNTIFS(Selections!$F$6:$F$27,"PROVISIONAL",Selections!$K$6:$K$27,"WON")</f>
        <v>2</v>
      </c>
      <c r="F8" s="19">
        <f>COUNTIFS(Selections!$F$6:$F$27,"PROVISIONAL",Selections!$K$6:$K$27,"LOST")</f>
        <v>3</v>
      </c>
      <c r="G8" s="19">
        <f>COUNTIFS(Selections!$F$6:$F$27,"PROVISIONAL")-(COUNTIFS(Selections!$F$6:$F$27,"PROVISIONAL",Selections!$K$6:$K$27,"WON")+COUNTIFS(Selections!$F$6:$F$27,"PROVISIONAL",Selections!$K$6:$K$27,"LOST"))</f>
        <v>5</v>
      </c>
      <c r="H8" s="20">
        <f>IF((COUNTIFS(Selections!$F$6:$F$27,"PROVISIONAL",Selections!$K$6:$K$27,"WON")+COUNTIFS(Selections!$F$6:$F$27,"PROVISIONAL",Selections!$K$6:$K$27,"LOST"))=0,"n.a.",COUNTIFS(Selections!$F$6:$F$27,"PROVISIONAL",Selections!$K$6:$K$27,"WON")/(COUNTIFS(Selections!$F$6:$F$27,"PROVISIONAL",Selections!$K$6:$K$27,"WON")+COUNTIFS(Selections!$F$6:$F$27,"PROVISIONAL",Selections!$K$6:$K$27,"LOST")))</f>
        <v>0.4</v>
      </c>
      <c r="I8" s="22">
        <f>SUMIFS(Selections!$M$6:$M$27,Selections!$F$6:$F$27,"PROVISIONAL")</f>
        <v>5</v>
      </c>
      <c r="J8" s="22">
        <f>SUMIFS(Selections!$N$6:$N$27,Selections!$F$6:$F$27,"PROVISIONAL")</f>
        <v>-2.48</v>
      </c>
      <c r="K8" s="20">
        <f>IF(SUMIFS(Selections!$M$6:$M$27,Selections!$F$6:$F$27,"PROVISIONAL")=0,"n.a.",SUMIFS(Selections!$N$6:$N$27,Selections!$F$6:$F$27,"PROVISIONAL")/SUMIFS(Selections!$M$6:$M$27,Selections!$F$6:$F$27,"PROVISIONAL"))</f>
        <v>-0.496</v>
      </c>
      <c r="L8" s="21">
        <f>IF(SUMIFS(Selections!$T$6:$T$27,Selections!$F$6:$F$27,"PROVISIONAL")=0,"n.a.",SUMIFS(Selections!$O$6:$O$27,Selections!$F$6:$F$27,"PROVISIONAL")/SUMIFS(Selections!$T$6:$T$27,Selections!$F$6:$F$27,"PROVISIONAL"))</f>
        <v>0.40332469093428713</v>
      </c>
      <c r="M8" s="20">
        <f>IF(SUMIFS(Selections!$T$6:$T$27,Selections!$F$6:$F$27,"PROVISIONAL")=0,"n.a.",SUMIFS(Selections!$S$6:$S$27,Selections!$F$6:$F$27,"PROVISIONAL")/SUMIFS(Selections!$T$6:$T$27,Selections!$F$6:$F$27,"PROVISIONAL"))</f>
        <v>0.824269921824256</v>
      </c>
      <c r="N8" s="20">
        <f>IF(SUMIFS(Selections!$T$6:$T$27,Selections!$F$6:$F$27,"PROVISIONAL")=0,"n.a.",(SUMIFS(Selections!$L$6:$L$27,Selections!$F$6:$F$27,"PROVISIONAL",Selections!$T$6:$T$27,1))/SUMIFS(Selections!$T$6:$T$27,Selections!$F$6:$F$27,"PROVISIONAL"))</f>
        <v>0.4</v>
      </c>
      <c r="O8" s="20">
        <f>IF(SUMIFS(Selections!$T$6:$T$27,Selections!$F$6:$F$27,"PROVISIONAL")=0,"n.a.",(SUMIFS(Selections!$S$6:$S$27,Selections!$F$6:$F$27,"PROVISIONAL")-(SUMIFS(Selections!$L$6:$L$27,Selections!$F$6:$F$27,"PROVISIONAL",Selections!$T$6:$T$27,1)))/SUMIFS(Selections!$T$6:$T$27,Selections!$F$6:$F$27,"PROVISIONAL"))</f>
        <v>0.42426992182425594</v>
      </c>
      <c r="P8" s="19">
        <f>SUMIFS(Selections!$T$6:$T$27,Selections!$F$6:$F$27,"PROVISIONAL")</f>
        <v>5</v>
      </c>
      <c r="Q8" s="18" t="str">
        <f>IF(P8&lt;30,"Collect more scored forecasts (n="&amp;P8&amp;").",IF(O8&gt;0.1,"Review overconfidence on a future holdout.",IF(K8&lt;0,"Review prices and EV on a future holdout.","Continue forward testing. No automatic model change.")))</f>
        <v>Collect more scored forecasts (n=5).</v>
      </c>
      <c r="R8" s="18"/>
    </row>
    <row r="9" ht="36" customHeight="1">
      <c r="A9" s="18" t="inlineStr">
        <is>
          <t>League</t>
        </is>
      </c>
      <c r="B9" s="18" t="inlineStr">
        <is>
          <t>Bundesliga</t>
        </is>
      </c>
      <c r="C9" s="19">
        <f>COUNTIFS(Selections!$C$6:$C$27,"Bundesliga")</f>
        <v>1</v>
      </c>
      <c r="D9" s="19">
        <f>(COUNTIFS(Selections!$C$6:$C$27,"Bundesliga",Selections!$K$6:$K$27,"WON")+COUNTIFS(Selections!$C$6:$C$27,"Bundesliga",Selections!$K$6:$K$27,"LOST"))</f>
        <v>0</v>
      </c>
      <c r="E9" s="19">
        <f>COUNTIFS(Selections!$C$6:$C$27,"Bundesliga",Selections!$K$6:$K$27,"WON")</f>
        <v>0</v>
      </c>
      <c r="F9" s="19">
        <f>COUNTIFS(Selections!$C$6:$C$27,"Bundesliga",Selections!$K$6:$K$27,"LOST")</f>
        <v>0</v>
      </c>
      <c r="G9" s="19">
        <f>COUNTIFS(Selections!$C$6:$C$27,"Bundesliga")-(COUNTIFS(Selections!$C$6:$C$27,"Bundesliga",Selections!$K$6:$K$27,"WON")+COUNTIFS(Selections!$C$6:$C$27,"Bundesliga",Selections!$K$6:$K$27,"LOST"))</f>
        <v>1</v>
      </c>
      <c r="H9" s="20" t="str">
        <f>IF((COUNTIFS(Selections!$C$6:$C$27,"Bundesliga",Selections!$K$6:$K$27,"WON")+COUNTIFS(Selections!$C$6:$C$27,"Bundesliga",Selections!$K$6:$K$27,"LOST"))=0,"n.a.",COUNTIFS(Selections!$C$6:$C$27,"Bundesliga",Selections!$K$6:$K$27,"WON")/(COUNTIFS(Selections!$C$6:$C$27,"Bundesliga",Selections!$K$6:$K$27,"WON")+COUNTIFS(Selections!$C$6:$C$27,"Bundesliga",Selections!$K$6:$K$27,"LOST")))</f>
        <v>n.a.</v>
      </c>
      <c r="I9" s="22">
        <f>SUMIFS(Selections!$M$6:$M$27,Selections!$C$6:$C$27,"Bundesliga")</f>
        <v>0</v>
      </c>
      <c r="J9" s="22">
        <f>SUMIFS(Selections!$N$6:$N$27,Selections!$C$6:$C$27,"Bundesliga")</f>
        <v>0</v>
      </c>
      <c r="K9" s="20" t="str">
        <f>IF(SUMIFS(Selections!$M$6:$M$27,Selections!$C$6:$C$27,"Bundesliga")=0,"n.a.",SUMIFS(Selections!$N$6:$N$27,Selections!$C$6:$C$27,"Bundesliga")/SUMIFS(Selections!$M$6:$M$27,Selections!$C$6:$C$27,"Bundesliga"))</f>
        <v>n.a.</v>
      </c>
      <c r="L9" s="21" t="str">
        <f>IF(SUMIFS(Selections!$T$6:$T$27,Selections!$C$6:$C$27,"Bundesliga")=0,"n.a.",SUMIFS(Selections!$O$6:$O$27,Selections!$C$6:$C$27,"Bundesliga")/SUMIFS(Selections!$T$6:$T$27,Selections!$C$6:$C$27,"Bundesliga"))</f>
        <v>n.a.</v>
      </c>
      <c r="M9" s="20" t="str">
        <f>IF(SUMIFS(Selections!$T$6:$T$27,Selections!$C$6:$C$27,"Bundesliga")=0,"n.a.",SUMIFS(Selections!$S$6:$S$27,Selections!$C$6:$C$27,"Bundesliga")/SUMIFS(Selections!$T$6:$T$27,Selections!$C$6:$C$27,"Bundesliga"))</f>
        <v>n.a.</v>
      </c>
      <c r="N9" s="20" t="str">
        <f>IF(SUMIFS(Selections!$T$6:$T$27,Selections!$C$6:$C$27,"Bundesliga")=0,"n.a.",(SUMIFS(Selections!$L$6:$L$27,Selections!$C$6:$C$27,"Bundesliga",Selections!$T$6:$T$27,1))/SUMIFS(Selections!$T$6:$T$27,Selections!$C$6:$C$27,"Bundesliga"))</f>
        <v>n.a.</v>
      </c>
      <c r="O9" s="20" t="str">
        <f>IF(SUMIFS(Selections!$T$6:$T$27,Selections!$C$6:$C$27,"Bundesliga")=0,"n.a.",(SUMIFS(Selections!$S$6:$S$27,Selections!$C$6:$C$27,"Bundesliga")-(SUMIFS(Selections!$L$6:$L$27,Selections!$C$6:$C$27,"Bundesliga",Selections!$T$6:$T$27,1)))/SUMIFS(Selections!$T$6:$T$27,Selections!$C$6:$C$27,"Bundesliga"))</f>
        <v>n.a.</v>
      </c>
      <c r="P9" s="19">
        <f>SUMIFS(Selections!$T$6:$T$27,Selections!$C$6:$C$27,"Bundesliga")</f>
        <v>0</v>
      </c>
      <c r="Q9" s="18" t="str">
        <f>IF(P9&lt;30,"Collect more scored forecasts (n="&amp;P9&amp;").",IF(O9&gt;0.1,"Review overconfidence on a future holdout.",IF(K9&lt;0,"Review prices and EV on a future holdout.","Continue forward testing. No automatic model change.")))</f>
        <v>Collect more scored forecasts (n=0).</v>
      </c>
      <c r="R9" s="18"/>
    </row>
    <row r="10" ht="36" customHeight="1">
      <c r="A10" s="18" t="inlineStr">
        <is>
          <t>League</t>
        </is>
      </c>
      <c r="B10" s="18" t="inlineStr">
        <is>
          <t>La Liga</t>
        </is>
      </c>
      <c r="C10" s="19">
        <f>COUNTIFS(Selections!$C$6:$C$27,"La Liga")</f>
        <v>7</v>
      </c>
      <c r="D10" s="19">
        <f>(COUNTIFS(Selections!$C$6:$C$27,"La Liga",Selections!$K$6:$K$27,"WON")+COUNTIFS(Selections!$C$6:$C$27,"La Liga",Selections!$K$6:$K$27,"LOST"))</f>
        <v>2</v>
      </c>
      <c r="E10" s="19">
        <f>COUNTIFS(Selections!$C$6:$C$27,"La Liga",Selections!$K$6:$K$27,"WON")</f>
        <v>2</v>
      </c>
      <c r="F10" s="19">
        <f>COUNTIFS(Selections!$C$6:$C$27,"La Liga",Selections!$K$6:$K$27,"LOST")</f>
        <v>0</v>
      </c>
      <c r="G10" s="19">
        <f>COUNTIFS(Selections!$C$6:$C$27,"La Liga")-(COUNTIFS(Selections!$C$6:$C$27,"La Liga",Selections!$K$6:$K$27,"WON")+COUNTIFS(Selections!$C$6:$C$27,"La Liga",Selections!$K$6:$K$27,"LOST"))</f>
        <v>5</v>
      </c>
      <c r="H10" s="20">
        <f>IF((COUNTIFS(Selections!$C$6:$C$27,"La Liga",Selections!$K$6:$K$27,"WON")+COUNTIFS(Selections!$C$6:$C$27,"La Liga",Selections!$K$6:$K$27,"LOST"))=0,"n.a.",COUNTIFS(Selections!$C$6:$C$27,"La Liga",Selections!$K$6:$K$27,"WON")/(COUNTIFS(Selections!$C$6:$C$27,"La Liga",Selections!$K$6:$K$27,"WON")+COUNTIFS(Selections!$C$6:$C$27,"La Liga",Selections!$K$6:$K$27,"LOST")))</f>
        <v>1.0</v>
      </c>
      <c r="I10" s="22">
        <f>SUMIFS(Selections!$M$6:$M$27,Selections!$C$6:$C$27,"La Liga")</f>
        <v>2</v>
      </c>
      <c r="J10" s="22">
        <f>SUMIFS(Selections!$N$6:$N$27,Selections!$C$6:$C$27,"La Liga")</f>
        <v>0.5800000000000001</v>
      </c>
      <c r="K10" s="20">
        <f>IF(SUMIFS(Selections!$M$6:$M$27,Selections!$C$6:$C$27,"La Liga")=0,"n.a.",SUMIFS(Selections!$N$6:$N$27,Selections!$C$6:$C$27,"La Liga")/SUMIFS(Selections!$M$6:$M$27,Selections!$C$6:$C$27,"La Liga"))</f>
        <v>0.29000000000000004</v>
      </c>
      <c r="L10" s="21">
        <f>IF(SUMIFS(Selections!$T$6:$T$27,Selections!$C$6:$C$27,"La Liga")=0,"n.a.",SUMIFS(Selections!$O$6:$O$27,Selections!$C$6:$C$27,"La Liga")/SUMIFS(Selections!$T$6:$T$27,Selections!$C$6:$C$27,"La Liga"))</f>
        <v>0.028808603206313725</v>
      </c>
      <c r="M10" s="20">
        <f>IF(SUMIFS(Selections!$T$6:$T$27,Selections!$C$6:$C$27,"La Liga")=0,"n.a.",SUMIFS(Selections!$S$6:$S$27,Selections!$C$6:$C$27,"La Liga")/SUMIFS(Selections!$T$6:$T$27,Selections!$C$6:$C$27,"La Liga"))</f>
        <v>0.8407710464485831</v>
      </c>
      <c r="N10" s="20">
        <f>IF(SUMIFS(Selections!$T$6:$T$27,Selections!$C$6:$C$27,"La Liga")=0,"n.a.",(SUMIFS(Selections!$L$6:$L$27,Selections!$C$6:$C$27,"La Liga",Selections!$T$6:$T$27,1))/SUMIFS(Selections!$T$6:$T$27,Selections!$C$6:$C$27,"La Liga"))</f>
        <v>1.0</v>
      </c>
      <c r="O10" s="20">
        <f>IF(SUMIFS(Selections!$T$6:$T$27,Selections!$C$6:$C$27,"La Liga")=0,"n.a.",(SUMIFS(Selections!$S$6:$S$27,Selections!$C$6:$C$27,"La Liga")-(SUMIFS(Selections!$L$6:$L$27,Selections!$C$6:$C$27,"La Liga",Selections!$T$6:$T$27,1)))/SUMIFS(Selections!$T$6:$T$27,Selections!$C$6:$C$27,"La Liga"))</f>
        <v>-0.15922895355141686</v>
      </c>
      <c r="P10" s="19">
        <f>SUMIFS(Selections!$T$6:$T$27,Selections!$C$6:$C$27,"La Liga")</f>
        <v>2</v>
      </c>
      <c r="Q10" s="18" t="str">
        <f>IF(P10&lt;30,"Collect more scored forecasts (n="&amp;P10&amp;").",IF(O10&gt;0.1,"Review overconfidence on a future holdout.",IF(K10&lt;0,"Review prices and EV on a future holdout.","Continue forward testing. No automatic model change.")))</f>
        <v>Collect more scored forecasts (n=2).</v>
      </c>
      <c r="R10" s="18"/>
    </row>
    <row r="11" ht="36" customHeight="1">
      <c r="A11" s="18" t="inlineStr">
        <is>
          <t>League</t>
        </is>
      </c>
      <c r="B11" s="18" t="inlineStr">
        <is>
          <t>Premier League</t>
        </is>
      </c>
      <c r="C11" s="19">
        <f>COUNTIFS(Selections!$C$6:$C$27,"Premier League")</f>
        <v>6</v>
      </c>
      <c r="D11" s="19">
        <f>(COUNTIFS(Selections!$C$6:$C$27,"Premier League",Selections!$K$6:$K$27,"WON")+COUNTIFS(Selections!$C$6:$C$27,"Premier League",Selections!$K$6:$K$27,"LOST"))</f>
        <v>3</v>
      </c>
      <c r="E11" s="19">
        <f>COUNTIFS(Selections!$C$6:$C$27,"Premier League",Selections!$K$6:$K$27,"WON")</f>
        <v>0</v>
      </c>
      <c r="F11" s="19">
        <f>COUNTIFS(Selections!$C$6:$C$27,"Premier League",Selections!$K$6:$K$27,"LOST")</f>
        <v>3</v>
      </c>
      <c r="G11" s="19">
        <f>COUNTIFS(Selections!$C$6:$C$27,"Premier League")-(COUNTIFS(Selections!$C$6:$C$27,"Premier League",Selections!$K$6:$K$27,"WON")+COUNTIFS(Selections!$C$6:$C$27,"Premier League",Selections!$K$6:$K$27,"LOST"))</f>
        <v>3</v>
      </c>
      <c r="H11" s="20">
        <f>IF((COUNTIFS(Selections!$C$6:$C$27,"Premier League",Selections!$K$6:$K$27,"WON")+COUNTIFS(Selections!$C$6:$C$27,"Premier League",Selections!$K$6:$K$27,"LOST"))=0,"n.a.",COUNTIFS(Selections!$C$6:$C$27,"Premier League",Selections!$K$6:$K$27,"WON")/(COUNTIFS(Selections!$C$6:$C$27,"Premier League",Selections!$K$6:$K$27,"WON")+COUNTIFS(Selections!$C$6:$C$27,"Premier League",Selections!$K$6:$K$27,"LOST")))</f>
        <v>0.0</v>
      </c>
      <c r="I11" s="22">
        <f>SUMIFS(Selections!$M$6:$M$27,Selections!$C$6:$C$27,"Premier League")</f>
        <v>3</v>
      </c>
      <c r="J11" s="22">
        <f>SUMIFS(Selections!$N$6:$N$27,Selections!$C$6:$C$27,"Premier League")</f>
        <v>-3.0</v>
      </c>
      <c r="K11" s="20">
        <f>IF(SUMIFS(Selections!$M$6:$M$27,Selections!$C$6:$C$27,"Premier League")=0,"n.a.",SUMIFS(Selections!$N$6:$N$27,Selections!$C$6:$C$27,"Premier League")/SUMIFS(Selections!$M$6:$M$27,Selections!$C$6:$C$27,"Premier League"))</f>
        <v>-1.0</v>
      </c>
      <c r="L11" s="21">
        <f>IF(SUMIFS(Selections!$T$6:$T$27,Selections!$C$6:$C$27,"Premier League")=0,"n.a.",SUMIFS(Selections!$O$6:$O$27,Selections!$C$6:$C$27,"Premier League")/SUMIFS(Selections!$T$6:$T$27,Selections!$C$6:$C$27,"Premier League"))</f>
        <v>0.6550299989350173</v>
      </c>
      <c r="M11" s="20">
        <f>IF(SUMIFS(Selections!$T$6:$T$27,Selections!$C$6:$C$27,"Premier League")=0,"n.a.",SUMIFS(Selections!$S$6:$S$27,Selections!$C$6:$C$27,"Premier League")/SUMIFS(Selections!$T$6:$T$27,Selections!$C$6:$C$27,"Premier League"))</f>
        <v>0.8084589103334122</v>
      </c>
      <c r="N11" s="20">
        <f>IF(SUMIFS(Selections!$T$6:$T$27,Selections!$C$6:$C$27,"Premier League")=0,"n.a.",(SUMIFS(Selections!$L$6:$L$27,Selections!$C$6:$C$27,"Premier League",Selections!$T$6:$T$27,1))/SUMIFS(Selections!$T$6:$T$27,Selections!$C$6:$C$27,"Premier League"))</f>
        <v>0.0</v>
      </c>
      <c r="O11" s="20">
        <f>IF(SUMIFS(Selections!$T$6:$T$27,Selections!$C$6:$C$27,"Premier League")=0,"n.a.",(SUMIFS(Selections!$S$6:$S$27,Selections!$C$6:$C$27,"Premier League")-(SUMIFS(Selections!$L$6:$L$27,Selections!$C$6:$C$27,"Premier League",Selections!$T$6:$T$27,1)))/SUMIFS(Selections!$T$6:$T$27,Selections!$C$6:$C$27,"Premier League"))</f>
        <v>0.8084589103334122</v>
      </c>
      <c r="P11" s="19">
        <f>SUMIFS(Selections!$T$6:$T$27,Selections!$C$6:$C$27,"Premier League")</f>
        <v>3</v>
      </c>
      <c r="Q11" s="18" t="str">
        <f>IF(P11&lt;30,"Collect more scored forecasts (n="&amp;P11&amp;").",IF(O11&gt;0.1,"Review overconfidence on a future holdout.",IF(K11&lt;0,"Review prices and EV on a future holdout.","Continue forward testing. No automatic model change.")))</f>
        <v>Collect more scored forecasts (n=3).</v>
      </c>
      <c r="R11" s="18"/>
    </row>
    <row r="12" ht="36" customHeight="1">
      <c r="A12" s="18" t="inlineStr">
        <is>
          <t>League</t>
        </is>
      </c>
      <c r="B12" s="18" t="inlineStr">
        <is>
          <t>Serie A</t>
        </is>
      </c>
      <c r="C12" s="19">
        <f>COUNTIFS(Selections!$C$6:$C$27,"Serie A")</f>
        <v>3</v>
      </c>
      <c r="D12" s="19">
        <f>(COUNTIFS(Selections!$C$6:$C$27,"Serie A",Selections!$K$6:$K$27,"WON")+COUNTIFS(Selections!$C$6:$C$27,"Serie A",Selections!$K$6:$K$27,"LOST"))</f>
        <v>2</v>
      </c>
      <c r="E12" s="19">
        <f>COUNTIFS(Selections!$C$6:$C$27,"Serie A",Selections!$K$6:$K$27,"WON")</f>
        <v>2</v>
      </c>
      <c r="F12" s="19">
        <f>COUNTIFS(Selections!$C$6:$C$27,"Serie A",Selections!$K$6:$K$27,"LOST")</f>
        <v>0</v>
      </c>
      <c r="G12" s="19">
        <f>COUNTIFS(Selections!$C$6:$C$27,"Serie A")-(COUNTIFS(Selections!$C$6:$C$27,"Serie A",Selections!$K$6:$K$27,"WON")+COUNTIFS(Selections!$C$6:$C$27,"Serie A",Selections!$K$6:$K$27,"LOST"))</f>
        <v>1</v>
      </c>
      <c r="H12" s="20">
        <f>IF((COUNTIFS(Selections!$C$6:$C$27,"Serie A",Selections!$K$6:$K$27,"WON")+COUNTIFS(Selections!$C$6:$C$27,"Serie A",Selections!$K$6:$K$27,"LOST"))=0,"n.a.",COUNTIFS(Selections!$C$6:$C$27,"Serie A",Selections!$K$6:$K$27,"WON")/(COUNTIFS(Selections!$C$6:$C$27,"Serie A",Selections!$K$6:$K$27,"WON")+COUNTIFS(Selections!$C$6:$C$27,"Serie A",Selections!$K$6:$K$27,"LOST")))</f>
        <v>1.0</v>
      </c>
      <c r="I12" s="22">
        <f>SUMIFS(Selections!$M$6:$M$27,Selections!$C$6:$C$27,"Serie A")</f>
        <v>2</v>
      </c>
      <c r="J12" s="22">
        <f>SUMIFS(Selections!$N$6:$N$27,Selections!$C$6:$C$27,"Serie A")</f>
        <v>0.9099999999999999</v>
      </c>
      <c r="K12" s="20">
        <f>IF(SUMIFS(Selections!$M$6:$M$27,Selections!$C$6:$C$27,"Serie A")=0,"n.a.",SUMIFS(Selections!$N$6:$N$27,Selections!$C$6:$C$27,"Serie A")/SUMIFS(Selections!$M$6:$M$27,Selections!$C$6:$C$27,"Serie A"))</f>
        <v>0.45499999999999996</v>
      </c>
      <c r="L12" s="21">
        <f>IF(SUMIFS(Selections!$T$6:$T$27,Selections!$C$6:$C$27,"Serie A")=0,"n.a.",SUMIFS(Selections!$O$6:$O$27,Selections!$C$6:$C$27,"Serie A")/SUMIFS(Selections!$T$6:$T$27,Selections!$C$6:$C$27,"Serie A"))</f>
        <v>0.07119335473368883</v>
      </c>
      <c r="M12" s="20">
        <f>IF(SUMIFS(Selections!$T$6:$T$27,Selections!$C$6:$C$27,"Serie A")=0,"n.a.",SUMIFS(Selections!$S$6:$S$27,Selections!$C$6:$C$27,"Serie A")/SUMIFS(Selections!$T$6:$T$27,Selections!$C$6:$C$27,"Serie A"))</f>
        <v>0.7393540862546915</v>
      </c>
      <c r="N12" s="20">
        <f>IF(SUMIFS(Selections!$T$6:$T$27,Selections!$C$6:$C$27,"Serie A")=0,"n.a.",(SUMIFS(Selections!$L$6:$L$27,Selections!$C$6:$C$27,"Serie A",Selections!$T$6:$T$27,1))/SUMIFS(Selections!$T$6:$T$27,Selections!$C$6:$C$27,"Serie A"))</f>
        <v>1.0</v>
      </c>
      <c r="O12" s="20">
        <f>IF(SUMIFS(Selections!$T$6:$T$27,Selections!$C$6:$C$27,"Serie A")=0,"n.a.",(SUMIFS(Selections!$S$6:$S$27,Selections!$C$6:$C$27,"Serie A")-(SUMIFS(Selections!$L$6:$L$27,Selections!$C$6:$C$27,"Serie A",Selections!$T$6:$T$27,1)))/SUMIFS(Selections!$T$6:$T$27,Selections!$C$6:$C$27,"Serie A"))</f>
        <v>-0.26064591374530854</v>
      </c>
      <c r="P12" s="19">
        <f>SUMIFS(Selections!$T$6:$T$27,Selections!$C$6:$C$27,"Serie A")</f>
        <v>2</v>
      </c>
      <c r="Q12" s="18" t="str">
        <f>IF(P12&lt;30,"Collect more scored forecasts (n="&amp;P12&amp;").",IF(O12&gt;0.1,"Review overconfidence on a future holdout.",IF(K12&lt;0,"Review prices and EV on a future holdout.","Continue forward testing. No automatic model change.")))</f>
        <v>Collect more scored forecasts (n=2).</v>
      </c>
      <c r="R12" s="18"/>
    </row>
    <row r="13" ht="36" customHeight="1">
      <c r="A13" s="18" t="inlineStr">
        <is>
          <t>League</t>
        </is>
      </c>
      <c r="B13" s="18" t="inlineStr">
        <is>
          <t>UEFA Champions League</t>
        </is>
      </c>
      <c r="C13" s="19">
        <f>COUNTIFS(Selections!$C$6:$C$27,"UEFA Champions League")</f>
        <v>5</v>
      </c>
      <c r="D13" s="19">
        <f>(COUNTIFS(Selections!$C$6:$C$27,"UEFA Champions League",Selections!$K$6:$K$27,"WON")+COUNTIFS(Selections!$C$6:$C$27,"UEFA Champions League",Selections!$K$6:$K$27,"LOST"))</f>
        <v>4</v>
      </c>
      <c r="E13" s="19">
        <f>COUNTIFS(Selections!$C$6:$C$27,"UEFA Champions League",Selections!$K$6:$K$27,"WON")</f>
        <v>4</v>
      </c>
      <c r="F13" s="19">
        <f>COUNTIFS(Selections!$C$6:$C$27,"UEFA Champions League",Selections!$K$6:$K$27,"LOST")</f>
        <v>0</v>
      </c>
      <c r="G13" s="19">
        <f>COUNTIFS(Selections!$C$6:$C$27,"UEFA Champions League")-(COUNTIFS(Selections!$C$6:$C$27,"UEFA Champions League",Selections!$K$6:$K$27,"WON")+COUNTIFS(Selections!$C$6:$C$27,"UEFA Champions League",Selections!$K$6:$K$27,"LOST"))</f>
        <v>1</v>
      </c>
      <c r="H13" s="20">
        <f>IF((COUNTIFS(Selections!$C$6:$C$27,"UEFA Champions League",Selections!$K$6:$K$27,"WON")+COUNTIFS(Selections!$C$6:$C$27,"UEFA Champions League",Selections!$K$6:$K$27,"LOST"))=0,"n.a.",COUNTIFS(Selections!$C$6:$C$27,"UEFA Champions League",Selections!$K$6:$K$27,"WON")/(COUNTIFS(Selections!$C$6:$C$27,"UEFA Champions League",Selections!$K$6:$K$27,"WON")+COUNTIFS(Selections!$C$6:$C$27,"UEFA Champions League",Selections!$K$6:$K$27,"LOST")))</f>
        <v>1.0</v>
      </c>
      <c r="I13" s="22">
        <f>SUMIFS(Selections!$M$6:$M$27,Selections!$C$6:$C$27,"UEFA Champions League")</f>
        <v>4</v>
      </c>
      <c r="J13" s="22">
        <f>SUMIFS(Selections!$N$6:$N$27,Selections!$C$6:$C$27,"UEFA Champions League")</f>
        <v>1.6199999999999999</v>
      </c>
      <c r="K13" s="20">
        <f>IF(SUMIFS(Selections!$M$6:$M$27,Selections!$C$6:$C$27,"UEFA Champions League")=0,"n.a.",SUMIFS(Selections!$N$6:$N$27,Selections!$C$6:$C$27,"UEFA Champions League")/SUMIFS(Selections!$M$6:$M$27,Selections!$C$6:$C$27,"UEFA Champions League"))</f>
        <v>0.40499999999999997</v>
      </c>
      <c r="L13" s="21">
        <f>IF(SUMIFS(Selections!$T$6:$T$27,Selections!$C$6:$C$27,"UEFA Champions League")=0,"n.a.",SUMIFS(Selections!$O$6:$O$27,Selections!$C$6:$C$27,"UEFA Champions League")/SUMIFS(Selections!$T$6:$T$27,Selections!$C$6:$C$27,"UEFA Champions League"))</f>
        <v>0.052539426004397115</v>
      </c>
      <c r="M13" s="20">
        <f>IF(SUMIFS(Selections!$T$6:$T$27,Selections!$C$6:$C$27,"UEFA Champions League")=0,"n.a.",SUMIFS(Selections!$S$6:$S$27,Selections!$C$6:$C$27,"UEFA Champions League")/SUMIFS(Selections!$T$6:$T$27,Selections!$C$6:$C$27,"UEFA Champions League"))</f>
        <v>0.8071634401961396</v>
      </c>
      <c r="N13" s="20">
        <f>IF(SUMIFS(Selections!$T$6:$T$27,Selections!$C$6:$C$27,"UEFA Champions League")=0,"n.a.",(SUMIFS(Selections!$L$6:$L$27,Selections!$C$6:$C$27,"UEFA Champions League",Selections!$T$6:$T$27,1))/SUMIFS(Selections!$T$6:$T$27,Selections!$C$6:$C$27,"UEFA Champions League"))</f>
        <v>1.0</v>
      </c>
      <c r="O13" s="20">
        <f>IF(SUMIFS(Selections!$T$6:$T$27,Selections!$C$6:$C$27,"UEFA Champions League")=0,"n.a.",(SUMIFS(Selections!$S$6:$S$27,Selections!$C$6:$C$27,"UEFA Champions League")-(SUMIFS(Selections!$L$6:$L$27,Selections!$C$6:$C$27,"UEFA Champions League",Selections!$T$6:$T$27,1)))/SUMIFS(Selections!$T$6:$T$27,Selections!$C$6:$C$27,"UEFA Champions League"))</f>
        <v>-0.19283655980386039</v>
      </c>
      <c r="P13" s="19">
        <f>SUMIFS(Selections!$T$6:$T$27,Selections!$C$6:$C$27,"UEFA Champions League")</f>
        <v>4</v>
      </c>
      <c r="Q13" s="18" t="str">
        <f>IF(P13&lt;30,"Collect more scored forecasts (n="&amp;P13&amp;").",IF(O13&gt;0.1,"Review overconfidence on a future holdout.",IF(K13&lt;0,"Review prices and EV on a future holdout.","Continue forward testing. No automatic model change.")))</f>
        <v>Collect more scored forecasts (n=4).</v>
      </c>
      <c r="R13" s="18"/>
    </row>
    <row r="14" ht="36" customHeight="1">
      <c r="A14" s="18" t="inlineStr">
        <is>
          <t>Market</t>
        </is>
      </c>
      <c r="B14" s="18" t="inlineStr">
        <is>
          <t>Away win</t>
        </is>
      </c>
      <c r="C14" s="19">
        <f>COUNTIFS(Selections!$E$6:$E$27,"Away win")</f>
        <v>1</v>
      </c>
      <c r="D14" s="19">
        <f>(COUNTIFS(Selections!$E$6:$E$27,"Away win",Selections!$K$6:$K$27,"WON")+COUNTIFS(Selections!$E$6:$E$27,"Away win",Selections!$K$6:$K$27,"LOST"))</f>
        <v>0</v>
      </c>
      <c r="E14" s="19">
        <f>COUNTIFS(Selections!$E$6:$E$27,"Away win",Selections!$K$6:$K$27,"WON")</f>
        <v>0</v>
      </c>
      <c r="F14" s="19">
        <f>COUNTIFS(Selections!$E$6:$E$27,"Away win",Selections!$K$6:$K$27,"LOST")</f>
        <v>0</v>
      </c>
      <c r="G14" s="19">
        <f>COUNTIFS(Selections!$E$6:$E$27,"Away win")-(COUNTIFS(Selections!$E$6:$E$27,"Away win",Selections!$K$6:$K$27,"WON")+COUNTIFS(Selections!$E$6:$E$27,"Away win",Selections!$K$6:$K$27,"LOST"))</f>
        <v>1</v>
      </c>
      <c r="H14" s="20" t="str">
        <f>IF((COUNTIFS(Selections!$E$6:$E$27,"Away win",Selections!$K$6:$K$27,"WON")+COUNTIFS(Selections!$E$6:$E$27,"Away win",Selections!$K$6:$K$27,"LOST"))=0,"n.a.",COUNTIFS(Selections!$E$6:$E$27,"Away win",Selections!$K$6:$K$27,"WON")/(COUNTIFS(Selections!$E$6:$E$27,"Away win",Selections!$K$6:$K$27,"WON")+COUNTIFS(Selections!$E$6:$E$27,"Away win",Selections!$K$6:$K$27,"LOST")))</f>
        <v>n.a.</v>
      </c>
      <c r="I14" s="22">
        <f>SUMIFS(Selections!$M$6:$M$27,Selections!$E$6:$E$27,"Away win")</f>
        <v>0</v>
      </c>
      <c r="J14" s="22">
        <f>SUMIFS(Selections!$N$6:$N$27,Selections!$E$6:$E$27,"Away win")</f>
        <v>0</v>
      </c>
      <c r="K14" s="20" t="str">
        <f>IF(SUMIFS(Selections!$M$6:$M$27,Selections!$E$6:$E$27,"Away win")=0,"n.a.",SUMIFS(Selections!$N$6:$N$27,Selections!$E$6:$E$27,"Away win")/SUMIFS(Selections!$M$6:$M$27,Selections!$E$6:$E$27,"Away win"))</f>
        <v>n.a.</v>
      </c>
      <c r="L14" s="21" t="str">
        <f>IF(SUMIFS(Selections!$T$6:$T$27,Selections!$E$6:$E$27,"Away win")=0,"n.a.",SUMIFS(Selections!$O$6:$O$27,Selections!$E$6:$E$27,"Away win")/SUMIFS(Selections!$T$6:$T$27,Selections!$E$6:$E$27,"Away win"))</f>
        <v>n.a.</v>
      </c>
      <c r="M14" s="20" t="str">
        <f>IF(SUMIFS(Selections!$T$6:$T$27,Selections!$E$6:$E$27,"Away win")=0,"n.a.",SUMIFS(Selections!$S$6:$S$27,Selections!$E$6:$E$27,"Away win")/SUMIFS(Selections!$T$6:$T$27,Selections!$E$6:$E$27,"Away win"))</f>
        <v>n.a.</v>
      </c>
      <c r="N14" s="20" t="str">
        <f>IF(SUMIFS(Selections!$T$6:$T$27,Selections!$E$6:$E$27,"Away win")=0,"n.a.",(SUMIFS(Selections!$L$6:$L$27,Selections!$E$6:$E$27,"Away win",Selections!$T$6:$T$27,1))/SUMIFS(Selections!$T$6:$T$27,Selections!$E$6:$E$27,"Away win"))</f>
        <v>n.a.</v>
      </c>
      <c r="O14" s="20" t="str">
        <f>IF(SUMIFS(Selections!$T$6:$T$27,Selections!$E$6:$E$27,"Away win")=0,"n.a.",(SUMIFS(Selections!$S$6:$S$27,Selections!$E$6:$E$27,"Away win")-(SUMIFS(Selections!$L$6:$L$27,Selections!$E$6:$E$27,"Away win",Selections!$T$6:$T$27,1)))/SUMIFS(Selections!$T$6:$T$27,Selections!$E$6:$E$27,"Away win"))</f>
        <v>n.a.</v>
      </c>
      <c r="P14" s="19">
        <f>SUMIFS(Selections!$T$6:$T$27,Selections!$E$6:$E$27,"Away win")</f>
        <v>0</v>
      </c>
      <c r="Q14" s="18" t="str">
        <f>IF(P14&lt;30,"Collect more scored forecasts (n="&amp;P14&amp;").",IF(O14&gt;0.1,"Review overconfidence on a future holdout.",IF(K14&lt;0,"Review prices and EV on a future holdout.","Continue forward testing. No automatic model change.")))</f>
        <v>Collect more scored forecasts (n=0).</v>
      </c>
      <c r="R14" s="18"/>
    </row>
    <row r="15" ht="36" customHeight="1">
      <c r="A15" s="18" t="inlineStr">
        <is>
          <t>Market</t>
        </is>
      </c>
      <c r="B15" s="18" t="inlineStr">
        <is>
          <t>Both Teams to Score - Yes</t>
        </is>
      </c>
      <c r="C15" s="19">
        <f>COUNTIFS(Selections!$E$6:$E$27,"Both Teams to Score - Yes")</f>
        <v>1</v>
      </c>
      <c r="D15" s="19">
        <f>(COUNTIFS(Selections!$E$6:$E$27,"Both Teams to Score - Yes",Selections!$K$6:$K$27,"WON")+COUNTIFS(Selections!$E$6:$E$27,"Both Teams to Score - Yes",Selections!$K$6:$K$27,"LOST"))</f>
        <v>1</v>
      </c>
      <c r="E15" s="19">
        <f>COUNTIFS(Selections!$E$6:$E$27,"Both Teams to Score - Yes",Selections!$K$6:$K$27,"WON")</f>
        <v>1</v>
      </c>
      <c r="F15" s="19">
        <f>COUNTIFS(Selections!$E$6:$E$27,"Both Teams to Score - Yes",Selections!$K$6:$K$27,"LOST")</f>
        <v>0</v>
      </c>
      <c r="G15" s="19">
        <f>COUNTIFS(Selections!$E$6:$E$27,"Both Teams to Score - Yes")-(COUNTIFS(Selections!$E$6:$E$27,"Both Teams to Score - Yes",Selections!$K$6:$K$27,"WON")+COUNTIFS(Selections!$E$6:$E$27,"Both Teams to Score - Yes",Selections!$K$6:$K$27,"LOST"))</f>
        <v>0</v>
      </c>
      <c r="H15" s="20">
        <f>IF((COUNTIFS(Selections!$E$6:$E$27,"Both Teams to Score - Yes",Selections!$K$6:$K$27,"WON")+COUNTIFS(Selections!$E$6:$E$27,"Both Teams to Score - Yes",Selections!$K$6:$K$27,"LOST"))=0,"n.a.",COUNTIFS(Selections!$E$6:$E$27,"Both Teams to Score - Yes",Selections!$K$6:$K$27,"WON")/(COUNTIFS(Selections!$E$6:$E$27,"Both Teams to Score - Yes",Selections!$K$6:$K$27,"WON")+COUNTIFS(Selections!$E$6:$E$27,"Both Teams to Score - Yes",Selections!$K$6:$K$27,"LOST")))</f>
        <v>1.0</v>
      </c>
      <c r="I15" s="22">
        <f>SUMIFS(Selections!$M$6:$M$27,Selections!$E$6:$E$27,"Both Teams to Score - Yes")</f>
        <v>1</v>
      </c>
      <c r="J15" s="22">
        <f>SUMIFS(Selections!$N$6:$N$27,Selections!$E$6:$E$27,"Both Teams to Score - Yes")</f>
        <v>0.49</v>
      </c>
      <c r="K15" s="20">
        <f>IF(SUMIFS(Selections!$M$6:$M$27,Selections!$E$6:$E$27,"Both Teams to Score - Yes")=0,"n.a.",SUMIFS(Selections!$N$6:$N$27,Selections!$E$6:$E$27,"Both Teams to Score - Yes")/SUMIFS(Selections!$M$6:$M$27,Selections!$E$6:$E$27,"Both Teams to Score - Yes"))</f>
        <v>0.49</v>
      </c>
      <c r="L15" s="21">
        <f>IF(SUMIFS(Selections!$T$6:$T$27,Selections!$E$6:$E$27,"Both Teams to Score - Yes")=0,"n.a.",SUMIFS(Selections!$O$6:$O$27,Selections!$E$6:$E$27,"Both Teams to Score - Yes")/SUMIFS(Selections!$T$6:$T$27,Selections!$E$6:$E$27,"Both Teams to Score - Yes"))</f>
        <v>0.08662845606019748</v>
      </c>
      <c r="M15" s="20">
        <f>IF(SUMIFS(Selections!$T$6:$T$27,Selections!$E$6:$E$27,"Both Teams to Score - Yes")=0,"n.a.",SUMIFS(Selections!$S$6:$S$27,Selections!$E$6:$E$27,"Both Teams to Score - Yes")/SUMIFS(Selections!$T$6:$T$27,Selections!$E$6:$E$27,"Both Teams to Score - Yes"))</f>
        <v>0.7056728757654207</v>
      </c>
      <c r="N15" s="20">
        <f>IF(SUMIFS(Selections!$T$6:$T$27,Selections!$E$6:$E$27,"Both Teams to Score - Yes")=0,"n.a.",(SUMIFS(Selections!$L$6:$L$27,Selections!$E$6:$E$27,"Both Teams to Score - Yes",Selections!$T$6:$T$27,1))/SUMIFS(Selections!$T$6:$T$27,Selections!$E$6:$E$27,"Both Teams to Score - Yes"))</f>
        <v>1.0</v>
      </c>
      <c r="O15" s="20">
        <f>IF(SUMIFS(Selections!$T$6:$T$27,Selections!$E$6:$E$27,"Both Teams to Score - Yes")=0,"n.a.",(SUMIFS(Selections!$S$6:$S$27,Selections!$E$6:$E$27,"Both Teams to Score - Yes")-(SUMIFS(Selections!$L$6:$L$27,Selections!$E$6:$E$27,"Both Teams to Score - Yes",Selections!$T$6:$T$27,1)))/SUMIFS(Selections!$T$6:$T$27,Selections!$E$6:$E$27,"Both Teams to Score - Yes"))</f>
        <v>-0.2943271242345793</v>
      </c>
      <c r="P15" s="19">
        <f>SUMIFS(Selections!$T$6:$T$27,Selections!$E$6:$E$27,"Both Teams to Score - Yes")</f>
        <v>1</v>
      </c>
      <c r="Q15" s="18" t="str">
        <f>IF(P15&lt;30,"Collect more scored forecasts (n="&amp;P15&amp;").",IF(O15&gt;0.1,"Review overconfidence on a future holdout.",IF(K15&lt;0,"Review prices and EV on a future holdout.","Continue forward testing. No automatic model change.")))</f>
        <v>Collect more scored forecasts (n=1).</v>
      </c>
      <c r="R15" s="18"/>
    </row>
    <row r="16" ht="36" customHeight="1">
      <c r="A16" s="18" t="inlineStr">
        <is>
          <t>Market</t>
        </is>
      </c>
      <c r="B16" s="18" t="inlineStr">
        <is>
          <t>Double Chance 1X</t>
        </is>
      </c>
      <c r="C16" s="19">
        <f>COUNTIFS(Selections!$E$6:$E$27,"Double Chance 1X")</f>
        <v>1</v>
      </c>
      <c r="D16" s="19">
        <f>(COUNTIFS(Selections!$E$6:$E$27,"Double Chance 1X",Selections!$K$6:$K$27,"WON")+COUNTIFS(Selections!$E$6:$E$27,"Double Chance 1X",Selections!$K$6:$K$27,"LOST"))</f>
        <v>0</v>
      </c>
      <c r="E16" s="19">
        <f>COUNTIFS(Selections!$E$6:$E$27,"Double Chance 1X",Selections!$K$6:$K$27,"WON")</f>
        <v>0</v>
      </c>
      <c r="F16" s="19">
        <f>COUNTIFS(Selections!$E$6:$E$27,"Double Chance 1X",Selections!$K$6:$K$27,"LOST")</f>
        <v>0</v>
      </c>
      <c r="G16" s="19">
        <f>COUNTIFS(Selections!$E$6:$E$27,"Double Chance 1X")-(COUNTIFS(Selections!$E$6:$E$27,"Double Chance 1X",Selections!$K$6:$K$27,"WON")+COUNTIFS(Selections!$E$6:$E$27,"Double Chance 1X",Selections!$K$6:$K$27,"LOST"))</f>
        <v>1</v>
      </c>
      <c r="H16" s="20" t="str">
        <f>IF((COUNTIFS(Selections!$E$6:$E$27,"Double Chance 1X",Selections!$K$6:$K$27,"WON")+COUNTIFS(Selections!$E$6:$E$27,"Double Chance 1X",Selections!$K$6:$K$27,"LOST"))=0,"n.a.",COUNTIFS(Selections!$E$6:$E$27,"Double Chance 1X",Selections!$K$6:$K$27,"WON")/(COUNTIFS(Selections!$E$6:$E$27,"Double Chance 1X",Selections!$K$6:$K$27,"WON")+COUNTIFS(Selections!$E$6:$E$27,"Double Chance 1X",Selections!$K$6:$K$27,"LOST")))</f>
        <v>n.a.</v>
      </c>
      <c r="I16" s="22">
        <f>SUMIFS(Selections!$M$6:$M$27,Selections!$E$6:$E$27,"Double Chance 1X")</f>
        <v>0</v>
      </c>
      <c r="J16" s="22">
        <f>SUMIFS(Selections!$N$6:$N$27,Selections!$E$6:$E$27,"Double Chance 1X")</f>
        <v>0</v>
      </c>
      <c r="K16" s="20" t="str">
        <f>IF(SUMIFS(Selections!$M$6:$M$27,Selections!$E$6:$E$27,"Double Chance 1X")=0,"n.a.",SUMIFS(Selections!$N$6:$N$27,Selections!$E$6:$E$27,"Double Chance 1X")/SUMIFS(Selections!$M$6:$M$27,Selections!$E$6:$E$27,"Double Chance 1X"))</f>
        <v>n.a.</v>
      </c>
      <c r="L16" s="21" t="str">
        <f>IF(SUMIFS(Selections!$T$6:$T$27,Selections!$E$6:$E$27,"Double Chance 1X")=0,"n.a.",SUMIFS(Selections!$O$6:$O$27,Selections!$E$6:$E$27,"Double Chance 1X")/SUMIFS(Selections!$T$6:$T$27,Selections!$E$6:$E$27,"Double Chance 1X"))</f>
        <v>n.a.</v>
      </c>
      <c r="M16" s="20" t="str">
        <f>IF(SUMIFS(Selections!$T$6:$T$27,Selections!$E$6:$E$27,"Double Chance 1X")=0,"n.a.",SUMIFS(Selections!$S$6:$S$27,Selections!$E$6:$E$27,"Double Chance 1X")/SUMIFS(Selections!$T$6:$T$27,Selections!$E$6:$E$27,"Double Chance 1X"))</f>
        <v>n.a.</v>
      </c>
      <c r="N16" s="20" t="str">
        <f>IF(SUMIFS(Selections!$T$6:$T$27,Selections!$E$6:$E$27,"Double Chance 1X")=0,"n.a.",(SUMIFS(Selections!$L$6:$L$27,Selections!$E$6:$E$27,"Double Chance 1X",Selections!$T$6:$T$27,1))/SUMIFS(Selections!$T$6:$T$27,Selections!$E$6:$E$27,"Double Chance 1X"))</f>
        <v>n.a.</v>
      </c>
      <c r="O16" s="20" t="str">
        <f>IF(SUMIFS(Selections!$T$6:$T$27,Selections!$E$6:$E$27,"Double Chance 1X")=0,"n.a.",(SUMIFS(Selections!$S$6:$S$27,Selections!$E$6:$E$27,"Double Chance 1X")-(SUMIFS(Selections!$L$6:$L$27,Selections!$E$6:$E$27,"Double Chance 1X",Selections!$T$6:$T$27,1)))/SUMIFS(Selections!$T$6:$T$27,Selections!$E$6:$E$27,"Double Chance 1X"))</f>
        <v>n.a.</v>
      </c>
      <c r="P16" s="19">
        <f>SUMIFS(Selections!$T$6:$T$27,Selections!$E$6:$E$27,"Double Chance 1X")</f>
        <v>0</v>
      </c>
      <c r="Q16" s="18" t="str">
        <f>IF(P16&lt;30,"Collect more scored forecasts (n="&amp;P16&amp;").",IF(O16&gt;0.1,"Review overconfidence on a future holdout.",IF(K16&lt;0,"Review prices and EV on a future holdout.","Continue forward testing. No automatic model change.")))</f>
        <v>Collect more scored forecasts (n=0).</v>
      </c>
      <c r="R16" s="18"/>
    </row>
    <row r="17" ht="36" customHeight="1">
      <c r="A17" s="18" t="inlineStr">
        <is>
          <t>Market</t>
        </is>
      </c>
      <c r="B17" s="18" t="inlineStr">
        <is>
          <t>Home win</t>
        </is>
      </c>
      <c r="C17" s="19">
        <f>COUNTIFS(Selections!$E$6:$E$27,"Home win")</f>
        <v>4</v>
      </c>
      <c r="D17" s="19">
        <f>(COUNTIFS(Selections!$E$6:$E$27,"Home win",Selections!$K$6:$K$27,"WON")+COUNTIFS(Selections!$E$6:$E$27,"Home win",Selections!$K$6:$K$27,"LOST"))</f>
        <v>2</v>
      </c>
      <c r="E17" s="19">
        <f>COUNTIFS(Selections!$E$6:$E$27,"Home win",Selections!$K$6:$K$27,"WON")</f>
        <v>2</v>
      </c>
      <c r="F17" s="19">
        <f>COUNTIFS(Selections!$E$6:$E$27,"Home win",Selections!$K$6:$K$27,"LOST")</f>
        <v>0</v>
      </c>
      <c r="G17" s="19">
        <f>COUNTIFS(Selections!$E$6:$E$27,"Home win")-(COUNTIFS(Selections!$E$6:$E$27,"Home win",Selections!$K$6:$K$27,"WON")+COUNTIFS(Selections!$E$6:$E$27,"Home win",Selections!$K$6:$K$27,"LOST"))</f>
        <v>2</v>
      </c>
      <c r="H17" s="20">
        <f>IF((COUNTIFS(Selections!$E$6:$E$27,"Home win",Selections!$K$6:$K$27,"WON")+COUNTIFS(Selections!$E$6:$E$27,"Home win",Selections!$K$6:$K$27,"LOST"))=0,"n.a.",COUNTIFS(Selections!$E$6:$E$27,"Home win",Selections!$K$6:$K$27,"WON")/(COUNTIFS(Selections!$E$6:$E$27,"Home win",Selections!$K$6:$K$27,"WON")+COUNTIFS(Selections!$E$6:$E$27,"Home win",Selections!$K$6:$K$27,"LOST")))</f>
        <v>1.0</v>
      </c>
      <c r="I17" s="22">
        <f>SUMIFS(Selections!$M$6:$M$27,Selections!$E$6:$E$27,"Home win")</f>
        <v>2</v>
      </c>
      <c r="J17" s="22">
        <f>SUMIFS(Selections!$N$6:$N$27,Selections!$E$6:$E$27,"Home win")</f>
        <v>1.3699999999999999</v>
      </c>
      <c r="K17" s="20">
        <f>IF(SUMIFS(Selections!$M$6:$M$27,Selections!$E$6:$E$27,"Home win")=0,"n.a.",SUMIFS(Selections!$N$6:$N$27,Selections!$E$6:$E$27,"Home win")/SUMIFS(Selections!$M$6:$M$27,Selections!$E$6:$E$27,"Home win"))</f>
        <v>0.6849999999999999</v>
      </c>
      <c r="L17" s="21">
        <f>IF(SUMIFS(Selections!$T$6:$T$27,Selections!$E$6:$E$27,"Home win")=0,"n.a.",SUMIFS(Selections!$O$6:$O$27,Selections!$E$6:$E$27,"Home win")/SUMIFS(Selections!$T$6:$T$27,Selections!$E$6:$E$27,"Home win"))</f>
        <v>0.10707453570041733</v>
      </c>
      <c r="M17" s="20">
        <f>IF(SUMIFS(Selections!$T$6:$T$27,Selections!$E$6:$E$27,"Home win")=0,"n.a.",SUMIFS(Selections!$S$6:$S$27,Selections!$E$6:$E$27,"Home win")/SUMIFS(Selections!$T$6:$T$27,Selections!$E$6:$E$27,"Home win"))</f>
        <v>0.672911773109177</v>
      </c>
      <c r="N17" s="20">
        <f>IF(SUMIFS(Selections!$T$6:$T$27,Selections!$E$6:$E$27,"Home win")=0,"n.a.",(SUMIFS(Selections!$L$6:$L$27,Selections!$E$6:$E$27,"Home win",Selections!$T$6:$T$27,1))/SUMIFS(Selections!$T$6:$T$27,Selections!$E$6:$E$27,"Home win"))</f>
        <v>1.0</v>
      </c>
      <c r="O17" s="20">
        <f>IF(SUMIFS(Selections!$T$6:$T$27,Selections!$E$6:$E$27,"Home win")=0,"n.a.",(SUMIFS(Selections!$S$6:$S$27,Selections!$E$6:$E$27,"Home win")-(SUMIFS(Selections!$L$6:$L$27,Selections!$E$6:$E$27,"Home win",Selections!$T$6:$T$27,1)))/SUMIFS(Selections!$T$6:$T$27,Selections!$E$6:$E$27,"Home win"))</f>
        <v>-0.32708822689082295</v>
      </c>
      <c r="P17" s="19">
        <f>SUMIFS(Selections!$T$6:$T$27,Selections!$E$6:$E$27,"Home win")</f>
        <v>2</v>
      </c>
      <c r="Q17" s="18" t="str">
        <f>IF(P17&lt;30,"Collect more scored forecasts (n="&amp;P17&amp;").",IF(O17&gt;0.1,"Review overconfidence on a future holdout.",IF(K17&lt;0,"Review prices and EV on a future holdout.","Continue forward testing. No automatic model change.")))</f>
        <v>Collect more scored forecasts (n=2).</v>
      </c>
      <c r="R17" s="18"/>
    </row>
    <row r="18" ht="36" customHeight="1">
      <c r="A18" s="18" t="inlineStr">
        <is>
          <t>Market</t>
        </is>
      </c>
      <c r="B18" s="18" t="inlineStr">
        <is>
          <t>Over 1.5</t>
        </is>
      </c>
      <c r="C18" s="19">
        <f>COUNTIFS(Selections!$E$6:$E$27,"Over 1.5")</f>
        <v>9</v>
      </c>
      <c r="D18" s="19">
        <f>(COUNTIFS(Selections!$E$6:$E$27,"Over 1.5",Selections!$K$6:$K$27,"WON")+COUNTIFS(Selections!$E$6:$E$27,"Over 1.5",Selections!$K$6:$K$27,"LOST"))</f>
        <v>4</v>
      </c>
      <c r="E18" s="19">
        <f>COUNTIFS(Selections!$E$6:$E$27,"Over 1.5",Selections!$K$6:$K$27,"WON")</f>
        <v>4</v>
      </c>
      <c r="F18" s="19">
        <f>COUNTIFS(Selections!$E$6:$E$27,"Over 1.5",Selections!$K$6:$K$27,"LOST")</f>
        <v>0</v>
      </c>
      <c r="G18" s="19">
        <f>COUNTIFS(Selections!$E$6:$E$27,"Over 1.5")-(COUNTIFS(Selections!$E$6:$E$27,"Over 1.5",Selections!$K$6:$K$27,"WON")+COUNTIFS(Selections!$E$6:$E$27,"Over 1.5",Selections!$K$6:$K$27,"LOST"))</f>
        <v>5</v>
      </c>
      <c r="H18" s="20">
        <f>IF((COUNTIFS(Selections!$E$6:$E$27,"Over 1.5",Selections!$K$6:$K$27,"WON")+COUNTIFS(Selections!$E$6:$E$27,"Over 1.5",Selections!$K$6:$K$27,"LOST"))=0,"n.a.",COUNTIFS(Selections!$E$6:$E$27,"Over 1.5",Selections!$K$6:$K$27,"WON")/(COUNTIFS(Selections!$E$6:$E$27,"Over 1.5",Selections!$K$6:$K$27,"WON")+COUNTIFS(Selections!$E$6:$E$27,"Over 1.5",Selections!$K$6:$K$27,"LOST")))</f>
        <v>1.0</v>
      </c>
      <c r="I18" s="22">
        <f>SUMIFS(Selections!$M$6:$M$27,Selections!$E$6:$E$27,"Over 1.5")</f>
        <v>4</v>
      </c>
      <c r="J18" s="22">
        <f>SUMIFS(Selections!$N$6:$N$27,Selections!$E$6:$E$27,"Over 1.5")</f>
        <v>0.97</v>
      </c>
      <c r="K18" s="20">
        <f>IF(SUMIFS(Selections!$M$6:$M$27,Selections!$E$6:$E$27,"Over 1.5")=0,"n.a.",SUMIFS(Selections!$N$6:$N$27,Selections!$E$6:$E$27,"Over 1.5")/SUMIFS(Selections!$M$6:$M$27,Selections!$E$6:$E$27,"Over 1.5"))</f>
        <v>0.2425</v>
      </c>
      <c r="L18" s="21">
        <f>IF(SUMIFS(Selections!$T$6:$T$27,Selections!$E$6:$E$27,"Over 1.5")=0,"n.a.",SUMIFS(Selections!$O$6:$O$27,Selections!$E$6:$E$27,"Over 1.5")/SUMIFS(Selections!$T$6:$T$27,Selections!$E$6:$E$27,"Over 1.5"))</f>
        <v>0.0169853040409397</v>
      </c>
      <c r="M18" s="20">
        <f>IF(SUMIFS(Selections!$T$6:$T$27,Selections!$E$6:$E$27,"Over 1.5")=0,"n.a.",SUMIFS(Selections!$S$6:$S$27,Selections!$E$6:$E$27,"Over 1.5")/SUMIFS(Selections!$T$6:$T$27,Selections!$E$6:$E$27,"Over 1.5"))</f>
        <v>0.8852457097818759</v>
      </c>
      <c r="N18" s="20">
        <f>IF(SUMIFS(Selections!$T$6:$T$27,Selections!$E$6:$E$27,"Over 1.5")=0,"n.a.",(SUMIFS(Selections!$L$6:$L$27,Selections!$E$6:$E$27,"Over 1.5",Selections!$T$6:$T$27,1))/SUMIFS(Selections!$T$6:$T$27,Selections!$E$6:$E$27,"Over 1.5"))</f>
        <v>1.0</v>
      </c>
      <c r="O18" s="20">
        <f>IF(SUMIFS(Selections!$T$6:$T$27,Selections!$E$6:$E$27,"Over 1.5")=0,"n.a.",(SUMIFS(Selections!$S$6:$S$27,Selections!$E$6:$E$27,"Over 1.5")-(SUMIFS(Selections!$L$6:$L$27,Selections!$E$6:$E$27,"Over 1.5",Selections!$T$6:$T$27,1)))/SUMIFS(Selections!$T$6:$T$27,Selections!$E$6:$E$27,"Over 1.5"))</f>
        <v>-0.11475429021812411</v>
      </c>
      <c r="P18" s="19">
        <f>SUMIFS(Selections!$T$6:$T$27,Selections!$E$6:$E$27,"Over 1.5")</f>
        <v>4</v>
      </c>
      <c r="Q18" s="18" t="str">
        <f>IF(P18&lt;30,"Collect more scored forecasts (n="&amp;P18&amp;").",IF(O18&gt;0.1,"Review overconfidence on a future holdout.",IF(K18&lt;0,"Review prices and EV on a future holdout.","Continue forward testing. No automatic model change.")))</f>
        <v>Collect more scored forecasts (n=4).</v>
      </c>
      <c r="R18" s="18"/>
    </row>
    <row r="19" ht="36" customHeight="1">
      <c r="A19" s="18" t="inlineStr">
        <is>
          <t>Market</t>
        </is>
      </c>
      <c r="B19" s="18" t="inlineStr">
        <is>
          <t>Under 3.5</t>
        </is>
      </c>
      <c r="C19" s="19">
        <f>COUNTIFS(Selections!$E$6:$E$27,"Under 3.5")</f>
        <v>6</v>
      </c>
      <c r="D19" s="19">
        <f>(COUNTIFS(Selections!$E$6:$E$27,"Under 3.5",Selections!$K$6:$K$27,"WON")+COUNTIFS(Selections!$E$6:$E$27,"Under 3.5",Selections!$K$6:$K$27,"LOST"))</f>
        <v>4</v>
      </c>
      <c r="E19" s="19">
        <f>COUNTIFS(Selections!$E$6:$E$27,"Under 3.5",Selections!$K$6:$K$27,"WON")</f>
        <v>1</v>
      </c>
      <c r="F19" s="19">
        <f>COUNTIFS(Selections!$E$6:$E$27,"Under 3.5",Selections!$K$6:$K$27,"LOST")</f>
        <v>3</v>
      </c>
      <c r="G19" s="19">
        <f>COUNTIFS(Selections!$E$6:$E$27,"Under 3.5")-(COUNTIFS(Selections!$E$6:$E$27,"Under 3.5",Selections!$K$6:$K$27,"WON")+COUNTIFS(Selections!$E$6:$E$27,"Under 3.5",Selections!$K$6:$K$27,"LOST"))</f>
        <v>2</v>
      </c>
      <c r="H19" s="20">
        <f>IF((COUNTIFS(Selections!$E$6:$E$27,"Under 3.5",Selections!$K$6:$K$27,"WON")+COUNTIFS(Selections!$E$6:$E$27,"Under 3.5",Selections!$K$6:$K$27,"LOST"))=0,"n.a.",COUNTIFS(Selections!$E$6:$E$27,"Under 3.5",Selections!$K$6:$K$27,"WON")/(COUNTIFS(Selections!$E$6:$E$27,"Under 3.5",Selections!$K$6:$K$27,"WON")+COUNTIFS(Selections!$E$6:$E$27,"Under 3.5",Selections!$K$6:$K$27,"LOST")))</f>
        <v>0.25</v>
      </c>
      <c r="I19" s="22">
        <f>SUMIFS(Selections!$M$6:$M$27,Selections!$E$6:$E$27,"Under 3.5")</f>
        <v>4</v>
      </c>
      <c r="J19" s="22">
        <f>SUMIFS(Selections!$N$6:$N$27,Selections!$E$6:$E$27,"Under 3.5")</f>
        <v>-2.7199999999999998</v>
      </c>
      <c r="K19" s="20">
        <f>IF(SUMIFS(Selections!$M$6:$M$27,Selections!$E$6:$E$27,"Under 3.5")=0,"n.a.",SUMIFS(Selections!$N$6:$N$27,Selections!$E$6:$E$27,"Under 3.5")/SUMIFS(Selections!$M$6:$M$27,Selections!$E$6:$E$27,"Under 3.5"))</f>
        <v>-0.6799999999999999</v>
      </c>
      <c r="L19" s="21">
        <f>IF(SUMIFS(Selections!$T$6:$T$27,Selections!$E$6:$E$27,"Under 3.5")=0,"n.a.",SUMIFS(Selections!$O$6:$O$27,Selections!$E$6:$E$27,"Under 3.5")/SUMIFS(Selections!$T$6:$T$27,Selections!$E$6:$E$27,"Under 3.5"))</f>
        <v>0.5016332182694637</v>
      </c>
      <c r="M19" s="20">
        <f>IF(SUMIFS(Selections!$T$6:$T$27,Selections!$E$6:$E$27,"Under 3.5")=0,"n.a.",SUMIFS(Selections!$S$6:$S$27,Selections!$E$6:$E$27,"Under 3.5")/SUMIFS(Selections!$T$6:$T$27,Selections!$E$6:$E$27,"Under 3.5"))</f>
        <v>0.8054503740200165</v>
      </c>
      <c r="N19" s="20">
        <f>IF(SUMIFS(Selections!$T$6:$T$27,Selections!$E$6:$E$27,"Under 3.5")=0,"n.a.",(SUMIFS(Selections!$L$6:$L$27,Selections!$E$6:$E$27,"Under 3.5",Selections!$T$6:$T$27,1))/SUMIFS(Selections!$T$6:$T$27,Selections!$E$6:$E$27,"Under 3.5"))</f>
        <v>0.25</v>
      </c>
      <c r="O19" s="20">
        <f>IF(SUMIFS(Selections!$T$6:$T$27,Selections!$E$6:$E$27,"Under 3.5")=0,"n.a.",(SUMIFS(Selections!$S$6:$S$27,Selections!$E$6:$E$27,"Under 3.5")-(SUMIFS(Selections!$L$6:$L$27,Selections!$E$6:$E$27,"Under 3.5",Selections!$T$6:$T$27,1)))/SUMIFS(Selections!$T$6:$T$27,Selections!$E$6:$E$27,"Under 3.5"))</f>
        <v>0.5554503740200165</v>
      </c>
      <c r="P19" s="19">
        <f>SUMIFS(Selections!$T$6:$T$27,Selections!$E$6:$E$27,"Under 3.5")</f>
        <v>4</v>
      </c>
      <c r="Q19" s="18" t="str">
        <f>IF(P19&lt;30,"Collect more scored forecasts (n="&amp;P19&amp;").",IF(O19&gt;0.1,"Review overconfidence on a future holdout.",IF(K19&lt;0,"Review prices and EV on a future holdout.","Continue forward testing. No automatic model change.")))</f>
        <v>Collect more scored forecasts (n=4).</v>
      </c>
      <c r="R19" s="18"/>
    </row>
    <row r="20" ht="36" customHeight="1">
      <c r="A20" s="18" t="inlineStr">
        <is>
          <t>Policy</t>
        </is>
      </c>
      <c r="B20" s="18" t="inlineStr">
        <is>
          <t>72h-all-markets-net-ev15-execution-v7</t>
        </is>
      </c>
      <c r="C20" s="19">
        <f>COUNTIFS(Selections!$G$6:$G$27,"72h-all-markets-net-ev15-execution-v7")</f>
        <v>2</v>
      </c>
      <c r="D20" s="19">
        <f>(COUNTIFS(Selections!$G$6:$G$27,"72h-all-markets-net-ev15-execution-v7",Selections!$K$6:$K$27,"WON")+COUNTIFS(Selections!$G$6:$G$27,"72h-all-markets-net-ev15-execution-v7",Selections!$K$6:$K$27,"LOST"))</f>
        <v>0</v>
      </c>
      <c r="E20" s="19">
        <f>COUNTIFS(Selections!$G$6:$G$27,"72h-all-markets-net-ev15-execution-v7",Selections!$K$6:$K$27,"WON")</f>
        <v>0</v>
      </c>
      <c r="F20" s="19">
        <f>COUNTIFS(Selections!$G$6:$G$27,"72h-all-markets-net-ev15-execution-v7",Selections!$K$6:$K$27,"LOST")</f>
        <v>0</v>
      </c>
      <c r="G20" s="19">
        <f>COUNTIFS(Selections!$G$6:$G$27,"72h-all-markets-net-ev15-execution-v7")-(COUNTIFS(Selections!$G$6:$G$27,"72h-all-markets-net-ev15-execution-v7",Selections!$K$6:$K$27,"WON")+COUNTIFS(Selections!$G$6:$G$27,"72h-all-markets-net-ev15-execution-v7",Selections!$K$6:$K$27,"LOST"))</f>
        <v>2</v>
      </c>
      <c r="H20" s="20" t="str">
        <f>IF((COUNTIFS(Selections!$G$6:$G$27,"72h-all-markets-net-ev15-execution-v7",Selections!$K$6:$K$27,"WON")+COUNTIFS(Selections!$G$6:$G$27,"72h-all-markets-net-ev15-execution-v7",Selections!$K$6:$K$27,"LOST"))=0,"n.a.",COUNTIFS(Selections!$G$6:$G$27,"72h-all-markets-net-ev15-execution-v7",Selections!$K$6:$K$27,"WON")/(COUNTIFS(Selections!$G$6:$G$27,"72h-all-markets-net-ev15-execution-v7",Selections!$K$6:$K$27,"WON")+COUNTIFS(Selections!$G$6:$G$27,"72h-all-markets-net-ev15-execution-v7",Selections!$K$6:$K$27,"LOST")))</f>
        <v>n.a.</v>
      </c>
      <c r="I20" s="22">
        <f>SUMIFS(Selections!$M$6:$M$27,Selections!$G$6:$G$27,"72h-all-markets-net-ev15-execution-v7")</f>
        <v>0</v>
      </c>
      <c r="J20" s="22">
        <f>SUMIFS(Selections!$N$6:$N$27,Selections!$G$6:$G$27,"72h-all-markets-net-ev15-execution-v7")</f>
        <v>0</v>
      </c>
      <c r="K20" s="20" t="str">
        <f>IF(SUMIFS(Selections!$M$6:$M$27,Selections!$G$6:$G$27,"72h-all-markets-net-ev15-execution-v7")=0,"n.a.",SUMIFS(Selections!$N$6:$N$27,Selections!$G$6:$G$27,"72h-all-markets-net-ev15-execution-v7")/SUMIFS(Selections!$M$6:$M$27,Selections!$G$6:$G$27,"72h-all-markets-net-ev15-execution-v7"))</f>
        <v>n.a.</v>
      </c>
      <c r="L20" s="21" t="str">
        <f>IF(SUMIFS(Selections!$T$6:$T$27,Selections!$G$6:$G$27,"72h-all-markets-net-ev15-execution-v7")=0,"n.a.",SUMIFS(Selections!$O$6:$O$27,Selections!$G$6:$G$27,"72h-all-markets-net-ev15-execution-v7")/SUMIFS(Selections!$T$6:$T$27,Selections!$G$6:$G$27,"72h-all-markets-net-ev15-execution-v7"))</f>
        <v>n.a.</v>
      </c>
      <c r="M20" s="20" t="str">
        <f>IF(SUMIFS(Selections!$T$6:$T$27,Selections!$G$6:$G$27,"72h-all-markets-net-ev15-execution-v7")=0,"n.a.",SUMIFS(Selections!$S$6:$S$27,Selections!$G$6:$G$27,"72h-all-markets-net-ev15-execution-v7")/SUMIFS(Selections!$T$6:$T$27,Selections!$G$6:$G$27,"72h-all-markets-net-ev15-execution-v7"))</f>
        <v>n.a.</v>
      </c>
      <c r="N20" s="20" t="str">
        <f>IF(SUMIFS(Selections!$T$6:$T$27,Selections!$G$6:$G$27,"72h-all-markets-net-ev15-execution-v7")=0,"n.a.",(SUMIFS(Selections!$L$6:$L$27,Selections!$G$6:$G$27,"72h-all-markets-net-ev15-execution-v7",Selections!$T$6:$T$27,1))/SUMIFS(Selections!$T$6:$T$27,Selections!$G$6:$G$27,"72h-all-markets-net-ev15-execution-v7"))</f>
        <v>n.a.</v>
      </c>
      <c r="O20" s="20" t="str">
        <f>IF(SUMIFS(Selections!$T$6:$T$27,Selections!$G$6:$G$27,"72h-all-markets-net-ev15-execution-v7")=0,"n.a.",(SUMIFS(Selections!$S$6:$S$27,Selections!$G$6:$G$27,"72h-all-markets-net-ev15-execution-v7")-(SUMIFS(Selections!$L$6:$L$27,Selections!$G$6:$G$27,"72h-all-markets-net-ev15-execution-v7",Selections!$T$6:$T$27,1)))/SUMIFS(Selections!$T$6:$T$27,Selections!$G$6:$G$27,"72h-all-markets-net-ev15-execution-v7"))</f>
        <v>n.a.</v>
      </c>
      <c r="P20" s="19">
        <f>SUMIFS(Selections!$T$6:$T$27,Selections!$G$6:$G$27,"72h-all-markets-net-ev15-execution-v7")</f>
        <v>0</v>
      </c>
      <c r="Q20" s="18" t="str">
        <f>IF(P20&lt;30,"Collect more scored forecasts (n="&amp;P20&amp;").",IF(O20&gt;0.1,"Review overconfidence on a future holdout.",IF(K20&lt;0,"Review prices and EV on a future holdout.","Continue forward testing. No automatic model change.")))</f>
        <v>Collect more scored forecasts (n=0).</v>
      </c>
      <c r="R20" s="18"/>
    </row>
    <row r="21" ht="36" customHeight="1">
      <c r="A21" s="18" t="inlineStr">
        <is>
          <t>Policy</t>
        </is>
      </c>
      <c r="B21" s="18" t="inlineStr">
        <is>
          <t>72h-six-markets-dc12-probability-odds-net-ev15-v9</t>
        </is>
      </c>
      <c r="C21" s="19">
        <f>COUNTIFS(Selections!$G$6:$G$27,"72h-six-markets-dc12-probability-odds-net-ev15-v9")</f>
        <v>1</v>
      </c>
      <c r="D21" s="19">
        <f>(COUNTIFS(Selections!$G$6:$G$27,"72h-six-markets-dc12-probability-odds-net-ev15-v9",Selections!$K$6:$K$27,"WON")+COUNTIFS(Selections!$G$6:$G$27,"72h-six-markets-dc12-probability-odds-net-ev15-v9",Selections!$K$6:$K$27,"LOST"))</f>
        <v>0</v>
      </c>
      <c r="E21" s="19">
        <f>COUNTIFS(Selections!$G$6:$G$27,"72h-six-markets-dc12-probability-odds-net-ev15-v9",Selections!$K$6:$K$27,"WON")</f>
        <v>0</v>
      </c>
      <c r="F21" s="19">
        <f>COUNTIFS(Selections!$G$6:$G$27,"72h-six-markets-dc12-probability-odds-net-ev15-v9",Selections!$K$6:$K$27,"LOST")</f>
        <v>0</v>
      </c>
      <c r="G21" s="19">
        <f>COUNTIFS(Selections!$G$6:$G$27,"72h-six-markets-dc12-probability-odds-net-ev15-v9")-(COUNTIFS(Selections!$G$6:$G$27,"72h-six-markets-dc12-probability-odds-net-ev15-v9",Selections!$K$6:$K$27,"WON")+COUNTIFS(Selections!$G$6:$G$27,"72h-six-markets-dc12-probability-odds-net-ev15-v9",Selections!$K$6:$K$27,"LOST"))</f>
        <v>1</v>
      </c>
      <c r="H21" s="20" t="str">
        <f>IF((COUNTIFS(Selections!$G$6:$G$27,"72h-six-markets-dc12-probability-odds-net-ev15-v9",Selections!$K$6:$K$27,"WON")+COUNTIFS(Selections!$G$6:$G$27,"72h-six-markets-dc12-probability-odds-net-ev15-v9",Selections!$K$6:$K$27,"LOST"))=0,"n.a.",COUNTIFS(Selections!$G$6:$G$27,"72h-six-markets-dc12-probability-odds-net-ev15-v9",Selections!$K$6:$K$27,"WON")/(COUNTIFS(Selections!$G$6:$G$27,"72h-six-markets-dc12-probability-odds-net-ev15-v9",Selections!$K$6:$K$27,"WON")+COUNTIFS(Selections!$G$6:$G$27,"72h-six-markets-dc12-probability-odds-net-ev15-v9",Selections!$K$6:$K$27,"LOST")))</f>
        <v>n.a.</v>
      </c>
      <c r="I21" s="22">
        <f>SUMIFS(Selections!$M$6:$M$27,Selections!$G$6:$G$27,"72h-six-markets-dc12-probability-odds-net-ev15-v9")</f>
        <v>0</v>
      </c>
      <c r="J21" s="22">
        <f>SUMIFS(Selections!$N$6:$N$27,Selections!$G$6:$G$27,"72h-six-markets-dc12-probability-odds-net-ev15-v9")</f>
        <v>0</v>
      </c>
      <c r="K21" s="20" t="str">
        <f>IF(SUMIFS(Selections!$M$6:$M$27,Selections!$G$6:$G$27,"72h-six-markets-dc12-probability-odds-net-ev15-v9")=0,"n.a.",SUMIFS(Selections!$N$6:$N$27,Selections!$G$6:$G$27,"72h-six-markets-dc12-probability-odds-net-ev15-v9")/SUMIFS(Selections!$M$6:$M$27,Selections!$G$6:$G$27,"72h-six-markets-dc12-probability-odds-net-ev15-v9"))</f>
        <v>n.a.</v>
      </c>
      <c r="L21" s="21" t="str">
        <f>IF(SUMIFS(Selections!$T$6:$T$27,Selections!$G$6:$G$27,"72h-six-markets-dc12-probability-odds-net-ev15-v9")=0,"n.a.",SUMIFS(Selections!$O$6:$O$27,Selections!$G$6:$G$27,"72h-six-markets-dc12-probability-odds-net-ev15-v9")/SUMIFS(Selections!$T$6:$T$27,Selections!$G$6:$G$27,"72h-six-markets-dc12-probability-odds-net-ev15-v9"))</f>
        <v>n.a.</v>
      </c>
      <c r="M21" s="20" t="str">
        <f>IF(SUMIFS(Selections!$T$6:$T$27,Selections!$G$6:$G$27,"72h-six-markets-dc12-probability-odds-net-ev15-v9")=0,"n.a.",SUMIFS(Selections!$S$6:$S$27,Selections!$G$6:$G$27,"72h-six-markets-dc12-probability-odds-net-ev15-v9")/SUMIFS(Selections!$T$6:$T$27,Selections!$G$6:$G$27,"72h-six-markets-dc12-probability-odds-net-ev15-v9"))</f>
        <v>n.a.</v>
      </c>
      <c r="N21" s="20" t="str">
        <f>IF(SUMIFS(Selections!$T$6:$T$27,Selections!$G$6:$G$27,"72h-six-markets-dc12-probability-odds-net-ev15-v9")=0,"n.a.",(SUMIFS(Selections!$L$6:$L$27,Selections!$G$6:$G$27,"72h-six-markets-dc12-probability-odds-net-ev15-v9",Selections!$T$6:$T$27,1))/SUMIFS(Selections!$T$6:$T$27,Selections!$G$6:$G$27,"72h-six-markets-dc12-probability-odds-net-ev15-v9"))</f>
        <v>n.a.</v>
      </c>
      <c r="O21" s="20" t="str">
        <f>IF(SUMIFS(Selections!$T$6:$T$27,Selections!$G$6:$G$27,"72h-six-markets-dc12-probability-odds-net-ev15-v9")=0,"n.a.",(SUMIFS(Selections!$S$6:$S$27,Selections!$G$6:$G$27,"72h-six-markets-dc12-probability-odds-net-ev15-v9")-(SUMIFS(Selections!$L$6:$L$27,Selections!$G$6:$G$27,"72h-six-markets-dc12-probability-odds-net-ev15-v9",Selections!$T$6:$T$27,1)))/SUMIFS(Selections!$T$6:$T$27,Selections!$G$6:$G$27,"72h-six-markets-dc12-probability-odds-net-ev15-v9"))</f>
        <v>n.a.</v>
      </c>
      <c r="P21" s="19">
        <f>SUMIFS(Selections!$T$6:$T$27,Selections!$G$6:$G$27,"72h-six-markets-dc12-probability-odds-net-ev15-v9")</f>
        <v>0</v>
      </c>
      <c r="Q21" s="18" t="str">
        <f>IF(P21&lt;30,"Collect more scored forecasts (n="&amp;P21&amp;").",IF(O21&gt;0.1,"Review overconfidence on a future holdout.",IF(K21&lt;0,"Review prices and EV on a future holdout.","Continue forward testing. No automatic model change.")))</f>
        <v>Collect more scored forecasts (n=0).</v>
      </c>
      <c r="R21" s="18"/>
    </row>
    <row r="22" ht="36" customHeight="1">
      <c r="A22" s="18" t="inlineStr">
        <is>
          <t>Policy</t>
        </is>
      </c>
      <c r="B22" s="18" t="inlineStr">
        <is>
          <t>72h-ucl-v3</t>
        </is>
      </c>
      <c r="C22" s="19">
        <f>COUNTIFS(Selections!$G$6:$G$27,"72h-ucl-v3")</f>
        <v>8</v>
      </c>
      <c r="D22" s="19">
        <f>(COUNTIFS(Selections!$G$6:$G$27,"72h-ucl-v3",Selections!$K$6:$K$27,"WON")+COUNTIFS(Selections!$G$6:$G$27,"72h-ucl-v3",Selections!$K$6:$K$27,"LOST"))</f>
        <v>6</v>
      </c>
      <c r="E22" s="19">
        <f>COUNTIFS(Selections!$G$6:$G$27,"72h-ucl-v3",Selections!$K$6:$K$27,"WON")</f>
        <v>5</v>
      </c>
      <c r="F22" s="19">
        <f>COUNTIFS(Selections!$G$6:$G$27,"72h-ucl-v3",Selections!$K$6:$K$27,"LOST")</f>
        <v>1</v>
      </c>
      <c r="G22" s="19">
        <f>COUNTIFS(Selections!$G$6:$G$27,"72h-ucl-v3")-(COUNTIFS(Selections!$G$6:$G$27,"72h-ucl-v3",Selections!$K$6:$K$27,"WON")+COUNTIFS(Selections!$G$6:$G$27,"72h-ucl-v3",Selections!$K$6:$K$27,"LOST"))</f>
        <v>2</v>
      </c>
      <c r="H22" s="20">
        <f>IF((COUNTIFS(Selections!$G$6:$G$27,"72h-ucl-v3",Selections!$K$6:$K$27,"WON")+COUNTIFS(Selections!$G$6:$G$27,"72h-ucl-v3",Selections!$K$6:$K$27,"LOST"))=0,"n.a.",COUNTIFS(Selections!$G$6:$G$27,"72h-ucl-v3",Selections!$K$6:$K$27,"WON")/(COUNTIFS(Selections!$G$6:$G$27,"72h-ucl-v3",Selections!$K$6:$K$27,"WON")+COUNTIFS(Selections!$G$6:$G$27,"72h-ucl-v3",Selections!$K$6:$K$27,"LOST")))</f>
        <v>0.8333333333333334</v>
      </c>
      <c r="I22" s="22">
        <f>SUMIFS(Selections!$M$6:$M$27,Selections!$G$6:$G$27,"72h-ucl-v3")</f>
        <v>6</v>
      </c>
      <c r="J22" s="22">
        <f>SUMIFS(Selections!$N$6:$N$27,Selections!$G$6:$G$27,"72h-ucl-v3")</f>
        <v>0.96</v>
      </c>
      <c r="K22" s="20">
        <f>IF(SUMIFS(Selections!$M$6:$M$27,Selections!$G$6:$G$27,"72h-ucl-v3")=0,"n.a.",SUMIFS(Selections!$N$6:$N$27,Selections!$G$6:$G$27,"72h-ucl-v3")/SUMIFS(Selections!$M$6:$M$27,Selections!$G$6:$G$27,"72h-ucl-v3"))</f>
        <v>0.16</v>
      </c>
      <c r="L22" s="21">
        <f>IF(SUMIFS(Selections!$T$6:$T$27,Selections!$G$6:$G$27,"72h-ucl-v3")=0,"n.a.",SUMIFS(Selections!$O$6:$O$27,Selections!$G$6:$G$27,"72h-ucl-v3")/SUMIFS(Selections!$T$6:$T$27,Selections!$G$6:$G$27,"72h-ucl-v3"))</f>
        <v>0.13798221541257352</v>
      </c>
      <c r="M22" s="20">
        <f>IF(SUMIFS(Selections!$T$6:$T$27,Selections!$G$6:$G$27,"72h-ucl-v3")=0,"n.a.",SUMIFS(Selections!$S$6:$S$27,Selections!$G$6:$G$27,"72h-ucl-v3")/SUMIFS(Selections!$T$6:$T$27,Selections!$G$6:$G$27,"72h-ucl-v3"))</f>
        <v>0.7942949268394889</v>
      </c>
      <c r="N22" s="20">
        <f>IF(SUMIFS(Selections!$T$6:$T$27,Selections!$G$6:$G$27,"72h-ucl-v3")=0,"n.a.",(SUMIFS(Selections!$L$6:$L$27,Selections!$G$6:$G$27,"72h-ucl-v3",Selections!$T$6:$T$27,1))/SUMIFS(Selections!$T$6:$T$27,Selections!$G$6:$G$27,"72h-ucl-v3"))</f>
        <v>0.8333333333333334</v>
      </c>
      <c r="O22" s="20">
        <f>IF(SUMIFS(Selections!$T$6:$T$27,Selections!$G$6:$G$27,"72h-ucl-v3")=0,"n.a.",(SUMIFS(Selections!$S$6:$S$27,Selections!$G$6:$G$27,"72h-ucl-v3")-(SUMIFS(Selections!$L$6:$L$27,Selections!$G$6:$G$27,"72h-ucl-v3",Selections!$T$6:$T$27,1)))/SUMIFS(Selections!$T$6:$T$27,Selections!$G$6:$G$27,"72h-ucl-v3"))</f>
        <v>-0.03903840649384449</v>
      </c>
      <c r="P22" s="19">
        <f>SUMIFS(Selections!$T$6:$T$27,Selections!$G$6:$G$27,"72h-ucl-v3")</f>
        <v>6</v>
      </c>
      <c r="Q22" s="18" t="str">
        <f>IF(P22&lt;30,"Collect more scored forecasts (n="&amp;P22&amp;").",IF(O22&gt;0.1,"Review overconfidence on a future holdout.",IF(K22&lt;0,"Review prices and EV on a future holdout.","Continue forward testing. No automatic model change.")))</f>
        <v>Collect more scored forecasts (n=6).</v>
      </c>
      <c r="R22" s="18"/>
    </row>
    <row r="23" ht="36" customHeight="1">
      <c r="A23" s="18" t="inlineStr">
        <is>
          <t>Policy</t>
        </is>
      </c>
      <c r="B23" s="18" t="inlineStr">
        <is>
          <t>legacy/unspecified</t>
        </is>
      </c>
      <c r="C23" s="19">
        <f>COUNTIFS(Selections!$G$6:$G$27,"legacy/unspecified")</f>
        <v>11</v>
      </c>
      <c r="D23" s="19">
        <f>(COUNTIFS(Selections!$G$6:$G$27,"legacy/unspecified",Selections!$K$6:$K$27,"WON")+COUNTIFS(Selections!$G$6:$G$27,"legacy/unspecified",Selections!$K$6:$K$27,"LOST"))</f>
        <v>5</v>
      </c>
      <c r="E23" s="19">
        <f>COUNTIFS(Selections!$G$6:$G$27,"legacy/unspecified",Selections!$K$6:$K$27,"WON")</f>
        <v>3</v>
      </c>
      <c r="F23" s="19">
        <f>COUNTIFS(Selections!$G$6:$G$27,"legacy/unspecified",Selections!$K$6:$K$27,"LOST")</f>
        <v>2</v>
      </c>
      <c r="G23" s="19">
        <f>COUNTIFS(Selections!$G$6:$G$27,"legacy/unspecified")-(COUNTIFS(Selections!$G$6:$G$27,"legacy/unspecified",Selections!$K$6:$K$27,"WON")+COUNTIFS(Selections!$G$6:$G$27,"legacy/unspecified",Selections!$K$6:$K$27,"LOST"))</f>
        <v>6</v>
      </c>
      <c r="H23" s="20">
        <f>IF((COUNTIFS(Selections!$G$6:$G$27,"legacy/unspecified",Selections!$K$6:$K$27,"WON")+COUNTIFS(Selections!$G$6:$G$27,"legacy/unspecified",Selections!$K$6:$K$27,"LOST"))=0,"n.a.",COUNTIFS(Selections!$G$6:$G$27,"legacy/unspecified",Selections!$K$6:$K$27,"WON")/(COUNTIFS(Selections!$G$6:$G$27,"legacy/unspecified",Selections!$K$6:$K$27,"WON")+COUNTIFS(Selections!$G$6:$G$27,"legacy/unspecified",Selections!$K$6:$K$27,"LOST")))</f>
        <v>0.6</v>
      </c>
      <c r="I23" s="22">
        <f>SUMIFS(Selections!$M$6:$M$27,Selections!$G$6:$G$27,"legacy/unspecified")</f>
        <v>5</v>
      </c>
      <c r="J23" s="22">
        <f>SUMIFS(Selections!$N$6:$N$27,Selections!$G$6:$G$27,"legacy/unspecified")</f>
        <v>-0.8500000000000001</v>
      </c>
      <c r="K23" s="20">
        <f>IF(SUMIFS(Selections!$M$6:$M$27,Selections!$G$6:$G$27,"legacy/unspecified")=0,"n.a.",SUMIFS(Selections!$N$6:$N$27,Selections!$G$6:$G$27,"legacy/unspecified")/SUMIFS(Selections!$M$6:$M$27,Selections!$G$6:$G$27,"legacy/unspecified"))</f>
        <v>-0.17</v>
      </c>
      <c r="L23" s="21">
        <f>IF(SUMIFS(Selections!$T$6:$T$27,Selections!$G$6:$G$27,"legacy/unspecified")=0,"n.a.",SUMIFS(Selections!$O$6:$O$27,Selections!$G$6:$G$27,"legacy/unspecified")/SUMIFS(Selections!$T$6:$T$27,Selections!$G$6:$G$27,"legacy/unspecified"))</f>
        <v>0.30947166484544086</v>
      </c>
      <c r="M23" s="20">
        <f>IF(SUMIFS(Selections!$T$6:$T$27,Selections!$G$6:$G$27,"legacy/unspecified")=0,"n.a.",SUMIFS(Selections!$S$6:$S$27,Selections!$G$6:$G$27,"legacy/unspecified")/SUMIFS(Selections!$T$6:$T$27,Selections!$G$6:$G$27,"legacy/unspecified"))</f>
        <v>0.8097022392308822</v>
      </c>
      <c r="N23" s="20">
        <f>IF(SUMIFS(Selections!$T$6:$T$27,Selections!$G$6:$G$27,"legacy/unspecified")=0,"n.a.",(SUMIFS(Selections!$L$6:$L$27,Selections!$G$6:$G$27,"legacy/unspecified",Selections!$T$6:$T$27,1))/SUMIFS(Selections!$T$6:$T$27,Selections!$G$6:$G$27,"legacy/unspecified"))</f>
        <v>0.6</v>
      </c>
      <c r="O23" s="20">
        <f>IF(SUMIFS(Selections!$T$6:$T$27,Selections!$G$6:$G$27,"legacy/unspecified")=0,"n.a.",(SUMIFS(Selections!$S$6:$S$27,Selections!$G$6:$G$27,"legacy/unspecified")-(SUMIFS(Selections!$L$6:$L$27,Selections!$G$6:$G$27,"legacy/unspecified",Selections!$T$6:$T$27,1)))/SUMIFS(Selections!$T$6:$T$27,Selections!$G$6:$G$27,"legacy/unspecified"))</f>
        <v>0.20970223923088227</v>
      </c>
      <c r="P23" s="19">
        <f>SUMIFS(Selections!$T$6:$T$27,Selections!$G$6:$G$27,"legacy/unspecified")</f>
        <v>5</v>
      </c>
      <c r="Q23" s="18" t="str">
        <f>IF(P23&lt;30,"Collect more scored forecasts (n="&amp;P23&amp;").",IF(O23&gt;0.1,"Review overconfidence on a future holdout.",IF(K23&lt;0,"Review prices and EV on a future holdout.","Continue forward testing. No automatic model change.")))</f>
        <v>Collect more scored forecasts (n=5).</v>
      </c>
      <c r="R23" s="18"/>
    </row>
    <row r="24" ht="36" customHeight="1">
      <c r="A24" s="18" t="inlineStr">
        <is>
          <t>Week</t>
        </is>
      </c>
      <c r="B24" s="18" t="inlineStr">
        <is>
          <t>2026-W41</t>
        </is>
      </c>
      <c r="C24" s="19">
        <f>COUNTIFS(Selections!$P$6:$P$27,"2026-W41")</f>
        <v>5</v>
      </c>
      <c r="D24" s="19">
        <f>(COUNTIFS(Selections!$P$6:$P$27,"2026-W41",Selections!$K$6:$K$27,"WON")+COUNTIFS(Selections!$P$6:$P$27,"2026-W41",Selections!$K$6:$K$27,"LOST"))</f>
        <v>4</v>
      </c>
      <c r="E24" s="19">
        <f>COUNTIFS(Selections!$P$6:$P$27,"2026-W41",Selections!$K$6:$K$27,"WON")</f>
        <v>2</v>
      </c>
      <c r="F24" s="19">
        <f>COUNTIFS(Selections!$P$6:$P$27,"2026-W41",Selections!$K$6:$K$27,"LOST")</f>
        <v>2</v>
      </c>
      <c r="G24" s="19">
        <f>COUNTIFS(Selections!$P$6:$P$27,"2026-W41")-(COUNTIFS(Selections!$P$6:$P$27,"2026-W41",Selections!$K$6:$K$27,"WON")+COUNTIFS(Selections!$P$6:$P$27,"2026-W41",Selections!$K$6:$K$27,"LOST"))</f>
        <v>1</v>
      </c>
      <c r="H24" s="20">
        <f>IF((COUNTIFS(Selections!$P$6:$P$27,"2026-W41",Selections!$K$6:$K$27,"WON")+COUNTIFS(Selections!$P$6:$P$27,"2026-W41",Selections!$K$6:$K$27,"LOST"))=0,"n.a.",COUNTIFS(Selections!$P$6:$P$27,"2026-W41",Selections!$K$6:$K$27,"WON")/(COUNTIFS(Selections!$P$6:$P$27,"2026-W41",Selections!$K$6:$K$27,"WON")+COUNTIFS(Selections!$P$6:$P$27,"2026-W41",Selections!$K$6:$K$27,"LOST")))</f>
        <v>0.5</v>
      </c>
      <c r="I24" s="22">
        <f>SUMIFS(Selections!$M$6:$M$27,Selections!$P$6:$P$27,"2026-W41")</f>
        <v>4</v>
      </c>
      <c r="J24" s="22">
        <f>SUMIFS(Selections!$N$6:$N$27,Selections!$P$6:$P$27,"2026-W41")</f>
        <v>-1.48</v>
      </c>
      <c r="K24" s="20">
        <f>IF(SUMIFS(Selections!$M$6:$M$27,Selections!$P$6:$P$27,"2026-W41")=0,"n.a.",SUMIFS(Selections!$N$6:$N$27,Selections!$P$6:$P$27,"2026-W41")/SUMIFS(Selections!$M$6:$M$27,Selections!$P$6:$P$27,"2026-W41"))</f>
        <v>-0.37</v>
      </c>
      <c r="L24" s="21">
        <f>IF(SUMIFS(Selections!$T$6:$T$27,Selections!$P$6:$P$27,"2026-W41")=0,"n.a.",SUMIFS(Selections!$O$6:$O$27,Selections!$P$6:$P$27,"2026-W41")/SUMIFS(Selections!$T$6:$T$27,Selections!$P$6:$P$27,"2026-W41"))</f>
        <v>0.32911599206243786</v>
      </c>
      <c r="M24" s="20">
        <f>IF(SUMIFS(Selections!$T$6:$T$27,Selections!$P$6:$P$27,"2026-W41")=0,"n.a.",SUMIFS(Selections!$S$6:$S$27,Selections!$P$6:$P$27,"2026-W41")/SUMIFS(Selections!$T$6:$T$27,Selections!$P$6:$P$27,"2026-W41"))</f>
        <v>0.8211485691621172</v>
      </c>
      <c r="N24" s="20">
        <f>IF(SUMIFS(Selections!$T$6:$T$27,Selections!$P$6:$P$27,"2026-W41")=0,"n.a.",(SUMIFS(Selections!$L$6:$L$27,Selections!$P$6:$P$27,"2026-W41",Selections!$T$6:$T$27,1))/SUMIFS(Selections!$T$6:$T$27,Selections!$P$6:$P$27,"2026-W41"))</f>
        <v>0.5</v>
      </c>
      <c r="O24" s="20">
        <f>IF(SUMIFS(Selections!$T$6:$T$27,Selections!$P$6:$P$27,"2026-W41")=0,"n.a.",(SUMIFS(Selections!$S$6:$S$27,Selections!$P$6:$P$27,"2026-W41")-(SUMIFS(Selections!$L$6:$L$27,Selections!$P$6:$P$27,"2026-W41",Selections!$T$6:$T$27,1)))/SUMIFS(Selections!$T$6:$T$27,Selections!$P$6:$P$27,"2026-W41"))</f>
        <v>0.3211485691621172</v>
      </c>
      <c r="P24" s="19">
        <f>SUMIFS(Selections!$T$6:$T$27,Selections!$P$6:$P$27,"2026-W41")</f>
        <v>4</v>
      </c>
      <c r="Q24" s="18" t="str">
        <f>IF(P24&lt;30,"Collect more scored forecasts (n="&amp;P24&amp;").",IF(O24&gt;0.1,"Review overconfidence on a future holdout.",IF(K24&lt;0,"Review prices and EV on a future holdout.","Continue forward testing. No automatic model change.")))</f>
        <v>Collect more scored forecasts (n=4).</v>
      </c>
      <c r="R24" s="18"/>
    </row>
    <row r="25" ht="36" customHeight="1">
      <c r="A25" s="18" t="inlineStr">
        <is>
          <t>Week</t>
        </is>
      </c>
      <c r="B25" s="18" t="inlineStr">
        <is>
          <t>2026-W42</t>
        </is>
      </c>
      <c r="C25" s="19">
        <f>COUNTIFS(Selections!$P$6:$P$27,"2026-W42")</f>
        <v>16</v>
      </c>
      <c r="D25" s="19">
        <f>(COUNTIFS(Selections!$P$6:$P$27,"2026-W42",Selections!$K$6:$K$27,"WON")+COUNTIFS(Selections!$P$6:$P$27,"2026-W42",Selections!$K$6:$K$27,"LOST"))</f>
        <v>7</v>
      </c>
      <c r="E25" s="19">
        <f>COUNTIFS(Selections!$P$6:$P$27,"2026-W42",Selections!$K$6:$K$27,"WON")</f>
        <v>6</v>
      </c>
      <c r="F25" s="19">
        <f>COUNTIFS(Selections!$P$6:$P$27,"2026-W42",Selections!$K$6:$K$27,"LOST")</f>
        <v>1</v>
      </c>
      <c r="G25" s="19">
        <f>COUNTIFS(Selections!$P$6:$P$27,"2026-W42")-(COUNTIFS(Selections!$P$6:$P$27,"2026-W42",Selections!$K$6:$K$27,"WON")+COUNTIFS(Selections!$P$6:$P$27,"2026-W42",Selections!$K$6:$K$27,"LOST"))</f>
        <v>9</v>
      </c>
      <c r="H25" s="20">
        <f>IF((COUNTIFS(Selections!$P$6:$P$27,"2026-W42",Selections!$K$6:$K$27,"WON")+COUNTIFS(Selections!$P$6:$P$27,"2026-W42",Selections!$K$6:$K$27,"LOST"))=0,"n.a.",COUNTIFS(Selections!$P$6:$P$27,"2026-W42",Selections!$K$6:$K$27,"WON")/(COUNTIFS(Selections!$P$6:$P$27,"2026-W42",Selections!$K$6:$K$27,"WON")+COUNTIFS(Selections!$P$6:$P$27,"2026-W42",Selections!$K$6:$K$27,"LOST")))</f>
        <v>0.8571428571428571</v>
      </c>
      <c r="I25" s="22">
        <f>SUMIFS(Selections!$M$6:$M$27,Selections!$P$6:$P$27,"2026-W42")</f>
        <v>7</v>
      </c>
      <c r="J25" s="22">
        <f>SUMIFS(Selections!$N$6:$N$27,Selections!$P$6:$P$27,"2026-W42")</f>
        <v>1.5899999999999999</v>
      </c>
      <c r="K25" s="20">
        <f>IF(SUMIFS(Selections!$M$6:$M$27,Selections!$P$6:$P$27,"2026-W42")=0,"n.a.",SUMIFS(Selections!$N$6:$N$27,Selections!$P$6:$P$27,"2026-W42")/SUMIFS(Selections!$M$6:$M$27,Selections!$P$6:$P$27,"2026-W42"))</f>
        <v>0.22714285714285712</v>
      </c>
      <c r="L25" s="21">
        <f>IF(SUMIFS(Selections!$T$6:$T$27,Selections!$P$6:$P$27,"2026-W42")=0,"n.a.",SUMIFS(Selections!$O$6:$O$27,Selections!$P$6:$P$27,"2026-W42")/SUMIFS(Selections!$T$6:$T$27,Selections!$P$6:$P$27,"2026-W42"))</f>
        <v>0.15125537835041344</v>
      </c>
      <c r="M25" s="20">
        <f>IF(SUMIFS(Selections!$T$6:$T$27,Selections!$P$6:$P$27,"2026-W42")=0,"n.a.",SUMIFS(Selections!$S$6:$S$27,Selections!$P$6:$P$27,"2026-W42")/SUMIFS(Selections!$T$6:$T$27,Selections!$P$6:$P$27,"2026-W42"))</f>
        <v>0.7899552115061251</v>
      </c>
      <c r="N25" s="20">
        <f>IF(SUMIFS(Selections!$T$6:$T$27,Selections!$P$6:$P$27,"2026-W42")=0,"n.a.",(SUMIFS(Selections!$L$6:$L$27,Selections!$P$6:$P$27,"2026-W42",Selections!$T$6:$T$27,1))/SUMIFS(Selections!$T$6:$T$27,Selections!$P$6:$P$27,"2026-W42"))</f>
        <v>0.8571428571428571</v>
      </c>
      <c r="O25" s="20">
        <f>IF(SUMIFS(Selections!$T$6:$T$27,Selections!$P$6:$P$27,"2026-W42")=0,"n.a.",(SUMIFS(Selections!$S$6:$S$27,Selections!$P$6:$P$27,"2026-W42")-(SUMIFS(Selections!$L$6:$L$27,Selections!$P$6:$P$27,"2026-W42",Selections!$T$6:$T$27,1)))/SUMIFS(Selections!$T$6:$T$27,Selections!$P$6:$P$27,"2026-W42"))</f>
        <v>-0.06718764563673196</v>
      </c>
      <c r="P25" s="19">
        <f>SUMIFS(Selections!$T$6:$T$27,Selections!$P$6:$P$27,"2026-W42")</f>
        <v>7</v>
      </c>
      <c r="Q25" s="18" t="str">
        <f>IF(P25&lt;30,"Collect more scored forecasts (n="&amp;P25&amp;").",IF(O25&gt;0.1,"Review overconfidence on a future holdout.",IF(K25&lt;0,"Review prices and EV on a future holdout.","Continue forward testing. No automatic model change.")))</f>
        <v>Collect more scored forecasts (n=7).</v>
      </c>
      <c r="R25" s="18"/>
    </row>
    <row r="26" ht="36" customHeight="1">
      <c r="A26" s="18" t="inlineStr">
        <is>
          <t>Week</t>
        </is>
      </c>
      <c r="B26" s="18" t="inlineStr">
        <is>
          <t>2026-W43</t>
        </is>
      </c>
      <c r="C26" s="19">
        <f>COUNTIFS(Selections!$P$6:$P$27,"2026-W43")</f>
        <v>1</v>
      </c>
      <c r="D26" s="19">
        <f>(COUNTIFS(Selections!$P$6:$P$27,"2026-W43",Selections!$K$6:$K$27,"WON")+COUNTIFS(Selections!$P$6:$P$27,"2026-W43",Selections!$K$6:$K$27,"LOST"))</f>
        <v>0</v>
      </c>
      <c r="E26" s="19">
        <f>COUNTIFS(Selections!$P$6:$P$27,"2026-W43",Selections!$K$6:$K$27,"WON")</f>
        <v>0</v>
      </c>
      <c r="F26" s="19">
        <f>COUNTIFS(Selections!$P$6:$P$27,"2026-W43",Selections!$K$6:$K$27,"LOST")</f>
        <v>0</v>
      </c>
      <c r="G26" s="19">
        <f>COUNTIFS(Selections!$P$6:$P$27,"2026-W43")-(COUNTIFS(Selections!$P$6:$P$27,"2026-W43",Selections!$K$6:$K$27,"WON")+COUNTIFS(Selections!$P$6:$P$27,"2026-W43",Selections!$K$6:$K$27,"LOST"))</f>
        <v>1</v>
      </c>
      <c r="H26" s="20" t="str">
        <f>IF((COUNTIFS(Selections!$P$6:$P$27,"2026-W43",Selections!$K$6:$K$27,"WON")+COUNTIFS(Selections!$P$6:$P$27,"2026-W43",Selections!$K$6:$K$27,"LOST"))=0,"n.a.",COUNTIFS(Selections!$P$6:$P$27,"2026-W43",Selections!$K$6:$K$27,"WON")/(COUNTIFS(Selections!$P$6:$P$27,"2026-W43",Selections!$K$6:$K$27,"WON")+COUNTIFS(Selections!$P$6:$P$27,"2026-W43",Selections!$K$6:$K$27,"LOST")))</f>
        <v>n.a.</v>
      </c>
      <c r="I26" s="22">
        <f>SUMIFS(Selections!$M$6:$M$27,Selections!$P$6:$P$27,"2026-W43")</f>
        <v>0</v>
      </c>
      <c r="J26" s="22">
        <f>SUMIFS(Selections!$N$6:$N$27,Selections!$P$6:$P$27,"2026-W43")</f>
        <v>0</v>
      </c>
      <c r="K26" s="20" t="str">
        <f>IF(SUMIFS(Selections!$M$6:$M$27,Selections!$P$6:$P$27,"2026-W43")=0,"n.a.",SUMIFS(Selections!$N$6:$N$27,Selections!$P$6:$P$27,"2026-W43")/SUMIFS(Selections!$M$6:$M$27,Selections!$P$6:$P$27,"2026-W43"))</f>
        <v>n.a.</v>
      </c>
      <c r="L26" s="21" t="str">
        <f>IF(SUMIFS(Selections!$T$6:$T$27,Selections!$P$6:$P$27,"2026-W43")=0,"n.a.",SUMIFS(Selections!$O$6:$O$27,Selections!$P$6:$P$27,"2026-W43")/SUMIFS(Selections!$T$6:$T$27,Selections!$P$6:$P$27,"2026-W43"))</f>
        <v>n.a.</v>
      </c>
      <c r="M26" s="20" t="str">
        <f>IF(SUMIFS(Selections!$T$6:$T$27,Selections!$P$6:$P$27,"2026-W43")=0,"n.a.",SUMIFS(Selections!$S$6:$S$27,Selections!$P$6:$P$27,"2026-W43")/SUMIFS(Selections!$T$6:$T$27,Selections!$P$6:$P$27,"2026-W43"))</f>
        <v>n.a.</v>
      </c>
      <c r="N26" s="20" t="str">
        <f>IF(SUMIFS(Selections!$T$6:$T$27,Selections!$P$6:$P$27,"2026-W43")=0,"n.a.",(SUMIFS(Selections!$L$6:$L$27,Selections!$P$6:$P$27,"2026-W43",Selections!$T$6:$T$27,1))/SUMIFS(Selections!$T$6:$T$27,Selections!$P$6:$P$27,"2026-W43"))</f>
        <v>n.a.</v>
      </c>
      <c r="O26" s="20" t="str">
        <f>IF(SUMIFS(Selections!$T$6:$T$27,Selections!$P$6:$P$27,"2026-W43")=0,"n.a.",(SUMIFS(Selections!$S$6:$S$27,Selections!$P$6:$P$27,"2026-W43")-(SUMIFS(Selections!$L$6:$L$27,Selections!$P$6:$P$27,"2026-W43",Selections!$T$6:$T$27,1)))/SUMIFS(Selections!$T$6:$T$27,Selections!$P$6:$P$27,"2026-W43"))</f>
        <v>n.a.</v>
      </c>
      <c r="P26" s="19">
        <f>SUMIFS(Selections!$T$6:$T$27,Selections!$P$6:$P$27,"2026-W43")</f>
        <v>0</v>
      </c>
      <c r="Q26" s="18" t="str">
        <f>IF(P26&lt;30,"Collect more scored forecasts (n="&amp;P26&amp;").",IF(O26&gt;0.1,"Review overconfidence on a future holdout.",IF(K26&lt;0,"Review prices and EV on a future holdout.","Continue forward testing. No automatic model change.")))</f>
        <v>Collect more scored forecasts (n=0).</v>
      </c>
      <c r="R26" s="18"/>
    </row>
  </sheetData>
  <mergeCells count="2">
    <mergeCell ref="A2:Q2"/>
    <mergeCell ref="A4:Q4"/>
  </mergeCells>
  <conditionalFormatting sqref="K6:K26">
    <cfRule type="cellIs" dxfId="0" priority="1" operator="lessThan">
      <formula>0</formula>
    </cfRule>
  </conditionalFormatting>
  <pageMargins left="0.7" right="0.7" top="0.75" bottom="0.75" header="0.3" footer="0.3"/>
  <tableParts count="1">
    <tablePart ns1:id="R66f56e74340841bc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1" ySplit="5" topLeftCell="B6" activePane="bottomRight" state="frozen"/>
    </sheetView>
  </sheetViews>
  <sheetFormatPr defaultRowHeight="15"/>
  <cols>
    <col min="1" max="1" width="18" customWidth="1"/>
    <col min="2" max="2" width="16" customWidth="1"/>
    <col min="3" max="3" width="16" customWidth="1"/>
    <col min="4" max="4" width="14" customWidth="1"/>
    <col min="5" max="5" width="20" customWidth="1"/>
    <col min="6" max="6" width="20" customWidth="1"/>
    <col min="7" max="7" width="20" customWidth="1"/>
    <col min="8" max="8" width="16" customWidth="1"/>
    <col min="9" max="9" width="48" customWidth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>
      <c r="A2" s="25" t="str">
        <v>Calibration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" customHeight="1">
      <c r="A4" s="27" t="inlineStr">
        <is>
          <t>Calibration compares scored forecast probabilities with observed outcomes. Small bins remain provisional evidence.</t>
        </is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44" customHeight="1">
      <c r="A5" s="24" t="str">
        <v>Probability band</v>
      </c>
      <c r="B5" s="24" t="str">
        <v>Lower bound</v>
      </c>
      <c r="C5" s="24" t="str">
        <v>Upper bound</v>
      </c>
      <c r="D5" s="24" t="str">
        <v>Samples</v>
      </c>
      <c r="E5" s="24" t="str">
        <v>Mean forecast</v>
      </c>
      <c r="F5" s="24" t="str">
        <v>Observed win rate</v>
      </c>
      <c r="G5" s="24" t="str">
        <v>Overconfidence</v>
      </c>
      <c r="H5" s="24" t="str">
        <v>Binary Brier</v>
      </c>
      <c r="I5" s="24" t="str">
        <v>Review</v>
      </c>
      <c r="J5" s="24"/>
      <c r="K5" s="24"/>
      <c r="L5" s="24"/>
      <c r="M5" s="24"/>
      <c r="N5" s="24"/>
      <c r="O5" s="24"/>
      <c r="P5" s="24"/>
      <c r="Q5" s="24"/>
      <c r="R5" s="24"/>
    </row>
    <row r="6" ht="36" customHeight="1">
      <c r="A6" s="18" t="inlineStr">
        <is>
          <t>0%–50%</t>
        </is>
      </c>
      <c r="B6" s="20">
        <v>0</v>
      </c>
      <c r="C6" s="20">
        <v>0.5</v>
      </c>
      <c r="D6" s="19">
        <f>COUNTIFS(Selections!$S$6:$S$27,"&gt;="&amp;B6,Selections!$S$6:$S$27,"&lt;"&amp;C6,Selections!$T$6:$T$27,1)</f>
        <v>0</v>
      </c>
      <c r="E6" s="20" t="str">
        <f>IF(D6=0,"n.a.",SUMIFS(Selections!$S$6:$S$27,Selections!$S$6:$S$27,"&gt;="&amp;B6,Selections!$S$6:$S$27,"&lt;"&amp;C6,Selections!$T$6:$T$27,1)/D6)</f>
        <v>n.a.</v>
      </c>
      <c r="F6" s="20" t="str">
        <f>IF(D6=0,"n.a.",SUMIFS(Selections!$L$6:$L$27,Selections!$S$6:$S$27,"&gt;="&amp;B6,Selections!$S$6:$S$27,"&lt;"&amp;C6,Selections!$T$6:$T$27,1)/D6)</f>
        <v>n.a.</v>
      </c>
      <c r="G6" s="20" t="str">
        <f>IF(D6=0,"n.a.",E6-F6)</f>
        <v>n.a.</v>
      </c>
      <c r="H6" s="21" t="str">
        <f>IF(D6=0,"n.a.",SUMIFS(Selections!$O$6:$O$27,Selections!$S$6:$S$27,"&gt;="&amp;B6,Selections!$S$6:$S$27,"&lt;"&amp;C6,Selections!$T$6:$T$27,1)/D6)</f>
        <v>n.a.</v>
      </c>
      <c r="I6" s="18" t="inlineStr">
        <is>
          <t>Collect more scored forecasts (n=0).</t>
        </is>
      </c>
      <c r="J6" s="18"/>
      <c r="K6" s="18"/>
      <c r="L6" s="18"/>
      <c r="M6" s="18"/>
      <c r="N6" s="18"/>
      <c r="O6" s="18"/>
      <c r="P6" s="18"/>
      <c r="Q6" s="18"/>
      <c r="R6" s="18"/>
    </row>
    <row r="7" ht="36" customHeight="1">
      <c r="A7" s="18" t="inlineStr">
        <is>
          <t>50%–60%</t>
        </is>
      </c>
      <c r="B7" s="20">
        <v>0.5</v>
      </c>
      <c r="C7" s="20">
        <v>0.6</v>
      </c>
      <c r="D7" s="19">
        <f>COUNTIFS(Selections!$S$6:$S$27,"&gt;="&amp;B7,Selections!$S$6:$S$27,"&lt;"&amp;C7,Selections!$T$6:$T$27,1)</f>
        <v>0</v>
      </c>
      <c r="E7" s="20" t="str">
        <f>IF(D7=0,"n.a.",SUMIFS(Selections!$S$6:$S$27,Selections!$S$6:$S$27,"&gt;="&amp;B7,Selections!$S$6:$S$27,"&lt;"&amp;C7,Selections!$T$6:$T$27,1)/D7)</f>
        <v>n.a.</v>
      </c>
      <c r="F7" s="20" t="str">
        <f>IF(D7=0,"n.a.",SUMIFS(Selections!$L$6:$L$27,Selections!$S$6:$S$27,"&gt;="&amp;B7,Selections!$S$6:$S$27,"&lt;"&amp;C7,Selections!$T$6:$T$27,1)/D7)</f>
        <v>n.a.</v>
      </c>
      <c r="G7" s="20" t="str">
        <f>IF(D7=0,"n.a.",E7-F7)</f>
        <v>n.a.</v>
      </c>
      <c r="H7" s="21" t="str">
        <f>IF(D7=0,"n.a.",SUMIFS(Selections!$O$6:$O$27,Selections!$S$6:$S$27,"&gt;="&amp;B7,Selections!$S$6:$S$27,"&lt;"&amp;C7,Selections!$T$6:$T$27,1)/D7)</f>
        <v>n.a.</v>
      </c>
      <c r="I7" s="18" t="inlineStr">
        <is>
          <t>Collect more scored forecasts (n=0).</t>
        </is>
      </c>
      <c r="J7" s="18"/>
      <c r="K7" s="18"/>
      <c r="L7" s="18"/>
      <c r="M7" s="18"/>
      <c r="N7" s="18"/>
      <c r="O7" s="18"/>
      <c r="P7" s="18"/>
      <c r="Q7" s="18"/>
      <c r="R7" s="18"/>
    </row>
    <row r="8" ht="36" customHeight="1">
      <c r="A8" s="18" t="inlineStr">
        <is>
          <t>60%–70%</t>
        </is>
      </c>
      <c r="B8" s="20">
        <v>0.6</v>
      </c>
      <c r="C8" s="20">
        <v>0.7</v>
      </c>
      <c r="D8" s="19">
        <f>COUNTIFS(Selections!$S$6:$S$27,"&gt;="&amp;B8,Selections!$S$6:$S$27,"&lt;"&amp;C8,Selections!$T$6:$T$27,1)</f>
        <v>2</v>
      </c>
      <c r="E8" s="20">
        <f>IF(D8=0,"n.a.",SUMIFS(Selections!$S$6:$S$27,Selections!$S$6:$S$27,"&gt;="&amp;B8,Selections!$S$6:$S$27,"&lt;"&amp;C8,Selections!$T$6:$T$27,1)/D8)</f>
        <v>0.672911773109177</v>
      </c>
      <c r="F8" s="20">
        <f>IF(D8=0,"n.a.",SUMIFS(Selections!$L$6:$L$27,Selections!$S$6:$S$27,"&gt;="&amp;B8,Selections!$S$6:$S$27,"&lt;"&amp;C8,Selections!$T$6:$T$27,1)/D8)</f>
        <v>1.0</v>
      </c>
      <c r="G8" s="20">
        <f>IF(D8=0,"n.a.",E8-F8)</f>
        <v>-0.32708822689082295</v>
      </c>
      <c r="H8" s="21">
        <f>IF(D8=0,"n.a.",SUMIFS(Selections!$O$6:$O$27,Selections!$S$6:$S$27,"&gt;="&amp;B8,Selections!$S$6:$S$27,"&lt;"&amp;C8,Selections!$T$6:$T$27,1)/D8)</f>
        <v>0.10707453570041733</v>
      </c>
      <c r="I8" s="18" t="inlineStr">
        <is>
          <t>Collect more scored forecasts (n=2).</t>
        </is>
      </c>
      <c r="J8" s="18"/>
      <c r="K8" s="18"/>
      <c r="L8" s="18"/>
      <c r="M8" s="18"/>
      <c r="N8" s="18"/>
      <c r="O8" s="18"/>
      <c r="P8" s="18"/>
      <c r="Q8" s="18"/>
      <c r="R8" s="18"/>
    </row>
    <row r="9" ht="36" customHeight="1">
      <c r="A9" s="18" t="inlineStr">
        <is>
          <t>70%–80%</t>
        </is>
      </c>
      <c r="B9" s="20">
        <v>0.7</v>
      </c>
      <c r="C9" s="20">
        <v>0.8</v>
      </c>
      <c r="D9" s="19">
        <f>COUNTIFS(Selections!$S$6:$S$27,"&gt;="&amp;B9,Selections!$S$6:$S$27,"&lt;"&amp;C9,Selections!$T$6:$T$27,1)</f>
        <v>4</v>
      </c>
      <c r="E9" s="20">
        <f>IF(D9=0,"n.a.",SUMIFS(Selections!$S$6:$S$27,Selections!$S$6:$S$27,"&gt;="&amp;B9,Selections!$S$6:$S$27,"&lt;"&amp;C9,Selections!$T$6:$T$27,1)/D9)</f>
        <v>0.7598033602744063</v>
      </c>
      <c r="F9" s="20">
        <f>IF(D9=0,"n.a.",SUMIFS(Selections!$L$6:$L$27,Selections!$S$6:$S$27,"&gt;="&amp;B9,Selections!$S$6:$S$27,"&lt;"&amp;C9,Selections!$T$6:$T$27,1)/D9)</f>
        <v>0.75</v>
      </c>
      <c r="G9" s="20">
        <f>IF(D9=0,"n.a.",E9-F9)</f>
        <v>0.009803360274406314</v>
      </c>
      <c r="H9" s="21">
        <f>IF(D9=0,"n.a.",SUMIFS(Selections!$O$6:$O$27,Selections!$S$6:$S$27,"&gt;="&amp;B9,Selections!$S$6:$S$27,"&lt;"&amp;C9,Selections!$T$6:$T$27,1)/D9)</f>
        <v>0.18645173019771322</v>
      </c>
      <c r="I9" s="18" t="inlineStr">
        <is>
          <t>Collect more scored forecasts (n=4).</t>
        </is>
      </c>
      <c r="J9" s="18"/>
      <c r="K9" s="18"/>
      <c r="L9" s="18"/>
      <c r="M9" s="18"/>
      <c r="N9" s="18"/>
      <c r="O9" s="18"/>
      <c r="P9" s="18"/>
      <c r="Q9" s="18"/>
      <c r="R9" s="18"/>
    </row>
    <row r="10" ht="36" customHeight="1">
      <c r="A10" s="18" t="inlineStr">
        <is>
          <t>80%–90%</t>
        </is>
      </c>
      <c r="B10" s="20">
        <v>0.8</v>
      </c>
      <c r="C10" s="20">
        <v>0.9</v>
      </c>
      <c r="D10" s="19">
        <f>COUNTIFS(Selections!$S$6:$S$27,"&gt;="&amp;B10,Selections!$S$6:$S$27,"&lt;"&amp;C10,Selections!$T$6:$T$27,1)</f>
        <v>3</v>
      </c>
      <c r="E10" s="20">
        <f>IF(D10=0,"n.a.",SUMIFS(Selections!$S$6:$S$27,Selections!$S$6:$S$27,"&gt;="&amp;B10,Selections!$S$6:$S$27,"&lt;"&amp;C10,Selections!$T$6:$T$27,1)/D10)</f>
        <v>0.8566010078816761</v>
      </c>
      <c r="F10" s="20">
        <f>IF(D10=0,"n.a.",SUMIFS(Selections!$L$6:$L$27,Selections!$S$6:$S$27,"&gt;="&amp;B10,Selections!$S$6:$S$27,"&lt;"&amp;C10,Selections!$T$6:$T$27,1)/D10)</f>
        <v>0.3333333333333333</v>
      </c>
      <c r="G10" s="20">
        <f>IF(D10=0,"n.a.",E10-F10)</f>
        <v>0.5232676745483429</v>
      </c>
      <c r="H10" s="21">
        <f>IF(D10=0,"n.a.",SUMIFS(Selections!$O$6:$O$27,Selections!$S$6:$S$27,"&gt;="&amp;B10,Selections!$S$6:$S$27,"&lt;"&amp;C10,Selections!$T$6:$T$27,1)/D10)</f>
        <v>0.46832387158660893</v>
      </c>
      <c r="I10" s="18" t="inlineStr">
        <is>
          <t>Collect more scored forecasts (n=3).</t>
        </is>
      </c>
      <c r="J10" s="18"/>
      <c r="K10" s="18"/>
      <c r="L10" s="18"/>
      <c r="M10" s="18"/>
      <c r="N10" s="18"/>
      <c r="O10" s="18"/>
      <c r="P10" s="18"/>
      <c r="Q10" s="18"/>
      <c r="R10" s="18"/>
    </row>
    <row r="11" ht="36" customHeight="1">
      <c r="A11" s="18" t="inlineStr">
        <is>
          <t>90%–100%</t>
        </is>
      </c>
      <c r="B11" s="20">
        <v>0.9</v>
      </c>
      <c r="C11" s="20">
        <v>1.000001</v>
      </c>
      <c r="D11" s="19">
        <f>COUNTIFS(Selections!$S$6:$S$27,"&gt;="&amp;B11,Selections!$S$6:$S$27,"&lt;"&amp;C11,Selections!$T$6:$T$27,1)</f>
        <v>2</v>
      </c>
      <c r="E11" s="20">
        <f>IF(D11=0,"n.a.",SUMIFS(Selections!$S$6:$S$27,Selections!$S$6:$S$27,"&gt;="&amp;B11,Selections!$S$6:$S$27,"&lt;"&amp;C11,Selections!$T$6:$T$27,1)/D11)</f>
        <v>0.9297203731151685</v>
      </c>
      <c r="F11" s="20">
        <f>IF(D11=0,"n.a.",SUMIFS(Selections!$L$6:$L$27,Selections!$S$6:$S$27,"&gt;="&amp;B11,Selections!$S$6:$S$27,"&lt;"&amp;C11,Selections!$T$6:$T$27,1)/D11)</f>
        <v>1.0</v>
      </c>
      <c r="G11" s="20">
        <f>IF(D11=0,"n.a.",E11-F11)</f>
        <v>-0.07027962688483147</v>
      </c>
      <c r="H11" s="21">
        <f>IF(D11=0,"n.a.",SUMIFS(Selections!$O$6:$O$27,Selections!$S$6:$S$27,"&gt;="&amp;B11,Selections!$S$6:$S$27,"&lt;"&amp;C11,Selections!$T$6:$T$27,1)/D11)</f>
        <v>0.005162004875565673</v>
      </c>
      <c r="I11" s="18" t="inlineStr">
        <is>
          <t>Collect more scored forecasts (n=2).</t>
        </is>
      </c>
      <c r="J11" s="18"/>
      <c r="K11" s="18"/>
      <c r="L11" s="18"/>
      <c r="M11" s="18"/>
      <c r="N11" s="18"/>
      <c r="O11" s="18"/>
      <c r="P11" s="18"/>
      <c r="Q11" s="18"/>
      <c r="R11" s="18"/>
    </row>
  </sheetData>
  <mergeCells count="2">
    <mergeCell ref="A2:I2"/>
    <mergeCell ref="A4:I4"/>
  </mergeCells>
  <conditionalFormatting sqref="G6:G11">
    <cfRule type="cellIs" dxfId="2" priority="1" operator="greaterThan">
      <formula>0.1</formula>
    </cfRule>
  </conditionalFormatting>
  <pageMargins left="0.7" right="0.7" top="0.75" bottom="0.75" header="0.3" footer="0.3"/>
  <tableParts count="1">
    <tablePart ns1:id="R3e4876b110274087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4" ySplit="5" topLeftCell="E6" activePane="bottomRight" state="frozen"/>
    </sheetView>
  </sheetViews>
  <sheetFormatPr defaultRowHeight="15"/>
  <cols>
    <col min="1" max="1" width="12" customWidth="1" hidden="1" outlineLevel="1"/>
    <col min="2" max="2" width="23" customWidth="1"/>
    <col min="3" max="3" width="22" customWidth="1"/>
    <col min="4" max="4" width="44" customWidth="1"/>
    <col min="5" max="5" width="20" customWidth="1"/>
    <col min="6" max="6" width="18" customWidth="1"/>
    <col min="7" max="7" width="32" customWidth="1" hidden="1" outlineLevel="1"/>
    <col min="8" max="8" width="18" customWidth="1"/>
    <col min="9" max="9" width="14" customWidth="1"/>
    <col min="10" max="10" width="12" customWidth="1"/>
    <col min="11" max="11" width="36" customWidth="1"/>
    <col min="12" max="12" width="12" customWidth="1" hidden="1" outlineLevel="1"/>
    <col min="13" max="13" width="14" customWidth="1"/>
    <col min="14" max="14" width="14" customWidth="1"/>
    <col min="15" max="15" width="14" customWidth="1"/>
    <col min="16" max="16" width="16" customWidth="1"/>
    <col min="17" max="17" width="24" customWidth="1" hidden="1" outlineLevel="1"/>
    <col min="18" max="18" width="26" customWidth="1" hidden="1" outlineLevel="1"/>
    <col min="19" max="19" width="18" customWidth="1" hidden="1" outlineLevel="1"/>
    <col min="20" max="20" width="16" customWidth="1" hidden="1" outlineLevel="1"/>
    <col min="21" max="21" width="18" customWidth="1" hidden="1" outlineLevel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2" customHeight="1">
      <c r="A2" s="25" t="str">
        <v>Selections</v>
      </c>
      <c r="B2" s="25" t="inlineStr">
        <is>
          <t>Selections</t>
        </is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2" customHeight="1">
      <c r="A4" s="27" t="inlineStr">
        <is>
          <t>Frozen selections. Technical fields are grouped; expand them for source details. Kickoff times are UTC.</t>
        </is>
      </c>
      <c r="B4" s="27" t="inlineStr">
        <is>
          <t>Frozen selections. Technical fields are grouped; expand them for source details. Kickoff times are UTC.</t>
        </is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44" customHeight="1">
      <c r="A5" s="24" t="str">
        <v>Fixture key</v>
      </c>
      <c r="B5" s="24" t="str">
        <v>Kickoff UTC</v>
      </c>
      <c r="C5" s="24" t="str">
        <v>League</v>
      </c>
      <c r="D5" s="24" t="str">
        <v>Match</v>
      </c>
      <c r="E5" s="24" t="str">
        <v>Market</v>
      </c>
      <c r="F5" s="24" t="str">
        <v>Tier</v>
      </c>
      <c r="G5" s="24" t="str">
        <v>Selection policy</v>
      </c>
      <c r="H5" s="24" t="str">
        <v>Adjusted probability</v>
      </c>
      <c r="I5" s="24" t="str">
        <v>Decimal odds</v>
      </c>
      <c r="J5" s="24" t="str">
        <v>Final score</v>
      </c>
      <c r="K5" s="24" t="str">
        <v>Status</v>
      </c>
      <c r="L5" s="24" t="str">
        <v>Won = 1</v>
      </c>
      <c r="M5" s="24" t="str">
        <v>Stake units</v>
      </c>
      <c r="N5" s="24" t="str">
        <v>Profit units</v>
      </c>
      <c r="O5" s="24" t="str">
        <v>Binary Brier</v>
      </c>
      <c r="P5" s="24" t="str">
        <v>ISO week</v>
      </c>
      <c r="Q5" s="24" t="str">
        <v>Snapshot commit</v>
      </c>
      <c r="R5" s="24" t="str">
        <v>Result source</v>
      </c>
      <c r="S5" s="24" t="str">
        <v>Scored forecast</v>
      </c>
      <c r="T5" s="24" t="str">
        <v>Probability sample</v>
      </c>
      <c r="U5" t="inlineStr" s="24">
        <is>
          <t>Cost per unit stake</t>
        </is>
      </c>
    </row>
    <row r="6" ht="36" customHeight="1">
      <c r="A6" s="18" t="inlineStr">
        <is>
          <t>La Liga|elche|celta vigo|2026-10-11</t>
        </is>
      </c>
      <c r="B6" s="23">
        <v>46306.5</v>
      </c>
      <c r="C6" s="18" t="inlineStr">
        <is>
          <t>La Liga</t>
        </is>
      </c>
      <c r="D6" s="18" t="inlineStr">
        <is>
          <t>Elche CF vs Celta Vigo</t>
        </is>
      </c>
      <c r="E6" s="18" t="inlineStr">
        <is>
          <t>Over 1.5</t>
        </is>
      </c>
      <c r="F6" s="18" t="inlineStr">
        <is>
          <t>STRICT</t>
        </is>
      </c>
      <c r="G6" s="18" t="inlineStr">
        <is>
          <t>72h-ucl-v3</t>
        </is>
      </c>
      <c r="H6" s="20">
        <v>0.8013506483291103</v>
      </c>
      <c r="I6" s="22">
        <v>1.35</v>
      </c>
      <c r="J6" s="18"/>
      <c r="K6" s="18" t="inlineStr">
        <is>
          <t>UNVERIFIED_FIXTURE_OR_RESULT</t>
        </is>
      </c>
      <c r="L6" s="18"/>
      <c r="M6" s="22" t="str">
        <f>IF(AND(ISNUMBER(L6),ISNUMBER(I6),I6&gt;1),'ROI Plan'!$B$5,"")</f>
        <v/>
      </c>
      <c r="N6" s="22" t="str">
        <f>IF(ISNUMBER(M6),M6*(I6*L6-1-U6),"")</f>
        <v/>
      </c>
      <c r="O6" s="21">
        <f>IF(AND(ISNUMBER(L6),ISNUMBER(H6)),(H6-L6)^2,"")</f>
      </c>
      <c r="P6" s="18" t="inlineStr">
        <is>
          <t>2026-W41</t>
        </is>
      </c>
      <c r="Q6" s="18" t="inlineStr">
        <is>
          <t>a2cdead106b513fd623cffd1e43a491685d68cc3</t>
        </is>
      </c>
      <c r="R6" s="18"/>
      <c r="S6" s="20">
        <f>IF(AND(ISNUMBER(L6),ISNUMBER(H6)),H6,"")</f>
      </c>
      <c r="T6" s="19">
        <f>IF(AND(ISNUMBER(L6),ISNUMBER(H6)),1,0)</f>
        <v>0</v>
      </c>
      <c r="U6" s="22">
        <v>0.0</v>
      </c>
    </row>
    <row r="7" ht="36" customHeight="1">
      <c r="A7" s="18" t="inlineStr">
        <is>
          <t>Premier League|crystal palace|nott m forest|2026-10-11</t>
        </is>
      </c>
      <c r="B7" s="23">
        <v>46306.541666666664</v>
      </c>
      <c r="C7" s="18" t="inlineStr">
        <is>
          <t>Premier League</t>
        </is>
      </c>
      <c r="D7" s="18" t="inlineStr">
        <is>
          <t>Crystal Palace vs Nottingham Forest</t>
        </is>
      </c>
      <c r="E7" s="18" t="inlineStr">
        <is>
          <t>Under 3.5</t>
        </is>
      </c>
      <c r="F7" s="18" t="inlineStr">
        <is>
          <t>PROVISIONAL</t>
        </is>
      </c>
      <c r="G7" s="18" t="inlineStr">
        <is>
          <t>72h-ucl-v3</t>
        </is>
      </c>
      <c r="H7" s="20">
        <v>0.755121820396422</v>
      </c>
      <c r="I7" s="22">
        <v>1.39</v>
      </c>
      <c r="J7" s="18" t="inlineStr">
        <is>
          <t>3-1</t>
        </is>
      </c>
      <c r="K7" s="18" t="inlineStr">
        <is>
          <t>LOST</t>
        </is>
      </c>
      <c r="L7" s="19">
        <v>0</v>
      </c>
      <c r="M7" s="22">
        <f>IF(AND(ISNUMBER(L7),ISNUMBER(I7),I7&gt;1),'ROI Plan'!$B$5,"")</f>
        <v>1</v>
      </c>
      <c r="N7" s="22">
        <f>IF(ISNUMBER(M7),M7*(I7*L7-1-U7),"")</f>
        <v>-1.0</v>
      </c>
      <c r="O7" s="21">
        <f>IF(AND(ISNUMBER(L7),ISNUMBER(H7)),(H7-L7)^2,"")</f>
        <v>0.5702089636388061</v>
      </c>
      <c r="P7" s="18" t="inlineStr">
        <is>
          <t>2026-W41</t>
        </is>
      </c>
      <c r="Q7" s="18" t="inlineStr">
        <is>
          <t>a2cdead106b513fd623cffd1e43a491685d68cc3</t>
        </is>
      </c>
      <c r="R7" s="18" t="inlineStr">
        <is>
          <t>football-data.org/v4</t>
        </is>
      </c>
      <c r="S7" s="20">
        <f>IF(AND(ISNUMBER(L7),ISNUMBER(H7)),H7,"")</f>
        <v>0.755121820396422</v>
      </c>
      <c r="T7" s="19">
        <f>IF(AND(ISNUMBER(L7),ISNUMBER(H7)),1,0)</f>
        <v>1</v>
      </c>
      <c r="U7" s="22">
        <v>0.0</v>
      </c>
    </row>
    <row r="8" ht="36" customHeight="1">
      <c r="A8" s="18" t="inlineStr">
        <is>
          <t>Premier League|hull city|everton|2026-10-11</t>
        </is>
      </c>
      <c r="B8" s="23">
        <v>46306.541666666664</v>
      </c>
      <c r="C8" s="18" t="inlineStr">
        <is>
          <t>Premier League</t>
        </is>
      </c>
      <c r="D8" s="18" t="inlineStr">
        <is>
          <t>Hull City vs Everton</t>
        </is>
      </c>
      <c r="E8" s="18" t="inlineStr">
        <is>
          <t>Under 3.5</t>
        </is>
      </c>
      <c r="F8" s="18" t="inlineStr">
        <is>
          <t>PROVISIONAL</t>
        </is>
      </c>
      <c r="G8" s="18" t="inlineStr">
        <is>
          <t>legacy/unspecified</t>
        </is>
      </c>
      <c r="H8" s="20">
        <v>0.8334995781310042</v>
      </c>
      <c r="I8" s="22">
        <v>1.32</v>
      </c>
      <c r="J8" s="18" t="inlineStr">
        <is>
          <t>2-2</t>
        </is>
      </c>
      <c r="K8" s="18" t="inlineStr">
        <is>
          <t>LOST</t>
        </is>
      </c>
      <c r="L8" s="19">
        <v>0</v>
      </c>
      <c r="M8" s="22">
        <f>IF(AND(ISNUMBER(L8),ISNUMBER(I8),I8&gt;1),'ROI Plan'!$B$5,"")</f>
        <v>1</v>
      </c>
      <c r="N8" s="22">
        <f>IF(ISNUMBER(M8),M8*(I8*L8-1-U8),"")</f>
        <v>-1.0</v>
      </c>
      <c r="O8" s="21">
        <f>IF(AND(ISNUMBER(L8),ISNUMBER(H8)),(H8-L8)^2,"")</f>
        <v>0.6947215467445619</v>
      </c>
      <c r="P8" s="18" t="inlineStr">
        <is>
          <t>2026-W41</t>
        </is>
      </c>
      <c r="Q8" s="18" t="inlineStr">
        <is>
          <t>bdc690a8c70643c93f1595d53c067b7d91325270</t>
        </is>
      </c>
      <c r="R8" s="18" t="inlineStr">
        <is>
          <t>football-data.org/v4</t>
        </is>
      </c>
      <c r="S8" s="20">
        <f>IF(AND(ISNUMBER(L8),ISNUMBER(H8)),H8,"")</f>
        <v>0.8334995781310042</v>
      </c>
      <c r="T8" s="19">
        <f>IF(AND(ISNUMBER(L8),ISNUMBER(H8)),1,0)</f>
        <v>1</v>
      </c>
      <c r="U8" s="22">
        <v>0.0</v>
      </c>
    </row>
    <row r="9" ht="36" customHeight="1">
      <c r="A9" s="18" t="inlineStr">
        <is>
          <t>Serie A|lecce|bologna|2026-10-11</t>
        </is>
      </c>
      <c r="B9" s="23">
        <v>46306.541666666664</v>
      </c>
      <c r="C9" s="18" t="inlineStr">
        <is>
          <t>Serie A</t>
        </is>
      </c>
      <c r="D9" s="18" t="inlineStr">
        <is>
          <t>Lecce vs Bologna</t>
        </is>
      </c>
      <c r="E9" s="18" t="inlineStr">
        <is>
          <t>Under 3.5</t>
        </is>
      </c>
      <c r="F9" s="18" t="inlineStr">
        <is>
          <t>PROVISIONAL</t>
        </is>
      </c>
      <c r="G9" s="18" t="inlineStr">
        <is>
          <t>legacy/unspecified</t>
        </is>
      </c>
      <c r="H9" s="20">
        <v>0.7964247650798294</v>
      </c>
      <c r="I9" s="22">
        <v>1.28</v>
      </c>
      <c r="J9" s="18" t="inlineStr">
        <is>
          <t>1-2</t>
        </is>
      </c>
      <c r="K9" s="18" t="inlineStr">
        <is>
          <t>WON</t>
        </is>
      </c>
      <c r="L9" s="19">
        <v>1</v>
      </c>
      <c r="M9" s="22">
        <f>IF(AND(ISNUMBER(L9),ISNUMBER(I9),I9&gt;1),'ROI Plan'!$B$5,"")</f>
        <v>1</v>
      </c>
      <c r="N9" s="22">
        <f>IF(ISNUMBER(M9),M9*(I9*L9-1-U9),"")</f>
        <v>0.28</v>
      </c>
      <c r="O9" s="21">
        <f>IF(AND(ISNUMBER(L9),ISNUMBER(H9)),(H9-L9)^2,"")</f>
        <v>0.041442876272802645</v>
      </c>
      <c r="P9" s="18" t="inlineStr">
        <is>
          <t>2026-W41</t>
        </is>
      </c>
      <c r="Q9" s="18" t="inlineStr">
        <is>
          <t>bdc690a8c70643c93f1595d53c067b7d91325270</t>
        </is>
      </c>
      <c r="R9" s="18" t="inlineStr">
        <is>
          <t>football-data.org/v4</t>
        </is>
      </c>
      <c r="S9" s="20">
        <f>IF(AND(ISNUMBER(L9),ISNUMBER(H9)),H9,"")</f>
        <v>0.7964247650798294</v>
      </c>
      <c r="T9" s="19">
        <f>IF(AND(ISNUMBER(L9),ISNUMBER(H9)),1,0)</f>
        <v>1</v>
      </c>
      <c r="U9" s="22">
        <v>0.0</v>
      </c>
    </row>
    <row r="10" ht="36" customHeight="1">
      <c r="A10" s="18" t="inlineStr">
        <is>
          <t>La Liga|real racing santander|valencia|2026-10-11</t>
        </is>
      </c>
      <c r="B10" s="23">
        <v>46306.791666666664</v>
      </c>
      <c r="C10" s="18" t="inlineStr">
        <is>
          <t>La Liga</t>
        </is>
      </c>
      <c r="D10" s="18" t="inlineStr">
        <is>
          <t>Real Racing Club de Santander vs Valencia</t>
        </is>
      </c>
      <c r="E10" s="18" t="inlineStr">
        <is>
          <t>Over 1.5</t>
        </is>
      </c>
      <c r="F10" s="18" t="inlineStr">
        <is>
          <t>PROVISIONAL</t>
        </is>
      </c>
      <c r="G10" s="18" t="inlineStr">
        <is>
          <t>legacy/unspecified</t>
        </is>
      </c>
      <c r="H10" s="20">
        <v>0.8995481130412133</v>
      </c>
      <c r="I10" s="22">
        <v>1.24</v>
      </c>
      <c r="J10" s="18" t="inlineStr">
        <is>
          <t>2-2</t>
        </is>
      </c>
      <c r="K10" s="18" t="inlineStr">
        <is>
          <t>WON</t>
        </is>
      </c>
      <c r="L10" s="19">
        <v>1</v>
      </c>
      <c r="M10" s="22">
        <f>IF(AND(ISNUMBER(L10),ISNUMBER(I10),I10&gt;1),'ROI Plan'!$B$5,"")</f>
        <v>1</v>
      </c>
      <c r="N10" s="22">
        <f>IF(ISNUMBER(M10),M10*(I10*L10-1-U10),"")</f>
        <v>0.24</v>
      </c>
      <c r="O10" s="21">
        <f>IF(AND(ISNUMBER(L10),ISNUMBER(H10)),(H10-L10)^2,"")</f>
        <v>0.010090581593580863</v>
      </c>
      <c r="P10" s="18" t="inlineStr">
        <is>
          <t>2026-W41</t>
        </is>
      </c>
      <c r="Q10" s="18" t="inlineStr">
        <is>
          <t>bdc690a8c70643c93f1595d53c067b7d91325270</t>
        </is>
      </c>
      <c r="R10" s="18" t="inlineStr">
        <is>
          <t>football-data.org/v4</t>
        </is>
      </c>
      <c r="S10" s="20">
        <f>IF(AND(ISNUMBER(L10),ISNUMBER(H10)),H10,"")</f>
        <v>0.8995481130412133</v>
      </c>
      <c r="T10" s="19">
        <f>IF(AND(ISNUMBER(L10),ISNUMBER(H10)),1,0)</f>
        <v>1</v>
      </c>
      <c r="U10" s="22">
        <v>0.0</v>
      </c>
    </row>
    <row r="11" ht="36" customHeight="1">
      <c r="A11" s="18" t="inlineStr">
        <is>
          <t>Serie A|atalanta bc|venezia|2026-10-12</t>
        </is>
      </c>
      <c r="B11" s="23">
        <v>46307.6875</v>
      </c>
      <c r="C11" s="18" t="inlineStr">
        <is>
          <t>Serie A</t>
        </is>
      </c>
      <c r="D11" s="18" t="inlineStr">
        <is>
          <t>Atalanta BC vs Venezia</t>
        </is>
      </c>
      <c r="E11" s="18" t="inlineStr">
        <is>
          <t>Home win</t>
        </is>
      </c>
      <c r="F11" s="18" t="inlineStr">
        <is>
          <t>STRICT</t>
        </is>
      </c>
      <c r="G11" s="18" t="inlineStr">
        <is>
          <t>legacy/unspecified</t>
        </is>
      </c>
      <c r="H11" s="20">
        <v>0.6822834074295536</v>
      </c>
      <c r="I11" s="22">
        <v>1.63</v>
      </c>
      <c r="J11" s="18" t="inlineStr">
        <is>
          <t>3-1</t>
        </is>
      </c>
      <c r="K11" s="18" t="inlineStr">
        <is>
          <t>WON</t>
        </is>
      </c>
      <c r="L11" s="19">
        <v>1</v>
      </c>
      <c r="M11" s="22">
        <f>IF(AND(ISNUMBER(L11),ISNUMBER(I11),I11&gt;1),'ROI Plan'!$B$5,"")</f>
        <v>1</v>
      </c>
      <c r="N11" s="22">
        <f>IF(ISNUMBER(M11),M11*(I11*L11-1-U11),"")</f>
        <v>0.6299999999999999</v>
      </c>
      <c r="O11" s="21">
        <f>IF(AND(ISNUMBER(L11),ISNUMBER(H11)),(H11-L11)^2,"")</f>
        <v>0.10094383319457502</v>
      </c>
      <c r="P11" s="18" t="inlineStr">
        <is>
          <t>2026-W42</t>
        </is>
      </c>
      <c r="Q11" s="18" t="inlineStr">
        <is>
          <t>bdc690a8c70643c93f1595d53c067b7d91325270</t>
        </is>
      </c>
      <c r="R11" s="18" t="inlineStr">
        <is>
          <t>football-data.org/v4</t>
        </is>
      </c>
      <c r="S11" s="20">
        <f>IF(AND(ISNUMBER(L11),ISNUMBER(H11)),H11,"")</f>
        <v>0.6822834074295536</v>
      </c>
      <c r="T11" s="19">
        <f>IF(AND(ISNUMBER(L11),ISNUMBER(H11)),1,0)</f>
        <v>1</v>
      </c>
      <c r="U11" s="22">
        <v>0.0</v>
      </c>
    </row>
    <row r="12" ht="36" customHeight="1">
      <c r="A12" s="18" t="inlineStr">
        <is>
          <t>La Liga|levante|sevilla|2026-10-12</t>
        </is>
      </c>
      <c r="B12" s="23">
        <v>46307.791666666664</v>
      </c>
      <c r="C12" s="18" t="inlineStr">
        <is>
          <t>La Liga</t>
        </is>
      </c>
      <c r="D12" s="18" t="inlineStr">
        <is>
          <t>Levante vs Sevilla</t>
        </is>
      </c>
      <c r="E12" s="18" t="inlineStr">
        <is>
          <t>Over 1.5</t>
        </is>
      </c>
      <c r="F12" s="18" t="inlineStr">
        <is>
          <t>STRICT</t>
        </is>
      </c>
      <c r="G12" s="18" t="inlineStr">
        <is>
          <t>72h-ucl-v3</t>
        </is>
      </c>
      <c r="H12" s="20">
        <v>0.7819939798559531</v>
      </c>
      <c r="I12" s="22">
        <v>1.34</v>
      </c>
      <c r="J12" s="18" t="inlineStr">
        <is>
          <t>3-3</t>
        </is>
      </c>
      <c r="K12" s="18" t="inlineStr">
        <is>
          <t>WON</t>
        </is>
      </c>
      <c r="L12" s="19">
        <v>1</v>
      </c>
      <c r="M12" s="22">
        <f>IF(AND(ISNUMBER(L12),ISNUMBER(I12),I12&gt;1),'ROI Plan'!$B$5,"")</f>
        <v>1</v>
      </c>
      <c r="N12" s="22">
        <f>IF(ISNUMBER(M12),M12*(I12*L12-1-U12),"")</f>
        <v>0.3400000000000001</v>
      </c>
      <c r="O12" s="21">
        <f>IF(AND(ISNUMBER(L12),ISNUMBER(H12)),(H12-L12)^2,"")</f>
        <v>0.047526624819046584</v>
      </c>
      <c r="P12" s="18" t="inlineStr">
        <is>
          <t>2026-W42</t>
        </is>
      </c>
      <c r="Q12" s="18" t="inlineStr">
        <is>
          <t>a2cdead106b513fd623cffd1e43a491685d68cc3</t>
        </is>
      </c>
      <c r="R12" s="18" t="inlineStr">
        <is>
          <t>football-data.org/v4</t>
        </is>
      </c>
      <c r="S12" s="20">
        <f>IF(AND(ISNUMBER(L12),ISNUMBER(H12)),H12,"")</f>
        <v>0.7819939798559531</v>
      </c>
      <c r="T12" s="19">
        <f>IF(AND(ISNUMBER(L12),ISNUMBER(H12)),1,0)</f>
        <v>1</v>
      </c>
      <c r="U12" s="22">
        <v>0.0</v>
      </c>
    </row>
    <row r="13" ht="36" customHeight="1">
      <c r="A13" s="18" t="inlineStr">
        <is>
          <t>Premier League|coventry city|newcastle|2026-10-12</t>
        </is>
      </c>
      <c r="B13" s="23">
        <v>46307.791666666664</v>
      </c>
      <c r="C13" s="18" t="inlineStr">
        <is>
          <t>Premier League</t>
        </is>
      </c>
      <c r="D13" s="18" t="inlineStr">
        <is>
          <t>Coventry City vs Newcastle United</t>
        </is>
      </c>
      <c r="E13" s="18" t="inlineStr">
        <is>
          <t>Under 3.5</t>
        </is>
      </c>
      <c r="F13" s="18" t="inlineStr">
        <is>
          <t>PROVISIONAL</t>
        </is>
      </c>
      <c r="G13" s="18" t="inlineStr">
        <is>
          <t>legacy/unspecified</t>
        </is>
      </c>
      <c r="H13" s="20">
        <v>0.8367553324728108</v>
      </c>
      <c r="I13" s="22">
        <v>1.5</v>
      </c>
      <c r="J13" s="18" t="inlineStr">
        <is>
          <t>4-1</t>
        </is>
      </c>
      <c r="K13" s="18" t="inlineStr">
        <is>
          <t>LOST</t>
        </is>
      </c>
      <c r="L13" s="19">
        <v>0</v>
      </c>
      <c r="M13" s="22">
        <f>IF(AND(ISNUMBER(L13),ISNUMBER(I13),I13&gt;1),'ROI Plan'!$B$5,"")</f>
        <v>1</v>
      </c>
      <c r="N13" s="22">
        <f>IF(ISNUMBER(M13),M13*(I13*L13-1-U13),"")</f>
        <v>-1.0</v>
      </c>
      <c r="O13" s="21">
        <f>IF(AND(ISNUMBER(L13),ISNUMBER(H13)),(H13-L13)^2,"")</f>
        <v>0.700159486421684</v>
      </c>
      <c r="P13" s="18" t="inlineStr">
        <is>
          <t>2026-W42</t>
        </is>
      </c>
      <c r="Q13" s="18" t="inlineStr">
        <is>
          <t>bdc690a8c70643c93f1595d53c067b7d91325270</t>
        </is>
      </c>
      <c r="R13" s="18" t="inlineStr">
        <is>
          <t>football-data.org/v4</t>
        </is>
      </c>
      <c r="S13" s="20">
        <f>IF(AND(ISNUMBER(L13),ISNUMBER(H13)),H13,"")</f>
        <v>0.8367553324728108</v>
      </c>
      <c r="T13" s="19">
        <f>IF(AND(ISNUMBER(L13),ISNUMBER(H13)),1,0)</f>
        <v>1</v>
      </c>
      <c r="U13" s="22">
        <v>0.0</v>
      </c>
    </row>
    <row r="14" ht="36" customHeight="1">
      <c r="A14" s="18" t="inlineStr">
        <is>
          <t>UEFA Champions League|ath madrid|man united|2026-10-13</t>
        </is>
      </c>
      <c r="B14" s="23">
        <v>46308.791666666664</v>
      </c>
      <c r="C14" s="18" t="inlineStr">
        <is>
          <t>UEFA Champions League</t>
        </is>
      </c>
      <c r="D14" s="18" t="inlineStr">
        <is>
          <t>Atlético Madrid vs Manchester United</t>
        </is>
      </c>
      <c r="E14" s="18" t="inlineStr">
        <is>
          <t>Over 1.5</t>
        </is>
      </c>
      <c r="F14" s="18" t="inlineStr">
        <is>
          <t>STRICT</t>
        </is>
      </c>
      <c r="G14" s="18" t="inlineStr">
        <is>
          <t>72h-ucl-v3</t>
        </is>
      </c>
      <c r="H14" s="20">
        <v>0.9446461535133436</v>
      </c>
      <c r="I14" s="22">
        <v>1.15</v>
      </c>
      <c r="J14" s="18" t="inlineStr">
        <is>
          <t>2-0</t>
        </is>
      </c>
      <c r="K14" s="18" t="inlineStr">
        <is>
          <t>WON</t>
        </is>
      </c>
      <c r="L14" s="19">
        <v>1</v>
      </c>
      <c r="M14" s="22">
        <f>IF(AND(ISNUMBER(L14),ISNUMBER(I14),I14&gt;1),'ROI Plan'!$B$5,"")</f>
        <v>1</v>
      </c>
      <c r="N14" s="22">
        <f>IF(ISNUMBER(M14),M14*(I14*L14-1-U14),"")</f>
        <v>0.1499999999999999</v>
      </c>
      <c r="O14" s="21">
        <f>IF(AND(ISNUMBER(L14),ISNUMBER(H14)),(H14-L14)^2,"")</f>
        <v>0.0030640483208683256</v>
      </c>
      <c r="P14" s="18" t="inlineStr">
        <is>
          <t>2026-W42</t>
        </is>
      </c>
      <c r="Q14" s="18" t="inlineStr">
        <is>
          <t>a2cdead106b513fd623cffd1e43a491685d68cc3</t>
        </is>
      </c>
      <c r="R14" s="18" t="inlineStr">
        <is>
          <t>football-data.org/v4</t>
        </is>
      </c>
      <c r="S14" s="20">
        <f>IF(AND(ISNUMBER(L14),ISNUMBER(H14)),H14,"")</f>
        <v>0.9446461535133436</v>
      </c>
      <c r="T14" s="19">
        <f>IF(AND(ISNUMBER(L14),ISNUMBER(H14)),1,0)</f>
        <v>1</v>
      </c>
      <c r="U14" s="22">
        <v>0.0</v>
      </c>
    </row>
    <row r="15" ht="36" customHeight="1">
      <c r="A15" s="18" t="inlineStr">
        <is>
          <t>UEFA Champions League|galatasaray|barcelona|2026-10-13</t>
        </is>
      </c>
      <c r="B15" s="23">
        <v>46308.791666666664</v>
      </c>
      <c r="C15" s="18" t="inlineStr">
        <is>
          <t>UEFA Champions League</t>
        </is>
      </c>
      <c r="D15" s="18" t="inlineStr">
        <is>
          <t>Galatasaray vs Barcelona</t>
        </is>
      </c>
      <c r="E15" s="18" t="inlineStr">
        <is>
          <t>Both Teams to Score - Yes</t>
        </is>
      </c>
      <c r="F15" s="18" t="inlineStr">
        <is>
          <t>STRICT</t>
        </is>
      </c>
      <c r="G15" s="18" t="inlineStr">
        <is>
          <t>72h-ucl-v3</t>
        </is>
      </c>
      <c r="H15" s="20">
        <v>0.7056728757654207</v>
      </c>
      <c r="I15" s="22">
        <v>1.49</v>
      </c>
      <c r="J15" s="18" t="inlineStr">
        <is>
          <t>1-4</t>
        </is>
      </c>
      <c r="K15" s="18" t="inlineStr">
        <is>
          <t>WON</t>
        </is>
      </c>
      <c r="L15" s="19">
        <v>1</v>
      </c>
      <c r="M15" s="22">
        <f>IF(AND(ISNUMBER(L15),ISNUMBER(I15),I15&gt;1),'ROI Plan'!$B$5,"")</f>
        <v>1</v>
      </c>
      <c r="N15" s="22">
        <f>IF(ISNUMBER(M15),M15*(I15*L15-1-U15),"")</f>
        <v>0.49</v>
      </c>
      <c r="O15" s="21">
        <f>IF(AND(ISNUMBER(L15),ISNUMBER(H15)),(H15-L15)^2,"")</f>
        <v>0.08662845606019748</v>
      </c>
      <c r="P15" s="18" t="inlineStr">
        <is>
          <t>2026-W42</t>
        </is>
      </c>
      <c r="Q15" s="18" t="inlineStr">
        <is>
          <t>a2cdead106b513fd623cffd1e43a491685d68cc3</t>
        </is>
      </c>
      <c r="R15" s="18" t="inlineStr">
        <is>
          <t>football-data.org/v4</t>
        </is>
      </c>
      <c r="S15" s="20">
        <f>IF(AND(ISNUMBER(L15),ISNUMBER(H15)),H15,"")</f>
        <v>0.7056728757654207</v>
      </c>
      <c r="T15" s="19">
        <f>IF(AND(ISNUMBER(L15),ISNUMBER(H15)),1,0)</f>
        <v>1</v>
      </c>
      <c r="U15" s="22">
        <v>0.0</v>
      </c>
    </row>
    <row r="16" ht="36" customHeight="1">
      <c r="A16" s="18" t="inlineStr">
        <is>
          <t>UEFA Champions League|feyenoord|como|2026-10-14</t>
        </is>
      </c>
      <c r="B16" s="23">
        <v>46309.697916666664</v>
      </c>
      <c r="C16" s="18" t="inlineStr">
        <is>
          <t>UEFA Champions League</t>
        </is>
      </c>
      <c r="D16" s="18" t="inlineStr">
        <is>
          <t>Feyenoord vs Como</t>
        </is>
      </c>
      <c r="E16" s="18" t="inlineStr">
        <is>
          <t>Over 1.5</t>
        </is>
      </c>
      <c r="F16" s="18" t="inlineStr">
        <is>
          <t>STRICT</t>
        </is>
      </c>
      <c r="G16" s="18" t="inlineStr">
        <is>
          <t>72h-ucl-v3</t>
        </is>
      </c>
      <c r="H16" s="20">
        <v>0.9558088803119968</v>
      </c>
      <c r="I16" s="22">
        <v>1.14</v>
      </c>
      <c r="J16" s="18"/>
      <c r="K16" s="18" t="inlineStr">
        <is>
          <t>UNVERIFIED_FIXTURE_OR_RESULT</t>
        </is>
      </c>
      <c r="L16" s="18"/>
      <c r="M16" s="22" t="str">
        <f>IF(AND(ISNUMBER(L16),ISNUMBER(I16),I16&gt;1),'ROI Plan'!$B$5,"")</f>
        <v/>
      </c>
      <c r="N16" s="22" t="str">
        <f>IF(ISNUMBER(M16),M16*(I16*L16-1-U16),"")</f>
        <v/>
      </c>
      <c r="O16" s="21">
        <f>IF(AND(ISNUMBER(L16),ISNUMBER(H16)),(H16-L16)^2,"")</f>
      </c>
      <c r="P16" s="18" t="inlineStr">
        <is>
          <t>2026-W42</t>
        </is>
      </c>
      <c r="Q16" s="18" t="inlineStr">
        <is>
          <t>4f7af2f470a0b5cdb7b8ae974c859f87b0236fc4</t>
        </is>
      </c>
      <c r="R16" s="18"/>
      <c r="S16" s="20">
        <f>IF(AND(ISNUMBER(L16),ISNUMBER(H16)),H16,"")</f>
      </c>
      <c r="T16" s="19">
        <f>IF(AND(ISNUMBER(L16),ISNUMBER(H16)),1,0)</f>
        <v>0</v>
      </c>
      <c r="U16" s="22">
        <v>0.0</v>
      </c>
    </row>
    <row r="17" ht="36" customHeight="1">
      <c r="A17" s="18" t="inlineStr">
        <is>
          <t>UEFA Champions League|aston villa|fenerbahce|2026-10-14</t>
        </is>
      </c>
      <c r="B17" s="23">
        <v>46309.791666666664</v>
      </c>
      <c r="C17" s="18" t="inlineStr">
        <is>
          <t>UEFA Champions League</t>
        </is>
      </c>
      <c r="D17" s="18" t="inlineStr">
        <is>
          <t>Aston Villa vs Fenerbahce</t>
        </is>
      </c>
      <c r="E17" s="18" t="inlineStr">
        <is>
          <t>Home win</t>
        </is>
      </c>
      <c r="F17" s="18" t="inlineStr">
        <is>
          <t>STRICT</t>
        </is>
      </c>
      <c r="G17" s="18" t="inlineStr">
        <is>
          <t>72h-ucl-v3</t>
        </is>
      </c>
      <c r="H17" s="20">
        <v>0.6635401387888005</v>
      </c>
      <c r="I17" s="22">
        <v>1.74</v>
      </c>
      <c r="J17" s="18" t="inlineStr">
        <is>
          <t>6-0</t>
        </is>
      </c>
      <c r="K17" s="18" t="inlineStr">
        <is>
          <t>WON</t>
        </is>
      </c>
      <c r="L17" s="19">
        <v>1</v>
      </c>
      <c r="M17" s="22">
        <f>IF(AND(ISNUMBER(L17),ISNUMBER(I17),I17&gt;1),'ROI Plan'!$B$5,"")</f>
        <v>1</v>
      </c>
      <c r="N17" s="22">
        <f>IF(ISNUMBER(M17),M17*(I17*L17-1-U17),"")</f>
        <v>0.74</v>
      </c>
      <c r="O17" s="21">
        <f>IF(AND(ISNUMBER(L17),ISNUMBER(H17)),(H17-L17)^2,"")</f>
        <v>0.11320523820625965</v>
      </c>
      <c r="P17" s="18" t="inlineStr">
        <is>
          <t>2026-W42</t>
        </is>
      </c>
      <c r="Q17" s="18" t="inlineStr">
        <is>
          <t>4f7af2f470a0b5cdb7b8ae974c859f87b0236fc4</t>
        </is>
      </c>
      <c r="R17" s="18" t="inlineStr">
        <is>
          <t>football-data.org/v4</t>
        </is>
      </c>
      <c r="S17" s="20">
        <f>IF(AND(ISNUMBER(L17),ISNUMBER(H17)),H17,"")</f>
        <v>0.6635401387888005</v>
      </c>
      <c r="T17" s="19">
        <f>IF(AND(ISNUMBER(L17),ISNUMBER(H17)),1,0)</f>
        <v>1</v>
      </c>
      <c r="U17" s="22">
        <v>0.0</v>
      </c>
    </row>
    <row r="18" ht="36" customHeight="1">
      <c r="A18" s="18" t="inlineStr">
        <is>
          <t>UEFA Champions League|real betis|porto|2026-10-14</t>
        </is>
      </c>
      <c r="B18" s="23">
        <v>46309.791666666664</v>
      </c>
      <c r="C18" s="18" t="inlineStr">
        <is>
          <t>UEFA Champions League</t>
        </is>
      </c>
      <c r="D18" s="18" t="inlineStr">
        <is>
          <t>Real Betis vs Porto</t>
        </is>
      </c>
      <c r="E18" s="18" t="inlineStr">
        <is>
          <t>Over 1.5</t>
        </is>
      </c>
      <c r="F18" s="18" t="inlineStr">
        <is>
          <t>STRICT</t>
        </is>
      </c>
      <c r="G18" s="18" t="inlineStr">
        <is>
          <t>72h-ucl-v3</t>
        </is>
      </c>
      <c r="H18" s="20">
        <v>0.9147945927169935</v>
      </c>
      <c r="I18" s="22">
        <v>1.24</v>
      </c>
      <c r="J18" s="18" t="inlineStr">
        <is>
          <t>3-2</t>
        </is>
      </c>
      <c r="K18" s="18" t="inlineStr">
        <is>
          <t>WON</t>
        </is>
      </c>
      <c r="L18" s="19">
        <v>1</v>
      </c>
      <c r="M18" s="22">
        <f>IF(AND(ISNUMBER(L18),ISNUMBER(I18),I18&gt;1),'ROI Plan'!$B$5,"")</f>
        <v>1</v>
      </c>
      <c r="N18" s="22">
        <f>IF(ISNUMBER(M18),M18*(I18*L18-1-U18),"")</f>
        <v>0.24</v>
      </c>
      <c r="O18" s="21">
        <f>IF(AND(ISNUMBER(L18),ISNUMBER(H18)),(H18-L18)^2,"")</f>
        <v>0.00725996143026302</v>
      </c>
      <c r="P18" s="18" t="inlineStr">
        <is>
          <t>2026-W42</t>
        </is>
      </c>
      <c r="Q18" s="18" t="inlineStr">
        <is>
          <t>4f7af2f470a0b5cdb7b8ae974c859f87b0236fc4</t>
        </is>
      </c>
      <c r="R18" s="18" t="inlineStr">
        <is>
          <t>football-data.org/v4</t>
        </is>
      </c>
      <c r="S18" s="20">
        <f>IF(AND(ISNUMBER(L18),ISNUMBER(H18)),H18,"")</f>
        <v>0.9147945927169935</v>
      </c>
      <c r="T18" s="19">
        <f>IF(AND(ISNUMBER(L18),ISNUMBER(H18)),1,0)</f>
        <v>1</v>
      </c>
      <c r="U18" s="22">
        <v>0.0</v>
      </c>
    </row>
    <row r="19" ht="36" customHeight="1">
      <c r="A19" s="18" t="inlineStr">
        <is>
          <t>La Liga|deportivo la coruna|levante|2026-10-16</t>
        </is>
      </c>
      <c r="B19" s="23">
        <v>46311.791666666664</v>
      </c>
      <c r="C19" s="18" t="inlineStr">
        <is>
          <t>La Liga</t>
        </is>
      </c>
      <c r="D19" s="18" t="inlineStr">
        <is>
          <t>Deportivo La Coruña vs Levante</t>
        </is>
      </c>
      <c r="E19" s="18" t="inlineStr">
        <is>
          <t>Over 1.5</t>
        </is>
      </c>
      <c r="F19" s="18" t="inlineStr">
        <is>
          <t>STRICT</t>
        </is>
      </c>
      <c r="G19" s="18" t="inlineStr">
        <is>
          <t>72h-all-markets-net-ev15-execution-v7</t>
        </is>
      </c>
      <c r="H19" s="20">
        <v>0.8490677731739953</v>
      </c>
      <c r="I19" s="22">
        <v>1.27</v>
      </c>
      <c r="J19" s="18"/>
      <c r="K19" s="18" t="inlineStr">
        <is>
          <t>PENDING_KICKOFF_OR_FINAL_SCORE</t>
        </is>
      </c>
      <c r="L19" s="18"/>
      <c r="M19" s="22" t="str">
        <f>IF(AND(ISNUMBER(L19),ISNUMBER(I19),I19&gt;1),'ROI Plan'!$B$5,"")</f>
        <v/>
      </c>
      <c r="N19" s="22" t="str">
        <f>IF(ISNUMBER(M19),M19*(I19*L19-1-U19),"")</f>
        <v/>
      </c>
      <c r="O19" s="21">
        <f>IF(AND(ISNUMBER(L19),ISNUMBER(H19)),(H19-L19)^2,"")</f>
      </c>
      <c r="P19" s="18" t="inlineStr">
        <is>
          <t>2026-W42</t>
        </is>
      </c>
      <c r="Q19" s="18" t="inlineStr">
        <is>
          <t>d3f12df5a2a20809c3ac84f9a31766ba965813e3</t>
        </is>
      </c>
      <c r="R19" s="18"/>
      <c r="S19" s="20">
        <f>IF(AND(ISNUMBER(L19),ISNUMBER(H19)),H19,"")</f>
      </c>
      <c r="T19" s="19">
        <f>IF(AND(ISNUMBER(L19),ISNUMBER(H19)),1,0)</f>
        <v>0</v>
      </c>
      <c r="U19" s="22">
        <v>0.0</v>
      </c>
    </row>
    <row r="20" ht="36" customHeight="1">
      <c r="A20" s="18" t="inlineStr">
        <is>
          <t>Serie A|venezia|napoli|2026-10-17</t>
        </is>
      </c>
      <c r="B20" s="23">
        <v>46312.541666666664</v>
      </c>
      <c r="C20" s="18" t="inlineStr">
        <is>
          <t>Serie A</t>
        </is>
      </c>
      <c r="D20" s="18" t="inlineStr">
        <is>
          <t>Venezia vs Napoli</t>
        </is>
      </c>
      <c r="E20" s="18" t="inlineStr">
        <is>
          <t>Away win</t>
        </is>
      </c>
      <c r="F20" s="18" t="inlineStr">
        <is>
          <t>STRICT</t>
        </is>
      </c>
      <c r="G20" s="18" t="inlineStr">
        <is>
          <t>72h-all-markets-net-ev15-execution-v7</t>
        </is>
      </c>
      <c r="H20" s="20">
        <v>0.6603235458643747</v>
      </c>
      <c r="I20" s="22">
        <v>1.71</v>
      </c>
      <c r="J20" s="18"/>
      <c r="K20" s="18" t="inlineStr">
        <is>
          <t>PENDING_KICKOFF_OR_FINAL_SCORE</t>
        </is>
      </c>
      <c r="L20" s="18"/>
      <c r="M20" s="22" t="str">
        <f>IF(AND(ISNUMBER(L20),ISNUMBER(I20),I20&gt;1),'ROI Plan'!$B$5,"")</f>
        <v/>
      </c>
      <c r="N20" s="22" t="str">
        <f>IF(ISNUMBER(M20),M20*(I20*L20-1-U20),"")</f>
        <v/>
      </c>
      <c r="O20" s="21">
        <f>IF(AND(ISNUMBER(L20),ISNUMBER(H20)),(H20-L20)^2,"")</f>
      </c>
      <c r="P20" s="18" t="inlineStr">
        <is>
          <t>2026-W42</t>
        </is>
      </c>
      <c r="Q20" s="18" t="inlineStr">
        <is>
          <t>54bb8a2c2c957dda77ef247b3e042f6a945bda8f</t>
        </is>
      </c>
      <c r="R20" s="18"/>
      <c r="S20" s="20">
        <f>IF(AND(ISNUMBER(L20),ISNUMBER(H20)),H20,"")</f>
      </c>
      <c r="T20" s="19">
        <f>IF(AND(ISNUMBER(L20),ISNUMBER(H20)),1,0)</f>
        <v>0</v>
      </c>
      <c r="U20" s="22">
        <v>0.0</v>
      </c>
    </row>
    <row r="21" ht="36" customHeight="1">
      <c r="A21" s="18" t="inlineStr">
        <is>
          <t>Bundesliga|werder bremen|paderborn|2026-10-17</t>
        </is>
      </c>
      <c r="B21" s="23">
        <v>46312.5625</v>
      </c>
      <c r="C21" s="18" t="inlineStr">
        <is>
          <t>Bundesliga</t>
        </is>
      </c>
      <c r="D21" s="18" t="inlineStr">
        <is>
          <t>Werder Bremen vs SC Paderborn</t>
        </is>
      </c>
      <c r="E21" s="18" t="inlineStr">
        <is>
          <t>Double Chance 1X</t>
        </is>
      </c>
      <c r="F21" s="18" t="inlineStr">
        <is>
          <t>STRICT</t>
        </is>
      </c>
      <c r="G21" s="18" t="inlineStr">
        <is>
          <t>72h-six-markets-dc12-probability-odds-net-ev15-v9</t>
        </is>
      </c>
      <c r="H21" s="20">
        <v>0.8016633804854422</v>
      </c>
      <c r="I21" s="22">
        <v>1.27</v>
      </c>
      <c r="J21" s="18"/>
      <c r="K21" s="18" t="inlineStr">
        <is>
          <t>PENDING_KICKOFF_OR_FINAL_SCORE</t>
        </is>
      </c>
      <c r="L21" s="18"/>
      <c r="M21" s="22" t="str">
        <f>IF(AND(ISNUMBER(L21),ISNUMBER(I21),I21&gt;1),'ROI Plan'!$B$5,"")</f>
        <v/>
      </c>
      <c r="N21" s="22" t="str">
        <f>IF(ISNUMBER(M21),M21*(I21*L21-1-U21),"")</f>
        <v/>
      </c>
      <c r="O21" s="21">
        <f>IF(AND(ISNUMBER(L21),ISNUMBER(H21)),(H21-L21)^2,"")</f>
      </c>
      <c r="P21" s="18" t="inlineStr">
        <is>
          <t>2026-W42</t>
        </is>
      </c>
      <c r="Q21" s="18" t="inlineStr">
        <is>
          <t>b57f98f7704eb71a9d1b11eddf359e66786ea2fe</t>
        </is>
      </c>
      <c r="R21" s="18"/>
      <c r="S21" s="20">
        <f>IF(AND(ISNUMBER(L21),ISNUMBER(H21)),H21,"")</f>
      </c>
      <c r="T21" s="19">
        <f>IF(AND(ISNUMBER(L21),ISNUMBER(H21)),1,0)</f>
        <v>0</v>
      </c>
      <c r="U21" s="22">
        <v>0.0</v>
      </c>
    </row>
    <row r="22" ht="36" customHeight="1">
      <c r="A22" s="18" t="inlineStr">
        <is>
          <t>Premier League|fulham|hull city|2026-10-17</t>
        </is>
      </c>
      <c r="B22" s="23">
        <v>46312.583333333336</v>
      </c>
      <c r="C22" s="18" t="inlineStr">
        <is>
          <t>Premier League</t>
        </is>
      </c>
      <c r="D22" s="18" t="inlineStr">
        <is>
          <t>Fulham vs Hull City</t>
        </is>
      </c>
      <c r="E22" s="18" t="inlineStr">
        <is>
          <t>Under 3.5</t>
        </is>
      </c>
      <c r="F22" s="18" t="inlineStr">
        <is>
          <t>PROVISIONAL</t>
        </is>
      </c>
      <c r="G22" s="18" t="inlineStr">
        <is>
          <t>legacy/unspecified</t>
        </is>
      </c>
      <c r="H22" s="20">
        <v>0.8021994552742411</v>
      </c>
      <c r="I22" s="22">
        <v>1.42</v>
      </c>
      <c r="J22" s="18"/>
      <c r="K22" s="18" t="inlineStr">
        <is>
          <t>PENDING_KICKOFF_OR_FINAL_SCORE</t>
        </is>
      </c>
      <c r="L22" s="18"/>
      <c r="M22" s="22" t="str">
        <f>IF(AND(ISNUMBER(L22),ISNUMBER(I22),I22&gt;1),'ROI Plan'!$B$5,"")</f>
        <v/>
      </c>
      <c r="N22" s="22" t="str">
        <f>IF(ISNUMBER(M22),M22*(I22*L22-1-U22),"")</f>
        <v/>
      </c>
      <c r="O22" s="21">
        <f>IF(AND(ISNUMBER(L22),ISNUMBER(H22)),(H22-L22)^2,"")</f>
      </c>
      <c r="P22" s="18" t="inlineStr">
        <is>
          <t>2026-W42</t>
        </is>
      </c>
      <c r="Q22" s="18" t="inlineStr">
        <is>
          <t>bdc690a8c70643c93f1595d53c067b7d91325270</t>
        </is>
      </c>
      <c r="R22" s="18"/>
      <c r="S22" s="20">
        <f>IF(AND(ISNUMBER(L22),ISNUMBER(H22)),H22,"")</f>
      </c>
      <c r="T22" s="19">
        <f>IF(AND(ISNUMBER(L22),ISNUMBER(H22)),1,0)</f>
        <v>0</v>
      </c>
      <c r="U22" s="22">
        <v>0.0</v>
      </c>
    </row>
    <row r="23" ht="36" customHeight="1">
      <c r="A23" s="18" t="inlineStr">
        <is>
          <t>Premier League|man city|ipswich town|2026-10-17</t>
        </is>
      </c>
      <c r="B23" s="23">
        <v>46312.583333333336</v>
      </c>
      <c r="C23" s="18" t="inlineStr">
        <is>
          <t>Premier League</t>
        </is>
      </c>
      <c r="D23" s="18" t="inlineStr">
        <is>
          <t>Manchester City vs Ipswich Town</t>
        </is>
      </c>
      <c r="E23" s="18" t="inlineStr">
        <is>
          <t>Over 1.5</t>
        </is>
      </c>
      <c r="F23" s="18" t="inlineStr">
        <is>
          <t>PROVISIONAL</t>
        </is>
      </c>
      <c r="G23" s="18" t="inlineStr">
        <is>
          <t>legacy/unspecified</t>
        </is>
      </c>
      <c r="H23" s="20">
        <v>0.9163621198072895</v>
      </c>
      <c r="I23" s="22">
        <v>1.11</v>
      </c>
      <c r="J23" s="18"/>
      <c r="K23" s="18" t="inlineStr">
        <is>
          <t>PENDING_KICKOFF_OR_FINAL_SCORE</t>
        </is>
      </c>
      <c r="L23" s="18"/>
      <c r="M23" s="22" t="str">
        <f>IF(AND(ISNUMBER(L23),ISNUMBER(I23),I23&gt;1),'ROI Plan'!$B$5,"")</f>
        <v/>
      </c>
      <c r="N23" s="22" t="str">
        <f>IF(ISNUMBER(M23),M23*(I23*L23-1-U23),"")</f>
        <v/>
      </c>
      <c r="O23" s="21">
        <f>IF(AND(ISNUMBER(L23),ISNUMBER(H23)),(H23-L23)^2,"")</f>
      </c>
      <c r="P23" s="18" t="inlineStr">
        <is>
          <t>2026-W42</t>
        </is>
      </c>
      <c r="Q23" s="18" t="inlineStr">
        <is>
          <t>bdc690a8c70643c93f1595d53c067b7d91325270</t>
        </is>
      </c>
      <c r="R23" s="18"/>
      <c r="S23" s="20">
        <f>IF(AND(ISNUMBER(L23),ISNUMBER(H23)),H23,"")</f>
      </c>
      <c r="T23" s="19">
        <f>IF(AND(ISNUMBER(L23),ISNUMBER(H23)),1,0)</f>
        <v>0</v>
      </c>
      <c r="U23" s="22">
        <v>0.0</v>
      </c>
    </row>
    <row r="24" ht="36" customHeight="1">
      <c r="A24" s="18" t="inlineStr">
        <is>
          <t>La Liga|ca osasuna|real racing santander|2026-10-18</t>
        </is>
      </c>
      <c r="B24" s="23">
        <v>46313.5</v>
      </c>
      <c r="C24" s="18" t="inlineStr">
        <is>
          <t>La Liga</t>
        </is>
      </c>
      <c r="D24" s="18" t="inlineStr">
        <is>
          <t>CA Osasuna vs Real Racing Club de Santander</t>
        </is>
      </c>
      <c r="E24" s="18" t="inlineStr">
        <is>
          <t>Over 1.5</t>
        </is>
      </c>
      <c r="F24" s="18" t="inlineStr">
        <is>
          <t>PROVISIONAL</t>
        </is>
      </c>
      <c r="G24" s="18" t="inlineStr">
        <is>
          <t>legacy/unspecified</t>
        </is>
      </c>
      <c r="H24" s="20">
        <v>0.9202632648998413</v>
      </c>
      <c r="I24" s="22">
        <v>1.22</v>
      </c>
      <c r="J24" s="18"/>
      <c r="K24" s="18" t="inlineStr">
        <is>
          <t>PENDING_KICKOFF_OR_FINAL_SCORE</t>
        </is>
      </c>
      <c r="L24" s="18"/>
      <c r="M24" s="22" t="str">
        <f>IF(AND(ISNUMBER(L24),ISNUMBER(I24),I24&gt;1),'ROI Plan'!$B$5,"")</f>
        <v/>
      </c>
      <c r="N24" s="22" t="str">
        <f>IF(ISNUMBER(M24),M24*(I24*L24-1-U24),"")</f>
        <v/>
      </c>
      <c r="O24" s="21">
        <f>IF(AND(ISNUMBER(L24),ISNUMBER(H24)),(H24-L24)^2,"")</f>
      </c>
      <c r="P24" s="18" t="inlineStr">
        <is>
          <t>2026-W42</t>
        </is>
      </c>
      <c r="Q24" s="18" t="inlineStr">
        <is>
          <t>bdc690a8c70643c93f1595d53c067b7d91325270</t>
        </is>
      </c>
      <c r="R24" s="18"/>
      <c r="S24" s="20">
        <f>IF(AND(ISNUMBER(L24),ISNUMBER(H24)),H24,"")</f>
      </c>
      <c r="T24" s="19">
        <f>IF(AND(ISNUMBER(L24),ISNUMBER(H24)),1,0)</f>
        <v>0</v>
      </c>
      <c r="U24" s="22">
        <v>0.0</v>
      </c>
    </row>
    <row r="25" ht="36" customHeight="1">
      <c r="A25" s="18" t="inlineStr">
        <is>
          <t>La Liga|malaga|real sociedad|2026-10-18</t>
        </is>
      </c>
      <c r="B25" s="23">
        <v>46313.6875</v>
      </c>
      <c r="C25" s="18" t="inlineStr">
        <is>
          <t>La Liga</t>
        </is>
      </c>
      <c r="D25" s="18" t="inlineStr">
        <is>
          <t>Málaga vs Real Sociedad</t>
        </is>
      </c>
      <c r="E25" s="18" t="inlineStr">
        <is>
          <t>Under 3.5</t>
        </is>
      </c>
      <c r="F25" s="18" t="inlineStr">
        <is>
          <t>STRICT</t>
        </is>
      </c>
      <c r="G25" s="18" t="inlineStr">
        <is>
          <t>legacy/unspecified</t>
        </is>
      </c>
      <c r="H25" s="20">
        <v>0.8261247842244344</v>
      </c>
      <c r="I25" s="22">
        <v>1.41</v>
      </c>
      <c r="J25" s="18"/>
      <c r="K25" s="18" t="inlineStr">
        <is>
          <t>PENDING_KICKOFF_OR_FINAL_SCORE</t>
        </is>
      </c>
      <c r="L25" s="18"/>
      <c r="M25" s="22" t="str">
        <f>IF(AND(ISNUMBER(L25),ISNUMBER(I25),I25&gt;1),'ROI Plan'!$B$5,"")</f>
        <v/>
      </c>
      <c r="N25" s="22" t="str">
        <f>IF(ISNUMBER(M25),M25*(I25*L25-1-U25),"")</f>
        <v/>
      </c>
      <c r="O25" s="21">
        <f>IF(AND(ISNUMBER(L25),ISNUMBER(H25)),(H25-L25)^2,"")</f>
      </c>
      <c r="P25" s="18" t="inlineStr">
        <is>
          <t>2026-W42</t>
        </is>
      </c>
      <c r="Q25" s="18" t="inlineStr">
        <is>
          <t>bdc690a8c70643c93f1595d53c067b7d91325270</t>
        </is>
      </c>
      <c r="R25" s="18"/>
      <c r="S25" s="20">
        <f>IF(AND(ISNUMBER(L25),ISNUMBER(H25)),H25,"")</f>
      </c>
      <c r="T25" s="19">
        <f>IF(AND(ISNUMBER(L25),ISNUMBER(H25)),1,0)</f>
        <v>0</v>
      </c>
      <c r="U25" s="22">
        <v>0.0</v>
      </c>
    </row>
    <row r="26" ht="36" customHeight="1">
      <c r="A26" s="18" t="inlineStr">
        <is>
          <t>La Liga|real madrid|sevilla|2026-10-18</t>
        </is>
      </c>
      <c r="B26" s="23">
        <v>46313.791666666664</v>
      </c>
      <c r="C26" s="18" t="inlineStr">
        <is>
          <t>La Liga</t>
        </is>
      </c>
      <c r="D26" s="18" t="inlineStr">
        <is>
          <t>Real Madrid vs Sevilla</t>
        </is>
      </c>
      <c r="E26" s="18" t="inlineStr">
        <is>
          <t>Home win</t>
        </is>
      </c>
      <c r="F26" s="18" t="inlineStr">
        <is>
          <t>PROVISIONAL</t>
        </is>
      </c>
      <c r="G26" s="18" t="inlineStr">
        <is>
          <t>legacy/unspecified</t>
        </is>
      </c>
      <c r="H26" s="20">
        <v>0.78842217536022</v>
      </c>
      <c r="I26" s="22">
        <v>1.3</v>
      </c>
      <c r="J26" s="18"/>
      <c r="K26" s="18" t="inlineStr">
        <is>
          <t>PENDING_KICKOFF_OR_FINAL_SCORE</t>
        </is>
      </c>
      <c r="L26" s="18"/>
      <c r="M26" s="22" t="str">
        <f>IF(AND(ISNUMBER(L26),ISNUMBER(I26),I26&gt;1),'ROI Plan'!$B$5,"")</f>
        <v/>
      </c>
      <c r="N26" s="22" t="str">
        <f>IF(ISNUMBER(M26),M26*(I26*L26-1-U26),"")</f>
        <v/>
      </c>
      <c r="O26" s="21">
        <f>IF(AND(ISNUMBER(L26),ISNUMBER(H26)),(H26-L26)^2,"")</f>
      </c>
      <c r="P26" s="18" t="inlineStr">
        <is>
          <t>2026-W42</t>
        </is>
      </c>
      <c r="Q26" s="18" t="inlineStr">
        <is>
          <t>bdc690a8c70643c93f1595d53c067b7d91325270</t>
        </is>
      </c>
      <c r="R26" s="18"/>
      <c r="S26" s="20">
        <f>IF(AND(ISNUMBER(L26),ISNUMBER(H26)),H26,"")</f>
      </c>
      <c r="T26" s="19">
        <f>IF(AND(ISNUMBER(L26),ISNUMBER(H26)),1,0)</f>
        <v>0</v>
      </c>
      <c r="U26" s="22">
        <v>0.0</v>
      </c>
    </row>
    <row r="27" ht="36" customHeight="1">
      <c r="A27" s="18" t="inlineStr">
        <is>
          <t>Premier League|tottenham|coventry city|2026-10-19</t>
        </is>
      </c>
      <c r="B27" s="23">
        <v>46314.791666666664</v>
      </c>
      <c r="C27" s="18" t="inlineStr">
        <is>
          <t>Premier League</t>
        </is>
      </c>
      <c r="D27" s="18" t="inlineStr">
        <is>
          <t>Tottenham Hotspur vs Coventry City</t>
        </is>
      </c>
      <c r="E27" s="18" t="inlineStr">
        <is>
          <t>Home win</t>
        </is>
      </c>
      <c r="F27" s="18" t="inlineStr">
        <is>
          <t>PROVISIONAL</t>
        </is>
      </c>
      <c r="G27" s="18" t="inlineStr">
        <is>
          <t>legacy/unspecified</t>
        </is>
      </c>
      <c r="H27" s="20">
        <v>0.6624411929150106</v>
      </c>
      <c r="I27" s="22">
        <v>1.54</v>
      </c>
      <c r="J27" s="18"/>
      <c r="K27" s="18" t="inlineStr">
        <is>
          <t>PENDING_KICKOFF_OR_FINAL_SCORE</t>
        </is>
      </c>
      <c r="L27" s="18"/>
      <c r="M27" s="22" t="str">
        <f>IF(AND(ISNUMBER(L27),ISNUMBER(I27),I27&gt;1),'ROI Plan'!$B$5,"")</f>
        <v/>
      </c>
      <c r="N27" s="22" t="str">
        <f>IF(ISNUMBER(M27),M27*(I27*L27-1-U27),"")</f>
        <v/>
      </c>
      <c r="O27" s="21">
        <f>IF(AND(ISNUMBER(L27),ISNUMBER(H27)),(H27-L27)^2,"")</f>
      </c>
      <c r="P27" s="18" t="inlineStr">
        <is>
          <t>2026-W43</t>
        </is>
      </c>
      <c r="Q27" s="18" t="inlineStr">
        <is>
          <t>b9c15c09504aaf57de5ad0957adb91c0e9b37243</t>
        </is>
      </c>
      <c r="R27" s="18"/>
      <c r="S27" s="20">
        <f>IF(AND(ISNUMBER(L27),ISNUMBER(H27)),H27,"")</f>
      </c>
      <c r="T27" s="19">
        <f>IF(AND(ISNUMBER(L27),ISNUMBER(H27)),1,0)</f>
        <v>0</v>
      </c>
      <c r="U27" s="22">
        <v>0.0</v>
      </c>
    </row>
  </sheetData>
  <mergeCells count="2">
    <mergeCell ref="B2:U2"/>
    <mergeCell ref="B4:U4"/>
  </mergeCells>
  <conditionalFormatting sqref="K6:K27">
    <cfRule type="expression" priority="101" dxfId="5">
      <formula>OR(K6="WON")</formula>
    </cfRule>
    <cfRule type="expression" priority="102" dxfId="4">
      <formula>OR(K6="LOST")</formula>
    </cfRule>
    <cfRule type="expression" priority="103" dxfId="3">
      <formula>OR(K6="PENDING_KICKOFF_OR_FINAL_SCORE",K6="UNVERIFIED_FIXTURE_OR_RESULT")</formula>
    </cfRule>
  </conditionalFormatting>
  <pageMargins left="0.7" right="0.7" top="0.75" bottom="0.75" header="0.3" footer="0.3"/>
  <tableParts count="1">
    <tablePart ns1:id="R6ead9493206746ca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4" ySplit="5" topLeftCell="E6" activePane="bottomRight" state="frozen"/>
    </sheetView>
  </sheetViews>
  <sheetFormatPr defaultRowHeight="15"/>
  <cols>
    <col min="1" max="1" width="12" customWidth="1" hidden="1" outlineLevel="1"/>
    <col min="2" max="2" width="23" customWidth="1"/>
    <col min="3" max="3" width="22" customWidth="1"/>
    <col min="4" max="4" width="44" customWidth="1"/>
    <col min="5" max="5" width="32" customWidth="1" hidden="1" outlineLevel="1"/>
    <col min="6" max="6" width="34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24" customWidth="1" hidden="1" outlineLevel="1"/>
    <col min="16" max="16" width="26" customWidth="1" hidden="1" outlineLevel="1"/>
  </cols>
  <sheetData>
    <row r="1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>
      <c r="A2" s="25" t="str">
        <v>Predictions</v>
      </c>
      <c r="B2" s="25" t="inlineStr">
        <is>
          <t>Predictions</t>
        </is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" customHeight="1">
      <c r="A4" s="27" t="inlineStr">
        <is>
          <t>Source: Git-frozen forecasts and football-data.org/v4 verified regulation-time results.</t>
        </is>
      </c>
      <c r="B4" s="27" t="inlineStr">
        <is>
          <t>Source: Git-frozen forecasts and football-data.org/v4 verified regulation-time results.</t>
        </is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44" customHeight="1">
      <c r="A5" s="24" t="str">
        <v>Fixture key</v>
      </c>
      <c r="B5" s="24" t="str">
        <v>Kickoff UTC</v>
      </c>
      <c r="C5" s="24" t="str">
        <v>League</v>
      </c>
      <c r="D5" s="24" t="str">
        <v>Match</v>
      </c>
      <c r="E5" s="24" t="str">
        <v>Selection policy</v>
      </c>
      <c r="F5" s="24" t="str">
        <v>Status</v>
      </c>
      <c r="G5" s="24" t="str">
        <v>Final score</v>
      </c>
      <c r="H5" s="24" t="str">
        <v>1X2 correct</v>
      </c>
      <c r="I5" s="24" t="str">
        <v>1X2 Brier</v>
      </c>
      <c r="J5" s="24" t="str">
        <v>Over 1.5 correct</v>
      </c>
      <c r="K5" s="24" t="str">
        <v>Under 3.5 correct</v>
      </c>
      <c r="L5" s="24" t="str">
        <v>BTTS Yes correct</v>
      </c>
      <c r="M5" s="24" t="str">
        <v>BTTS No correct</v>
      </c>
      <c r="N5" s="24" t="str">
        <v>ISO week</v>
      </c>
      <c r="O5" s="24" t="str">
        <v>Snapshot commit</v>
      </c>
      <c r="P5" s="24" t="str">
        <v>Result source</v>
      </c>
      <c r="Q5" s="24"/>
      <c r="R5" s="24"/>
    </row>
    <row r="6" ht="36" customHeight="1">
      <c r="A6" s="18" t="inlineStr">
        <is>
          <t>Serie A|como|as roma|2026-10-11</t>
        </is>
      </c>
      <c r="B6" s="23">
        <v>46306.4375</v>
      </c>
      <c r="C6" s="18" t="inlineStr">
        <is>
          <t>Serie A</t>
        </is>
      </c>
      <c r="D6" s="18" t="inlineStr">
        <is>
          <t>Como vs AS Roma</t>
        </is>
      </c>
      <c r="E6" s="18" t="inlineStr">
        <is>
          <t>legacy/unspecified</t>
        </is>
      </c>
      <c r="F6" s="18" t="inlineStr">
        <is>
          <t>UNVERIFIED_FIXTURE_OR_RESULT</t>
        </is>
      </c>
      <c r="G6" s="18"/>
      <c r="H6" s="18"/>
      <c r="I6" s="21"/>
      <c r="J6" s="18"/>
      <c r="K6" s="18"/>
      <c r="L6" s="18"/>
      <c r="M6" s="18"/>
      <c r="N6" s="18" t="inlineStr">
        <is>
          <t>2026-W41</t>
        </is>
      </c>
      <c r="O6" s="18" t="inlineStr">
        <is>
          <t>2fd31d33722311d8e0155bb5eca6b3a310ac938b</t>
        </is>
      </c>
      <c r="P6" s="18"/>
      <c r="Q6" s="18"/>
      <c r="R6" s="18"/>
    </row>
    <row r="7" ht="36" customHeight="1">
      <c r="A7" s="18" t="inlineStr">
        <is>
          <t>La Liga|elche|celta vigo|2026-10-11</t>
        </is>
      </c>
      <c r="B7" s="23">
        <v>46306.5</v>
      </c>
      <c r="C7" s="18" t="inlineStr">
        <is>
          <t>La Liga</t>
        </is>
      </c>
      <c r="D7" s="18" t="inlineStr">
        <is>
          <t>Elche CF vs Celta Vigo</t>
        </is>
      </c>
      <c r="E7" s="18" t="inlineStr">
        <is>
          <t>legacy/unspecified</t>
        </is>
      </c>
      <c r="F7" s="18" t="inlineStr">
        <is>
          <t>UNVERIFIED_FIXTURE_OR_RESULT</t>
        </is>
      </c>
      <c r="G7" s="18"/>
      <c r="H7" s="18"/>
      <c r="I7" s="21"/>
      <c r="J7" s="18"/>
      <c r="K7" s="18"/>
      <c r="L7" s="18"/>
      <c r="M7" s="18"/>
      <c r="N7" s="18" t="inlineStr">
        <is>
          <t>2026-W41</t>
        </is>
      </c>
      <c r="O7" s="18" t="inlineStr">
        <is>
          <t>2fd31d33722311d8e0155bb5eca6b3a310ac938b</t>
        </is>
      </c>
      <c r="P7" s="18"/>
      <c r="Q7" s="18"/>
      <c r="R7" s="18"/>
    </row>
    <row r="8" ht="36" customHeight="1">
      <c r="A8" s="18" t="inlineStr">
        <is>
          <t>Ligue 1|nice|strasbourg|2026-10-11</t>
        </is>
      </c>
      <c r="B8" s="23">
        <v>46306.541666666664</v>
      </c>
      <c r="C8" s="18" t="inlineStr">
        <is>
          <t>Ligue 1</t>
        </is>
      </c>
      <c r="D8" s="18" t="inlineStr">
        <is>
          <t>Nice vs Strasbourg</t>
        </is>
      </c>
      <c r="E8" s="18" t="inlineStr">
        <is>
          <t>legacy/unspecified</t>
        </is>
      </c>
      <c r="F8" s="18" t="inlineStr">
        <is>
          <t>GRADED</t>
        </is>
      </c>
      <c r="G8" s="18" t="inlineStr">
        <is>
          <t>2-1</t>
        </is>
      </c>
      <c r="H8" s="19">
        <v>1.0</v>
      </c>
      <c r="I8" s="21">
        <v>0.54540666</v>
      </c>
      <c r="J8" s="19">
        <v>1.0</v>
      </c>
      <c r="K8" s="19">
        <v>1.0</v>
      </c>
      <c r="L8" s="19">
        <v>1.0</v>
      </c>
      <c r="M8" s="19">
        <v>1.0</v>
      </c>
      <c r="N8" s="18" t="inlineStr">
        <is>
          <t>2026-W41</t>
        </is>
      </c>
      <c r="O8" s="18" t="inlineStr">
        <is>
          <t>2fd31d33722311d8e0155bb5eca6b3a310ac938b</t>
        </is>
      </c>
      <c r="P8" s="18" t="inlineStr">
        <is>
          <t>football-data.org/v4</t>
        </is>
      </c>
      <c r="Q8" s="18"/>
      <c r="R8" s="18"/>
    </row>
    <row r="9" ht="36" customHeight="1">
      <c r="A9" s="18" t="inlineStr">
        <is>
          <t>Premier League|crystal palace|nott m forest|2026-10-11</t>
        </is>
      </c>
      <c r="B9" s="23">
        <v>46306.541666666664</v>
      </c>
      <c r="C9" s="18" t="inlineStr">
        <is>
          <t>Premier League</t>
        </is>
      </c>
      <c r="D9" s="18" t="inlineStr">
        <is>
          <t>Crystal Palace vs Nottingham Forest</t>
        </is>
      </c>
      <c r="E9" s="18" t="inlineStr">
        <is>
          <t>legacy/unspecified</t>
        </is>
      </c>
      <c r="F9" s="18" t="inlineStr">
        <is>
          <t>GRADED</t>
        </is>
      </c>
      <c r="G9" s="18" t="inlineStr">
        <is>
          <t>3-1</t>
        </is>
      </c>
      <c r="H9" s="19">
        <v>0.0</v>
      </c>
      <c r="I9" s="21">
        <v>0.62873666</v>
      </c>
      <c r="J9" s="19">
        <v>1.0</v>
      </c>
      <c r="K9" s="19">
        <v>0.0</v>
      </c>
      <c r="L9" s="19">
        <v>1.0</v>
      </c>
      <c r="M9" s="19">
        <v>1.0</v>
      </c>
      <c r="N9" s="18" t="inlineStr">
        <is>
          <t>2026-W41</t>
        </is>
      </c>
      <c r="O9" s="18" t="inlineStr">
        <is>
          <t>2fd31d33722311d8e0155bb5eca6b3a310ac938b</t>
        </is>
      </c>
      <c r="P9" s="18" t="inlineStr">
        <is>
          <t>football-data.org/v4</t>
        </is>
      </c>
      <c r="Q9" s="18"/>
      <c r="R9" s="18"/>
    </row>
    <row r="10" ht="36" customHeight="1">
      <c r="A10" s="18" t="inlineStr">
        <is>
          <t>Premier League|hull city|everton|2026-10-11</t>
        </is>
      </c>
      <c r="B10" s="23">
        <v>46306.541666666664</v>
      </c>
      <c r="C10" s="18" t="inlineStr">
        <is>
          <t>Premier League</t>
        </is>
      </c>
      <c r="D10" s="18" t="inlineStr">
        <is>
          <t>Hull City vs Everton</t>
        </is>
      </c>
      <c r="E10" s="18" t="inlineStr">
        <is>
          <t>legacy/unspecified</t>
        </is>
      </c>
      <c r="F10" s="18" t="inlineStr">
        <is>
          <t>GRADED</t>
        </is>
      </c>
      <c r="G10" s="18" t="inlineStr">
        <is>
          <t>2-2</t>
        </is>
      </c>
      <c r="H10" s="19">
        <v>0.0</v>
      </c>
      <c r="I10" s="21">
        <v>0.70638787</v>
      </c>
      <c r="J10" s="19">
        <v>1.0</v>
      </c>
      <c r="K10" s="19">
        <v>0.0</v>
      </c>
      <c r="L10" s="19">
        <v>0.0</v>
      </c>
      <c r="M10" s="19">
        <v>0.0</v>
      </c>
      <c r="N10" s="18" t="inlineStr">
        <is>
          <t>2026-W41</t>
        </is>
      </c>
      <c r="O10" s="18" t="inlineStr">
        <is>
          <t>2fd31d33722311d8e0155bb5eca6b3a310ac938b</t>
        </is>
      </c>
      <c r="P10" s="18" t="inlineStr">
        <is>
          <t>football-data.org/v4</t>
        </is>
      </c>
      <c r="Q10" s="18"/>
      <c r="R10" s="18"/>
    </row>
    <row r="11" ht="36" customHeight="1">
      <c r="A11" s="18" t="inlineStr">
        <is>
          <t>Serie A|lazio|monza|2026-10-11</t>
        </is>
      </c>
      <c r="B11" s="23">
        <v>46306.541666666664</v>
      </c>
      <c r="C11" s="18" t="inlineStr">
        <is>
          <t>Serie A</t>
        </is>
      </c>
      <c r="D11" s="18" t="inlineStr">
        <is>
          <t>Lazio vs Monza</t>
        </is>
      </c>
      <c r="E11" s="18" t="inlineStr">
        <is>
          <t>legacy/unspecified</t>
        </is>
      </c>
      <c r="F11" s="18" t="inlineStr">
        <is>
          <t>GRADED</t>
        </is>
      </c>
      <c r="G11" s="18" t="inlineStr">
        <is>
          <t>3-1</t>
        </is>
      </c>
      <c r="H11" s="19">
        <v>1.0</v>
      </c>
      <c r="I11" s="21">
        <v>0.2112717</v>
      </c>
      <c r="J11" s="19">
        <v>1.0</v>
      </c>
      <c r="K11" s="19">
        <v>0.0</v>
      </c>
      <c r="L11" s="19">
        <v>1.0</v>
      </c>
      <c r="M11" s="19">
        <v>1.0</v>
      </c>
      <c r="N11" s="18" t="inlineStr">
        <is>
          <t>2026-W41</t>
        </is>
      </c>
      <c r="O11" s="18" t="inlineStr">
        <is>
          <t>2fd31d33722311d8e0155bb5eca6b3a310ac938b</t>
        </is>
      </c>
      <c r="P11" s="18" t="inlineStr">
        <is>
          <t>football-data.org/v4</t>
        </is>
      </c>
      <c r="Q11" s="18"/>
      <c r="R11" s="18"/>
    </row>
    <row r="12" ht="36" customHeight="1">
      <c r="A12" s="18" t="inlineStr">
        <is>
          <t>Serie A|lecce|bologna|2026-10-11</t>
        </is>
      </c>
      <c r="B12" s="23">
        <v>46306.541666666664</v>
      </c>
      <c r="C12" s="18" t="inlineStr">
        <is>
          <t>Serie A</t>
        </is>
      </c>
      <c r="D12" s="18" t="inlineStr">
        <is>
          <t>Lecce vs Bologna</t>
        </is>
      </c>
      <c r="E12" s="18" t="inlineStr">
        <is>
          <t>legacy/unspecified</t>
        </is>
      </c>
      <c r="F12" s="18" t="inlineStr">
        <is>
          <t>GRADED</t>
        </is>
      </c>
      <c r="G12" s="18" t="inlineStr">
        <is>
          <t>1-2</t>
        </is>
      </c>
      <c r="H12" s="19">
        <v>1.0</v>
      </c>
      <c r="I12" s="21">
        <v>0.37701409</v>
      </c>
      <c r="J12" s="19">
        <v>1.0</v>
      </c>
      <c r="K12" s="19">
        <v>1.0</v>
      </c>
      <c r="L12" s="19">
        <v>0.0</v>
      </c>
      <c r="M12" s="19">
        <v>0.0</v>
      </c>
      <c r="N12" s="18" t="inlineStr">
        <is>
          <t>2026-W41</t>
        </is>
      </c>
      <c r="O12" s="18" t="inlineStr">
        <is>
          <t>2fd31d33722311d8e0155bb5eca6b3a310ac938b</t>
        </is>
      </c>
      <c r="P12" s="18" t="inlineStr">
        <is>
          <t>football-data.org/v4</t>
        </is>
      </c>
      <c r="Q12" s="18"/>
      <c r="R12" s="18"/>
    </row>
    <row r="13" ht="36" customHeight="1">
      <c r="A13" s="18" t="inlineStr">
        <is>
          <t>Bundesliga|1 koln|m gladbach|2026-10-11</t>
        </is>
      </c>
      <c r="B13" s="23">
        <v>46306.5625</v>
      </c>
      <c r="C13" s="18" t="inlineStr">
        <is>
          <t>Bundesliga</t>
        </is>
      </c>
      <c r="D13" s="18" t="inlineStr">
        <is>
          <t>1. FC Köln vs Borussia Monchengladbach</t>
        </is>
      </c>
      <c r="E13" s="18" t="inlineStr">
        <is>
          <t>legacy/unspecified</t>
        </is>
      </c>
      <c r="F13" s="18" t="inlineStr">
        <is>
          <t>GRADED</t>
        </is>
      </c>
      <c r="G13" s="18" t="inlineStr">
        <is>
          <t>2-1</t>
        </is>
      </c>
      <c r="H13" s="19">
        <v>1.0</v>
      </c>
      <c r="I13" s="21">
        <v>0.54115992</v>
      </c>
      <c r="J13" s="19">
        <v>1.0</v>
      </c>
      <c r="K13" s="19">
        <v>1.0</v>
      </c>
      <c r="L13" s="19">
        <v>1.0</v>
      </c>
      <c r="M13" s="19">
        <v>1.0</v>
      </c>
      <c r="N13" s="18" t="inlineStr">
        <is>
          <t>2026-W41</t>
        </is>
      </c>
      <c r="O13" s="18" t="inlineStr">
        <is>
          <t>2fd31d33722311d8e0155bb5eca6b3a310ac938b</t>
        </is>
      </c>
      <c r="P13" s="18" t="inlineStr">
        <is>
          <t>football-data.org/v4</t>
        </is>
      </c>
      <c r="Q13" s="18"/>
      <c r="R13" s="18"/>
    </row>
    <row r="14" ht="36" customHeight="1">
      <c r="A14" s="18" t="inlineStr">
        <is>
          <t>La Liga|real sociedad|deportivo la coruna|2026-10-11</t>
        </is>
      </c>
      <c r="B14" s="23">
        <v>46306.59375</v>
      </c>
      <c r="C14" s="18" t="inlineStr">
        <is>
          <t>La Liga</t>
        </is>
      </c>
      <c r="D14" s="18" t="inlineStr">
        <is>
          <t>Real Sociedad vs Deportivo La Coruña</t>
        </is>
      </c>
      <c r="E14" s="18" t="inlineStr">
        <is>
          <t>legacy/unspecified</t>
        </is>
      </c>
      <c r="F14" s="18" t="inlineStr">
        <is>
          <t>GRADED</t>
        </is>
      </c>
      <c r="G14" s="18" t="inlineStr">
        <is>
          <t>3-2</t>
        </is>
      </c>
      <c r="H14" s="19">
        <v>1.0</v>
      </c>
      <c r="I14" s="21">
        <v>0.35056735</v>
      </c>
      <c r="J14" s="19">
        <v>1.0</v>
      </c>
      <c r="K14" s="19">
        <v>0.0</v>
      </c>
      <c r="L14" s="19">
        <v>1.0</v>
      </c>
      <c r="M14" s="19">
        <v>1.0</v>
      </c>
      <c r="N14" s="18" t="inlineStr">
        <is>
          <t>2026-W41</t>
        </is>
      </c>
      <c r="O14" s="18" t="inlineStr">
        <is>
          <t>2fd31d33722311d8e0155bb5eca6b3a310ac938b</t>
        </is>
      </c>
      <c r="P14" s="18" t="inlineStr">
        <is>
          <t>football-data.org/v4</t>
        </is>
      </c>
      <c r="Q14" s="18"/>
      <c r="R14" s="18"/>
    </row>
    <row r="15" ht="36" customHeight="1">
      <c r="A15" s="18" t="inlineStr">
        <is>
          <t>Ligue 1|rennes|auxerre|2026-10-11</t>
        </is>
      </c>
      <c r="B15" s="23">
        <v>46306.635416666664</v>
      </c>
      <c r="C15" s="18" t="inlineStr">
        <is>
          <t>Ligue 1</t>
        </is>
      </c>
      <c r="D15" s="18" t="inlineStr">
        <is>
          <t>Rennes vs Auxerre</t>
        </is>
      </c>
      <c r="E15" s="18" t="inlineStr">
        <is>
          <t>legacy/unspecified</t>
        </is>
      </c>
      <c r="F15" s="18" t="inlineStr">
        <is>
          <t>UNVERIFIED_FIXTURE_OR_RESULT</t>
        </is>
      </c>
      <c r="G15" s="18"/>
      <c r="H15" s="18"/>
      <c r="I15" s="21"/>
      <c r="J15" s="18"/>
      <c r="K15" s="18"/>
      <c r="L15" s="18"/>
      <c r="M15" s="18"/>
      <c r="N15" s="18" t="inlineStr">
        <is>
          <t>2026-W41</t>
        </is>
      </c>
      <c r="O15" s="18" t="inlineStr">
        <is>
          <t>2fd31d33722311d8e0155bb5eca6b3a310ac938b</t>
        </is>
      </c>
      <c r="P15" s="18"/>
      <c r="Q15" s="18"/>
      <c r="R15" s="18"/>
    </row>
    <row r="16" ht="36" customHeight="1">
      <c r="A16" s="18" t="inlineStr">
        <is>
          <t>Bundesliga|freiburg|schalke|2026-10-11</t>
        </is>
      </c>
      <c r="B16" s="23">
        <v>46306.645833333336</v>
      </c>
      <c r="C16" s="18" t="inlineStr">
        <is>
          <t>Bundesliga</t>
        </is>
      </c>
      <c r="D16" s="18" t="inlineStr">
        <is>
          <t>SC Freiburg vs FC Schalke 04</t>
        </is>
      </c>
      <c r="E16" s="18" t="inlineStr">
        <is>
          <t>legacy/unspecified</t>
        </is>
      </c>
      <c r="F16" s="18" t="inlineStr">
        <is>
          <t>GRADED</t>
        </is>
      </c>
      <c r="G16" s="18" t="inlineStr">
        <is>
          <t>2-1</t>
        </is>
      </c>
      <c r="H16" s="19">
        <v>1.0</v>
      </c>
      <c r="I16" s="21">
        <v>0.42840131</v>
      </c>
      <c r="J16" s="19">
        <v>1.0</v>
      </c>
      <c r="K16" s="19">
        <v>1.0</v>
      </c>
      <c r="L16" s="19">
        <v>0.0</v>
      </c>
      <c r="M16" s="19">
        <v>0.0</v>
      </c>
      <c r="N16" s="18" t="inlineStr">
        <is>
          <t>2026-W41</t>
        </is>
      </c>
      <c r="O16" s="18" t="inlineStr">
        <is>
          <t>2fd31d33722311d8e0155bb5eca6b3a310ac938b</t>
        </is>
      </c>
      <c r="P16" s="18" t="inlineStr">
        <is>
          <t>football-data.org/v4</t>
        </is>
      </c>
      <c r="Q16" s="18"/>
      <c r="R16" s="18"/>
    </row>
    <row r="17" ht="36" customHeight="1">
      <c r="A17" s="18" t="inlineStr">
        <is>
          <t>Premier League|liverpool|man city|2026-10-11</t>
        </is>
      </c>
      <c r="B17" s="23">
        <v>46306.645833333336</v>
      </c>
      <c r="C17" s="18" t="inlineStr">
        <is>
          <t>Premier League</t>
        </is>
      </c>
      <c r="D17" s="18" t="inlineStr">
        <is>
          <t>Liverpool vs Manchester City</t>
        </is>
      </c>
      <c r="E17" s="18" t="inlineStr">
        <is>
          <t>legacy/unspecified</t>
        </is>
      </c>
      <c r="F17" s="18" t="inlineStr">
        <is>
          <t>GRADED</t>
        </is>
      </c>
      <c r="G17" s="18" t="inlineStr">
        <is>
          <t>0-3</t>
        </is>
      </c>
      <c r="H17" s="19">
        <v>1.0</v>
      </c>
      <c r="I17" s="21">
        <v>0.5110281</v>
      </c>
      <c r="J17" s="19">
        <v>1.0</v>
      </c>
      <c r="K17" s="19">
        <v>1.0</v>
      </c>
      <c r="L17" s="19">
        <v>0.0</v>
      </c>
      <c r="M17" s="19">
        <v>0.0</v>
      </c>
      <c r="N17" s="18" t="inlineStr">
        <is>
          <t>2026-W41</t>
        </is>
      </c>
      <c r="O17" s="18" t="inlineStr">
        <is>
          <t>2fd31d33722311d8e0155bb5eca6b3a310ac938b</t>
        </is>
      </c>
      <c r="P17" s="18" t="inlineStr">
        <is>
          <t>football-data.org/v4</t>
        </is>
      </c>
      <c r="Q17" s="18"/>
      <c r="R17" s="18"/>
    </row>
    <row r="18" ht="36" customHeight="1">
      <c r="A18" s="18" t="inlineStr">
        <is>
          <t>Serie A|sassuolo|milan|2026-10-11</t>
        </is>
      </c>
      <c r="B18" s="23">
        <v>46306.666666666664</v>
      </c>
      <c r="C18" s="18" t="inlineStr">
        <is>
          <t>Serie A</t>
        </is>
      </c>
      <c r="D18" s="18" t="inlineStr">
        <is>
          <t>Sassuolo vs AC Milan</t>
        </is>
      </c>
      <c r="E18" s="18" t="inlineStr">
        <is>
          <t>legacy/unspecified</t>
        </is>
      </c>
      <c r="F18" s="18" t="inlineStr">
        <is>
          <t>GRADED</t>
        </is>
      </c>
      <c r="G18" s="18" t="inlineStr">
        <is>
          <t>1-1</t>
        </is>
      </c>
      <c r="H18" s="19">
        <v>0.0</v>
      </c>
      <c r="I18" s="21">
        <v>0.89862621</v>
      </c>
      <c r="J18" s="19">
        <v>1.0</v>
      </c>
      <c r="K18" s="19">
        <v>1.0</v>
      </c>
      <c r="L18" s="19">
        <v>1.0</v>
      </c>
      <c r="M18" s="19">
        <v>1.0</v>
      </c>
      <c r="N18" s="18" t="inlineStr">
        <is>
          <t>2026-W41</t>
        </is>
      </c>
      <c r="O18" s="18" t="inlineStr">
        <is>
          <t>2fd31d33722311d8e0155bb5eca6b3a310ac938b</t>
        </is>
      </c>
      <c r="P18" s="18" t="inlineStr">
        <is>
          <t>football-data.org/v4</t>
        </is>
      </c>
      <c r="Q18" s="18"/>
      <c r="R18" s="18"/>
    </row>
    <row r="19" ht="36" customHeight="1">
      <c r="A19" s="18" t="inlineStr">
        <is>
          <t>La Liga|real betis|ca osasuna|2026-10-11</t>
        </is>
      </c>
      <c r="B19" s="23">
        <v>46306.6875</v>
      </c>
      <c r="C19" s="18" t="inlineStr">
        <is>
          <t>La Liga</t>
        </is>
      </c>
      <c r="D19" s="18" t="inlineStr">
        <is>
          <t>Real Betis vs CA Osasuna</t>
        </is>
      </c>
      <c r="E19" s="18" t="inlineStr">
        <is>
          <t>legacy/unspecified</t>
        </is>
      </c>
      <c r="F19" s="18" t="inlineStr">
        <is>
          <t>GRADED</t>
        </is>
      </c>
      <c r="G19" s="18" t="inlineStr">
        <is>
          <t>5-2</t>
        </is>
      </c>
      <c r="H19" s="19">
        <v>1.0</v>
      </c>
      <c r="I19" s="21">
        <v>0.2459057</v>
      </c>
      <c r="J19" s="19">
        <v>1.0</v>
      </c>
      <c r="K19" s="19">
        <v>0.0</v>
      </c>
      <c r="L19" s="19">
        <v>1.0</v>
      </c>
      <c r="M19" s="19">
        <v>1.0</v>
      </c>
      <c r="N19" s="18" t="inlineStr">
        <is>
          <t>2026-W41</t>
        </is>
      </c>
      <c r="O19" s="18" t="inlineStr">
        <is>
          <t>2fd31d33722311d8e0155bb5eca6b3a310ac938b</t>
        </is>
      </c>
      <c r="P19" s="18" t="inlineStr">
        <is>
          <t>football-data.org/v4</t>
        </is>
      </c>
      <c r="Q19" s="18"/>
      <c r="R19" s="18"/>
    </row>
    <row r="20" ht="36" customHeight="1">
      <c r="A20" s="18" t="inlineStr">
        <is>
          <t>Ligue 1|troyes|marseille|2026-10-11</t>
        </is>
      </c>
      <c r="B20" s="23">
        <v>46306.78125</v>
      </c>
      <c r="C20" s="18" t="inlineStr">
        <is>
          <t>Ligue 1</t>
        </is>
      </c>
      <c r="D20" s="18" t="inlineStr">
        <is>
          <t>Troyes vs Marseille</t>
        </is>
      </c>
      <c r="E20" s="18" t="inlineStr">
        <is>
          <t>legacy/unspecified</t>
        </is>
      </c>
      <c r="F20" s="18" t="inlineStr">
        <is>
          <t>GRADED</t>
        </is>
      </c>
      <c r="G20" s="18" t="inlineStr">
        <is>
          <t>0-2</t>
        </is>
      </c>
      <c r="H20" s="19">
        <v>1.0</v>
      </c>
      <c r="I20" s="21">
        <v>0.2073436</v>
      </c>
      <c r="J20" s="19">
        <v>1.0</v>
      </c>
      <c r="K20" s="19">
        <v>1.0</v>
      </c>
      <c r="L20" s="19">
        <v>0.0</v>
      </c>
      <c r="M20" s="19">
        <v>0.0</v>
      </c>
      <c r="N20" s="18" t="inlineStr">
        <is>
          <t>2026-W41</t>
        </is>
      </c>
      <c r="O20" s="18" t="inlineStr">
        <is>
          <t>2fd31d33722311d8e0155bb5eca6b3a310ac938b</t>
        </is>
      </c>
      <c r="P20" s="18" t="inlineStr">
        <is>
          <t>football-data.org/v4</t>
        </is>
      </c>
      <c r="Q20" s="18"/>
      <c r="R20" s="18"/>
    </row>
    <row r="21" ht="36" customHeight="1">
      <c r="A21" s="18" t="inlineStr">
        <is>
          <t>Serie A|cagliari|juventus|2026-10-11</t>
        </is>
      </c>
      <c r="B21" s="23">
        <v>46306.78125</v>
      </c>
      <c r="C21" s="18" t="inlineStr">
        <is>
          <t>Serie A</t>
        </is>
      </c>
      <c r="D21" s="18" t="inlineStr">
        <is>
          <t>Cagliari vs Juventus</t>
        </is>
      </c>
      <c r="E21" s="18" t="inlineStr">
        <is>
          <t>legacy/unspecified</t>
        </is>
      </c>
      <c r="F21" s="18" t="inlineStr">
        <is>
          <t>GRADED</t>
        </is>
      </c>
      <c r="G21" s="18" t="inlineStr">
        <is>
          <t>1-1</t>
        </is>
      </c>
      <c r="H21" s="19">
        <v>0.0</v>
      </c>
      <c r="I21" s="21">
        <v>0.9256308</v>
      </c>
      <c r="J21" s="19">
        <v>1.0</v>
      </c>
      <c r="K21" s="19">
        <v>1.0</v>
      </c>
      <c r="L21" s="19">
        <v>0.0</v>
      </c>
      <c r="M21" s="19">
        <v>0.0</v>
      </c>
      <c r="N21" s="18" t="inlineStr">
        <is>
          <t>2026-W41</t>
        </is>
      </c>
      <c r="O21" s="18" t="inlineStr">
        <is>
          <t>2fd31d33722311d8e0155bb5eca6b3a310ac938b</t>
        </is>
      </c>
      <c r="P21" s="18" t="inlineStr">
        <is>
          <t>football-data.org/v4</t>
        </is>
      </c>
      <c r="Q21" s="18"/>
      <c r="R21" s="18"/>
    </row>
    <row r="22" ht="36" customHeight="1">
      <c r="A22" s="18" t="inlineStr">
        <is>
          <t>La Liga|real racing santander|valencia|2026-10-11</t>
        </is>
      </c>
      <c r="B22" s="23">
        <v>46306.791666666664</v>
      </c>
      <c r="C22" s="18" t="inlineStr">
        <is>
          <t>La Liga</t>
        </is>
      </c>
      <c r="D22" s="18" t="inlineStr">
        <is>
          <t>Real Racing Club de Santander vs Valencia</t>
        </is>
      </c>
      <c r="E22" s="18" t="inlineStr">
        <is>
          <t>legacy/unspecified</t>
        </is>
      </c>
      <c r="F22" s="18" t="inlineStr">
        <is>
          <t>GRADED</t>
        </is>
      </c>
      <c r="G22" s="18" t="inlineStr">
        <is>
          <t>2-2</t>
        </is>
      </c>
      <c r="H22" s="19">
        <v>0.0</v>
      </c>
      <c r="I22" s="21">
        <v>0.86201314</v>
      </c>
      <c r="J22" s="19">
        <v>1.0</v>
      </c>
      <c r="K22" s="19">
        <v>1.0</v>
      </c>
      <c r="L22" s="19">
        <v>1.0</v>
      </c>
      <c r="M22" s="19">
        <v>1.0</v>
      </c>
      <c r="N22" s="18" t="inlineStr">
        <is>
          <t>2026-W41</t>
        </is>
      </c>
      <c r="O22" s="18" t="inlineStr">
        <is>
          <t>2fd31d33722311d8e0155bb5eca6b3a310ac938b</t>
        </is>
      </c>
      <c r="P22" s="18" t="inlineStr">
        <is>
          <t>football-data.org/v4</t>
        </is>
      </c>
      <c r="Q22" s="18"/>
      <c r="R22" s="18"/>
    </row>
    <row r="23" ht="36" customHeight="1">
      <c r="A23" s="18" t="inlineStr">
        <is>
          <t>Serie A|atalanta bc|venezia|2026-10-12</t>
        </is>
      </c>
      <c r="B23" s="23">
        <v>46307.6875</v>
      </c>
      <c r="C23" s="18" t="inlineStr">
        <is>
          <t>Serie A</t>
        </is>
      </c>
      <c r="D23" s="18" t="inlineStr">
        <is>
          <t>Atalanta BC vs Venezia</t>
        </is>
      </c>
      <c r="E23" s="18" t="inlineStr">
        <is>
          <t>legacy/unspecified</t>
        </is>
      </c>
      <c r="F23" s="18" t="inlineStr">
        <is>
          <t>GRADED</t>
        </is>
      </c>
      <c r="G23" s="18" t="inlineStr">
        <is>
          <t>3-1</t>
        </is>
      </c>
      <c r="H23" s="19">
        <v>1.0</v>
      </c>
      <c r="I23" s="21">
        <v>0.14951884</v>
      </c>
      <c r="J23" s="19">
        <v>1.0</v>
      </c>
      <c r="K23" s="19">
        <v>0.0</v>
      </c>
      <c r="L23" s="19">
        <v>0.0</v>
      </c>
      <c r="M23" s="19">
        <v>0.0</v>
      </c>
      <c r="N23" s="18" t="inlineStr">
        <is>
          <t>2026-W42</t>
        </is>
      </c>
      <c r="O23" s="18" t="inlineStr">
        <is>
          <t>2fd31d33722311d8e0155bb5eca6b3a310ac938b</t>
        </is>
      </c>
      <c r="P23" s="18" t="inlineStr">
        <is>
          <t>football-data.org/v4</t>
        </is>
      </c>
      <c r="Q23" s="18"/>
      <c r="R23" s="18"/>
    </row>
    <row r="24" ht="36" customHeight="1">
      <c r="A24" s="18" t="inlineStr">
        <is>
          <t>Serie A|torino|udinese|2026-10-12</t>
        </is>
      </c>
      <c r="B24" s="23">
        <v>46307.78125</v>
      </c>
      <c r="C24" s="18" t="inlineStr">
        <is>
          <t>Serie A</t>
        </is>
      </c>
      <c r="D24" s="18" t="inlineStr">
        <is>
          <t>Torino vs Udinese</t>
        </is>
      </c>
      <c r="E24" s="18" t="inlineStr">
        <is>
          <t>legacy/unspecified</t>
        </is>
      </c>
      <c r="F24" s="18" t="inlineStr">
        <is>
          <t>GRADED</t>
        </is>
      </c>
      <c r="G24" s="18" t="inlineStr">
        <is>
          <t>2-1</t>
        </is>
      </c>
      <c r="H24" s="19">
        <v>1.0</v>
      </c>
      <c r="I24" s="21">
        <v>0.56760261</v>
      </c>
      <c r="J24" s="19">
        <v>1.0</v>
      </c>
      <c r="K24" s="19">
        <v>1.0</v>
      </c>
      <c r="L24" s="19">
        <v>1.0</v>
      </c>
      <c r="M24" s="19">
        <v>1.0</v>
      </c>
      <c r="N24" s="18" t="inlineStr">
        <is>
          <t>2026-W42</t>
        </is>
      </c>
      <c r="O24" s="18" t="inlineStr">
        <is>
          <t>2fd31d33722311d8e0155bb5eca6b3a310ac938b</t>
        </is>
      </c>
      <c r="P24" s="18" t="inlineStr">
        <is>
          <t>football-data.org/v4</t>
        </is>
      </c>
      <c r="Q24" s="18"/>
      <c r="R24" s="18"/>
    </row>
    <row r="25" ht="36" customHeight="1">
      <c r="A25" s="18" t="inlineStr">
        <is>
          <t>La Liga|levante|sevilla|2026-10-12</t>
        </is>
      </c>
      <c r="B25" s="23">
        <v>46307.791666666664</v>
      </c>
      <c r="C25" s="18" t="inlineStr">
        <is>
          <t>La Liga</t>
        </is>
      </c>
      <c r="D25" s="18" t="inlineStr">
        <is>
          <t>Levante vs Sevilla</t>
        </is>
      </c>
      <c r="E25" s="18" t="inlineStr">
        <is>
          <t>legacy/unspecified</t>
        </is>
      </c>
      <c r="F25" s="18" t="inlineStr">
        <is>
          <t>GRADED</t>
        </is>
      </c>
      <c r="G25" s="18" t="inlineStr">
        <is>
          <t>3-3</t>
        </is>
      </c>
      <c r="H25" s="19">
        <v>0.0</v>
      </c>
      <c r="I25" s="21">
        <v>0.80099687</v>
      </c>
      <c r="J25" s="19">
        <v>1.0</v>
      </c>
      <c r="K25" s="19">
        <v>0.0</v>
      </c>
      <c r="L25" s="19">
        <v>1.0</v>
      </c>
      <c r="M25" s="19">
        <v>1.0</v>
      </c>
      <c r="N25" s="18" t="inlineStr">
        <is>
          <t>2026-W42</t>
        </is>
      </c>
      <c r="O25" s="18" t="inlineStr">
        <is>
          <t>2fd31d33722311d8e0155bb5eca6b3a310ac938b</t>
        </is>
      </c>
      <c r="P25" s="18" t="inlineStr">
        <is>
          <t>football-data.org/v4</t>
        </is>
      </c>
      <c r="Q25" s="18"/>
      <c r="R25" s="18"/>
    </row>
    <row r="26" ht="36" customHeight="1">
      <c r="A26" s="18" t="inlineStr">
        <is>
          <t>Premier League|coventry city|newcastle|2026-10-12</t>
        </is>
      </c>
      <c r="B26" s="23">
        <v>46307.791666666664</v>
      </c>
      <c r="C26" s="18" t="inlineStr">
        <is>
          <t>Premier League</t>
        </is>
      </c>
      <c r="D26" s="18" t="inlineStr">
        <is>
          <t>Coventry City vs Newcastle United</t>
        </is>
      </c>
      <c r="E26" s="18" t="inlineStr">
        <is>
          <t>legacy/unspecified</t>
        </is>
      </c>
      <c r="F26" s="18" t="inlineStr">
        <is>
          <t>GRADED</t>
        </is>
      </c>
      <c r="G26" s="18" t="inlineStr">
        <is>
          <t>4-1</t>
        </is>
      </c>
      <c r="H26" s="19">
        <v>0.0</v>
      </c>
      <c r="I26" s="21">
        <v>1.09370541</v>
      </c>
      <c r="J26" s="19">
        <v>1.0</v>
      </c>
      <c r="K26" s="19">
        <v>0.0</v>
      </c>
      <c r="L26" s="19">
        <v>0.0</v>
      </c>
      <c r="M26" s="19">
        <v>0.0</v>
      </c>
      <c r="N26" s="18" t="inlineStr">
        <is>
          <t>2026-W42</t>
        </is>
      </c>
      <c r="O26" s="18" t="inlineStr">
        <is>
          <t>2fd31d33722311d8e0155bb5eca6b3a310ac938b</t>
        </is>
      </c>
      <c r="P26" s="18" t="inlineStr">
        <is>
          <t>football-data.org/v4</t>
        </is>
      </c>
      <c r="Q26" s="18"/>
      <c r="R26" s="18"/>
    </row>
    <row r="27" ht="36" customHeight="1">
      <c r="A27" s="18" t="inlineStr">
        <is>
          <t>UEFA Champions League|rc lens|sporting cp|2026-10-13</t>
        </is>
      </c>
      <c r="B27" s="23">
        <v>46308.697916666664</v>
      </c>
      <c r="C27" s="18" t="inlineStr">
        <is>
          <t>UEFA Champions League</t>
        </is>
      </c>
      <c r="D27" s="18" t="inlineStr">
        <is>
          <t>RC Lens vs Sporting Lisbon</t>
        </is>
      </c>
      <c r="E27" s="18" t="inlineStr">
        <is>
          <t>legacy/unspecified</t>
        </is>
      </c>
      <c r="F27" s="18" t="inlineStr">
        <is>
          <t>GRADED</t>
        </is>
      </c>
      <c r="G27" s="18" t="inlineStr">
        <is>
          <t>0-2</t>
        </is>
      </c>
      <c r="H27" s="19">
        <v>1.0</v>
      </c>
      <c r="I27" s="21">
        <v>0.51245005</v>
      </c>
      <c r="J27" s="19">
        <v>1.0</v>
      </c>
      <c r="K27" s="19">
        <v>1.0</v>
      </c>
      <c r="L27" s="19">
        <v>0.0</v>
      </c>
      <c r="M27" s="19">
        <v>0.0</v>
      </c>
      <c r="N27" s="18" t="inlineStr">
        <is>
          <t>2026-W42</t>
        </is>
      </c>
      <c r="O27" s="18" t="inlineStr">
        <is>
          <t>2fd31d33722311d8e0155bb5eca6b3a310ac938b</t>
        </is>
      </c>
      <c r="P27" s="18" t="inlineStr">
        <is>
          <t>football-data.org/v4</t>
        </is>
      </c>
      <c r="Q27" s="18"/>
      <c r="R27" s="18"/>
    </row>
    <row r="28" ht="36" customHeight="1">
      <c r="A28" s="18" t="inlineStr">
        <is>
          <t>UEFA Champions League|sabah fk|slavia prague|2026-10-13</t>
        </is>
      </c>
      <c r="B28" s="23">
        <v>46308.697916666664</v>
      </c>
      <c r="C28" s="18" t="inlineStr">
        <is>
          <t>UEFA Champions League</t>
        </is>
      </c>
      <c r="D28" s="18" t="inlineStr">
        <is>
          <t>Sabah FK vs Slavia Praha</t>
        </is>
      </c>
      <c r="E28" s="18" t="inlineStr">
        <is>
          <t>legacy/unspecified</t>
        </is>
      </c>
      <c r="F28" s="18" t="inlineStr">
        <is>
          <t>GRADED</t>
        </is>
      </c>
      <c r="G28" s="18" t="inlineStr">
        <is>
          <t>2-0</t>
        </is>
      </c>
      <c r="H28" s="19">
        <v>0.0</v>
      </c>
      <c r="I28" s="21">
        <v>1.01421231</v>
      </c>
      <c r="J28" s="19">
        <v>0.0</v>
      </c>
      <c r="K28" s="19">
        <v>1.0</v>
      </c>
      <c r="L28" s="19">
        <v>1.0</v>
      </c>
      <c r="M28" s="19">
        <v>1.0</v>
      </c>
      <c r="N28" s="18" t="inlineStr">
        <is>
          <t>2026-W42</t>
        </is>
      </c>
      <c r="O28" s="18" t="inlineStr">
        <is>
          <t>2fd31d33722311d8e0155bb5eca6b3a310ac938b</t>
        </is>
      </c>
      <c r="P28" s="18" t="inlineStr">
        <is>
          <t>football-data.org/v4</t>
        </is>
      </c>
      <c r="Q28" s="18"/>
      <c r="R28" s="18"/>
    </row>
    <row r="29" ht="36" customHeight="1">
      <c r="A29" s="18" t="inlineStr">
        <is>
          <t>UEFA Champions League|arsenal|lille|2026-10-13</t>
        </is>
      </c>
      <c r="B29" s="23">
        <v>46308.791666666664</v>
      </c>
      <c r="C29" s="18" t="inlineStr">
        <is>
          <t>UEFA Champions League</t>
        </is>
      </c>
      <c r="D29" s="18" t="inlineStr">
        <is>
          <t>Arsenal vs Lille</t>
        </is>
      </c>
      <c r="E29" s="18" t="inlineStr">
        <is>
          <t>legacy/unspecified</t>
        </is>
      </c>
      <c r="F29" s="18" t="inlineStr">
        <is>
          <t>GRADED</t>
        </is>
      </c>
      <c r="G29" s="18" t="inlineStr">
        <is>
          <t>3-0</t>
        </is>
      </c>
      <c r="H29" s="19">
        <v>1.0</v>
      </c>
      <c r="I29" s="21">
        <v>0.11601758</v>
      </c>
      <c r="J29" s="19">
        <v>1.0</v>
      </c>
      <c r="K29" s="19">
        <v>1.0</v>
      </c>
      <c r="L29" s="19">
        <v>1.0</v>
      </c>
      <c r="M29" s="19">
        <v>1.0</v>
      </c>
      <c r="N29" s="18" t="inlineStr">
        <is>
          <t>2026-W42</t>
        </is>
      </c>
      <c r="O29" s="18" t="inlineStr">
        <is>
          <t>2fd31d33722311d8e0155bb5eca6b3a310ac938b</t>
        </is>
      </c>
      <c r="P29" s="18" t="inlineStr">
        <is>
          <t>football-data.org/v4</t>
        </is>
      </c>
      <c r="Q29" s="18"/>
      <c r="R29" s="18"/>
    </row>
    <row r="30" ht="36" customHeight="1">
      <c r="A30" s="18" t="inlineStr">
        <is>
          <t>UEFA Champions League|ath madrid|man united|2026-10-13</t>
        </is>
      </c>
      <c r="B30" s="23">
        <v>46308.791666666664</v>
      </c>
      <c r="C30" s="18" t="inlineStr">
        <is>
          <t>UEFA Champions League</t>
        </is>
      </c>
      <c r="D30" s="18" t="inlineStr">
        <is>
          <t>Atlético Madrid vs Manchester United</t>
        </is>
      </c>
      <c r="E30" s="18" t="inlineStr">
        <is>
          <t>legacy/unspecified</t>
        </is>
      </c>
      <c r="F30" s="18" t="inlineStr">
        <is>
          <t>GRADED</t>
        </is>
      </c>
      <c r="G30" s="18" t="inlineStr">
        <is>
          <t>2-0</t>
        </is>
      </c>
      <c r="H30" s="19">
        <v>1.0</v>
      </c>
      <c r="I30" s="21">
        <v>0.23569509</v>
      </c>
      <c r="J30" s="19">
        <v>1.0</v>
      </c>
      <c r="K30" s="19">
        <v>0.0</v>
      </c>
      <c r="L30" s="19">
        <v>0.0</v>
      </c>
      <c r="M30" s="19">
        <v>0.0</v>
      </c>
      <c r="N30" s="18" t="inlineStr">
        <is>
          <t>2026-W42</t>
        </is>
      </c>
      <c r="O30" s="18" t="inlineStr">
        <is>
          <t>2fd31d33722311d8e0155bb5eca6b3a310ac938b</t>
        </is>
      </c>
      <c r="P30" s="18" t="inlineStr">
        <is>
          <t>football-data.org/v4</t>
        </is>
      </c>
      <c r="Q30" s="18"/>
      <c r="R30" s="18"/>
    </row>
    <row r="31" ht="36" customHeight="1">
      <c r="A31" s="18" t="inlineStr">
        <is>
          <t>UEFA Champions League|galatasaray|barcelona|2026-10-13</t>
        </is>
      </c>
      <c r="B31" s="23">
        <v>46308.791666666664</v>
      </c>
      <c r="C31" s="18" t="inlineStr">
        <is>
          <t>UEFA Champions League</t>
        </is>
      </c>
      <c r="D31" s="18" t="inlineStr">
        <is>
          <t>Galatasaray vs Barcelona</t>
        </is>
      </c>
      <c r="E31" s="18" t="inlineStr">
        <is>
          <t>legacy/unspecified</t>
        </is>
      </c>
      <c r="F31" s="18" t="inlineStr">
        <is>
          <t>GRADED</t>
        </is>
      </c>
      <c r="G31" s="18" t="inlineStr">
        <is>
          <t>1-4</t>
        </is>
      </c>
      <c r="H31" s="19">
        <v>1.0</v>
      </c>
      <c r="I31" s="21">
        <v>0.16902814</v>
      </c>
      <c r="J31" s="19">
        <v>1.0</v>
      </c>
      <c r="K31" s="19">
        <v>1.0</v>
      </c>
      <c r="L31" s="19">
        <v>1.0</v>
      </c>
      <c r="M31" s="19">
        <v>1.0</v>
      </c>
      <c r="N31" s="18" t="inlineStr">
        <is>
          <t>2026-W42</t>
        </is>
      </c>
      <c r="O31" s="18" t="inlineStr">
        <is>
          <t>2fd31d33722311d8e0155bb5eca6b3a310ac938b</t>
        </is>
      </c>
      <c r="P31" s="18" t="inlineStr">
        <is>
          <t>football-data.org/v4</t>
        </is>
      </c>
      <c r="Q31" s="18"/>
      <c r="R31" s="18"/>
    </row>
    <row r="32" ht="36" customHeight="1">
      <c r="A32" s="18" t="inlineStr">
        <is>
          <t>UEFA Champions League|inter|brugge|2026-10-13</t>
        </is>
      </c>
      <c r="B32" s="23">
        <v>46308.791666666664</v>
      </c>
      <c r="C32" s="18" t="inlineStr">
        <is>
          <t>UEFA Champions League</t>
        </is>
      </c>
      <c r="D32" s="18" t="inlineStr">
        <is>
          <t>Inter Milan vs Club Brugge</t>
        </is>
      </c>
      <c r="E32" s="18" t="inlineStr">
        <is>
          <t>legacy/unspecified</t>
        </is>
      </c>
      <c r="F32" s="18" t="inlineStr">
        <is>
          <t>GRADED</t>
        </is>
      </c>
      <c r="G32" s="18" t="inlineStr">
        <is>
          <t>3-4</t>
        </is>
      </c>
      <c r="H32" s="19">
        <v>0.0</v>
      </c>
      <c r="I32" s="21">
        <v>1.23745897</v>
      </c>
      <c r="J32" s="19">
        <v>1.0</v>
      </c>
      <c r="K32" s="19">
        <v>0.0</v>
      </c>
      <c r="L32" s="19">
        <v>1.0</v>
      </c>
      <c r="M32" s="19">
        <v>1.0</v>
      </c>
      <c r="N32" s="18" t="inlineStr">
        <is>
          <t>2026-W42</t>
        </is>
      </c>
      <c r="O32" s="18" t="inlineStr">
        <is>
          <t>2fd31d33722311d8e0155bb5eca6b3a310ac938b</t>
        </is>
      </c>
      <c r="P32" s="18" t="inlineStr">
        <is>
          <t>football-data.org/v4</t>
        </is>
      </c>
      <c r="Q32" s="18"/>
      <c r="R32" s="18"/>
    </row>
    <row r="33" ht="36" customHeight="1">
      <c r="A33" s="18" t="inlineStr">
        <is>
          <t>UEFA Champions League|rb leipzig|psv|2026-10-13</t>
        </is>
      </c>
      <c r="B33" s="23">
        <v>46308.791666666664</v>
      </c>
      <c r="C33" s="18" t="inlineStr">
        <is>
          <t>UEFA Champions League</t>
        </is>
      </c>
      <c r="D33" s="18" t="inlineStr">
        <is>
          <t>RB Leipzig vs PSV Eindhoven</t>
        </is>
      </c>
      <c r="E33" s="18" t="inlineStr">
        <is>
          <t>legacy/unspecified</t>
        </is>
      </c>
      <c r="F33" s="18" t="inlineStr">
        <is>
          <t>GRADED</t>
        </is>
      </c>
      <c r="G33" s="18" t="inlineStr">
        <is>
          <t>1-0</t>
        </is>
      </c>
      <c r="H33" s="19">
        <v>1.0</v>
      </c>
      <c r="I33" s="21">
        <v>0.51235352</v>
      </c>
      <c r="J33" s="19">
        <v>0.0</v>
      </c>
      <c r="K33" s="19">
        <v>1.0</v>
      </c>
      <c r="L33" s="19">
        <v>0.0</v>
      </c>
      <c r="M33" s="19">
        <v>0.0</v>
      </c>
      <c r="N33" s="18" t="inlineStr">
        <is>
          <t>2026-W42</t>
        </is>
      </c>
      <c r="O33" s="18" t="inlineStr">
        <is>
          <t>2fd31d33722311d8e0155bb5eca6b3a310ac938b</t>
        </is>
      </c>
      <c r="P33" s="18" t="inlineStr">
        <is>
          <t>football-data.org/v4</t>
        </is>
      </c>
      <c r="Q33" s="18"/>
      <c r="R33" s="18"/>
    </row>
    <row r="34" ht="36" customHeight="1">
      <c r="A34" s="18" t="inlineStr">
        <is>
          <t>UEFA Champions League|viking fk|bayern munich|2026-10-13</t>
        </is>
      </c>
      <c r="B34" s="23">
        <v>46308.791666666664</v>
      </c>
      <c r="C34" s="18" t="inlineStr">
        <is>
          <t>UEFA Champions League</t>
        </is>
      </c>
      <c r="D34" s="18" t="inlineStr">
        <is>
          <t>Viking FK vs Bayern Munich</t>
        </is>
      </c>
      <c r="E34" s="18" t="inlineStr">
        <is>
          <t>legacy/unspecified</t>
        </is>
      </c>
      <c r="F34" s="18" t="inlineStr">
        <is>
          <t>GRADED</t>
        </is>
      </c>
      <c r="G34" s="18" t="inlineStr">
        <is>
          <t>3-3</t>
        </is>
      </c>
      <c r="H34" s="19">
        <v>0.0</v>
      </c>
      <c r="I34" s="21">
        <v>1.7396574</v>
      </c>
      <c r="J34" s="19">
        <v>1.0</v>
      </c>
      <c r="K34" s="19">
        <v>1.0</v>
      </c>
      <c r="L34" s="19">
        <v>0.0</v>
      </c>
      <c r="M34" s="19">
        <v>0.0</v>
      </c>
      <c r="N34" s="18" t="inlineStr">
        <is>
          <t>2026-W42</t>
        </is>
      </c>
      <c r="O34" s="18" t="inlineStr">
        <is>
          <t>2fd31d33722311d8e0155bb5eca6b3a310ac938b</t>
        </is>
      </c>
      <c r="P34" s="18" t="inlineStr">
        <is>
          <t>football-data.org/v4</t>
        </is>
      </c>
      <c r="Q34" s="18"/>
      <c r="R34" s="18"/>
    </row>
    <row r="35" ht="36" customHeight="1">
      <c r="A35" s="18" t="inlineStr">
        <is>
          <t>UEFA Champions League|villarreal|napoli|2026-10-13</t>
        </is>
      </c>
      <c r="B35" s="23">
        <v>46308.791666666664</v>
      </c>
      <c r="C35" s="18" t="inlineStr">
        <is>
          <t>UEFA Champions League</t>
        </is>
      </c>
      <c r="D35" s="18" t="inlineStr">
        <is>
          <t>Villarreal vs Napoli</t>
        </is>
      </c>
      <c r="E35" s="18" t="inlineStr">
        <is>
          <t>legacy/unspecified</t>
        </is>
      </c>
      <c r="F35" s="18" t="inlineStr">
        <is>
          <t>GRADED</t>
        </is>
      </c>
      <c r="G35" s="18" t="inlineStr">
        <is>
          <t>3-1</t>
        </is>
      </c>
      <c r="H35" s="19">
        <v>0.0</v>
      </c>
      <c r="I35" s="21">
        <v>0.67595769</v>
      </c>
      <c r="J35" s="19">
        <v>1.0</v>
      </c>
      <c r="K35" s="19">
        <v>0.0</v>
      </c>
      <c r="L35" s="19">
        <v>0.0</v>
      </c>
      <c r="M35" s="19">
        <v>0.0</v>
      </c>
      <c r="N35" s="18" t="inlineStr">
        <is>
          <t>2026-W42</t>
        </is>
      </c>
      <c r="O35" s="18" t="inlineStr">
        <is>
          <t>2fd31d33722311d8e0155bb5eca6b3a310ac938b</t>
        </is>
      </c>
      <c r="P35" s="18" t="inlineStr">
        <is>
          <t>football-data.org/v4</t>
        </is>
      </c>
      <c r="Q35" s="18"/>
      <c r="R35" s="18"/>
    </row>
    <row r="36" ht="36" customHeight="1">
      <c r="A36" s="18" t="inlineStr">
        <is>
          <t>UEFA Champions League|feyenoord|como|2026-10-14</t>
        </is>
      </c>
      <c r="B36" s="23">
        <v>46309.697916666664</v>
      </c>
      <c r="C36" s="18" t="inlineStr">
        <is>
          <t>UEFA Champions League</t>
        </is>
      </c>
      <c r="D36" s="18" t="inlineStr">
        <is>
          <t>Feyenoord vs Como</t>
        </is>
      </c>
      <c r="E36" s="18" t="inlineStr">
        <is>
          <t>legacy/unspecified</t>
        </is>
      </c>
      <c r="F36" s="18" t="inlineStr">
        <is>
          <t>UNVERIFIED_FIXTURE_OR_RESULT</t>
        </is>
      </c>
      <c r="G36" s="18"/>
      <c r="H36" s="18"/>
      <c r="I36" s="21"/>
      <c r="J36" s="18"/>
      <c r="K36" s="18"/>
      <c r="L36" s="18"/>
      <c r="M36" s="18"/>
      <c r="N36" s="18" t="inlineStr">
        <is>
          <t>2026-W42</t>
        </is>
      </c>
      <c r="O36" s="18" t="inlineStr">
        <is>
          <t>2fd31d33722311d8e0155bb5eca6b3a310ac938b</t>
        </is>
      </c>
      <c r="P36" s="18"/>
      <c r="Q36" s="18"/>
      <c r="R36" s="18"/>
    </row>
    <row r="37" ht="36" customHeight="1">
      <c r="A37" s="18" t="inlineStr">
        <is>
          <t>UEFA Champions League|lask|liverpool|2026-10-14</t>
        </is>
      </c>
      <c r="B37" s="23">
        <v>46309.697916666664</v>
      </c>
      <c r="C37" s="18" t="inlineStr">
        <is>
          <t>UEFA Champions League</t>
        </is>
      </c>
      <c r="D37" s="18" t="inlineStr">
        <is>
          <t>LASK vs Liverpool</t>
        </is>
      </c>
      <c r="E37" s="18" t="inlineStr">
        <is>
          <t>legacy/unspecified</t>
        </is>
      </c>
      <c r="F37" s="18" t="inlineStr">
        <is>
          <t>GRADED</t>
        </is>
      </c>
      <c r="G37" s="18" t="inlineStr">
        <is>
          <t>3-6</t>
        </is>
      </c>
      <c r="H37" s="19">
        <v>1.0</v>
      </c>
      <c r="I37" s="21">
        <v>0.11630855</v>
      </c>
      <c r="J37" s="19">
        <v>1.0</v>
      </c>
      <c r="K37" s="19">
        <v>0.0</v>
      </c>
      <c r="L37" s="19">
        <v>0.0</v>
      </c>
      <c r="M37" s="19">
        <v>0.0</v>
      </c>
      <c r="N37" s="18" t="inlineStr">
        <is>
          <t>2026-W42</t>
        </is>
      </c>
      <c r="O37" s="18" t="inlineStr">
        <is>
          <t>2fd31d33722311d8e0155bb5eca6b3a310ac938b</t>
        </is>
      </c>
      <c r="P37" s="18" t="inlineStr">
        <is>
          <t>football-data.org/v4</t>
        </is>
      </c>
      <c r="Q37" s="18"/>
      <c r="R37" s="18"/>
    </row>
    <row r="38" ht="36" customHeight="1">
      <c r="A38" s="18" t="inlineStr">
        <is>
          <t>UEFA Champions League|as roma|real madrid|2026-10-14</t>
        </is>
      </c>
      <c r="B38" s="23">
        <v>46309.791666666664</v>
      </c>
      <c r="C38" s="18" t="inlineStr">
        <is>
          <t>UEFA Champions League</t>
        </is>
      </c>
      <c r="D38" s="18" t="inlineStr">
        <is>
          <t>AS Roma vs Real Madrid</t>
        </is>
      </c>
      <c r="E38" s="18" t="inlineStr">
        <is>
          <t>legacy/unspecified</t>
        </is>
      </c>
      <c r="F38" s="18" t="inlineStr">
        <is>
          <t>GRADED</t>
        </is>
      </c>
      <c r="G38" s="18" t="inlineStr">
        <is>
          <t>3-4</t>
        </is>
      </c>
      <c r="H38" s="19">
        <v>1.0</v>
      </c>
      <c r="I38" s="21">
        <v>0.35618254</v>
      </c>
      <c r="J38" s="19">
        <v>1.0</v>
      </c>
      <c r="K38" s="19">
        <v>0.0</v>
      </c>
      <c r="L38" s="19">
        <v>1.0</v>
      </c>
      <c r="M38" s="19">
        <v>1.0</v>
      </c>
      <c r="N38" s="18" t="inlineStr">
        <is>
          <t>2026-W42</t>
        </is>
      </c>
      <c r="O38" s="18" t="inlineStr">
        <is>
          <t>2fd31d33722311d8e0155bb5eca6b3a310ac938b</t>
        </is>
      </c>
      <c r="P38" s="18" t="inlineStr">
        <is>
          <t>football-data.org/v4</t>
        </is>
      </c>
      <c r="Q38" s="18"/>
      <c r="R38" s="18"/>
    </row>
    <row r="39" ht="36" customHeight="1">
      <c r="A39" s="18" t="inlineStr">
        <is>
          <t>UEFA Champions League|aston villa|fenerbahce|2026-10-14</t>
        </is>
      </c>
      <c r="B39" s="23">
        <v>46309.791666666664</v>
      </c>
      <c r="C39" s="18" t="inlineStr">
        <is>
          <t>UEFA Champions League</t>
        </is>
      </c>
      <c r="D39" s="18" t="inlineStr">
        <is>
          <t>Aston Villa vs Fenerbahce</t>
        </is>
      </c>
      <c r="E39" s="18" t="inlineStr">
        <is>
          <t>legacy/unspecified</t>
        </is>
      </c>
      <c r="F39" s="18" t="inlineStr">
        <is>
          <t>GRADED</t>
        </is>
      </c>
      <c r="G39" s="18" t="inlineStr">
        <is>
          <t>6-0</t>
        </is>
      </c>
      <c r="H39" s="19">
        <v>1.0</v>
      </c>
      <c r="I39" s="21">
        <v>0.17457391</v>
      </c>
      <c r="J39" s="19">
        <v>1.0</v>
      </c>
      <c r="K39" s="19">
        <v>0.0</v>
      </c>
      <c r="L39" s="19">
        <v>1.0</v>
      </c>
      <c r="M39" s="19">
        <v>1.0</v>
      </c>
      <c r="N39" s="18" t="inlineStr">
        <is>
          <t>2026-W42</t>
        </is>
      </c>
      <c r="O39" s="18" t="inlineStr">
        <is>
          <t>2fd31d33722311d8e0155bb5eca6b3a310ac938b</t>
        </is>
      </c>
      <c r="P39" s="18" t="inlineStr">
        <is>
          <t>football-data.org/v4</t>
        </is>
      </c>
      <c r="Q39" s="18"/>
      <c r="R39" s="18"/>
    </row>
    <row r="40" ht="36" customHeight="1">
      <c r="A40" s="18" t="inlineStr">
        <is>
          <t>UEFA Champions League|bod glimt|borussia dortmund|2026-10-14</t>
        </is>
      </c>
      <c r="B40" s="23">
        <v>46309.791666666664</v>
      </c>
      <c r="C40" s="18" t="inlineStr">
        <is>
          <t>UEFA Champions League</t>
        </is>
      </c>
      <c r="D40" s="18" t="inlineStr">
        <is>
          <t>Bodø/Glimt vs Borussia Dortmund</t>
        </is>
      </c>
      <c r="E40" s="18" t="inlineStr">
        <is>
          <t>legacy/unspecified</t>
        </is>
      </c>
      <c r="F40" s="18" t="inlineStr">
        <is>
          <t>GRADED</t>
        </is>
      </c>
      <c r="G40" s="18" t="inlineStr">
        <is>
          <t>1-0</t>
        </is>
      </c>
      <c r="H40" s="19">
        <v>0.0</v>
      </c>
      <c r="I40" s="21">
        <v>0.73892413</v>
      </c>
      <c r="J40" s="19">
        <v>0.0</v>
      </c>
      <c r="K40" s="19">
        <v>0.0</v>
      </c>
      <c r="L40" s="19">
        <v>0.0</v>
      </c>
      <c r="M40" s="19">
        <v>0.0</v>
      </c>
      <c r="N40" s="18" t="inlineStr">
        <is>
          <t>2026-W42</t>
        </is>
      </c>
      <c r="O40" s="18" t="inlineStr">
        <is>
          <t>2fd31d33722311d8e0155bb5eca6b3a310ac938b</t>
        </is>
      </c>
      <c r="P40" s="18" t="inlineStr">
        <is>
          <t>football-data.org/v4</t>
        </is>
      </c>
      <c r="Q40" s="18"/>
      <c r="R40" s="18"/>
    </row>
    <row r="41" ht="36" customHeight="1">
      <c r="A41" s="18" t="inlineStr">
        <is>
          <t>UEFA Champions League|man city|paris sg|2026-10-14</t>
        </is>
      </c>
      <c r="B41" s="23">
        <v>46309.791666666664</v>
      </c>
      <c r="C41" s="18" t="inlineStr">
        <is>
          <t>UEFA Champions League</t>
        </is>
      </c>
      <c r="D41" s="18" t="inlineStr">
        <is>
          <t>Manchester City vs Paris Saint Germain</t>
        </is>
      </c>
      <c r="E41" s="18" t="inlineStr">
        <is>
          <t>legacy/unspecified</t>
        </is>
      </c>
      <c r="F41" s="18" t="inlineStr">
        <is>
          <t>GRADED</t>
        </is>
      </c>
      <c r="G41" s="18" t="inlineStr">
        <is>
          <t>2-4</t>
        </is>
      </c>
      <c r="H41" s="19">
        <v>1.0</v>
      </c>
      <c r="I41" s="21">
        <v>0.42849714</v>
      </c>
      <c r="J41" s="19">
        <v>1.0</v>
      </c>
      <c r="K41" s="19">
        <v>1.0</v>
      </c>
      <c r="L41" s="19">
        <v>1.0</v>
      </c>
      <c r="M41" s="19">
        <v>1.0</v>
      </c>
      <c r="N41" s="18" t="inlineStr">
        <is>
          <t>2026-W42</t>
        </is>
      </c>
      <c r="O41" s="18" t="inlineStr">
        <is>
          <t>2fd31d33722311d8e0155bb5eca6b3a310ac938b</t>
        </is>
      </c>
      <c r="P41" s="18" t="inlineStr">
        <is>
          <t>football-data.org/v4</t>
        </is>
      </c>
      <c r="Q41" s="18"/>
      <c r="R41" s="18"/>
    </row>
    <row r="42" ht="36" customHeight="1">
      <c r="A42" s="18" t="inlineStr">
        <is>
          <t>UEFA Champions League|real betis|porto|2026-10-14</t>
        </is>
      </c>
      <c r="B42" s="23">
        <v>46309.791666666664</v>
      </c>
      <c r="C42" s="18" t="inlineStr">
        <is>
          <t>UEFA Champions League</t>
        </is>
      </c>
      <c r="D42" s="18" t="inlineStr">
        <is>
          <t>Real Betis vs Porto</t>
        </is>
      </c>
      <c r="E42" s="18" t="inlineStr">
        <is>
          <t>legacy/unspecified</t>
        </is>
      </c>
      <c r="F42" s="18" t="inlineStr">
        <is>
          <t>GRADED</t>
        </is>
      </c>
      <c r="G42" s="18" t="inlineStr">
        <is>
          <t>3-2</t>
        </is>
      </c>
      <c r="H42" s="19">
        <v>1.0</v>
      </c>
      <c r="I42" s="21">
        <v>0.18745153</v>
      </c>
      <c r="J42" s="19">
        <v>1.0</v>
      </c>
      <c r="K42" s="19">
        <v>1.0</v>
      </c>
      <c r="L42" s="19">
        <v>1.0</v>
      </c>
      <c r="M42" s="19">
        <v>1.0</v>
      </c>
      <c r="N42" s="18" t="inlineStr">
        <is>
          <t>2026-W42</t>
        </is>
      </c>
      <c r="O42" s="18" t="inlineStr">
        <is>
          <t>2fd31d33722311d8e0155bb5eca6b3a310ac938b</t>
        </is>
      </c>
      <c r="P42" s="18" t="inlineStr">
        <is>
          <t>football-data.org/v4</t>
        </is>
      </c>
      <c r="Q42" s="18"/>
      <c r="R42" s="18"/>
    </row>
    <row r="43" ht="36" customHeight="1">
      <c r="A43" s="18" t="inlineStr">
        <is>
          <t>UEFA Champions League|shakhtar|aek athens|2026-10-14</t>
        </is>
      </c>
      <c r="B43" s="23">
        <v>46309.791666666664</v>
      </c>
      <c r="C43" s="18" t="inlineStr">
        <is>
          <t>UEFA Champions League</t>
        </is>
      </c>
      <c r="D43" s="18" t="inlineStr">
        <is>
          <t>Shakhtar Donetsk vs AEK Athens</t>
        </is>
      </c>
      <c r="E43" s="18" t="inlineStr">
        <is>
          <t>legacy/unspecified</t>
        </is>
      </c>
      <c r="F43" s="18" t="inlineStr">
        <is>
          <t>UNVERIFIED_FIXTURE_OR_RESULT</t>
        </is>
      </c>
      <c r="G43" s="18"/>
      <c r="H43" s="18"/>
      <c r="I43" s="21"/>
      <c r="J43" s="18"/>
      <c r="K43" s="18"/>
      <c r="L43" s="18"/>
      <c r="M43" s="18"/>
      <c r="N43" s="18" t="inlineStr">
        <is>
          <t>2026-W42</t>
        </is>
      </c>
      <c r="O43" s="18" t="inlineStr">
        <is>
          <t>2fd31d33722311d8e0155bb5eca6b3a310ac938b</t>
        </is>
      </c>
      <c r="P43" s="18"/>
      <c r="Q43" s="18"/>
      <c r="R43" s="18"/>
    </row>
    <row r="44" ht="36" customHeight="1">
      <c r="A44" s="18" t="inlineStr">
        <is>
          <t>UEFA Champions League|sk slovan bratislava|vfb stuttgart|2026-10-14</t>
        </is>
      </c>
      <c r="B44" s="23">
        <v>46309.791666666664</v>
      </c>
      <c r="C44" s="18" t="inlineStr">
        <is>
          <t>UEFA Champions League</t>
        </is>
      </c>
      <c r="D44" s="18" t="inlineStr">
        <is>
          <t>ŠK Slovan Bratislava vs VfB Stuttgart</t>
        </is>
      </c>
      <c r="E44" s="18" t="inlineStr">
        <is>
          <t>legacy/unspecified</t>
        </is>
      </c>
      <c r="F44" s="18" t="inlineStr">
        <is>
          <t>GRADED</t>
        </is>
      </c>
      <c r="G44" s="18" t="inlineStr">
        <is>
          <t>0-3</t>
        </is>
      </c>
      <c r="H44" s="19">
        <v>1.0</v>
      </c>
      <c r="I44" s="21">
        <v>0.17832169</v>
      </c>
      <c r="J44" s="19">
        <v>1.0</v>
      </c>
      <c r="K44" s="19">
        <v>1.0</v>
      </c>
      <c r="L44" s="19">
        <v>0.0</v>
      </c>
      <c r="M44" s="19">
        <v>0.0</v>
      </c>
      <c r="N44" s="18" t="inlineStr">
        <is>
          <t>2026-W42</t>
        </is>
      </c>
      <c r="O44" s="18" t="inlineStr">
        <is>
          <t>2fd31d33722311d8e0155bb5eca6b3a310ac938b</t>
        </is>
      </c>
      <c r="P44" s="18" t="inlineStr">
        <is>
          <t>football-data.org/v4</t>
        </is>
      </c>
      <c r="Q44" s="18"/>
      <c r="R44" s="18"/>
    </row>
    <row r="45" ht="36" customHeight="1">
      <c r="A45" s="18" t="inlineStr">
        <is>
          <t>Bundesliga|eintracht frankfurt|1 koln|2026-10-16</t>
        </is>
      </c>
      <c r="B45" s="23">
        <v>46311.770833333336</v>
      </c>
      <c r="C45" s="18" t="inlineStr">
        <is>
          <t>Bundesliga</t>
        </is>
      </c>
      <c r="D45" s="18" t="inlineStr">
        <is>
          <t>Eintracht Frankfurt vs 1. FC Köln</t>
        </is>
      </c>
      <c r="E45" s="18" t="inlineStr">
        <is>
          <t>legacy/unspecified</t>
        </is>
      </c>
      <c r="F45" s="18" t="inlineStr">
        <is>
          <t>PENDING_KICKOFF_OR_FINAL_SCORE</t>
        </is>
      </c>
      <c r="G45" s="18"/>
      <c r="H45" s="18"/>
      <c r="I45" s="21"/>
      <c r="J45" s="18"/>
      <c r="K45" s="18"/>
      <c r="L45" s="18"/>
      <c r="M45" s="18"/>
      <c r="N45" s="18" t="inlineStr">
        <is>
          <t>2026-W42</t>
        </is>
      </c>
      <c r="O45" s="18" t="inlineStr">
        <is>
          <t>2fd31d33722311d8e0155bb5eca6b3a310ac938b</t>
        </is>
      </c>
      <c r="P45" s="18"/>
      <c r="Q45" s="18"/>
      <c r="R45" s="18"/>
    </row>
    <row r="46" ht="36" customHeight="1">
      <c r="A46" s="18" t="inlineStr">
        <is>
          <t>Ligue 1|le mans|toulouse|2026-10-16</t>
        </is>
      </c>
      <c r="B46" s="23">
        <v>46311.78125</v>
      </c>
      <c r="C46" s="18" t="inlineStr">
        <is>
          <t>Ligue 1</t>
        </is>
      </c>
      <c r="D46" s="18" t="inlineStr">
        <is>
          <t>Le Mans FC vs Toulouse</t>
        </is>
      </c>
      <c r="E46" s="18" t="inlineStr">
        <is>
          <t>legacy/unspecified</t>
        </is>
      </c>
      <c r="F46" s="18" t="inlineStr">
        <is>
          <t>PENDING_KICKOFF_OR_FINAL_SCORE</t>
        </is>
      </c>
      <c r="G46" s="18"/>
      <c r="H46" s="18"/>
      <c r="I46" s="21"/>
      <c r="J46" s="18"/>
      <c r="K46" s="18"/>
      <c r="L46" s="18"/>
      <c r="M46" s="18"/>
      <c r="N46" s="18" t="inlineStr">
        <is>
          <t>2026-W42</t>
        </is>
      </c>
      <c r="O46" s="18" t="inlineStr">
        <is>
          <t>2fd31d33722311d8e0155bb5eca6b3a310ac938b</t>
        </is>
      </c>
      <c r="P46" s="18"/>
      <c r="Q46" s="18"/>
      <c r="R46" s="18"/>
    </row>
    <row r="47" ht="36" customHeight="1">
      <c r="A47" s="18" t="inlineStr">
        <is>
          <t>Serie A|frosinone|sassuolo|2026-10-16</t>
        </is>
      </c>
      <c r="B47" s="23">
        <v>46311.78125</v>
      </c>
      <c r="C47" s="18" t="inlineStr">
        <is>
          <t>Serie A</t>
        </is>
      </c>
      <c r="D47" s="18" t="inlineStr">
        <is>
          <t>Frosinone vs Sassuolo</t>
        </is>
      </c>
      <c r="E47" s="18" t="inlineStr">
        <is>
          <t>legacy/unspecified</t>
        </is>
      </c>
      <c r="F47" s="18" t="inlineStr">
        <is>
          <t>PENDING_KICKOFF_OR_FINAL_SCORE</t>
        </is>
      </c>
      <c r="G47" s="18"/>
      <c r="H47" s="18"/>
      <c r="I47" s="21"/>
      <c r="J47" s="18"/>
      <c r="K47" s="18"/>
      <c r="L47" s="18"/>
      <c r="M47" s="18"/>
      <c r="N47" s="18" t="inlineStr">
        <is>
          <t>2026-W42</t>
        </is>
      </c>
      <c r="O47" s="18" t="inlineStr">
        <is>
          <t>2fd31d33722311d8e0155bb5eca6b3a310ac938b</t>
        </is>
      </c>
      <c r="P47" s="18"/>
      <c r="Q47" s="18"/>
      <c r="R47" s="18"/>
    </row>
    <row r="48" ht="36" customHeight="1">
      <c r="A48" s="18" t="inlineStr">
        <is>
          <t>La Liga|deportivo la coruna|levante|2026-10-16</t>
        </is>
      </c>
      <c r="B48" s="23">
        <v>46311.791666666664</v>
      </c>
      <c r="C48" s="18" t="inlineStr">
        <is>
          <t>La Liga</t>
        </is>
      </c>
      <c r="D48" s="18" t="inlineStr">
        <is>
          <t>Deportivo La Coruña vs Levante</t>
        </is>
      </c>
      <c r="E48" s="18" t="inlineStr">
        <is>
          <t>legacy/unspecified</t>
        </is>
      </c>
      <c r="F48" s="18" t="inlineStr">
        <is>
          <t>PENDING_KICKOFF_OR_FINAL_SCORE</t>
        </is>
      </c>
      <c r="G48" s="18"/>
      <c r="H48" s="18"/>
      <c r="I48" s="21"/>
      <c r="J48" s="18"/>
      <c r="K48" s="18"/>
      <c r="L48" s="18"/>
      <c r="M48" s="18"/>
      <c r="N48" s="18" t="inlineStr">
        <is>
          <t>2026-W42</t>
        </is>
      </c>
      <c r="O48" s="18" t="inlineStr">
        <is>
          <t>2fd31d33722311d8e0155bb5eca6b3a310ac938b</t>
        </is>
      </c>
      <c r="P48" s="18"/>
      <c r="Q48" s="18"/>
      <c r="R48" s="18"/>
    </row>
    <row r="49" ht="36" customHeight="1">
      <c r="A49" s="18" t="inlineStr">
        <is>
          <t>Premier League|everton|chelsea|2026-10-17</t>
        </is>
      </c>
      <c r="B49" s="23">
        <v>46312.479166666664</v>
      </c>
      <c r="C49" s="18" t="inlineStr">
        <is>
          <t>Premier League</t>
        </is>
      </c>
      <c r="D49" s="18" t="inlineStr">
        <is>
          <t>Everton vs Chelsea</t>
        </is>
      </c>
      <c r="E49" s="18" t="inlineStr">
        <is>
          <t>legacy/unspecified</t>
        </is>
      </c>
      <c r="F49" s="18" t="inlineStr">
        <is>
          <t>PENDING_KICKOFF_OR_FINAL_SCORE</t>
        </is>
      </c>
      <c r="G49" s="18"/>
      <c r="H49" s="18"/>
      <c r="I49" s="21"/>
      <c r="J49" s="18"/>
      <c r="K49" s="18"/>
      <c r="L49" s="18"/>
      <c r="M49" s="18"/>
      <c r="N49" s="18" t="inlineStr">
        <is>
          <t>2026-W42</t>
        </is>
      </c>
      <c r="O49" s="18" t="inlineStr">
        <is>
          <t>2fd31d33722311d8e0155bb5eca6b3a310ac938b</t>
        </is>
      </c>
      <c r="P49" s="18"/>
      <c r="Q49" s="18"/>
      <c r="R49" s="18"/>
    </row>
    <row r="50" ht="36" customHeight="1">
      <c r="A50" s="18" t="inlineStr">
        <is>
          <t>La Liga|espanyol|ath madrid|2026-10-17</t>
        </is>
      </c>
      <c r="B50" s="23">
        <v>46312.5</v>
      </c>
      <c r="C50" s="18" t="inlineStr">
        <is>
          <t>La Liga</t>
        </is>
      </c>
      <c r="D50" s="18" t="inlineStr">
        <is>
          <t>Espanyol vs Atlético Madrid</t>
        </is>
      </c>
      <c r="E50" s="18" t="inlineStr">
        <is>
          <t>legacy/unspecified</t>
        </is>
      </c>
      <c r="F50" s="18" t="inlineStr">
        <is>
          <t>PENDING_KICKOFF_OR_FINAL_SCORE</t>
        </is>
      </c>
      <c r="G50" s="18"/>
      <c r="H50" s="18"/>
      <c r="I50" s="21"/>
      <c r="J50" s="18"/>
      <c r="K50" s="18"/>
      <c r="L50" s="18"/>
      <c r="M50" s="18"/>
      <c r="N50" s="18" t="inlineStr">
        <is>
          <t>2026-W42</t>
        </is>
      </c>
      <c r="O50" s="18" t="inlineStr">
        <is>
          <t>2fd31d33722311d8e0155bb5eca6b3a310ac938b</t>
        </is>
      </c>
      <c r="P50" s="18"/>
      <c r="Q50" s="18"/>
      <c r="R50" s="18"/>
    </row>
    <row r="51" ht="36" customHeight="1">
      <c r="A51" s="18" t="inlineStr">
        <is>
          <t>Serie A|venezia|napoli|2026-10-17</t>
        </is>
      </c>
      <c r="B51" s="23">
        <v>46312.541666666664</v>
      </c>
      <c r="C51" s="18" t="inlineStr">
        <is>
          <t>Serie A</t>
        </is>
      </c>
      <c r="D51" s="18" t="inlineStr">
        <is>
          <t>Venezia vs Napoli</t>
        </is>
      </c>
      <c r="E51" s="18" t="inlineStr">
        <is>
          <t>legacy/unspecified</t>
        </is>
      </c>
      <c r="F51" s="18" t="inlineStr">
        <is>
          <t>PENDING_KICKOFF_OR_FINAL_SCORE</t>
        </is>
      </c>
      <c r="G51" s="18"/>
      <c r="H51" s="18"/>
      <c r="I51" s="21"/>
      <c r="J51" s="18"/>
      <c r="K51" s="18"/>
      <c r="L51" s="18"/>
      <c r="M51" s="18"/>
      <c r="N51" s="18" t="inlineStr">
        <is>
          <t>2026-W42</t>
        </is>
      </c>
      <c r="O51" s="18" t="inlineStr">
        <is>
          <t>2fd31d33722311d8e0155bb5eca6b3a310ac938b</t>
        </is>
      </c>
      <c r="P51" s="18"/>
      <c r="Q51" s="18"/>
      <c r="R51" s="18"/>
    </row>
    <row r="52" ht="36" customHeight="1">
      <c r="A52" s="18" t="inlineStr">
        <is>
          <t>Bundesliga|elversberg|augsburg|2026-10-17</t>
        </is>
      </c>
      <c r="B52" s="23">
        <v>46312.5625</v>
      </c>
      <c r="C52" s="18" t="inlineStr">
        <is>
          <t>Bundesliga</t>
        </is>
      </c>
      <c r="D52" s="18" t="inlineStr">
        <is>
          <t>Elversberg vs Augsburg</t>
        </is>
      </c>
      <c r="E52" s="18" t="inlineStr">
        <is>
          <t>legacy/unspecified</t>
        </is>
      </c>
      <c r="F52" s="18" t="inlineStr">
        <is>
          <t>PENDING_KICKOFF_OR_FINAL_SCORE</t>
        </is>
      </c>
      <c r="G52" s="18"/>
      <c r="H52" s="18"/>
      <c r="I52" s="21"/>
      <c r="J52" s="18"/>
      <c r="K52" s="18"/>
      <c r="L52" s="18"/>
      <c r="M52" s="18"/>
      <c r="N52" s="18" t="inlineStr">
        <is>
          <t>2026-W42</t>
        </is>
      </c>
      <c r="O52" s="18" t="inlineStr">
        <is>
          <t>2fd31d33722311d8e0155bb5eca6b3a310ac938b</t>
        </is>
      </c>
      <c r="P52" s="18"/>
      <c r="Q52" s="18"/>
      <c r="R52" s="18"/>
    </row>
    <row r="53" ht="36" customHeight="1">
      <c r="A53" s="18" t="inlineStr">
        <is>
          <t>Bundesliga|hamburger|vfb stuttgart|2026-10-17</t>
        </is>
      </c>
      <c r="B53" s="23">
        <v>46312.5625</v>
      </c>
      <c r="C53" s="18" t="inlineStr">
        <is>
          <t>Bundesliga</t>
        </is>
      </c>
      <c r="D53" s="18" t="inlineStr">
        <is>
          <t>Hamburger SV vs VfB Stuttgart</t>
        </is>
      </c>
      <c r="E53" s="18" t="inlineStr">
        <is>
          <t>legacy/unspecified</t>
        </is>
      </c>
      <c r="F53" s="18" t="inlineStr">
        <is>
          <t>PENDING_KICKOFF_OR_FINAL_SCORE</t>
        </is>
      </c>
      <c r="G53" s="18"/>
      <c r="H53" s="18"/>
      <c r="I53" s="21"/>
      <c r="J53" s="18"/>
      <c r="K53" s="18"/>
      <c r="L53" s="18"/>
      <c r="M53" s="18"/>
      <c r="N53" s="18" t="inlineStr">
        <is>
          <t>2026-W42</t>
        </is>
      </c>
      <c r="O53" s="18" t="inlineStr">
        <is>
          <t>2fd31d33722311d8e0155bb5eca6b3a310ac938b</t>
        </is>
      </c>
      <c r="P53" s="18"/>
      <c r="Q53" s="18"/>
      <c r="R53" s="18"/>
    </row>
    <row r="54" ht="36" customHeight="1">
      <c r="A54" s="18" t="inlineStr">
        <is>
          <t>Bundesliga|schalke|fsv mainz|2026-10-17</t>
        </is>
      </c>
      <c r="B54" s="23">
        <v>46312.5625</v>
      </c>
      <c r="C54" s="18" t="inlineStr">
        <is>
          <t>Bundesliga</t>
        </is>
      </c>
      <c r="D54" s="18" t="inlineStr">
        <is>
          <t>FC Schalke 04 vs FSV Mainz 05</t>
        </is>
      </c>
      <c r="E54" s="18" t="inlineStr">
        <is>
          <t>legacy/unspecified</t>
        </is>
      </c>
      <c r="F54" s="18" t="inlineStr">
        <is>
          <t>PENDING_KICKOFF_OR_FINAL_SCORE</t>
        </is>
      </c>
      <c r="G54" s="18"/>
      <c r="H54" s="18"/>
      <c r="I54" s="21"/>
      <c r="J54" s="18"/>
      <c r="K54" s="18"/>
      <c r="L54" s="18"/>
      <c r="M54" s="18"/>
      <c r="N54" s="18" t="inlineStr">
        <is>
          <t>2026-W42</t>
        </is>
      </c>
      <c r="O54" s="18" t="inlineStr">
        <is>
          <t>2fd31d33722311d8e0155bb5eca6b3a310ac938b</t>
        </is>
      </c>
      <c r="P54" s="18"/>
      <c r="Q54" s="18"/>
      <c r="R54" s="18"/>
    </row>
    <row r="55" ht="36" customHeight="1">
      <c r="A55" s="18" t="inlineStr">
        <is>
          <t>Bundesliga|union berlin|borussia dortmund|2026-10-17</t>
        </is>
      </c>
      <c r="B55" s="23">
        <v>46312.5625</v>
      </c>
      <c r="C55" s="18" t="inlineStr">
        <is>
          <t>Bundesliga</t>
        </is>
      </c>
      <c r="D55" s="18" t="inlineStr">
        <is>
          <t>Union Berlin vs Borussia Dortmund</t>
        </is>
      </c>
      <c r="E55" s="18" t="inlineStr">
        <is>
          <t>legacy/unspecified</t>
        </is>
      </c>
      <c r="F55" s="18" t="inlineStr">
        <is>
          <t>PENDING_KICKOFF_OR_FINAL_SCORE</t>
        </is>
      </c>
      <c r="G55" s="18"/>
      <c r="H55" s="18"/>
      <c r="I55" s="21"/>
      <c r="J55" s="18"/>
      <c r="K55" s="18"/>
      <c r="L55" s="18"/>
      <c r="M55" s="18"/>
      <c r="N55" s="18" t="inlineStr">
        <is>
          <t>2026-W42</t>
        </is>
      </c>
      <c r="O55" s="18" t="inlineStr">
        <is>
          <t>2fd31d33722311d8e0155bb5eca6b3a310ac938b</t>
        </is>
      </c>
      <c r="P55" s="18"/>
      <c r="Q55" s="18"/>
      <c r="R55" s="18"/>
    </row>
    <row r="56" ht="36" customHeight="1">
      <c r="A56" s="18" t="inlineStr">
        <is>
          <t>Bundesliga|werder bremen|paderborn|2026-10-17</t>
        </is>
      </c>
      <c r="B56" s="23">
        <v>46312.5625</v>
      </c>
      <c r="C56" s="18" t="inlineStr">
        <is>
          <t>Bundesliga</t>
        </is>
      </c>
      <c r="D56" s="18" t="inlineStr">
        <is>
          <t>Werder Bremen vs SC Paderborn</t>
        </is>
      </c>
      <c r="E56" s="18" t="inlineStr">
        <is>
          <t>legacy/unspecified</t>
        </is>
      </c>
      <c r="F56" s="18" t="inlineStr">
        <is>
          <t>PENDING_KICKOFF_OR_FINAL_SCORE</t>
        </is>
      </c>
      <c r="G56" s="18"/>
      <c r="H56" s="18"/>
      <c r="I56" s="21"/>
      <c r="J56" s="18"/>
      <c r="K56" s="18"/>
      <c r="L56" s="18"/>
      <c r="M56" s="18"/>
      <c r="N56" s="18" t="inlineStr">
        <is>
          <t>2026-W42</t>
        </is>
      </c>
      <c r="O56" s="18" t="inlineStr">
        <is>
          <t>2fd31d33722311d8e0155bb5eca6b3a310ac938b</t>
        </is>
      </c>
      <c r="P56" s="18"/>
      <c r="Q56" s="18"/>
      <c r="R56" s="18"/>
    </row>
    <row r="57" ht="36" customHeight="1">
      <c r="A57" s="18" t="inlineStr">
        <is>
          <t>Premier League|brentford|liverpool|2026-10-17</t>
        </is>
      </c>
      <c r="B57" s="23">
        <v>46312.583333333336</v>
      </c>
      <c r="C57" s="18" t="inlineStr">
        <is>
          <t>Premier League</t>
        </is>
      </c>
      <c r="D57" s="18" t="inlineStr">
        <is>
          <t>Brentford vs Liverpool</t>
        </is>
      </c>
      <c r="E57" s="18" t="inlineStr">
        <is>
          <t>legacy/unspecified</t>
        </is>
      </c>
      <c r="F57" s="18" t="inlineStr">
        <is>
          <t>PENDING_KICKOFF_OR_FINAL_SCORE</t>
        </is>
      </c>
      <c r="G57" s="18"/>
      <c r="H57" s="18"/>
      <c r="I57" s="21"/>
      <c r="J57" s="18"/>
      <c r="K57" s="18"/>
      <c r="L57" s="18"/>
      <c r="M57" s="18"/>
      <c r="N57" s="18" t="inlineStr">
        <is>
          <t>2026-W42</t>
        </is>
      </c>
      <c r="O57" s="18" t="inlineStr">
        <is>
          <t>2fd31d33722311d8e0155bb5eca6b3a310ac938b</t>
        </is>
      </c>
      <c r="P57" s="18"/>
      <c r="Q57" s="18"/>
      <c r="R57" s="18"/>
    </row>
    <row r="58" ht="36" customHeight="1">
      <c r="A58" s="18" t="inlineStr">
        <is>
          <t>Premier League|fulham|hull city|2026-10-17</t>
        </is>
      </c>
      <c r="B58" s="23">
        <v>46312.583333333336</v>
      </c>
      <c r="C58" s="18" t="inlineStr">
        <is>
          <t>Premier League</t>
        </is>
      </c>
      <c r="D58" s="18" t="inlineStr">
        <is>
          <t>Fulham vs Hull City</t>
        </is>
      </c>
      <c r="E58" s="18" t="inlineStr">
        <is>
          <t>legacy/unspecified</t>
        </is>
      </c>
      <c r="F58" s="18" t="inlineStr">
        <is>
          <t>PENDING_KICKOFF_OR_FINAL_SCORE</t>
        </is>
      </c>
      <c r="G58" s="18"/>
      <c r="H58" s="18"/>
      <c r="I58" s="21"/>
      <c r="J58" s="18"/>
      <c r="K58" s="18"/>
      <c r="L58" s="18"/>
      <c r="M58" s="18"/>
      <c r="N58" s="18" t="inlineStr">
        <is>
          <t>2026-W42</t>
        </is>
      </c>
      <c r="O58" s="18" t="inlineStr">
        <is>
          <t>2fd31d33722311d8e0155bb5eca6b3a310ac938b</t>
        </is>
      </c>
      <c r="P58" s="18"/>
      <c r="Q58" s="18"/>
      <c r="R58" s="18"/>
    </row>
    <row r="59" ht="36" customHeight="1">
      <c r="A59" s="18" t="inlineStr">
        <is>
          <t>Premier League|man city|ipswich town|2026-10-17</t>
        </is>
      </c>
      <c r="B59" s="23">
        <v>46312.583333333336</v>
      </c>
      <c r="C59" s="18" t="inlineStr">
        <is>
          <t>Premier League</t>
        </is>
      </c>
      <c r="D59" s="18" t="inlineStr">
        <is>
          <t>Manchester City vs Ipswich Town</t>
        </is>
      </c>
      <c r="E59" s="18" t="inlineStr">
        <is>
          <t>legacy/unspecified</t>
        </is>
      </c>
      <c r="F59" s="18" t="inlineStr">
        <is>
          <t>PENDING_KICKOFF_OR_FINAL_SCORE</t>
        </is>
      </c>
      <c r="G59" s="18"/>
      <c r="H59" s="18"/>
      <c r="I59" s="21"/>
      <c r="J59" s="18"/>
      <c r="K59" s="18"/>
      <c r="L59" s="18"/>
      <c r="M59" s="18"/>
      <c r="N59" s="18" t="inlineStr">
        <is>
          <t>2026-W42</t>
        </is>
      </c>
      <c r="O59" s="18" t="inlineStr">
        <is>
          <t>2fd31d33722311d8e0155bb5eca6b3a310ac938b</t>
        </is>
      </c>
      <c r="P59" s="18"/>
      <c r="Q59" s="18"/>
      <c r="R59" s="18"/>
    </row>
    <row r="60" ht="36" customHeight="1">
      <c r="A60" s="18" t="inlineStr">
        <is>
          <t>La Liga|villarreal|elche|2026-10-17</t>
        </is>
      </c>
      <c r="B60" s="23">
        <v>46312.59375</v>
      </c>
      <c r="C60" s="18" t="inlineStr">
        <is>
          <t>La Liga</t>
        </is>
      </c>
      <c r="D60" s="18" t="inlineStr">
        <is>
          <t>Villarreal vs Elche CF</t>
        </is>
      </c>
      <c r="E60" s="18" t="inlineStr">
        <is>
          <t>legacy/unspecified</t>
        </is>
      </c>
      <c r="F60" s="18" t="inlineStr">
        <is>
          <t>PENDING_KICKOFF_OR_FINAL_SCORE</t>
        </is>
      </c>
      <c r="G60" s="18"/>
      <c r="H60" s="18"/>
      <c r="I60" s="21"/>
      <c r="J60" s="18"/>
      <c r="K60" s="18"/>
      <c r="L60" s="18"/>
      <c r="M60" s="18"/>
      <c r="N60" s="18" t="inlineStr">
        <is>
          <t>2026-W42</t>
        </is>
      </c>
      <c r="O60" s="18" t="inlineStr">
        <is>
          <t>2fd31d33722311d8e0155bb5eca6b3a310ac938b</t>
        </is>
      </c>
      <c r="P60" s="18"/>
      <c r="Q60" s="18"/>
      <c r="R60" s="18"/>
    </row>
    <row r="61" ht="36" customHeight="1">
      <c r="A61" s="18" t="inlineStr">
        <is>
          <t>Ligue 1|strasbourg|paris sg|2026-10-17</t>
        </is>
      </c>
      <c r="B61" s="23">
        <v>46312.635416666664</v>
      </c>
      <c r="C61" s="18" t="inlineStr">
        <is>
          <t>Ligue 1</t>
        </is>
      </c>
      <c r="D61" s="18" t="inlineStr">
        <is>
          <t>Strasbourg vs Paris Saint Germain</t>
        </is>
      </c>
      <c r="E61" s="18" t="inlineStr">
        <is>
          <t>legacy/unspecified</t>
        </is>
      </c>
      <c r="F61" s="18" t="inlineStr">
        <is>
          <t>PENDING_KICKOFF_OR_FINAL_SCORE</t>
        </is>
      </c>
      <c r="G61" s="18"/>
      <c r="H61" s="18"/>
      <c r="I61" s="21"/>
      <c r="J61" s="18"/>
      <c r="K61" s="18"/>
      <c r="L61" s="18"/>
      <c r="M61" s="18"/>
      <c r="N61" s="18" t="inlineStr">
        <is>
          <t>2026-W42</t>
        </is>
      </c>
      <c r="O61" s="18" t="inlineStr">
        <is>
          <t>2fd31d33722311d8e0155bb5eca6b3a310ac938b</t>
        </is>
      </c>
      <c r="P61" s="18"/>
      <c r="Q61" s="18"/>
      <c r="R61" s="18"/>
    </row>
    <row r="62" ht="36" customHeight="1">
      <c r="A62" s="18" t="inlineStr">
        <is>
          <t>Serie A|bologna|inter|2026-10-17</t>
        </is>
      </c>
      <c r="B62" s="23">
        <v>46312.666666666664</v>
      </c>
      <c r="C62" s="18" t="inlineStr">
        <is>
          <t>Serie A</t>
        </is>
      </c>
      <c r="D62" s="18" t="inlineStr">
        <is>
          <t>Bologna vs Inter Milan</t>
        </is>
      </c>
      <c r="E62" s="18" t="inlineStr">
        <is>
          <t>legacy/unspecified</t>
        </is>
      </c>
      <c r="F62" s="18" t="inlineStr">
        <is>
          <t>PENDING_KICKOFF_OR_FINAL_SCORE</t>
        </is>
      </c>
      <c r="G62" s="18"/>
      <c r="H62" s="18"/>
      <c r="I62" s="21"/>
      <c r="J62" s="18"/>
      <c r="K62" s="18"/>
      <c r="L62" s="18"/>
      <c r="M62" s="18"/>
      <c r="N62" s="18" t="inlineStr">
        <is>
          <t>2026-W42</t>
        </is>
      </c>
      <c r="O62" s="18" t="inlineStr">
        <is>
          <t>2fd31d33722311d8e0155bb5eca6b3a310ac938b</t>
        </is>
      </c>
      <c r="P62" s="18"/>
      <c r="Q62" s="18"/>
      <c r="R62" s="18"/>
    </row>
    <row r="63" ht="36" customHeight="1">
      <c r="A63" s="18" t="inlineStr">
        <is>
          <t>Bundesliga|bayern munich|rb leipzig|2026-10-17</t>
        </is>
      </c>
      <c r="B63" s="23">
        <v>46312.6875</v>
      </c>
      <c r="C63" s="18" t="inlineStr">
        <is>
          <t>Bundesliga</t>
        </is>
      </c>
      <c r="D63" s="18" t="inlineStr">
        <is>
          <t>Bayern Munich vs RB Leipzig</t>
        </is>
      </c>
      <c r="E63" s="18" t="inlineStr">
        <is>
          <t>legacy/unspecified</t>
        </is>
      </c>
      <c r="F63" s="18" t="inlineStr">
        <is>
          <t>PENDING_KICKOFF_OR_FINAL_SCORE</t>
        </is>
      </c>
      <c r="G63" s="18"/>
      <c r="H63" s="18"/>
      <c r="I63" s="21"/>
      <c r="J63" s="18"/>
      <c r="K63" s="18"/>
      <c r="L63" s="18"/>
      <c r="M63" s="18"/>
      <c r="N63" s="18" t="inlineStr">
        <is>
          <t>2026-W42</t>
        </is>
      </c>
      <c r="O63" s="18" t="inlineStr">
        <is>
          <t>2fd31d33722311d8e0155bb5eca6b3a310ac938b</t>
        </is>
      </c>
      <c r="P63" s="18"/>
      <c r="Q63" s="18"/>
      <c r="R63" s="18"/>
    </row>
    <row r="64" ht="36" customHeight="1">
      <c r="A64" s="18" t="inlineStr">
        <is>
          <t>La Liga|real betis|barcelona|2026-10-17</t>
        </is>
      </c>
      <c r="B64" s="23">
        <v>46312.6875</v>
      </c>
      <c r="C64" s="18" t="inlineStr">
        <is>
          <t>La Liga</t>
        </is>
      </c>
      <c r="D64" s="18" t="inlineStr">
        <is>
          <t>Real Betis vs Barcelona</t>
        </is>
      </c>
      <c r="E64" s="18" t="inlineStr">
        <is>
          <t>legacy/unspecified</t>
        </is>
      </c>
      <c r="F64" s="18" t="inlineStr">
        <is>
          <t>PENDING_KICKOFF_OR_FINAL_SCORE</t>
        </is>
      </c>
      <c r="G64" s="18"/>
      <c r="H64" s="18"/>
      <c r="I64" s="21"/>
      <c r="J64" s="18"/>
      <c r="K64" s="18"/>
      <c r="L64" s="18"/>
      <c r="M64" s="18"/>
      <c r="N64" s="18" t="inlineStr">
        <is>
          <t>2026-W42</t>
        </is>
      </c>
      <c r="O64" s="18" t="inlineStr">
        <is>
          <t>2fd31d33722311d8e0155bb5eca6b3a310ac938b</t>
        </is>
      </c>
      <c r="P64" s="18"/>
      <c r="Q64" s="18"/>
      <c r="R64" s="18"/>
    </row>
    <row r="65" ht="36" customHeight="1">
      <c r="A65" s="18" t="inlineStr">
        <is>
          <t>Premier League|newcastle|aston villa|2026-10-17</t>
        </is>
      </c>
      <c r="B65" s="23">
        <v>46312.6875</v>
      </c>
      <c r="C65" s="18" t="inlineStr">
        <is>
          <t>Premier League</t>
        </is>
      </c>
      <c r="D65" s="18" t="inlineStr">
        <is>
          <t>Newcastle United vs Aston Villa</t>
        </is>
      </c>
      <c r="E65" s="18" t="inlineStr">
        <is>
          <t>legacy/unspecified</t>
        </is>
      </c>
      <c r="F65" s="18" t="inlineStr">
        <is>
          <t>PENDING_KICKOFF_OR_FINAL_SCORE</t>
        </is>
      </c>
      <c r="G65" s="18"/>
      <c r="H65" s="18"/>
      <c r="I65" s="21"/>
      <c r="J65" s="18"/>
      <c r="K65" s="18"/>
      <c r="L65" s="18"/>
      <c r="M65" s="18"/>
      <c r="N65" s="18" t="inlineStr">
        <is>
          <t>2026-W42</t>
        </is>
      </c>
      <c r="O65" s="18" t="inlineStr">
        <is>
          <t>2fd31d33722311d8e0155bb5eca6b3a310ac938b</t>
        </is>
      </c>
      <c r="P65" s="18"/>
      <c r="Q65" s="18"/>
      <c r="R65" s="18"/>
    </row>
    <row r="66" ht="36" customHeight="1">
      <c r="A66" s="18" t="inlineStr">
        <is>
          <t>Ligue 1|lille|brest|2026-10-17</t>
        </is>
      </c>
      <c r="B66" s="23">
        <v>46312.78125</v>
      </c>
      <c r="C66" s="18" t="inlineStr">
        <is>
          <t>Ligue 1</t>
        </is>
      </c>
      <c r="D66" s="18" t="inlineStr">
        <is>
          <t>Lille vs Brest</t>
        </is>
      </c>
      <c r="E66" s="18" t="inlineStr">
        <is>
          <t>legacy/unspecified</t>
        </is>
      </c>
      <c r="F66" s="18" t="inlineStr">
        <is>
          <t>PENDING_KICKOFF_OR_FINAL_SCORE</t>
        </is>
      </c>
      <c r="G66" s="18"/>
      <c r="H66" s="18"/>
      <c r="I66" s="21"/>
      <c r="J66" s="18"/>
      <c r="K66" s="18"/>
      <c r="L66" s="18"/>
      <c r="M66" s="18"/>
      <c r="N66" s="18" t="inlineStr">
        <is>
          <t>2026-W42</t>
        </is>
      </c>
      <c r="O66" s="18" t="inlineStr">
        <is>
          <t>2fd31d33722311d8e0155bb5eca6b3a310ac938b</t>
        </is>
      </c>
      <c r="P66" s="18"/>
      <c r="Q66" s="18"/>
      <c r="R66" s="18"/>
    </row>
    <row r="67" ht="36" customHeight="1">
      <c r="A67" s="18" t="inlineStr">
        <is>
          <t>Ligue 1|troyes|rc lens|2026-10-17</t>
        </is>
      </c>
      <c r="B67" s="23">
        <v>46312.78125</v>
      </c>
      <c r="C67" s="18" t="inlineStr">
        <is>
          <t>Ligue 1</t>
        </is>
      </c>
      <c r="D67" s="18" t="inlineStr">
        <is>
          <t>Troyes vs RC Lens</t>
        </is>
      </c>
      <c r="E67" s="18" t="inlineStr">
        <is>
          <t>legacy/unspecified</t>
        </is>
      </c>
      <c r="F67" s="18" t="inlineStr">
        <is>
          <t>PENDING_KICKOFF_OR_FINAL_SCORE</t>
        </is>
      </c>
      <c r="G67" s="18"/>
      <c r="H67" s="18"/>
      <c r="I67" s="21"/>
      <c r="J67" s="18"/>
      <c r="K67" s="18"/>
      <c r="L67" s="18"/>
      <c r="M67" s="18"/>
      <c r="N67" s="18" t="inlineStr">
        <is>
          <t>2026-W42</t>
        </is>
      </c>
      <c r="O67" s="18" t="inlineStr">
        <is>
          <t>2fd31d33722311d8e0155bb5eca6b3a310ac938b</t>
        </is>
      </c>
      <c r="P67" s="18"/>
      <c r="Q67" s="18"/>
      <c r="R67" s="18"/>
    </row>
    <row r="68" ht="36" customHeight="1">
      <c r="A68" s="18" t="inlineStr">
        <is>
          <t>Serie A|as roma|genoa|2026-10-17</t>
        </is>
      </c>
      <c r="B68" s="23">
        <v>46312.78125</v>
      </c>
      <c r="C68" s="18" t="inlineStr">
        <is>
          <t>Serie A</t>
        </is>
      </c>
      <c r="D68" s="18" t="inlineStr">
        <is>
          <t>AS Roma vs Genoa</t>
        </is>
      </c>
      <c r="E68" s="18" t="inlineStr">
        <is>
          <t>legacy/unspecified</t>
        </is>
      </c>
      <c r="F68" s="18" t="inlineStr">
        <is>
          <t>PENDING_KICKOFF_OR_FINAL_SCORE</t>
        </is>
      </c>
      <c r="G68" s="18"/>
      <c r="H68" s="18"/>
      <c r="I68" s="21"/>
      <c r="J68" s="18"/>
      <c r="K68" s="18"/>
      <c r="L68" s="18"/>
      <c r="M68" s="18"/>
      <c r="N68" s="18" t="inlineStr">
        <is>
          <t>2026-W42</t>
        </is>
      </c>
      <c r="O68" s="18" t="inlineStr">
        <is>
          <t>2fd31d33722311d8e0155bb5eca6b3a310ac938b</t>
        </is>
      </c>
      <c r="P68" s="18"/>
      <c r="Q68" s="18"/>
      <c r="R68" s="18"/>
    </row>
    <row r="69" ht="36" customHeight="1">
      <c r="A69" s="18" t="inlineStr">
        <is>
          <t>La Liga|valencia|ath bilbao|2026-10-17</t>
        </is>
      </c>
      <c r="B69" s="23">
        <v>46312.791666666664</v>
      </c>
      <c r="C69" s="18" t="inlineStr">
        <is>
          <t>La Liga</t>
        </is>
      </c>
      <c r="D69" s="18" t="inlineStr">
        <is>
          <t>Valencia vs Athletic Bilbao</t>
        </is>
      </c>
      <c r="E69" s="18" t="inlineStr">
        <is>
          <t>legacy/unspecified</t>
        </is>
      </c>
      <c r="F69" s="18" t="inlineStr">
        <is>
          <t>PENDING_KICKOFF_OR_FINAL_SCORE</t>
        </is>
      </c>
      <c r="G69" s="18"/>
      <c r="H69" s="18"/>
      <c r="I69" s="21"/>
      <c r="J69" s="18"/>
      <c r="K69" s="18"/>
      <c r="L69" s="18"/>
      <c r="M69" s="18"/>
      <c r="N69" s="18" t="inlineStr">
        <is>
          <t>2026-W42</t>
        </is>
      </c>
      <c r="O69" s="18" t="inlineStr">
        <is>
          <t>2fd31d33722311d8e0155bb5eca6b3a310ac938b</t>
        </is>
      </c>
      <c r="P69" s="18"/>
      <c r="Q69" s="18"/>
      <c r="R69" s="18"/>
    </row>
    <row r="70" ht="36" customHeight="1">
      <c r="A70" s="18" t="inlineStr">
        <is>
          <t>Serie A|udinese|lecce|2026-10-18</t>
        </is>
      </c>
      <c r="B70" s="23">
        <v>46313.4375</v>
      </c>
      <c r="C70" s="18" t="inlineStr">
        <is>
          <t>Serie A</t>
        </is>
      </c>
      <c r="D70" s="18" t="inlineStr">
        <is>
          <t>Udinese vs Lecce</t>
        </is>
      </c>
      <c r="E70" s="18" t="inlineStr">
        <is>
          <t>legacy/unspecified</t>
        </is>
      </c>
      <c r="F70" s="18" t="inlineStr">
        <is>
          <t>PENDING_KICKOFF_OR_FINAL_SCORE</t>
        </is>
      </c>
      <c r="G70" s="18"/>
      <c r="H70" s="18"/>
      <c r="I70" s="21"/>
      <c r="J70" s="18"/>
      <c r="K70" s="18"/>
      <c r="L70" s="18"/>
      <c r="M70" s="18"/>
      <c r="N70" s="18" t="inlineStr">
        <is>
          <t>2026-W42</t>
        </is>
      </c>
      <c r="O70" s="18" t="inlineStr">
        <is>
          <t>2fd31d33722311d8e0155bb5eca6b3a310ac938b</t>
        </is>
      </c>
      <c r="P70" s="18"/>
      <c r="Q70" s="18"/>
      <c r="R70" s="18"/>
    </row>
    <row r="71" ht="36" customHeight="1">
      <c r="A71" s="18" t="inlineStr">
        <is>
          <t>La Liga|ca osasuna|real racing santander|2026-10-18</t>
        </is>
      </c>
      <c r="B71" s="23">
        <v>46313.5</v>
      </c>
      <c r="C71" s="18" t="inlineStr">
        <is>
          <t>La Liga</t>
        </is>
      </c>
      <c r="D71" s="18" t="inlineStr">
        <is>
          <t>CA Osasuna vs Real Racing Club de Santander</t>
        </is>
      </c>
      <c r="E71" s="18" t="inlineStr">
        <is>
          <t>legacy/unspecified</t>
        </is>
      </c>
      <c r="F71" s="18" t="inlineStr">
        <is>
          <t>PENDING_KICKOFF_OR_FINAL_SCORE</t>
        </is>
      </c>
      <c r="G71" s="18"/>
      <c r="H71" s="18"/>
      <c r="I71" s="21"/>
      <c r="J71" s="18"/>
      <c r="K71" s="18"/>
      <c r="L71" s="18"/>
      <c r="M71" s="18"/>
      <c r="N71" s="18" t="inlineStr">
        <is>
          <t>2026-W42</t>
        </is>
      </c>
      <c r="O71" s="18" t="inlineStr">
        <is>
          <t>2fd31d33722311d8e0155bb5eca6b3a310ac938b</t>
        </is>
      </c>
      <c r="P71" s="18"/>
      <c r="Q71" s="18"/>
      <c r="R71" s="18"/>
    </row>
    <row r="72" ht="36" customHeight="1">
      <c r="A72" s="18" t="inlineStr">
        <is>
          <t>Ligue 1|angers|marseille|2026-10-18</t>
        </is>
      </c>
      <c r="B72" s="23">
        <v>46313.541666666664</v>
      </c>
      <c r="C72" s="18" t="inlineStr">
        <is>
          <t>Ligue 1</t>
        </is>
      </c>
      <c r="D72" s="18" t="inlineStr">
        <is>
          <t>Angers vs Marseille</t>
        </is>
      </c>
      <c r="E72" s="18" t="inlineStr">
        <is>
          <t>legacy/unspecified</t>
        </is>
      </c>
      <c r="F72" s="18" t="inlineStr">
        <is>
          <t>PENDING_KICKOFF_OR_FINAL_SCORE</t>
        </is>
      </c>
      <c r="G72" s="18"/>
      <c r="H72" s="18"/>
      <c r="I72" s="21"/>
      <c r="J72" s="18"/>
      <c r="K72" s="18"/>
      <c r="L72" s="18"/>
      <c r="M72" s="18"/>
      <c r="N72" s="18" t="inlineStr">
        <is>
          <t>2026-W42</t>
        </is>
      </c>
      <c r="O72" s="18" t="inlineStr">
        <is>
          <t>2fd31d33722311d8e0155bb5eca6b3a310ac938b</t>
        </is>
      </c>
      <c r="P72" s="18"/>
      <c r="Q72" s="18"/>
      <c r="R72" s="18"/>
    </row>
    <row r="73" ht="36" customHeight="1">
      <c r="A73" s="18" t="inlineStr">
        <is>
          <t>Premier League|bournemouth|sunderland|2026-10-18</t>
        </is>
      </c>
      <c r="B73" s="23">
        <v>46313.541666666664</v>
      </c>
      <c r="C73" s="18" t="inlineStr">
        <is>
          <t>Premier League</t>
        </is>
      </c>
      <c r="D73" s="18" t="inlineStr">
        <is>
          <t>Bournemouth vs Sunderland</t>
        </is>
      </c>
      <c r="E73" s="18" t="inlineStr">
        <is>
          <t>legacy/unspecified</t>
        </is>
      </c>
      <c r="F73" s="18" t="inlineStr">
        <is>
          <t>PENDING_KICKOFF_OR_FINAL_SCORE</t>
        </is>
      </c>
      <c r="G73" s="18"/>
      <c r="H73" s="18"/>
      <c r="I73" s="21"/>
      <c r="J73" s="18"/>
      <c r="K73" s="18"/>
      <c r="L73" s="18"/>
      <c r="M73" s="18"/>
      <c r="N73" s="18" t="inlineStr">
        <is>
          <t>2026-W42</t>
        </is>
      </c>
      <c r="O73" s="18" t="inlineStr">
        <is>
          <t>2fd31d33722311d8e0155bb5eca6b3a310ac938b</t>
        </is>
      </c>
      <c r="P73" s="18"/>
      <c r="Q73" s="18"/>
      <c r="R73" s="18"/>
    </row>
    <row r="74" ht="36" customHeight="1">
      <c r="A74" s="18" t="inlineStr">
        <is>
          <t>Premier League|brighton|crystal palace|2026-10-18</t>
        </is>
      </c>
      <c r="B74" s="23">
        <v>46313.541666666664</v>
      </c>
      <c r="C74" s="18" t="inlineStr">
        <is>
          <t>Premier League</t>
        </is>
      </c>
      <c r="D74" s="18" t="inlineStr">
        <is>
          <t>Brighton and Hove Albion vs Crystal Palace</t>
        </is>
      </c>
      <c r="E74" s="18" t="inlineStr">
        <is>
          <t>legacy/unspecified</t>
        </is>
      </c>
      <c r="F74" s="18" t="inlineStr">
        <is>
          <t>PENDING_KICKOFF_OR_FINAL_SCORE</t>
        </is>
      </c>
      <c r="G74" s="18"/>
      <c r="H74" s="18"/>
      <c r="I74" s="21"/>
      <c r="J74" s="18"/>
      <c r="K74" s="18"/>
      <c r="L74" s="18"/>
      <c r="M74" s="18"/>
      <c r="N74" s="18" t="inlineStr">
        <is>
          <t>2026-W42</t>
        </is>
      </c>
      <c r="O74" s="18" t="inlineStr">
        <is>
          <t>2fd31d33722311d8e0155bb5eca6b3a310ac938b</t>
        </is>
      </c>
      <c r="P74" s="18"/>
      <c r="Q74" s="18"/>
      <c r="R74" s="18"/>
    </row>
    <row r="75" ht="36" customHeight="1">
      <c r="A75" s="18" t="inlineStr">
        <is>
          <t>Premier League|leeds|man united|2026-10-18</t>
        </is>
      </c>
      <c r="B75" s="23">
        <v>46313.541666666664</v>
      </c>
      <c r="C75" s="18" t="inlineStr">
        <is>
          <t>Premier League</t>
        </is>
      </c>
      <c r="D75" s="18" t="inlineStr">
        <is>
          <t>Leeds United vs Manchester United</t>
        </is>
      </c>
      <c r="E75" s="18" t="inlineStr">
        <is>
          <t>legacy/unspecified</t>
        </is>
      </c>
      <c r="F75" s="18" t="inlineStr">
        <is>
          <t>PENDING_KICKOFF_OR_FINAL_SCORE</t>
        </is>
      </c>
      <c r="G75" s="18"/>
      <c r="H75" s="18"/>
      <c r="I75" s="21"/>
      <c r="J75" s="18"/>
      <c r="K75" s="18"/>
      <c r="L75" s="18"/>
      <c r="M75" s="18"/>
      <c r="N75" s="18" t="inlineStr">
        <is>
          <t>2026-W42</t>
        </is>
      </c>
      <c r="O75" s="18" t="inlineStr">
        <is>
          <t>2fd31d33722311d8e0155bb5eca6b3a310ac938b</t>
        </is>
      </c>
      <c r="P75" s="18"/>
      <c r="Q75" s="18"/>
      <c r="R75" s="18"/>
    </row>
    <row r="76" ht="36" customHeight="1">
      <c r="A76" s="18" t="inlineStr">
        <is>
          <t>Serie A|fiorentina|como|2026-10-18</t>
        </is>
      </c>
      <c r="B76" s="23">
        <v>46313.541666666664</v>
      </c>
      <c r="C76" s="18" t="inlineStr">
        <is>
          <t>Serie A</t>
        </is>
      </c>
      <c r="D76" s="18" t="inlineStr">
        <is>
          <t>Fiorentina vs Como</t>
        </is>
      </c>
      <c r="E76" s="18" t="inlineStr">
        <is>
          <t>legacy/unspecified</t>
        </is>
      </c>
      <c r="F76" s="18" t="inlineStr">
        <is>
          <t>PENDING_KICKOFF_OR_FINAL_SCORE</t>
        </is>
      </c>
      <c r="G76" s="18"/>
      <c r="H76" s="18"/>
      <c r="I76" s="21"/>
      <c r="J76" s="18"/>
      <c r="K76" s="18"/>
      <c r="L76" s="18"/>
      <c r="M76" s="18"/>
      <c r="N76" s="18" t="inlineStr">
        <is>
          <t>2026-W42</t>
        </is>
      </c>
      <c r="O76" s="18" t="inlineStr">
        <is>
          <t>2fd31d33722311d8e0155bb5eca6b3a310ac938b</t>
        </is>
      </c>
      <c r="P76" s="18"/>
      <c r="Q76" s="18"/>
      <c r="R76" s="18"/>
    </row>
    <row r="77" ht="36" customHeight="1">
      <c r="A77" s="18" t="inlineStr">
        <is>
          <t>Bundesliga|bayer leverkusen|freiburg|2026-10-18</t>
        </is>
      </c>
      <c r="B77" s="23">
        <v>46313.5625</v>
      </c>
      <c r="C77" s="18" t="inlineStr">
        <is>
          <t>Bundesliga</t>
        </is>
      </c>
      <c r="D77" s="18" t="inlineStr">
        <is>
          <t>Bayer Leverkusen vs SC Freiburg</t>
        </is>
      </c>
      <c r="E77" s="18" t="inlineStr">
        <is>
          <t>legacy/unspecified</t>
        </is>
      </c>
      <c r="F77" s="18" t="inlineStr">
        <is>
          <t>PENDING_KICKOFF_OR_FINAL_SCORE</t>
        </is>
      </c>
      <c r="G77" s="18"/>
      <c r="H77" s="18"/>
      <c r="I77" s="21"/>
      <c r="J77" s="18"/>
      <c r="K77" s="18"/>
      <c r="L77" s="18"/>
      <c r="M77" s="18"/>
      <c r="N77" s="18" t="inlineStr">
        <is>
          <t>2026-W42</t>
        </is>
      </c>
      <c r="O77" s="18" t="inlineStr">
        <is>
          <t>2fd31d33722311d8e0155bb5eca6b3a310ac938b</t>
        </is>
      </c>
      <c r="P77" s="18"/>
      <c r="Q77" s="18"/>
      <c r="R77" s="18"/>
    </row>
    <row r="78" ht="36" customHeight="1">
      <c r="A78" s="18" t="inlineStr">
        <is>
          <t>La Liga|celta vigo|alaves|2026-10-18</t>
        </is>
      </c>
      <c r="B78" s="23">
        <v>46313.59375</v>
      </c>
      <c r="C78" s="18" t="inlineStr">
        <is>
          <t>La Liga</t>
        </is>
      </c>
      <c r="D78" s="18" t="inlineStr">
        <is>
          <t>Celta Vigo vs Alavés</t>
        </is>
      </c>
      <c r="E78" s="18" t="inlineStr">
        <is>
          <t>legacy/unspecified</t>
        </is>
      </c>
      <c r="F78" s="18" t="inlineStr">
        <is>
          <t>PENDING_KICKOFF_OR_FINAL_SCORE</t>
        </is>
      </c>
      <c r="G78" s="18"/>
      <c r="H78" s="18"/>
      <c r="I78" s="21"/>
      <c r="J78" s="18"/>
      <c r="K78" s="18"/>
      <c r="L78" s="18"/>
      <c r="M78" s="18"/>
      <c r="N78" s="18" t="inlineStr">
        <is>
          <t>2026-W42</t>
        </is>
      </c>
      <c r="O78" s="18" t="inlineStr">
        <is>
          <t>2fd31d33722311d8e0155bb5eca6b3a310ac938b</t>
        </is>
      </c>
      <c r="P78" s="18"/>
      <c r="Q78" s="18"/>
      <c r="R78" s="18"/>
    </row>
    <row r="79" ht="36" customHeight="1">
      <c r="A79" s="18" t="inlineStr">
        <is>
          <t>Ligue 1|le havre|auxerre|2026-10-18</t>
        </is>
      </c>
      <c r="B79" s="23">
        <v>46313.635416666664</v>
      </c>
      <c r="C79" s="18" t="inlineStr">
        <is>
          <t>Ligue 1</t>
        </is>
      </c>
      <c r="D79" s="18" t="inlineStr">
        <is>
          <t>Le Havre vs Auxerre</t>
        </is>
      </c>
      <c r="E79" s="18" t="inlineStr">
        <is>
          <t>legacy/unspecified</t>
        </is>
      </c>
      <c r="F79" s="18" t="inlineStr">
        <is>
          <t>PENDING_KICKOFF_OR_FINAL_SCORE</t>
        </is>
      </c>
      <c r="G79" s="18"/>
      <c r="H79" s="18"/>
      <c r="I79" s="21"/>
      <c r="J79" s="18"/>
      <c r="K79" s="18"/>
      <c r="L79" s="18"/>
      <c r="M79" s="18"/>
      <c r="N79" s="18" t="inlineStr">
        <is>
          <t>2026-W42</t>
        </is>
      </c>
      <c r="O79" s="18" t="inlineStr">
        <is>
          <t>2fd31d33722311d8e0155bb5eca6b3a310ac938b</t>
        </is>
      </c>
      <c r="P79" s="18"/>
      <c r="Q79" s="18"/>
      <c r="R79" s="18"/>
    </row>
    <row r="80" ht="36" customHeight="1">
      <c r="A80" s="18" t="inlineStr">
        <is>
          <t>Ligue 1|lorient|as monaco|2026-10-18</t>
        </is>
      </c>
      <c r="B80" s="23">
        <v>46313.635416666664</v>
      </c>
      <c r="C80" s="18" t="inlineStr">
        <is>
          <t>Ligue 1</t>
        </is>
      </c>
      <c r="D80" s="18" t="inlineStr">
        <is>
          <t>Lorient vs AS Monaco</t>
        </is>
      </c>
      <c r="E80" s="18" t="inlineStr">
        <is>
          <t>legacy/unspecified</t>
        </is>
      </c>
      <c r="F80" s="18" t="inlineStr">
        <is>
          <t>PENDING_KICKOFF_OR_FINAL_SCORE</t>
        </is>
      </c>
      <c r="G80" s="18"/>
      <c r="H80" s="18"/>
      <c r="I80" s="21"/>
      <c r="J80" s="18"/>
      <c r="K80" s="18"/>
      <c r="L80" s="18"/>
      <c r="M80" s="18"/>
      <c r="N80" s="18" t="inlineStr">
        <is>
          <t>2026-W42</t>
        </is>
      </c>
      <c r="O80" s="18" t="inlineStr">
        <is>
          <t>2fd31d33722311d8e0155bb5eca6b3a310ac938b</t>
        </is>
      </c>
      <c r="P80" s="18"/>
      <c r="Q80" s="18"/>
      <c r="R80" s="18"/>
    </row>
    <row r="81" ht="36" customHeight="1">
      <c r="A81" s="18" t="inlineStr">
        <is>
          <t>Ligue 1|paris|rennes|2026-10-18</t>
        </is>
      </c>
      <c r="B81" s="23">
        <v>46313.635416666664</v>
      </c>
      <c r="C81" s="18" t="inlineStr">
        <is>
          <t>Ligue 1</t>
        </is>
      </c>
      <c r="D81" s="18" t="inlineStr">
        <is>
          <t>Paris FC vs Rennes</t>
        </is>
      </c>
      <c r="E81" s="18" t="inlineStr">
        <is>
          <t>legacy/unspecified</t>
        </is>
      </c>
      <c r="F81" s="18" t="inlineStr">
        <is>
          <t>PENDING_KICKOFF_OR_FINAL_SCORE</t>
        </is>
      </c>
      <c r="G81" s="18"/>
      <c r="H81" s="18"/>
      <c r="I81" s="21"/>
      <c r="J81" s="18"/>
      <c r="K81" s="18"/>
      <c r="L81" s="18"/>
      <c r="M81" s="18"/>
      <c r="N81" s="18" t="inlineStr">
        <is>
          <t>2026-W42</t>
        </is>
      </c>
      <c r="O81" s="18" t="inlineStr">
        <is>
          <t>2fd31d33722311d8e0155bb5eca6b3a310ac938b</t>
        </is>
      </c>
      <c r="P81" s="18"/>
      <c r="Q81" s="18"/>
      <c r="R81" s="18"/>
    </row>
    <row r="82" ht="36" customHeight="1">
      <c r="A82" s="18" t="inlineStr">
        <is>
          <t>Bundesliga|m gladbach|tsg hoffenheim|2026-10-18</t>
        </is>
      </c>
      <c r="B82" s="23">
        <v>46313.645833333336</v>
      </c>
      <c r="C82" s="18" t="inlineStr">
        <is>
          <t>Bundesliga</t>
        </is>
      </c>
      <c r="D82" s="18" t="inlineStr">
        <is>
          <t>Borussia Monchengladbach vs TSG Hoffenheim</t>
        </is>
      </c>
      <c r="E82" s="18" t="inlineStr">
        <is>
          <t>legacy/unspecified</t>
        </is>
      </c>
      <c r="F82" s="18" t="inlineStr">
        <is>
          <t>PENDING_KICKOFF_OR_FINAL_SCORE</t>
        </is>
      </c>
      <c r="G82" s="18"/>
      <c r="H82" s="18"/>
      <c r="I82" s="21"/>
      <c r="J82" s="18"/>
      <c r="K82" s="18"/>
      <c r="L82" s="18"/>
      <c r="M82" s="18"/>
      <c r="N82" s="18" t="inlineStr">
        <is>
          <t>2026-W42</t>
        </is>
      </c>
      <c r="O82" s="18" t="inlineStr">
        <is>
          <t>2fd31d33722311d8e0155bb5eca6b3a310ac938b</t>
        </is>
      </c>
      <c r="P82" s="18"/>
      <c r="Q82" s="18"/>
      <c r="R82" s="18"/>
    </row>
    <row r="83" ht="36" customHeight="1">
      <c r="A83" s="18" t="inlineStr">
        <is>
          <t>Premier League|nott m forest|arsenal|2026-10-18</t>
        </is>
      </c>
      <c r="B83" s="23">
        <v>46313.645833333336</v>
      </c>
      <c r="C83" s="18" t="inlineStr">
        <is>
          <t>Premier League</t>
        </is>
      </c>
      <c r="D83" s="18" t="inlineStr">
        <is>
          <t>Nottingham Forest vs Arsenal</t>
        </is>
      </c>
      <c r="E83" s="18" t="inlineStr">
        <is>
          <t>legacy/unspecified</t>
        </is>
      </c>
      <c r="F83" s="18" t="inlineStr">
        <is>
          <t>PENDING_KICKOFF_OR_FINAL_SCORE</t>
        </is>
      </c>
      <c r="G83" s="18"/>
      <c r="H83" s="18"/>
      <c r="I83" s="21"/>
      <c r="J83" s="18"/>
      <c r="K83" s="18"/>
      <c r="L83" s="18"/>
      <c r="M83" s="18"/>
      <c r="N83" s="18" t="inlineStr">
        <is>
          <t>2026-W42</t>
        </is>
      </c>
      <c r="O83" s="18" t="inlineStr">
        <is>
          <t>2fd31d33722311d8e0155bb5eca6b3a310ac938b</t>
        </is>
      </c>
      <c r="P83" s="18"/>
      <c r="Q83" s="18"/>
      <c r="R83" s="18"/>
    </row>
    <row r="84" ht="36" customHeight="1">
      <c r="A84" s="18" t="inlineStr">
        <is>
          <t>Serie A|milan|atalanta bc|2026-10-18</t>
        </is>
      </c>
      <c r="B84" s="23">
        <v>46313.666666666664</v>
      </c>
      <c r="C84" s="18" t="inlineStr">
        <is>
          <t>Serie A</t>
        </is>
      </c>
      <c r="D84" s="18" t="inlineStr">
        <is>
          <t>AC Milan vs Atalanta BC</t>
        </is>
      </c>
      <c r="E84" s="18" t="inlineStr">
        <is>
          <t>legacy/unspecified</t>
        </is>
      </c>
      <c r="F84" s="18" t="inlineStr">
        <is>
          <t>PENDING_KICKOFF_OR_FINAL_SCORE</t>
        </is>
      </c>
      <c r="G84" s="18"/>
      <c r="H84" s="18"/>
      <c r="I84" s="21"/>
      <c r="J84" s="18"/>
      <c r="K84" s="18"/>
      <c r="L84" s="18"/>
      <c r="M84" s="18"/>
      <c r="N84" s="18" t="inlineStr">
        <is>
          <t>2026-W42</t>
        </is>
      </c>
      <c r="O84" s="18" t="inlineStr">
        <is>
          <t>2fd31d33722311d8e0155bb5eca6b3a310ac938b</t>
        </is>
      </c>
      <c r="P84" s="18"/>
      <c r="Q84" s="18"/>
      <c r="R84" s="18"/>
    </row>
    <row r="85" ht="36" customHeight="1">
      <c r="A85" s="18" t="inlineStr">
        <is>
          <t>La Liga|malaga|real sociedad|2026-10-18</t>
        </is>
      </c>
      <c r="B85" s="23">
        <v>46313.6875</v>
      </c>
      <c r="C85" s="18" t="inlineStr">
        <is>
          <t>La Liga</t>
        </is>
      </c>
      <c r="D85" s="18" t="inlineStr">
        <is>
          <t>Málaga vs Real Sociedad</t>
        </is>
      </c>
      <c r="E85" s="18" t="inlineStr">
        <is>
          <t>legacy/unspecified</t>
        </is>
      </c>
      <c r="F85" s="18" t="inlineStr">
        <is>
          <t>PENDING_KICKOFF_OR_FINAL_SCORE</t>
        </is>
      </c>
      <c r="G85" s="18"/>
      <c r="H85" s="18"/>
      <c r="I85" s="21"/>
      <c r="J85" s="18"/>
      <c r="K85" s="18"/>
      <c r="L85" s="18"/>
      <c r="M85" s="18"/>
      <c r="N85" s="18" t="inlineStr">
        <is>
          <t>2026-W42</t>
        </is>
      </c>
      <c r="O85" s="18" t="inlineStr">
        <is>
          <t>2fd31d33722311d8e0155bb5eca6b3a310ac938b</t>
        </is>
      </c>
      <c r="P85" s="18"/>
      <c r="Q85" s="18"/>
      <c r="R85" s="18"/>
    </row>
    <row r="86" ht="36" customHeight="1">
      <c r="A86" s="18" t="inlineStr">
        <is>
          <t>Ligue 1|lyon|nice|2026-10-18</t>
        </is>
      </c>
      <c r="B86" s="23">
        <v>46313.78125</v>
      </c>
      <c r="C86" s="18" t="inlineStr">
        <is>
          <t>Ligue 1</t>
        </is>
      </c>
      <c r="D86" s="18" t="inlineStr">
        <is>
          <t>Lyon vs Nice</t>
        </is>
      </c>
      <c r="E86" s="18" t="inlineStr">
        <is>
          <t>legacy/unspecified</t>
        </is>
      </c>
      <c r="F86" s="18" t="inlineStr">
        <is>
          <t>PENDING_KICKOFF_OR_FINAL_SCORE</t>
        </is>
      </c>
      <c r="G86" s="18"/>
      <c r="H86" s="18"/>
      <c r="I86" s="21"/>
      <c r="J86" s="18"/>
      <c r="K86" s="18"/>
      <c r="L86" s="18"/>
      <c r="M86" s="18"/>
      <c r="N86" s="18" t="inlineStr">
        <is>
          <t>2026-W42</t>
        </is>
      </c>
      <c r="O86" s="18" t="inlineStr">
        <is>
          <t>2fd31d33722311d8e0155bb5eca6b3a310ac938b</t>
        </is>
      </c>
      <c r="P86" s="18"/>
      <c r="Q86" s="18"/>
      <c r="R86" s="18"/>
    </row>
    <row r="87" ht="36" customHeight="1">
      <c r="A87" s="18" t="inlineStr">
        <is>
          <t>Serie A|juventus|lazio|2026-10-18</t>
        </is>
      </c>
      <c r="B87" s="23">
        <v>46313.78125</v>
      </c>
      <c r="C87" s="18" t="inlineStr">
        <is>
          <t>Serie A</t>
        </is>
      </c>
      <c r="D87" s="18" t="inlineStr">
        <is>
          <t>Juventus vs Lazio</t>
        </is>
      </c>
      <c r="E87" s="18" t="inlineStr">
        <is>
          <t>legacy/unspecified</t>
        </is>
      </c>
      <c r="F87" s="18" t="inlineStr">
        <is>
          <t>PENDING_KICKOFF_OR_FINAL_SCORE</t>
        </is>
      </c>
      <c r="G87" s="18"/>
      <c r="H87" s="18"/>
      <c r="I87" s="21"/>
      <c r="J87" s="18"/>
      <c r="K87" s="18"/>
      <c r="L87" s="18"/>
      <c r="M87" s="18"/>
      <c r="N87" s="18" t="inlineStr">
        <is>
          <t>2026-W42</t>
        </is>
      </c>
      <c r="O87" s="18" t="inlineStr">
        <is>
          <t>2fd31d33722311d8e0155bb5eca6b3a310ac938b</t>
        </is>
      </c>
      <c r="P87" s="18"/>
      <c r="Q87" s="18"/>
      <c r="R87" s="18"/>
    </row>
    <row r="88" ht="36" customHeight="1">
      <c r="A88" s="18" t="inlineStr">
        <is>
          <t>La Liga|real madrid|sevilla|2026-10-18</t>
        </is>
      </c>
      <c r="B88" s="23">
        <v>46313.791666666664</v>
      </c>
      <c r="C88" s="18" t="inlineStr">
        <is>
          <t>La Liga</t>
        </is>
      </c>
      <c r="D88" s="18" t="inlineStr">
        <is>
          <t>Real Madrid vs Sevilla</t>
        </is>
      </c>
      <c r="E88" s="18" t="inlineStr">
        <is>
          <t>legacy/unspecified</t>
        </is>
      </c>
      <c r="F88" s="18" t="inlineStr">
        <is>
          <t>PENDING_KICKOFF_OR_FINAL_SCORE</t>
        </is>
      </c>
      <c r="G88" s="18"/>
      <c r="H88" s="18"/>
      <c r="I88" s="21"/>
      <c r="J88" s="18"/>
      <c r="K88" s="18"/>
      <c r="L88" s="18"/>
      <c r="M88" s="18"/>
      <c r="N88" s="18" t="inlineStr">
        <is>
          <t>2026-W42</t>
        </is>
      </c>
      <c r="O88" s="18" t="inlineStr">
        <is>
          <t>2fd31d33722311d8e0155bb5eca6b3a310ac938b</t>
        </is>
      </c>
      <c r="P88" s="18"/>
      <c r="Q88" s="18"/>
      <c r="R88" s="18"/>
    </row>
    <row r="89" ht="36" customHeight="1">
      <c r="A89" s="18" t="inlineStr">
        <is>
          <t>Serie A|monza|cagliari|2026-10-19</t>
        </is>
      </c>
      <c r="B89" s="23">
        <v>46314.6875</v>
      </c>
      <c r="C89" s="18" t="inlineStr">
        <is>
          <t>Serie A</t>
        </is>
      </c>
      <c r="D89" s="18" t="inlineStr">
        <is>
          <t>Monza vs Cagliari</t>
        </is>
      </c>
      <c r="E89" s="18" t="inlineStr">
        <is>
          <t>legacy/unspecified</t>
        </is>
      </c>
      <c r="F89" s="18" t="inlineStr">
        <is>
          <t>PENDING_KICKOFF_OR_FINAL_SCORE</t>
        </is>
      </c>
      <c r="G89" s="18"/>
      <c r="H89" s="18"/>
      <c r="I89" s="21"/>
      <c r="J89" s="18"/>
      <c r="K89" s="18"/>
      <c r="L89" s="18"/>
      <c r="M89" s="18"/>
      <c r="N89" s="18" t="inlineStr">
        <is>
          <t>2026-W43</t>
        </is>
      </c>
      <c r="O89" s="18" t="inlineStr">
        <is>
          <t>b9c15c09504aaf57de5ad0957adb91c0e9b37243</t>
        </is>
      </c>
      <c r="P89" s="18"/>
      <c r="Q89" s="18"/>
      <c r="R89" s="18"/>
    </row>
    <row r="90" ht="36" customHeight="1">
      <c r="A90" s="18" t="inlineStr">
        <is>
          <t>Serie A|parma|torino|2026-10-19</t>
        </is>
      </c>
      <c r="B90" s="23">
        <v>46314.78125</v>
      </c>
      <c r="C90" s="18" t="inlineStr">
        <is>
          <t>Serie A</t>
        </is>
      </c>
      <c r="D90" s="18" t="inlineStr">
        <is>
          <t>Parma vs Torino</t>
        </is>
      </c>
      <c r="E90" s="18" t="inlineStr">
        <is>
          <t>legacy/unspecified</t>
        </is>
      </c>
      <c r="F90" s="18" t="inlineStr">
        <is>
          <t>PENDING_KICKOFF_OR_FINAL_SCORE</t>
        </is>
      </c>
      <c r="G90" s="18"/>
      <c r="H90" s="18"/>
      <c r="I90" s="21"/>
      <c r="J90" s="18"/>
      <c r="K90" s="18"/>
      <c r="L90" s="18"/>
      <c r="M90" s="18"/>
      <c r="N90" s="18" t="inlineStr">
        <is>
          <t>2026-W43</t>
        </is>
      </c>
      <c r="O90" s="18" t="inlineStr">
        <is>
          <t>b9c15c09504aaf57de5ad0957adb91c0e9b37243</t>
        </is>
      </c>
      <c r="P90" s="18"/>
      <c r="Q90" s="18"/>
      <c r="R90" s="18"/>
    </row>
    <row r="91" ht="36" customHeight="1">
      <c r="A91" s="18" t="inlineStr">
        <is>
          <t>La Liga|getafe|rayo vallecano|2026-10-19</t>
        </is>
      </c>
      <c r="B91" s="23">
        <v>46314.791666666664</v>
      </c>
      <c r="C91" s="18" t="inlineStr">
        <is>
          <t>La Liga</t>
        </is>
      </c>
      <c r="D91" s="18" t="inlineStr">
        <is>
          <t>Getafe vs Rayo Vallecano</t>
        </is>
      </c>
      <c r="E91" s="18" t="inlineStr">
        <is>
          <t>legacy/unspecified</t>
        </is>
      </c>
      <c r="F91" s="18" t="inlineStr">
        <is>
          <t>PENDING_KICKOFF_OR_FINAL_SCORE</t>
        </is>
      </c>
      <c r="G91" s="18"/>
      <c r="H91" s="18"/>
      <c r="I91" s="21"/>
      <c r="J91" s="18"/>
      <c r="K91" s="18"/>
      <c r="L91" s="18"/>
      <c r="M91" s="18"/>
      <c r="N91" s="18" t="inlineStr">
        <is>
          <t>2026-W43</t>
        </is>
      </c>
      <c r="O91" s="18" t="inlineStr">
        <is>
          <t>b9c15c09504aaf57de5ad0957adb91c0e9b37243</t>
        </is>
      </c>
      <c r="P91" s="18"/>
      <c r="Q91" s="18"/>
      <c r="R91" s="18"/>
    </row>
    <row r="92" ht="36" customHeight="1">
      <c r="A92" s="18" t="inlineStr">
        <is>
          <t>Premier League|tottenham|coventry city|2026-10-19</t>
        </is>
      </c>
      <c r="B92" s="23">
        <v>46314.791666666664</v>
      </c>
      <c r="C92" s="18" t="inlineStr">
        <is>
          <t>Premier League</t>
        </is>
      </c>
      <c r="D92" s="18" t="inlineStr">
        <is>
          <t>Tottenham Hotspur vs Coventry City</t>
        </is>
      </c>
      <c r="E92" s="18" t="inlineStr">
        <is>
          <t>legacy/unspecified</t>
        </is>
      </c>
      <c r="F92" s="18" t="inlineStr">
        <is>
          <t>PENDING_KICKOFF_OR_FINAL_SCORE</t>
        </is>
      </c>
      <c r="G92" s="18"/>
      <c r="H92" s="18"/>
      <c r="I92" s="21"/>
      <c r="J92" s="18"/>
      <c r="K92" s="18"/>
      <c r="L92" s="18"/>
      <c r="M92" s="18"/>
      <c r="N92" s="18" t="inlineStr">
        <is>
          <t>2026-W43</t>
        </is>
      </c>
      <c r="O92" s="18" t="inlineStr">
        <is>
          <t>b9c15c09504aaf57de5ad0957adb91c0e9b37243</t>
        </is>
      </c>
      <c r="P92" s="18"/>
      <c r="Q92" s="18"/>
      <c r="R92" s="18"/>
    </row>
    <row r="93" ht="36" customHeight="1">
      <c r="A93" s="18" t="inlineStr">
        <is>
          <t>UEFA Champions League|fenerbahce sk|slavia prague|2026-10-20</t>
        </is>
      </c>
      <c r="B93" s="23">
        <v>46315.697916666664</v>
      </c>
      <c r="C93" s="18" t="inlineStr">
        <is>
          <t>UEFA Champions League</t>
        </is>
      </c>
      <c r="D93" s="18" t="inlineStr">
        <is>
          <t>Fenerbahçe SK vs SK Slavia Praha</t>
        </is>
      </c>
      <c r="E93" s="18" t="inlineStr">
        <is>
          <t>72h-all-markets-net-ev15-execution-v7</t>
        </is>
      </c>
      <c r="F93" s="18" t="inlineStr">
        <is>
          <t>PENDING_KICKOFF_OR_FINAL_SCORE</t>
        </is>
      </c>
      <c r="G93" s="18"/>
      <c r="H93" s="18"/>
      <c r="I93" s="21"/>
      <c r="J93" s="18"/>
      <c r="K93" s="18"/>
      <c r="L93" s="18"/>
      <c r="M93" s="18"/>
      <c r="N93" s="18" t="inlineStr">
        <is>
          <t>2026-W43</t>
        </is>
      </c>
      <c r="O93" s="18" t="inlineStr">
        <is>
          <t>a98524037f736c1c589800f3bd4b329ab00983f7</t>
        </is>
      </c>
      <c r="P93" s="18"/>
      <c r="Q93" s="18"/>
      <c r="R93" s="18"/>
    </row>
    <row r="94" ht="36" customHeight="1">
      <c r="A94" s="18" t="inlineStr">
        <is>
          <t>UEFA Champions League|fenerbahce|slavia prague|2026-10-20</t>
        </is>
      </c>
      <c r="B94" s="23">
        <v>46315.697916666664</v>
      </c>
      <c r="C94" s="18" t="inlineStr">
        <is>
          <t>UEFA Champions League</t>
        </is>
      </c>
      <c r="D94" s="18" t="inlineStr">
        <is>
          <t>Fenerbahce vs Slavia Praha</t>
        </is>
      </c>
      <c r="E94" s="18" t="inlineStr">
        <is>
          <t>72h-six-markets-dc12-probability-odds-net-ev15-v9</t>
        </is>
      </c>
      <c r="F94" s="18" t="inlineStr">
        <is>
          <t>PENDING_KICKOFF_OR_FINAL_SCORE</t>
        </is>
      </c>
      <c r="G94" s="18"/>
      <c r="H94" s="18"/>
      <c r="I94" s="21"/>
      <c r="J94" s="18"/>
      <c r="K94" s="18"/>
      <c r="L94" s="18"/>
      <c r="M94" s="18"/>
      <c r="N94" s="18" t="inlineStr">
        <is>
          <t>2026-W43</t>
        </is>
      </c>
      <c r="O94" s="18" t="inlineStr">
        <is>
          <t>376b9f9ba8a8b03ea259c57729113f873b0b980d</t>
        </is>
      </c>
      <c r="P94" s="18"/>
      <c r="Q94" s="18"/>
      <c r="R94" s="18"/>
    </row>
    <row r="95" ht="36" customHeight="1">
      <c r="A95" s="18" t="inlineStr">
        <is>
          <t>UEFA Champions League|sabah fk|borussia dortmund|2026-10-20</t>
        </is>
      </c>
      <c r="B95" s="23">
        <v>46315.697916666664</v>
      </c>
      <c r="C95" s="18" t="inlineStr">
        <is>
          <t>UEFA Champions League</t>
        </is>
      </c>
      <c r="D95" s="18" t="inlineStr">
        <is>
          <t>Sabah FK vs Borussia Dortmund</t>
        </is>
      </c>
      <c r="E95" s="18" t="inlineStr">
        <is>
          <t>72h-all-markets-net-ev15-execution-v7</t>
        </is>
      </c>
      <c r="F95" s="18" t="inlineStr">
        <is>
          <t>PENDING_KICKOFF_OR_FINAL_SCORE</t>
        </is>
      </c>
      <c r="G95" s="18"/>
      <c r="H95" s="18"/>
      <c r="I95" s="21"/>
      <c r="J95" s="18"/>
      <c r="K95" s="18"/>
      <c r="L95" s="18"/>
      <c r="M95" s="18"/>
      <c r="N95" s="18" t="inlineStr">
        <is>
          <t>2026-W43</t>
        </is>
      </c>
      <c r="O95" s="18" t="inlineStr">
        <is>
          <t>a98524037f736c1c589800f3bd4b329ab00983f7</t>
        </is>
      </c>
      <c r="P95" s="18"/>
      <c r="Q95" s="18"/>
      <c r="R95" s="18"/>
    </row>
    <row r="96" ht="36" customHeight="1">
      <c r="A96" s="18" t="inlineStr">
        <is>
          <t>UEFA Champions League|as roma|sk slovan bratislava|2026-10-20</t>
        </is>
      </c>
      <c r="B96" s="23">
        <v>46315.791666666664</v>
      </c>
      <c r="C96" s="18" t="inlineStr">
        <is>
          <t>UEFA Champions League</t>
        </is>
      </c>
      <c r="D96" s="18" t="inlineStr">
        <is>
          <t>AS Roma vs ŠK Slovan Bratislava</t>
        </is>
      </c>
      <c r="E96" s="18" t="inlineStr">
        <is>
          <t>72h-all-markets-net-ev15-execution-v7</t>
        </is>
      </c>
      <c r="F96" s="18" t="inlineStr">
        <is>
          <t>PENDING_KICKOFF_OR_FINAL_SCORE</t>
        </is>
      </c>
      <c r="G96" s="18"/>
      <c r="H96" s="18"/>
      <c r="I96" s="21"/>
      <c r="J96" s="18"/>
      <c r="K96" s="18"/>
      <c r="L96" s="18"/>
      <c r="M96" s="18"/>
      <c r="N96" s="18" t="inlineStr">
        <is>
          <t>2026-W43</t>
        </is>
      </c>
      <c r="O96" s="18" t="inlineStr">
        <is>
          <t>a98524037f736c1c589800f3bd4b329ab00983f7</t>
        </is>
      </c>
      <c r="P96" s="18"/>
      <c r="Q96" s="18"/>
      <c r="R96" s="18"/>
    </row>
    <row r="97" ht="36" customHeight="1">
      <c r="A97" s="18" t="inlineStr">
        <is>
          <t>UEFA Champions League|liverpool|villarreal|2026-10-20</t>
        </is>
      </c>
      <c r="B97" s="23">
        <v>46315.791666666664</v>
      </c>
      <c r="C97" s="18" t="inlineStr">
        <is>
          <t>UEFA Champions League</t>
        </is>
      </c>
      <c r="D97" s="18" t="inlineStr">
        <is>
          <t>Liverpool FC vs Villarreal CF</t>
        </is>
      </c>
      <c r="E97" s="18" t="inlineStr">
        <is>
          <t>72h-all-markets-net-ev15-execution-v7</t>
        </is>
      </c>
      <c r="F97" s="18" t="inlineStr">
        <is>
          <t>PENDING_KICKOFF_OR_FINAL_SCORE</t>
        </is>
      </c>
      <c r="G97" s="18"/>
      <c r="H97" s="18"/>
      <c r="I97" s="21"/>
      <c r="J97" s="18"/>
      <c r="K97" s="18"/>
      <c r="L97" s="18"/>
      <c r="M97" s="18"/>
      <c r="N97" s="18" t="inlineStr">
        <is>
          <t>2026-W43</t>
        </is>
      </c>
      <c r="O97" s="18" t="inlineStr">
        <is>
          <t>a98524037f736c1c589800f3bd4b329ab00983f7</t>
        </is>
      </c>
      <c r="P97" s="18"/>
      <c r="Q97" s="18"/>
      <c r="R97" s="18"/>
    </row>
    <row r="98" ht="36" customHeight="1">
      <c r="A98" s="18" t="inlineStr">
        <is>
          <t>UEFA Champions League|man city|aek athens|2026-10-20</t>
        </is>
      </c>
      <c r="B98" s="23">
        <v>46315.791666666664</v>
      </c>
      <c r="C98" s="18" t="inlineStr">
        <is>
          <t>UEFA Champions League</t>
        </is>
      </c>
      <c r="D98" s="18" t="inlineStr">
        <is>
          <t>Manchester City vs AEK Athens</t>
        </is>
      </c>
      <c r="E98" s="18" t="inlineStr">
        <is>
          <t>72h-six-markets-dc12-probability-odds-net-ev15-v9</t>
        </is>
      </c>
      <c r="F98" s="18" t="inlineStr">
        <is>
          <t>PENDING_KICKOFF_OR_FINAL_SCORE</t>
        </is>
      </c>
      <c r="G98" s="18"/>
      <c r="H98" s="18"/>
      <c r="I98" s="21"/>
      <c r="J98" s="18"/>
      <c r="K98" s="18"/>
      <c r="L98" s="18"/>
      <c r="M98" s="18"/>
      <c r="N98" s="18" t="inlineStr">
        <is>
          <t>2026-W43</t>
        </is>
      </c>
      <c r="O98" s="18" t="inlineStr">
        <is>
          <t>376b9f9ba8a8b03ea259c57729113f873b0b980d</t>
        </is>
      </c>
      <c r="P98" s="18"/>
      <c r="Q98" s="18"/>
      <c r="R98" s="18"/>
    </row>
    <row r="99" ht="36" customHeight="1">
      <c r="A99" s="18" t="inlineStr">
        <is>
          <t>UEFA Champions League|man city|pae aek|2026-10-20</t>
        </is>
      </c>
      <c r="B99" s="23">
        <v>46315.791666666664</v>
      </c>
      <c r="C99" s="18" t="inlineStr">
        <is>
          <t>UEFA Champions League</t>
        </is>
      </c>
      <c r="D99" s="18" t="inlineStr">
        <is>
          <t>Manchester City FC vs PAE AEK</t>
        </is>
      </c>
      <c r="E99" s="18" t="inlineStr">
        <is>
          <t>72h-all-markets-net-ev15-execution-v7</t>
        </is>
      </c>
      <c r="F99" s="18" t="inlineStr">
        <is>
          <t>PENDING_KICKOFF_OR_FINAL_SCORE</t>
        </is>
      </c>
      <c r="G99" s="18"/>
      <c r="H99" s="18"/>
      <c r="I99" s="21"/>
      <c r="J99" s="18"/>
      <c r="K99" s="18"/>
      <c r="L99" s="18"/>
      <c r="M99" s="18"/>
      <c r="N99" s="18" t="inlineStr">
        <is>
          <t>2026-W43</t>
        </is>
      </c>
      <c r="O99" s="18" t="inlineStr">
        <is>
          <t>a98524037f736c1c589800f3bd4b329ab00983f7</t>
        </is>
      </c>
      <c r="P99" s="18"/>
      <c r="Q99" s="18"/>
      <c r="R99" s="18"/>
    </row>
    <row r="100" ht="36" customHeight="1">
      <c r="A100" s="18" t="inlineStr">
        <is>
          <t>UEFA Champions League|napoli|bod glimt|2026-10-20</t>
        </is>
      </c>
      <c r="B100" s="23">
        <v>46315.791666666664</v>
      </c>
      <c r="C100" s="18" t="inlineStr">
        <is>
          <t>UEFA Champions League</t>
        </is>
      </c>
      <c r="D100" s="18" t="inlineStr">
        <is>
          <t>Napoli vs Bodø/Glimt</t>
        </is>
      </c>
      <c r="E100" s="18" t="inlineStr">
        <is>
          <t>72h-six-markets-dc12-probability-odds-net-ev15-v9</t>
        </is>
      </c>
      <c r="F100" s="18" t="inlineStr">
        <is>
          <t>PENDING_KICKOFF_OR_FINAL_SCORE</t>
        </is>
      </c>
      <c r="G100" s="18"/>
      <c r="H100" s="18"/>
      <c r="I100" s="21"/>
      <c r="J100" s="18"/>
      <c r="K100" s="18"/>
      <c r="L100" s="18"/>
      <c r="M100" s="18"/>
      <c r="N100" s="18" t="inlineStr">
        <is>
          <t>2026-W43</t>
        </is>
      </c>
      <c r="O100" s="18" t="inlineStr">
        <is>
          <t>376b9f9ba8a8b03ea259c57729113f873b0b980d</t>
        </is>
      </c>
      <c r="P100" s="18"/>
      <c r="Q100" s="18"/>
      <c r="R100" s="18"/>
    </row>
    <row r="101" ht="36" customHeight="1">
      <c r="A101" s="18" t="inlineStr">
        <is>
          <t>UEFA Champions League|paris sg|barcelona|2026-10-20</t>
        </is>
      </c>
      <c r="B101" s="23">
        <v>46315.791666666664</v>
      </c>
      <c r="C101" s="18" t="inlineStr">
        <is>
          <t>UEFA Champions League</t>
        </is>
      </c>
      <c r="D101" s="18" t="inlineStr">
        <is>
          <t>Paris Saint-Germain FC vs FC Barcelona</t>
        </is>
      </c>
      <c r="E101" s="18" t="inlineStr">
        <is>
          <t>72h-all-markets-net-ev15-execution-v7</t>
        </is>
      </c>
      <c r="F101" s="18" t="inlineStr">
        <is>
          <t>PENDING_KICKOFF_OR_FINAL_SCORE</t>
        </is>
      </c>
      <c r="G101" s="18"/>
      <c r="H101" s="18"/>
      <c r="I101" s="21"/>
      <c r="J101" s="18"/>
      <c r="K101" s="18"/>
      <c r="L101" s="18"/>
      <c r="M101" s="18"/>
      <c r="N101" s="18" t="inlineStr">
        <is>
          <t>2026-W43</t>
        </is>
      </c>
      <c r="O101" s="18" t="inlineStr">
        <is>
          <t>a98524037f736c1c589800f3bd4b329ab00983f7</t>
        </is>
      </c>
      <c r="P101" s="18"/>
      <c r="Q101" s="18"/>
      <c r="R101" s="18"/>
    </row>
    <row r="102" ht="36" customHeight="1">
      <c r="A102" s="18" t="inlineStr">
        <is>
          <t>UEFA Champions League|porto|psv|2026-10-20</t>
        </is>
      </c>
      <c r="B102" s="23">
        <v>46315.791666666664</v>
      </c>
      <c r="C102" s="18" t="inlineStr">
        <is>
          <t>UEFA Champions League</t>
        </is>
      </c>
      <c r="D102" s="18" t="inlineStr">
        <is>
          <t>FC Porto vs PSV</t>
        </is>
      </c>
      <c r="E102" s="18" t="inlineStr">
        <is>
          <t>72h-all-markets-net-ev15-execution-v7</t>
        </is>
      </c>
      <c r="F102" s="18" t="inlineStr">
        <is>
          <t>PENDING_KICKOFF_OR_FINAL_SCORE</t>
        </is>
      </c>
      <c r="G102" s="18"/>
      <c r="H102" s="18"/>
      <c r="I102" s="21"/>
      <c r="J102" s="18"/>
      <c r="K102" s="18"/>
      <c r="L102" s="18"/>
      <c r="M102" s="18"/>
      <c r="N102" s="18" t="inlineStr">
        <is>
          <t>2026-W43</t>
        </is>
      </c>
      <c r="O102" s="18" t="inlineStr">
        <is>
          <t>a98524037f736c1c589800f3bd4b329ab00983f7</t>
        </is>
      </c>
      <c r="P102" s="18"/>
      <c r="Q102" s="18"/>
      <c r="R102" s="18"/>
    </row>
    <row r="103" ht="36" customHeight="1">
      <c r="A103" s="18" t="inlineStr">
        <is>
          <t>UEFA Champions League|ssc napoli|fk bod glimt|2026-10-20</t>
        </is>
      </c>
      <c r="B103" s="23">
        <v>46315.791666666664</v>
      </c>
      <c r="C103" s="18" t="inlineStr">
        <is>
          <t>UEFA Champions League</t>
        </is>
      </c>
      <c r="D103" s="18" t="inlineStr">
        <is>
          <t>SSC Napoli vs FK Bodø/Glimt</t>
        </is>
      </c>
      <c r="E103" s="18" t="inlineStr">
        <is>
          <t>72h-all-markets-net-ev15-execution-v7</t>
        </is>
      </c>
      <c r="F103" s="18" t="inlineStr">
        <is>
          <t>PENDING_KICKOFF_OR_FINAL_SCORE</t>
        </is>
      </c>
      <c r="G103" s="18"/>
      <c r="H103" s="18"/>
      <c r="I103" s="21"/>
      <c r="J103" s="18"/>
      <c r="K103" s="18"/>
      <c r="L103" s="18"/>
      <c r="M103" s="18"/>
      <c r="N103" s="18" t="inlineStr">
        <is>
          <t>2026-W43</t>
        </is>
      </c>
      <c r="O103" s="18" t="inlineStr">
        <is>
          <t>a98524037f736c1c589800f3bd4b329ab00983f7</t>
        </is>
      </c>
      <c r="P103" s="18"/>
      <c r="Q103" s="18"/>
      <c r="R103" s="18"/>
    </row>
    <row r="104" ht="36" customHeight="1">
      <c r="A104" s="18" t="inlineStr">
        <is>
          <t>UEFA Champions League|vfb stuttgart|ath madrid|2026-10-20</t>
        </is>
      </c>
      <c r="B104" s="23">
        <v>46315.791666666664</v>
      </c>
      <c r="C104" s="18" t="inlineStr">
        <is>
          <t>UEFA Champions League</t>
        </is>
      </c>
      <c r="D104" s="18" t="inlineStr">
        <is>
          <t>VfB Stuttgart vs Club Atlético de Madrid</t>
        </is>
      </c>
      <c r="E104" s="18" t="inlineStr">
        <is>
          <t>72h-all-markets-net-ev15-execution-v7</t>
        </is>
      </c>
      <c r="F104" s="18" t="inlineStr">
        <is>
          <t>PENDING_KICKOFF_OR_FINAL_SCORE</t>
        </is>
      </c>
      <c r="G104" s="18"/>
      <c r="H104" s="18"/>
      <c r="I104" s="21"/>
      <c r="J104" s="18"/>
      <c r="K104" s="18"/>
      <c r="L104" s="18"/>
      <c r="M104" s="18"/>
      <c r="N104" s="18" t="inlineStr">
        <is>
          <t>2026-W43</t>
        </is>
      </c>
      <c r="O104" s="18" t="inlineStr">
        <is>
          <t>a98524037f736c1c589800f3bd4b329ab00983f7</t>
        </is>
      </c>
      <c r="P104" s="18"/>
      <c r="Q104" s="18"/>
      <c r="R104" s="18"/>
    </row>
    <row r="105" ht="36" customHeight="1">
      <c r="A105" s="18" t="inlineStr">
        <is>
          <t>UEFA Champions League|como 1907|man united|2026-10-21</t>
        </is>
      </c>
      <c r="B105" s="23">
        <v>46316.697916666664</v>
      </c>
      <c r="C105" s="18" t="inlineStr">
        <is>
          <t>UEFA Champions League</t>
        </is>
      </c>
      <c r="D105" s="18" t="inlineStr">
        <is>
          <t>Como 1907 vs Manchester United FC</t>
        </is>
      </c>
      <c r="E105" s="18" t="inlineStr">
        <is>
          <t>72h-all-markets-net-ev15-execution-v7</t>
        </is>
      </c>
      <c r="F105" s="18" t="inlineStr">
        <is>
          <t>PENDING_KICKOFF_OR_FINAL_SCORE</t>
        </is>
      </c>
      <c r="G105" s="18"/>
      <c r="H105" s="18"/>
      <c r="I105" s="21"/>
      <c r="J105" s="18"/>
      <c r="K105" s="18"/>
      <c r="L105" s="18"/>
      <c r="M105" s="18"/>
      <c r="N105" s="18" t="inlineStr">
        <is>
          <t>2026-W43</t>
        </is>
      </c>
      <c r="O105" s="18" t="inlineStr">
        <is>
          <t>a98524037f736c1c589800f3bd4b329ab00983f7</t>
        </is>
      </c>
      <c r="P105" s="18"/>
      <c r="Q105" s="18"/>
      <c r="R105" s="18"/>
    </row>
    <row r="106" ht="36" customHeight="1">
      <c r="A106" s="18" t="inlineStr">
        <is>
          <t>UEFA Champions League|como|man united|2026-10-21</t>
        </is>
      </c>
      <c r="B106" s="23">
        <v>46316.697916666664</v>
      </c>
      <c r="C106" s="18" t="inlineStr">
        <is>
          <t>UEFA Champions League</t>
        </is>
      </c>
      <c r="D106" s="18" t="inlineStr">
        <is>
          <t>Como vs Manchester United</t>
        </is>
      </c>
      <c r="E106" s="18" t="inlineStr">
        <is>
          <t>72h-six-markets-dc12-probability-odds-net-ev15-v9</t>
        </is>
      </c>
      <c r="F106" s="18" t="inlineStr">
        <is>
          <t>PENDING_KICKOFF_OR_FINAL_SCORE</t>
        </is>
      </c>
      <c r="G106" s="18"/>
      <c r="H106" s="18"/>
      <c r="I106" s="21"/>
      <c r="J106" s="18"/>
      <c r="K106" s="18"/>
      <c r="L106" s="18"/>
      <c r="M106" s="18"/>
      <c r="N106" s="18" t="inlineStr">
        <is>
          <t>2026-W43</t>
        </is>
      </c>
      <c r="O106" s="18" t="inlineStr">
        <is>
          <t>376b9f9ba8a8b03ea259c57729113f873b0b980d</t>
        </is>
      </c>
      <c r="P106" s="18"/>
      <c r="Q106" s="18"/>
      <c r="R106" s="18"/>
    </row>
    <row r="107" ht="36" customHeight="1">
      <c r="A107" s="18" t="inlineStr">
        <is>
          <t>UEFA Champions League|lille osc|galatasaray sk|2026-10-21</t>
        </is>
      </c>
      <c r="B107" s="23">
        <v>46316.697916666664</v>
      </c>
      <c r="C107" s="18" t="inlineStr">
        <is>
          <t>UEFA Champions League</t>
        </is>
      </c>
      <c r="D107" s="18" t="inlineStr">
        <is>
          <t>Lille OSC vs Galatasaray SK</t>
        </is>
      </c>
      <c r="E107" s="18" t="inlineStr">
        <is>
          <t>72h-all-markets-net-ev15-execution-v7</t>
        </is>
      </c>
      <c r="F107" s="18" t="inlineStr">
        <is>
          <t>PENDING_KICKOFF_OR_FINAL_SCORE</t>
        </is>
      </c>
      <c r="G107" s="18"/>
      <c r="H107" s="18"/>
      <c r="I107" s="21"/>
      <c r="J107" s="18"/>
      <c r="K107" s="18"/>
      <c r="L107" s="18"/>
      <c r="M107" s="18"/>
      <c r="N107" s="18" t="inlineStr">
        <is>
          <t>2026-W43</t>
        </is>
      </c>
      <c r="O107" s="18" t="inlineStr">
        <is>
          <t>a98524037f736c1c589800f3bd4b329ab00983f7</t>
        </is>
      </c>
      <c r="P107" s="18"/>
      <c r="Q107" s="18"/>
      <c r="R107" s="18"/>
    </row>
    <row r="108" ht="36" customHeight="1">
      <c r="A108" s="18" t="inlineStr">
        <is>
          <t>UEFA Champions League|lille|galatasaray|2026-10-21</t>
        </is>
      </c>
      <c r="B108" s="23">
        <v>46316.697916666664</v>
      </c>
      <c r="C108" s="18" t="inlineStr">
        <is>
          <t>UEFA Champions League</t>
        </is>
      </c>
      <c r="D108" s="18" t="inlineStr">
        <is>
          <t>Lille vs Galatasaray</t>
        </is>
      </c>
      <c r="E108" s="18" t="inlineStr">
        <is>
          <t>72h-six-markets-dc12-probability-odds-net-ev15-v9</t>
        </is>
      </c>
      <c r="F108" s="18" t="inlineStr">
        <is>
          <t>PENDING_KICKOFF_OR_FINAL_SCORE</t>
        </is>
      </c>
      <c r="G108" s="18"/>
      <c r="H108" s="18"/>
      <c r="I108" s="21"/>
      <c r="J108" s="18"/>
      <c r="K108" s="18"/>
      <c r="L108" s="18"/>
      <c r="M108" s="18"/>
      <c r="N108" s="18" t="inlineStr">
        <is>
          <t>2026-W43</t>
        </is>
      </c>
      <c r="O108" s="18" t="inlineStr">
        <is>
          <t>376b9f9ba8a8b03ea259c57729113f873b0b980d</t>
        </is>
      </c>
      <c r="P108" s="18"/>
      <c r="Q108" s="18"/>
      <c r="R108" s="18"/>
    </row>
    <row r="109" ht="36" customHeight="1">
      <c r="A109" s="18" t="inlineStr">
        <is>
          <t>La Liga|levante|ath bilbao|2026-10-21</t>
        </is>
      </c>
      <c r="B109" s="23">
        <v>46316.75</v>
      </c>
      <c r="C109" s="18" t="inlineStr">
        <is>
          <t>La Liga</t>
        </is>
      </c>
      <c r="D109" s="18" t="inlineStr">
        <is>
          <t>Levante vs Athletic Bilbao</t>
        </is>
      </c>
      <c r="E109" s="18" t="inlineStr">
        <is>
          <t>72h-ucl-v3</t>
        </is>
      </c>
      <c r="F109" s="18" t="inlineStr">
        <is>
          <t>PENDING_KICKOFF_OR_FINAL_SCORE</t>
        </is>
      </c>
      <c r="G109" s="18"/>
      <c r="H109" s="18"/>
      <c r="I109" s="21"/>
      <c r="J109" s="18"/>
      <c r="K109" s="18"/>
      <c r="L109" s="18"/>
      <c r="M109" s="18"/>
      <c r="N109" s="18" t="inlineStr">
        <is>
          <t>2026-W43</t>
        </is>
      </c>
      <c r="O109" s="18" t="inlineStr">
        <is>
          <t>4f7af2f470a0b5cdb7b8ae974c859f87b0236fc4</t>
        </is>
      </c>
      <c r="P109" s="18"/>
      <c r="Q109" s="18"/>
      <c r="R109" s="18"/>
    </row>
    <row r="110" ht="36" customHeight="1">
      <c r="A110" s="18" t="inlineStr">
        <is>
          <t>UEFA Champions League|aston villa|viking fk|2026-10-21</t>
        </is>
      </c>
      <c r="B110" s="23">
        <v>46316.791666666664</v>
      </c>
      <c r="C110" s="18" t="inlineStr">
        <is>
          <t>UEFA Champions League</t>
        </is>
      </c>
      <c r="D110" s="18" t="inlineStr">
        <is>
          <t>Aston Villa FC vs Viking FK</t>
        </is>
      </c>
      <c r="E110" s="18" t="inlineStr">
        <is>
          <t>72h-all-markets-net-ev15-execution-v7</t>
        </is>
      </c>
      <c r="F110" s="18" t="inlineStr">
        <is>
          <t>PENDING_KICKOFF_OR_FINAL_SCORE</t>
        </is>
      </c>
      <c r="G110" s="18"/>
      <c r="H110" s="18"/>
      <c r="I110" s="21"/>
      <c r="J110" s="18"/>
      <c r="K110" s="18"/>
      <c r="L110" s="18"/>
      <c r="M110" s="18"/>
      <c r="N110" s="18" t="inlineStr">
        <is>
          <t>2026-W43</t>
        </is>
      </c>
      <c r="O110" s="18" t="inlineStr">
        <is>
          <t>a98524037f736c1c589800f3bd4b329ab00983f7</t>
        </is>
      </c>
      <c r="P110" s="18"/>
      <c r="Q110" s="18"/>
      <c r="R110" s="18"/>
    </row>
    <row r="111" ht="36" customHeight="1">
      <c r="A111" s="18" t="inlineStr">
        <is>
          <t>UEFA Champions League|bayern munich|arsenal|2026-10-21</t>
        </is>
      </c>
      <c r="B111" s="23">
        <v>46316.791666666664</v>
      </c>
      <c r="C111" s="18" t="inlineStr">
        <is>
          <t>UEFA Champions League</t>
        </is>
      </c>
      <c r="D111" s="18" t="inlineStr">
        <is>
          <t>FC Bayern München vs Arsenal FC</t>
        </is>
      </c>
      <c r="E111" s="18" t="inlineStr">
        <is>
          <t>72h-all-markets-net-ev15-execution-v7</t>
        </is>
      </c>
      <c r="F111" s="18" t="inlineStr">
        <is>
          <t>PENDING_KICKOFF_OR_FINAL_SCORE</t>
        </is>
      </c>
      <c r="G111" s="18"/>
      <c r="H111" s="18"/>
      <c r="I111" s="21"/>
      <c r="J111" s="18"/>
      <c r="K111" s="18"/>
      <c r="L111" s="18"/>
      <c r="M111" s="18"/>
      <c r="N111" s="18" t="inlineStr">
        <is>
          <t>2026-W43</t>
        </is>
      </c>
      <c r="O111" s="18" t="inlineStr">
        <is>
          <t>a98524037f736c1c589800f3bd4b329ab00983f7</t>
        </is>
      </c>
      <c r="P111" s="18"/>
      <c r="Q111" s="18"/>
      <c r="R111" s="18"/>
    </row>
    <row r="112" ht="36" customHeight="1">
      <c r="A112" s="18" t="inlineStr">
        <is>
          <t>UEFA Champions League|brugge kv|racing lens|2026-10-21</t>
        </is>
      </c>
      <c r="B112" s="23">
        <v>46316.791666666664</v>
      </c>
      <c r="C112" s="18" t="inlineStr">
        <is>
          <t>UEFA Champions League</t>
        </is>
      </c>
      <c r="D112" s="18" t="inlineStr">
        <is>
          <t>Club Brugge KV vs Racing Club de Lens</t>
        </is>
      </c>
      <c r="E112" s="18" t="inlineStr">
        <is>
          <t>72h-all-markets-net-ev15-execution-v7</t>
        </is>
      </c>
      <c r="F112" s="18" t="inlineStr">
        <is>
          <t>PENDING_KICKOFF_OR_FINAL_SCORE</t>
        </is>
      </c>
      <c r="G112" s="18"/>
      <c r="H112" s="18"/>
      <c r="I112" s="21"/>
      <c r="J112" s="18"/>
      <c r="K112" s="18"/>
      <c r="L112" s="18"/>
      <c r="M112" s="18"/>
      <c r="N112" s="18" t="inlineStr">
        <is>
          <t>2026-W43</t>
        </is>
      </c>
      <c r="O112" s="18" t="inlineStr">
        <is>
          <t>a98524037f736c1c589800f3bd4b329ab00983f7</t>
        </is>
      </c>
      <c r="P112" s="18"/>
      <c r="Q112" s="18"/>
      <c r="R112" s="18"/>
    </row>
    <row r="113" ht="36" customHeight="1">
      <c r="A113" s="18" t="inlineStr">
        <is>
          <t>UEFA Champions League|brugge|rc lens|2026-10-21</t>
        </is>
      </c>
      <c r="B113" s="23">
        <v>46316.791666666664</v>
      </c>
      <c r="C113" s="18" t="inlineStr">
        <is>
          <t>UEFA Champions League</t>
        </is>
      </c>
      <c r="D113" s="18" t="inlineStr">
        <is>
          <t>Club Brugge vs RC Lens</t>
        </is>
      </c>
      <c r="E113" s="18" t="inlineStr">
        <is>
          <t>72h-six-markets-dc12-probability-odds-net-ev15-v9</t>
        </is>
      </c>
      <c r="F113" s="18" t="inlineStr">
        <is>
          <t>PENDING_KICKOFF_OR_FINAL_SCORE</t>
        </is>
      </c>
      <c r="G113" s="18"/>
      <c r="H113" s="18"/>
      <c r="I113" s="21"/>
      <c r="J113" s="18"/>
      <c r="K113" s="18"/>
      <c r="L113" s="18"/>
      <c r="M113" s="18"/>
      <c r="N113" s="18" t="inlineStr">
        <is>
          <t>2026-W43</t>
        </is>
      </c>
      <c r="O113" s="18" t="inlineStr">
        <is>
          <t>376b9f9ba8a8b03ea259c57729113f873b0b980d</t>
        </is>
      </c>
      <c r="P113" s="18"/>
      <c r="Q113" s="18"/>
      <c r="R113" s="18"/>
    </row>
    <row r="114" ht="36" customHeight="1">
      <c r="A114" s="18" t="inlineStr">
        <is>
          <t>UEFA Champions League|inter|fk shakhtar donetsk|2026-10-21</t>
        </is>
      </c>
      <c r="B114" s="23">
        <v>46316.791666666664</v>
      </c>
      <c r="C114" s="18" t="inlineStr">
        <is>
          <t>UEFA Champions League</t>
        </is>
      </c>
      <c r="D114" s="18" t="inlineStr">
        <is>
          <t>FC Internazionale Milano vs FK Shakhtar Donetsk</t>
        </is>
      </c>
      <c r="E114" s="18" t="inlineStr">
        <is>
          <t>72h-all-markets-net-ev15-execution-v7</t>
        </is>
      </c>
      <c r="F114" s="18" t="inlineStr">
        <is>
          <t>PENDING_KICKOFF_OR_FINAL_SCORE</t>
        </is>
      </c>
      <c r="G114" s="18"/>
      <c r="H114" s="18"/>
      <c r="I114" s="21"/>
      <c r="J114" s="18"/>
      <c r="K114" s="18"/>
      <c r="L114" s="18"/>
      <c r="M114" s="18"/>
      <c r="N114" s="18" t="inlineStr">
        <is>
          <t>2026-W43</t>
        </is>
      </c>
      <c r="O114" s="18" t="inlineStr">
        <is>
          <t>a98524037f736c1c589800f3bd4b329ab00983f7</t>
        </is>
      </c>
      <c r="P114" s="18"/>
      <c r="Q114" s="18"/>
      <c r="R114" s="18"/>
    </row>
    <row r="115" ht="36" customHeight="1">
      <c r="A115" s="18" t="inlineStr">
        <is>
          <t>UEFA Champions League|inter|shakhtar|2026-10-21</t>
        </is>
      </c>
      <c r="B115" s="23">
        <v>46316.791666666664</v>
      </c>
      <c r="C115" s="18" t="inlineStr">
        <is>
          <t>UEFA Champions League</t>
        </is>
      </c>
      <c r="D115" s="18" t="inlineStr">
        <is>
          <t>Inter Milan vs Shakhtar Donetsk</t>
        </is>
      </c>
      <c r="E115" s="18" t="inlineStr">
        <is>
          <t>72h-six-markets-dc12-probability-odds-net-ev15-v9</t>
        </is>
      </c>
      <c r="F115" s="18" t="inlineStr">
        <is>
          <t>PENDING_KICKOFF_OR_FINAL_SCORE</t>
        </is>
      </c>
      <c r="G115" s="18"/>
      <c r="H115" s="18"/>
      <c r="I115" s="21"/>
      <c r="J115" s="18"/>
      <c r="K115" s="18"/>
      <c r="L115" s="18"/>
      <c r="M115" s="18"/>
      <c r="N115" s="18" t="inlineStr">
        <is>
          <t>2026-W43</t>
        </is>
      </c>
      <c r="O115" s="18" t="inlineStr">
        <is>
          <t>376b9f9ba8a8b03ea259c57729113f873b0b980d</t>
        </is>
      </c>
      <c r="P115" s="18"/>
      <c r="Q115" s="18"/>
      <c r="R115" s="18"/>
    </row>
    <row r="116" ht="36" customHeight="1">
      <c r="A116" s="18" t="inlineStr">
        <is>
          <t>UEFA Champions League|real betis balompie|feyenoord|2026-10-21</t>
        </is>
      </c>
      <c r="B116" s="23">
        <v>46316.791666666664</v>
      </c>
      <c r="C116" s="18" t="inlineStr">
        <is>
          <t>UEFA Champions League</t>
        </is>
      </c>
      <c r="D116" s="18" t="inlineStr">
        <is>
          <t>Real Betis Balompié vs Feyenoord Rotterdam</t>
        </is>
      </c>
      <c r="E116" s="18" t="inlineStr">
        <is>
          <t>72h-all-markets-net-ev15-execution-v7</t>
        </is>
      </c>
      <c r="F116" s="18" t="inlineStr">
        <is>
          <t>PENDING_KICKOFF_OR_FINAL_SCORE</t>
        </is>
      </c>
      <c r="G116" s="18"/>
      <c r="H116" s="18"/>
      <c r="I116" s="21"/>
      <c r="J116" s="18"/>
      <c r="K116" s="18"/>
      <c r="L116" s="18"/>
      <c r="M116" s="18"/>
      <c r="N116" s="18" t="inlineStr">
        <is>
          <t>2026-W43</t>
        </is>
      </c>
      <c r="O116" s="18" t="inlineStr">
        <is>
          <t>a98524037f736c1c589800f3bd4b329ab00983f7</t>
        </is>
      </c>
      <c r="P116" s="18"/>
      <c r="Q116" s="18"/>
      <c r="R116" s="18"/>
    </row>
    <row r="117" ht="36" customHeight="1">
      <c r="A117" s="18" t="inlineStr">
        <is>
          <t>UEFA Champions League|real betis|feyenoord|2026-10-21</t>
        </is>
      </c>
      <c r="B117" s="23">
        <v>46316.791666666664</v>
      </c>
      <c r="C117" s="18" t="inlineStr">
        <is>
          <t>UEFA Champions League</t>
        </is>
      </c>
      <c r="D117" s="18" t="inlineStr">
        <is>
          <t>Real Betis vs Feyenoord</t>
        </is>
      </c>
      <c r="E117" s="18" t="inlineStr">
        <is>
          <t>72h-six-markets-dc12-probability-odds-net-ev15-v9</t>
        </is>
      </c>
      <c r="F117" s="18" t="inlineStr">
        <is>
          <t>PENDING_KICKOFF_OR_FINAL_SCORE</t>
        </is>
      </c>
      <c r="G117" s="18"/>
      <c r="H117" s="18"/>
      <c r="I117" s="21"/>
      <c r="J117" s="18"/>
      <c r="K117" s="18"/>
      <c r="L117" s="18"/>
      <c r="M117" s="18"/>
      <c r="N117" s="18" t="inlineStr">
        <is>
          <t>2026-W43</t>
        </is>
      </c>
      <c r="O117" s="18" t="inlineStr">
        <is>
          <t>376b9f9ba8a8b03ea259c57729113f873b0b980d</t>
        </is>
      </c>
      <c r="P117" s="18"/>
      <c r="Q117" s="18"/>
      <c r="R117" s="18"/>
    </row>
    <row r="118" ht="36" customHeight="1">
      <c r="A118" s="18" t="inlineStr">
        <is>
          <t>UEFA Champions League|real madrid|rb leipzig|2026-10-21</t>
        </is>
      </c>
      <c r="B118" s="23">
        <v>46316.791666666664</v>
      </c>
      <c r="C118" s="18" t="inlineStr">
        <is>
          <t>UEFA Champions League</t>
        </is>
      </c>
      <c r="D118" s="18" t="inlineStr">
        <is>
          <t>Real Madrid CF vs RB Leipzig</t>
        </is>
      </c>
      <c r="E118" s="18" t="inlineStr">
        <is>
          <t>72h-all-markets-net-ev15-execution-v7</t>
        </is>
      </c>
      <c r="F118" s="18" t="inlineStr">
        <is>
          <t>PENDING_KICKOFF_OR_FINAL_SCORE</t>
        </is>
      </c>
      <c r="G118" s="18"/>
      <c r="H118" s="18"/>
      <c r="I118" s="21"/>
      <c r="J118" s="18"/>
      <c r="K118" s="18"/>
      <c r="L118" s="18"/>
      <c r="M118" s="18"/>
      <c r="N118" s="18" t="inlineStr">
        <is>
          <t>2026-W43</t>
        </is>
      </c>
      <c r="O118" s="18" t="inlineStr">
        <is>
          <t>a98524037f736c1c589800f3bd4b329ab00983f7</t>
        </is>
      </c>
      <c r="P118" s="18"/>
      <c r="Q118" s="18"/>
      <c r="R118" s="18"/>
    </row>
    <row r="119" ht="36" customHeight="1">
      <c r="A119" s="18" t="inlineStr">
        <is>
          <t>UEFA Champions League|sporting cp|lask linz|2026-10-21</t>
        </is>
      </c>
      <c r="B119" s="23">
        <v>46316.791666666664</v>
      </c>
      <c r="C119" s="18" t="inlineStr">
        <is>
          <t>UEFA Champions League</t>
        </is>
      </c>
      <c r="D119" s="18" t="inlineStr">
        <is>
          <t>Sporting Clube de Portugal vs LASK Linz</t>
        </is>
      </c>
      <c r="E119" s="18" t="inlineStr">
        <is>
          <t>72h-all-markets-net-ev15-execution-v7</t>
        </is>
      </c>
      <c r="F119" s="18" t="inlineStr">
        <is>
          <t>PENDING_KICKOFF_OR_FINAL_SCORE</t>
        </is>
      </c>
      <c r="G119" s="18"/>
      <c r="H119" s="18"/>
      <c r="I119" s="21"/>
      <c r="J119" s="18"/>
      <c r="K119" s="18"/>
      <c r="L119" s="18"/>
      <c r="M119" s="18"/>
      <c r="N119" s="18" t="inlineStr">
        <is>
          <t>2026-W43</t>
        </is>
      </c>
      <c r="O119" s="18" t="inlineStr">
        <is>
          <t>a98524037f736c1c589800f3bd4b329ab00983f7</t>
        </is>
      </c>
      <c r="P119" s="18"/>
      <c r="Q119" s="18"/>
      <c r="R119" s="18"/>
    </row>
    <row r="120" ht="36" customHeight="1">
      <c r="A120" s="18" t="inlineStr">
        <is>
          <t>UEFA Champions League|sporting cp|lask|2026-10-21</t>
        </is>
      </c>
      <c r="B120" s="23">
        <v>46316.791666666664</v>
      </c>
      <c r="C120" s="18" t="inlineStr">
        <is>
          <t>UEFA Champions League</t>
        </is>
      </c>
      <c r="D120" s="18" t="inlineStr">
        <is>
          <t>Sporting Lisbon vs LASK</t>
        </is>
      </c>
      <c r="E120" s="18" t="inlineStr">
        <is>
          <t>72h-six-markets-dc12-probability-odds-net-ev15-v9</t>
        </is>
      </c>
      <c r="F120" s="18" t="inlineStr">
        <is>
          <t>PENDING_KICKOFF_OR_FINAL_SCORE</t>
        </is>
      </c>
      <c r="G120" s="18"/>
      <c r="H120" s="18"/>
      <c r="I120" s="21"/>
      <c r="J120" s="18"/>
      <c r="K120" s="18"/>
      <c r="L120" s="18"/>
      <c r="M120" s="18"/>
      <c r="N120" s="18" t="inlineStr">
        <is>
          <t>2026-W43</t>
        </is>
      </c>
      <c r="O120" s="18" t="inlineStr">
        <is>
          <t>376b9f9ba8a8b03ea259c57729113f873b0b980d</t>
        </is>
      </c>
      <c r="P120" s="18"/>
      <c r="Q120" s="18"/>
      <c r="R120" s="18"/>
    </row>
    <row r="121" ht="36" customHeight="1">
      <c r="A121" s="18" t="inlineStr">
        <is>
          <t>Bundesliga|vfb stuttgart|m gladbach|2026-10-23</t>
        </is>
      </c>
      <c r="B121" s="23">
        <v>46318.770833333336</v>
      </c>
      <c r="C121" s="18" t="inlineStr">
        <is>
          <t>Bundesliga</t>
        </is>
      </c>
      <c r="D121" s="18" t="inlineStr">
        <is>
          <t>VfB Stuttgart vs Borussia Monchengladbach</t>
        </is>
      </c>
      <c r="E121" s="18" t="inlineStr">
        <is>
          <t>72h-all-markets-net-ev15-execution-v7</t>
        </is>
      </c>
      <c r="F121" s="18" t="inlineStr">
        <is>
          <t>PENDING_KICKOFF_OR_FINAL_SCORE</t>
        </is>
      </c>
      <c r="G121" s="18"/>
      <c r="H121" s="18"/>
      <c r="I121" s="21"/>
      <c r="J121" s="18"/>
      <c r="K121" s="18"/>
      <c r="L121" s="18"/>
      <c r="M121" s="18"/>
      <c r="N121" s="18" t="inlineStr">
        <is>
          <t>2026-W43</t>
        </is>
      </c>
      <c r="O121" s="18" t="inlineStr">
        <is>
          <t>d3f12df5a2a20809c3ac84f9a31766ba965813e3</t>
        </is>
      </c>
      <c r="P121" s="18"/>
      <c r="Q121" s="18"/>
      <c r="R121" s="18"/>
    </row>
    <row r="122" ht="36" customHeight="1">
      <c r="A122" s="18" t="inlineStr">
        <is>
          <t>Ligue 1|brest|nice|2026-10-23</t>
        </is>
      </c>
      <c r="B122" s="23">
        <v>46318.78125</v>
      </c>
      <c r="C122" s="18" t="inlineStr">
        <is>
          <t>Ligue 1</t>
        </is>
      </c>
      <c r="D122" s="18" t="inlineStr">
        <is>
          <t>Brest vs Nice</t>
        </is>
      </c>
      <c r="E122" s="18" t="inlineStr">
        <is>
          <t>72h-all-markets-net-ev15-execution-v7</t>
        </is>
      </c>
      <c r="F122" s="18" t="inlineStr">
        <is>
          <t>PENDING_KICKOFF_OR_FINAL_SCORE</t>
        </is>
      </c>
      <c r="G122" s="18"/>
      <c r="H122" s="18"/>
      <c r="I122" s="21"/>
      <c r="J122" s="18"/>
      <c r="K122" s="18"/>
      <c r="L122" s="18"/>
      <c r="M122" s="18"/>
      <c r="N122" s="18" t="inlineStr">
        <is>
          <t>2026-W43</t>
        </is>
      </c>
      <c r="O122" s="18" t="inlineStr">
        <is>
          <t>d3f12df5a2a20809c3ac84f9a31766ba965813e3</t>
        </is>
      </c>
      <c r="P122" s="18"/>
      <c r="Q122" s="18"/>
      <c r="R122" s="18"/>
    </row>
    <row r="123" ht="36" customHeight="1">
      <c r="A123" s="18" t="inlineStr">
        <is>
          <t>Serie A|torino|monza|2026-10-23</t>
        </is>
      </c>
      <c r="B123" s="23">
        <v>46318.78125</v>
      </c>
      <c r="C123" s="18" t="inlineStr">
        <is>
          <t>Serie A</t>
        </is>
      </c>
      <c r="D123" s="18" t="inlineStr">
        <is>
          <t>Torino vs Monza</t>
        </is>
      </c>
      <c r="E123" s="18" t="inlineStr">
        <is>
          <t>72h-all-markets-net-ev15-execution-v7</t>
        </is>
      </c>
      <c r="F123" s="18" t="inlineStr">
        <is>
          <t>PENDING_KICKOFF_OR_FINAL_SCORE</t>
        </is>
      </c>
      <c r="G123" s="18"/>
      <c r="H123" s="18"/>
      <c r="I123" s="21"/>
      <c r="J123" s="18"/>
      <c r="K123" s="18"/>
      <c r="L123" s="18"/>
      <c r="M123" s="18"/>
      <c r="N123" s="18" t="inlineStr">
        <is>
          <t>2026-W43</t>
        </is>
      </c>
      <c r="O123" s="18" t="inlineStr">
        <is>
          <t>d3f12df5a2a20809c3ac84f9a31766ba965813e3</t>
        </is>
      </c>
      <c r="P123" s="18"/>
      <c r="Q123" s="18"/>
      <c r="R123" s="18"/>
    </row>
    <row r="124" ht="36" customHeight="1">
      <c r="A124" s="18" t="inlineStr">
        <is>
          <t>La Liga|alaves|malaga|2026-10-23</t>
        </is>
      </c>
      <c r="B124" s="23">
        <v>46318.791666666664</v>
      </c>
      <c r="C124" s="18" t="inlineStr">
        <is>
          <t>La Liga</t>
        </is>
      </c>
      <c r="D124" s="18" t="inlineStr">
        <is>
          <t>Alavés vs Málaga</t>
        </is>
      </c>
      <c r="E124" s="18" t="inlineStr">
        <is>
          <t>72h-all-markets-net-ev15-execution-v7</t>
        </is>
      </c>
      <c r="F124" s="18" t="inlineStr">
        <is>
          <t>PENDING_KICKOFF_OR_FINAL_SCORE</t>
        </is>
      </c>
      <c r="G124" s="18"/>
      <c r="H124" s="18"/>
      <c r="I124" s="21"/>
      <c r="J124" s="18"/>
      <c r="K124" s="18"/>
      <c r="L124" s="18"/>
      <c r="M124" s="18"/>
      <c r="N124" s="18" t="inlineStr">
        <is>
          <t>2026-W43</t>
        </is>
      </c>
      <c r="O124" s="18" t="inlineStr">
        <is>
          <t>d3f12df5a2a20809c3ac84f9a31766ba965813e3</t>
        </is>
      </c>
      <c r="P124" s="18"/>
      <c r="Q124" s="18"/>
      <c r="R124" s="18"/>
    </row>
    <row r="125" ht="36" customHeight="1">
      <c r="A125" s="18" t="inlineStr">
        <is>
          <t>Premier League|ipswich town|nott m forest|2026-10-23</t>
        </is>
      </c>
      <c r="B125" s="23">
        <v>46318.791666666664</v>
      </c>
      <c r="C125" s="18" t="inlineStr">
        <is>
          <t>Premier League</t>
        </is>
      </c>
      <c r="D125" s="18" t="inlineStr">
        <is>
          <t>Ipswich Town vs Nottingham Forest</t>
        </is>
      </c>
      <c r="E125" s="18" t="inlineStr">
        <is>
          <t>72h-all-markets-net-ev15-execution-v7</t>
        </is>
      </c>
      <c r="F125" s="18" t="inlineStr">
        <is>
          <t>PENDING_KICKOFF_OR_FINAL_SCORE</t>
        </is>
      </c>
      <c r="G125" s="18"/>
      <c r="H125" s="18"/>
      <c r="I125" s="21"/>
      <c r="J125" s="18"/>
      <c r="K125" s="18"/>
      <c r="L125" s="18"/>
      <c r="M125" s="18"/>
      <c r="N125" s="18" t="inlineStr">
        <is>
          <t>2026-W43</t>
        </is>
      </c>
      <c r="O125" s="18" t="inlineStr">
        <is>
          <t>d3f12df5a2a20809c3ac84f9a31766ba965813e3</t>
        </is>
      </c>
      <c r="P125" s="18"/>
      <c r="Q125" s="18"/>
      <c r="R125" s="18"/>
    </row>
    <row r="126" ht="36" customHeight="1">
      <c r="A126" s="18" t="inlineStr">
        <is>
          <t>Premier League|aston villa|man city|2026-10-24</t>
        </is>
      </c>
      <c r="B126" s="23">
        <v>46319.479166666664</v>
      </c>
      <c r="C126" s="18" t="inlineStr">
        <is>
          <t>Premier League</t>
        </is>
      </c>
      <c r="D126" s="18" t="inlineStr">
        <is>
          <t>Aston Villa vs Manchester City</t>
        </is>
      </c>
      <c r="E126" s="18" t="inlineStr">
        <is>
          <t>72h-all-markets-net-ev15-execution-v7</t>
        </is>
      </c>
      <c r="F126" s="18" t="inlineStr">
        <is>
          <t>PENDING_KICKOFF_OR_FINAL_SCORE</t>
        </is>
      </c>
      <c r="G126" s="18"/>
      <c r="H126" s="18"/>
      <c r="I126" s="21"/>
      <c r="J126" s="18"/>
      <c r="K126" s="18"/>
      <c r="L126" s="18"/>
      <c r="M126" s="18"/>
      <c r="N126" s="18" t="inlineStr">
        <is>
          <t>2026-W43</t>
        </is>
      </c>
      <c r="O126" s="18" t="inlineStr">
        <is>
          <t>54bb8a2c2c957dda77ef247b3e042f6a945bda8f</t>
        </is>
      </c>
      <c r="P126" s="18"/>
      <c r="Q126" s="18"/>
      <c r="R126" s="18"/>
    </row>
    <row r="127" ht="36" customHeight="1">
      <c r="A127" s="18" t="inlineStr">
        <is>
          <t>La Liga|rayo vallecano|elche|2026-10-24</t>
        </is>
      </c>
      <c r="B127" s="23">
        <v>46319.5</v>
      </c>
      <c r="C127" s="18" t="inlineStr">
        <is>
          <t>La Liga</t>
        </is>
      </c>
      <c r="D127" s="18" t="inlineStr">
        <is>
          <t>Rayo Vallecano vs Elche CF</t>
        </is>
      </c>
      <c r="E127" s="18" t="inlineStr">
        <is>
          <t>72h-all-markets-net-ev15-execution-v7</t>
        </is>
      </c>
      <c r="F127" s="18" t="inlineStr">
        <is>
          <t>PENDING_KICKOFF_OR_FINAL_SCORE</t>
        </is>
      </c>
      <c r="G127" s="18"/>
      <c r="H127" s="18"/>
      <c r="I127" s="21"/>
      <c r="J127" s="18"/>
      <c r="K127" s="18"/>
      <c r="L127" s="18"/>
      <c r="M127" s="18"/>
      <c r="N127" s="18" t="inlineStr">
        <is>
          <t>2026-W43</t>
        </is>
      </c>
      <c r="O127" s="18" t="inlineStr">
        <is>
          <t>54bb8a2c2c957dda77ef247b3e042f6a945bda8f</t>
        </is>
      </c>
      <c r="P127" s="18"/>
      <c r="Q127" s="18"/>
      <c r="R127" s="18"/>
    </row>
    <row r="128" ht="36" customHeight="1">
      <c r="A128" s="18" t="inlineStr">
        <is>
          <t>Serie A|cagliari|bologna|2026-10-24</t>
        </is>
      </c>
      <c r="B128" s="23">
        <v>46319.541666666664</v>
      </c>
      <c r="C128" s="18" t="inlineStr">
        <is>
          <t>Serie A</t>
        </is>
      </c>
      <c r="D128" s="18" t="inlineStr">
        <is>
          <t>Cagliari vs Bologna</t>
        </is>
      </c>
      <c r="E128" s="18" t="inlineStr">
        <is>
          <t>72h-all-markets-net-ev15-execution-v7</t>
        </is>
      </c>
      <c r="F128" s="18" t="inlineStr">
        <is>
          <t>PENDING_KICKOFF_OR_FINAL_SCORE</t>
        </is>
      </c>
      <c r="G128" s="18"/>
      <c r="H128" s="18"/>
      <c r="I128" s="21"/>
      <c r="J128" s="18"/>
      <c r="K128" s="18"/>
      <c r="L128" s="18"/>
      <c r="M128" s="18"/>
      <c r="N128" s="18" t="inlineStr">
        <is>
          <t>2026-W43</t>
        </is>
      </c>
      <c r="O128" s="18" t="inlineStr">
        <is>
          <t>54bb8a2c2c957dda77ef247b3e042f6a945bda8f</t>
        </is>
      </c>
      <c r="P128" s="18"/>
      <c r="Q128" s="18"/>
      <c r="R128" s="18"/>
    </row>
    <row r="129" ht="36" customHeight="1">
      <c r="A129" s="18" t="inlineStr">
        <is>
          <t>Serie A|como|sassuolo|2026-10-24</t>
        </is>
      </c>
      <c r="B129" s="23">
        <v>46319.541666666664</v>
      </c>
      <c r="C129" s="18" t="inlineStr">
        <is>
          <t>Serie A</t>
        </is>
      </c>
      <c r="D129" s="18" t="inlineStr">
        <is>
          <t>Como vs Sassuolo</t>
        </is>
      </c>
      <c r="E129" s="18" t="inlineStr">
        <is>
          <t>72h-all-markets-net-ev15-execution-v7</t>
        </is>
      </c>
      <c r="F129" s="18" t="inlineStr">
        <is>
          <t>PENDING_KICKOFF_OR_FINAL_SCORE</t>
        </is>
      </c>
      <c r="G129" s="18"/>
      <c r="H129" s="18"/>
      <c r="I129" s="21"/>
      <c r="J129" s="18"/>
      <c r="K129" s="18"/>
      <c r="L129" s="18"/>
      <c r="M129" s="18"/>
      <c r="N129" s="18" t="inlineStr">
        <is>
          <t>2026-W43</t>
        </is>
      </c>
      <c r="O129" s="18" t="inlineStr">
        <is>
          <t>54bb8a2c2c957dda77ef247b3e042f6a945bda8f</t>
        </is>
      </c>
      <c r="P129" s="18"/>
      <c r="Q129" s="18"/>
      <c r="R129" s="18"/>
    </row>
    <row r="130" ht="36" customHeight="1">
      <c r="A130" s="18" t="inlineStr">
        <is>
          <t>Bundesliga|1 koln|schalke|2026-10-24</t>
        </is>
      </c>
      <c r="B130" s="23">
        <v>46319.5625</v>
      </c>
      <c r="C130" s="18" t="inlineStr">
        <is>
          <t>Bundesliga</t>
        </is>
      </c>
      <c r="D130" s="18" t="inlineStr">
        <is>
          <t>1. FC Köln vs FC Schalke 04</t>
        </is>
      </c>
      <c r="E130" s="18" t="inlineStr">
        <is>
          <t>72h-all-markets-net-ev15-execution-v7</t>
        </is>
      </c>
      <c r="F130" s="18" t="inlineStr">
        <is>
          <t>PENDING_KICKOFF_OR_FINAL_SCORE</t>
        </is>
      </c>
      <c r="G130" s="18"/>
      <c r="H130" s="18"/>
      <c r="I130" s="21"/>
      <c r="J130" s="18"/>
      <c r="K130" s="18"/>
      <c r="L130" s="18"/>
      <c r="M130" s="18"/>
      <c r="N130" s="18" t="inlineStr">
        <is>
          <t>2026-W43</t>
        </is>
      </c>
      <c r="O130" s="18" t="inlineStr">
        <is>
          <t>54bb8a2c2c957dda77ef247b3e042f6a945bda8f</t>
        </is>
      </c>
      <c r="P130" s="18"/>
      <c r="Q130" s="18"/>
      <c r="R130" s="18"/>
    </row>
    <row r="131" ht="36" customHeight="1">
      <c r="A131" s="18" t="inlineStr">
        <is>
          <t>Bundesliga|augsburg|union berlin|2026-10-24</t>
        </is>
      </c>
      <c r="B131" s="23">
        <v>46319.5625</v>
      </c>
      <c r="C131" s="18" t="inlineStr">
        <is>
          <t>Bundesliga</t>
        </is>
      </c>
      <c r="D131" s="18" t="inlineStr">
        <is>
          <t>Augsburg vs Union Berlin</t>
        </is>
      </c>
      <c r="E131" s="18" t="inlineStr">
        <is>
          <t>72h-all-markets-net-ev15-execution-v7</t>
        </is>
      </c>
      <c r="F131" s="18" t="inlineStr">
        <is>
          <t>PENDING_KICKOFF_OR_FINAL_SCORE</t>
        </is>
      </c>
      <c r="G131" s="18"/>
      <c r="H131" s="18"/>
      <c r="I131" s="21"/>
      <c r="J131" s="18"/>
      <c r="K131" s="18"/>
      <c r="L131" s="18"/>
      <c r="M131" s="18"/>
      <c r="N131" s="18" t="inlineStr">
        <is>
          <t>2026-W43</t>
        </is>
      </c>
      <c r="O131" s="18" t="inlineStr">
        <is>
          <t>54bb8a2c2c957dda77ef247b3e042f6a945bda8f</t>
        </is>
      </c>
      <c r="P131" s="18"/>
      <c r="Q131" s="18"/>
      <c r="R131" s="18"/>
    </row>
    <row r="132" ht="36" customHeight="1">
      <c r="A132" s="18" t="inlineStr">
        <is>
          <t>Bundesliga|fsv mainz|werder bremen|2026-10-24</t>
        </is>
      </c>
      <c r="B132" s="23">
        <v>46319.5625</v>
      </c>
      <c r="C132" s="18" t="inlineStr">
        <is>
          <t>Bundesliga</t>
        </is>
      </c>
      <c r="D132" s="18" t="inlineStr">
        <is>
          <t>FSV Mainz 05 vs Werder Bremen</t>
        </is>
      </c>
      <c r="E132" s="18" t="inlineStr">
        <is>
          <t>72h-all-markets-net-ev15-execution-v7</t>
        </is>
      </c>
      <c r="F132" s="18" t="inlineStr">
        <is>
          <t>PENDING_KICKOFF_OR_FINAL_SCORE</t>
        </is>
      </c>
      <c r="G132" s="18"/>
      <c r="H132" s="18"/>
      <c r="I132" s="21"/>
      <c r="J132" s="18"/>
      <c r="K132" s="18"/>
      <c r="L132" s="18"/>
      <c r="M132" s="18"/>
      <c r="N132" s="18" t="inlineStr">
        <is>
          <t>2026-W43</t>
        </is>
      </c>
      <c r="O132" s="18" t="inlineStr">
        <is>
          <t>54bb8a2c2c957dda77ef247b3e042f6a945bda8f</t>
        </is>
      </c>
      <c r="P132" s="18"/>
      <c r="Q132" s="18"/>
      <c r="R132" s="18"/>
    </row>
    <row r="133" ht="36" customHeight="1">
      <c r="A133" s="18" t="inlineStr">
        <is>
          <t>Bundesliga|paderborn|hamburger|2026-10-24</t>
        </is>
      </c>
      <c r="B133" s="23">
        <v>46319.5625</v>
      </c>
      <c r="C133" s="18" t="inlineStr">
        <is>
          <t>Bundesliga</t>
        </is>
      </c>
      <c r="D133" s="18" t="inlineStr">
        <is>
          <t>SC Paderborn vs Hamburger SV</t>
        </is>
      </c>
      <c r="E133" s="18" t="inlineStr">
        <is>
          <t>72h-all-markets-net-ev15-execution-v7</t>
        </is>
      </c>
      <c r="F133" s="18" t="inlineStr">
        <is>
          <t>PENDING_KICKOFF_OR_FINAL_SCORE</t>
        </is>
      </c>
      <c r="G133" s="18"/>
      <c r="H133" s="18"/>
      <c r="I133" s="21"/>
      <c r="J133" s="18"/>
      <c r="K133" s="18"/>
      <c r="L133" s="18"/>
      <c r="M133" s="18"/>
      <c r="N133" s="18" t="inlineStr">
        <is>
          <t>2026-W43</t>
        </is>
      </c>
      <c r="O133" s="18" t="inlineStr">
        <is>
          <t>54bb8a2c2c957dda77ef247b3e042f6a945bda8f</t>
        </is>
      </c>
      <c r="P133" s="18"/>
      <c r="Q133" s="18"/>
      <c r="R133" s="18"/>
    </row>
    <row r="134" ht="36" customHeight="1">
      <c r="A134" s="18" t="inlineStr">
        <is>
          <t>Bundesliga|rb leipzig|elversberg|2026-10-24</t>
        </is>
      </c>
      <c r="B134" s="23">
        <v>46319.5625</v>
      </c>
      <c r="C134" s="18" t="inlineStr">
        <is>
          <t>Bundesliga</t>
        </is>
      </c>
      <c r="D134" s="18" t="inlineStr">
        <is>
          <t>RB Leipzig vs Elversberg</t>
        </is>
      </c>
      <c r="E134" s="18" t="inlineStr">
        <is>
          <t>72h-all-markets-net-ev15-execution-v7</t>
        </is>
      </c>
      <c r="F134" s="18" t="inlineStr">
        <is>
          <t>PENDING_KICKOFF_OR_FINAL_SCORE</t>
        </is>
      </c>
      <c r="G134" s="18"/>
      <c r="H134" s="18"/>
      <c r="I134" s="21"/>
      <c r="J134" s="18"/>
      <c r="K134" s="18"/>
      <c r="L134" s="18"/>
      <c r="M134" s="18"/>
      <c r="N134" s="18" t="inlineStr">
        <is>
          <t>2026-W43</t>
        </is>
      </c>
      <c r="O134" s="18" t="inlineStr">
        <is>
          <t>54bb8a2c2c957dda77ef247b3e042f6a945bda8f</t>
        </is>
      </c>
      <c r="P134" s="18"/>
      <c r="Q134" s="18"/>
      <c r="R134" s="18"/>
    </row>
    <row r="135" ht="36" customHeight="1">
      <c r="A135" s="18" t="inlineStr">
        <is>
          <t>Premier League|arsenal|everton|2026-10-24</t>
        </is>
      </c>
      <c r="B135" s="23">
        <v>46319.583333333336</v>
      </c>
      <c r="C135" s="18" t="inlineStr">
        <is>
          <t>Premier League</t>
        </is>
      </c>
      <c r="D135" s="18" t="inlineStr">
        <is>
          <t>Arsenal vs Everton</t>
        </is>
      </c>
      <c r="E135" s="18" t="inlineStr">
        <is>
          <t>72h-all-markets-net-ev15-execution-v7</t>
        </is>
      </c>
      <c r="F135" s="18" t="inlineStr">
        <is>
          <t>PENDING_KICKOFF_OR_FINAL_SCORE</t>
        </is>
      </c>
      <c r="G135" s="18"/>
      <c r="H135" s="18"/>
      <c r="I135" s="21"/>
      <c r="J135" s="18"/>
      <c r="K135" s="18"/>
      <c r="L135" s="18"/>
      <c r="M135" s="18"/>
      <c r="N135" s="18" t="inlineStr">
        <is>
          <t>2026-W43</t>
        </is>
      </c>
      <c r="O135" s="18" t="inlineStr">
        <is>
          <t>54bb8a2c2c957dda77ef247b3e042f6a945bda8f</t>
        </is>
      </c>
      <c r="P135" s="18"/>
      <c r="Q135" s="18"/>
      <c r="R135" s="18"/>
    </row>
    <row r="136" ht="36" customHeight="1">
      <c r="A136" s="18" t="inlineStr">
        <is>
          <t>Premier League|coventry city|fulham|2026-10-24</t>
        </is>
      </c>
      <c r="B136" s="23">
        <v>46319.583333333336</v>
      </c>
      <c r="C136" s="18" t="inlineStr">
        <is>
          <t>Premier League</t>
        </is>
      </c>
      <c r="D136" s="18" t="inlineStr">
        <is>
          <t>Coventry City vs Fulham</t>
        </is>
      </c>
      <c r="E136" s="18" t="inlineStr">
        <is>
          <t>72h-all-markets-net-ev15-execution-v7</t>
        </is>
      </c>
      <c r="F136" s="18" t="inlineStr">
        <is>
          <t>PENDING_KICKOFF_OR_FINAL_SCORE</t>
        </is>
      </c>
      <c r="G136" s="18"/>
      <c r="H136" s="18"/>
      <c r="I136" s="21"/>
      <c r="J136" s="18"/>
      <c r="K136" s="18"/>
      <c r="L136" s="18"/>
      <c r="M136" s="18"/>
      <c r="N136" s="18" t="inlineStr">
        <is>
          <t>2026-W43</t>
        </is>
      </c>
      <c r="O136" s="18" t="inlineStr">
        <is>
          <t>54bb8a2c2c957dda77ef247b3e042f6a945bda8f</t>
        </is>
      </c>
      <c r="P136" s="18"/>
      <c r="Q136" s="18"/>
      <c r="R136" s="18"/>
    </row>
    <row r="137" ht="36" customHeight="1">
      <c r="A137" s="18" t="inlineStr">
        <is>
          <t>La Liga|real racing santander|espanyol|2026-10-24</t>
        </is>
      </c>
      <c r="B137" s="23">
        <v>46319.59375</v>
      </c>
      <c r="C137" s="18" t="inlineStr">
        <is>
          <t>La Liga</t>
        </is>
      </c>
      <c r="D137" s="18" t="inlineStr">
        <is>
          <t>Real Racing Club de Santander vs Espanyol</t>
        </is>
      </c>
      <c r="E137" s="18" t="inlineStr">
        <is>
          <t>72h-all-markets-net-ev15-execution-v7</t>
        </is>
      </c>
      <c r="F137" s="18" t="inlineStr">
        <is>
          <t>PENDING_KICKOFF_OR_FINAL_SCORE</t>
        </is>
      </c>
      <c r="G137" s="18"/>
      <c r="H137" s="18"/>
      <c r="I137" s="21"/>
      <c r="J137" s="18"/>
      <c r="K137" s="18"/>
      <c r="L137" s="18"/>
      <c r="M137" s="18"/>
      <c r="N137" s="18" t="inlineStr">
        <is>
          <t>2026-W43</t>
        </is>
      </c>
      <c r="O137" s="18" t="inlineStr">
        <is>
          <t>54bb8a2c2c957dda77ef247b3e042f6a945bda8f</t>
        </is>
      </c>
      <c r="P137" s="18"/>
      <c r="Q137" s="18"/>
      <c r="R137" s="18"/>
    </row>
    <row r="138" ht="36" customHeight="1">
      <c r="A138" s="18" t="inlineStr">
        <is>
          <t>Ligue 1|toulouse|troyes|2026-10-24</t>
        </is>
      </c>
      <c r="B138" s="23">
        <v>46319.635416666664</v>
      </c>
      <c r="C138" s="18" t="inlineStr">
        <is>
          <t>Ligue 1</t>
        </is>
      </c>
      <c r="D138" s="18" t="inlineStr">
        <is>
          <t>Toulouse vs Troyes</t>
        </is>
      </c>
      <c r="E138" s="18" t="inlineStr">
        <is>
          <t>72h-all-markets-net-ev15-execution-v7</t>
        </is>
      </c>
      <c r="F138" s="18" t="inlineStr">
        <is>
          <t>PENDING_KICKOFF_OR_FINAL_SCORE</t>
        </is>
      </c>
      <c r="G138" s="18"/>
      <c r="H138" s="18"/>
      <c r="I138" s="21"/>
      <c r="J138" s="18"/>
      <c r="K138" s="18"/>
      <c r="L138" s="18"/>
      <c r="M138" s="18"/>
      <c r="N138" s="18" t="inlineStr">
        <is>
          <t>2026-W43</t>
        </is>
      </c>
      <c r="O138" s="18" t="inlineStr">
        <is>
          <t>54bb8a2c2c957dda77ef247b3e042f6a945bda8f</t>
        </is>
      </c>
      <c r="P138" s="18"/>
      <c r="Q138" s="18"/>
      <c r="R138" s="18"/>
    </row>
    <row r="139" ht="36" customHeight="1">
      <c r="A139" s="18" t="inlineStr">
        <is>
          <t>Serie A|napoli|as roma|2026-10-24</t>
        </is>
      </c>
      <c r="B139" s="23">
        <v>46319.666666666664</v>
      </c>
      <c r="C139" s="18" t="inlineStr">
        <is>
          <t>Serie A</t>
        </is>
      </c>
      <c r="D139" s="18" t="inlineStr">
        <is>
          <t>Napoli vs AS Roma</t>
        </is>
      </c>
      <c r="E139" s="18" t="inlineStr">
        <is>
          <t>72h-all-markets-net-ev15-execution-v7</t>
        </is>
      </c>
      <c r="F139" s="18" t="inlineStr">
        <is>
          <t>PENDING_KICKOFF_OR_FINAL_SCORE</t>
        </is>
      </c>
      <c r="G139" s="18"/>
      <c r="H139" s="18"/>
      <c r="I139" s="21"/>
      <c r="J139" s="18"/>
      <c r="K139" s="18"/>
      <c r="L139" s="18"/>
      <c r="M139" s="18"/>
      <c r="N139" s="18" t="inlineStr">
        <is>
          <t>2026-W43</t>
        </is>
      </c>
      <c r="O139" s="18" t="inlineStr">
        <is>
          <t>54bb8a2c2c957dda77ef247b3e042f6a945bda8f</t>
        </is>
      </c>
      <c r="P139" s="18"/>
      <c r="Q139" s="18"/>
      <c r="R139" s="18"/>
    </row>
    <row r="140" ht="36" customHeight="1">
      <c r="A140" s="18" t="inlineStr">
        <is>
          <t>Bundesliga|borussia dortmund|eintracht frankfurt|2026-10-24</t>
        </is>
      </c>
      <c r="B140" s="23">
        <v>46319.6875</v>
      </c>
      <c r="C140" s="18" t="inlineStr">
        <is>
          <t>Bundesliga</t>
        </is>
      </c>
      <c r="D140" s="18" t="inlineStr">
        <is>
          <t>Borussia Dortmund vs Eintracht Frankfurt</t>
        </is>
      </c>
      <c r="E140" s="18" t="inlineStr">
        <is>
          <t>72h-all-markets-net-ev15-execution-v7</t>
        </is>
      </c>
      <c r="F140" s="18" t="inlineStr">
        <is>
          <t>PENDING_KICKOFF_OR_FINAL_SCORE</t>
        </is>
      </c>
      <c r="G140" s="18"/>
      <c r="H140" s="18"/>
      <c r="I140" s="21"/>
      <c r="J140" s="18"/>
      <c r="K140" s="18"/>
      <c r="L140" s="18"/>
      <c r="M140" s="18"/>
      <c r="N140" s="18" t="inlineStr">
        <is>
          <t>2026-W43</t>
        </is>
      </c>
      <c r="O140" s="18" t="inlineStr">
        <is>
          <t>54bb8a2c2c957dda77ef247b3e042f6a945bda8f</t>
        </is>
      </c>
      <c r="P140" s="18"/>
      <c r="Q140" s="18"/>
      <c r="R140" s="18"/>
    </row>
    <row r="141" ht="36" customHeight="1">
      <c r="A141" s="18" t="inlineStr">
        <is>
          <t>La Liga|valencia|villarreal|2026-10-24</t>
        </is>
      </c>
      <c r="B141" s="23">
        <v>46319.6875</v>
      </c>
      <c r="C141" s="18" t="inlineStr">
        <is>
          <t>La Liga</t>
        </is>
      </c>
      <c r="D141" s="18" t="inlineStr">
        <is>
          <t>Valencia vs Villarreal</t>
        </is>
      </c>
      <c r="E141" s="18" t="inlineStr">
        <is>
          <t>72h-all-markets-net-ev15-execution-v7</t>
        </is>
      </c>
      <c r="F141" s="18" t="inlineStr">
        <is>
          <t>PENDING_KICKOFF_OR_FINAL_SCORE</t>
        </is>
      </c>
      <c r="G141" s="18"/>
      <c r="H141" s="18"/>
      <c r="I141" s="21"/>
      <c r="J141" s="18"/>
      <c r="K141" s="18"/>
      <c r="L141" s="18"/>
      <c r="M141" s="18"/>
      <c r="N141" s="18" t="inlineStr">
        <is>
          <t>2026-W43</t>
        </is>
      </c>
      <c r="O141" s="18" t="inlineStr">
        <is>
          <t>54bb8a2c2c957dda77ef247b3e042f6a945bda8f</t>
        </is>
      </c>
      <c r="P141" s="18"/>
      <c r="Q141" s="18"/>
      <c r="R141" s="18"/>
    </row>
    <row r="142" ht="36" customHeight="1">
      <c r="A142" s="18" t="inlineStr">
        <is>
          <t>Premier League|chelsea|tottenham|2026-10-24</t>
        </is>
      </c>
      <c r="B142" s="23">
        <v>46319.6875</v>
      </c>
      <c r="C142" s="18" t="inlineStr">
        <is>
          <t>Premier League</t>
        </is>
      </c>
      <c r="D142" s="18" t="inlineStr">
        <is>
          <t>Chelsea vs Tottenham Hotspur</t>
        </is>
      </c>
      <c r="E142" s="18" t="inlineStr">
        <is>
          <t>72h-all-markets-net-ev15-execution-v7</t>
        </is>
      </c>
      <c r="F142" s="18" t="inlineStr">
        <is>
          <t>PENDING_KICKOFF_OR_FINAL_SCORE</t>
        </is>
      </c>
      <c r="G142" s="18"/>
      <c r="H142" s="18"/>
      <c r="I142" s="21"/>
      <c r="J142" s="18"/>
      <c r="K142" s="18"/>
      <c r="L142" s="18"/>
      <c r="M142" s="18"/>
      <c r="N142" s="18" t="inlineStr">
        <is>
          <t>2026-W43</t>
        </is>
      </c>
      <c r="O142" s="18" t="inlineStr">
        <is>
          <t>54bb8a2c2c957dda77ef247b3e042f6a945bda8f</t>
        </is>
      </c>
      <c r="P142" s="18"/>
      <c r="Q142" s="18"/>
      <c r="R142" s="18"/>
    </row>
    <row r="143" ht="36" customHeight="1">
      <c r="A143" s="18" t="inlineStr">
        <is>
          <t>Ligue 1|rc lens|paris|2026-10-24</t>
        </is>
      </c>
      <c r="B143" s="23">
        <v>46319.78125</v>
      </c>
      <c r="C143" s="18" t="inlineStr">
        <is>
          <t>Ligue 1</t>
        </is>
      </c>
      <c r="D143" s="18" t="inlineStr">
        <is>
          <t>RC Lens vs Paris FC</t>
        </is>
      </c>
      <c r="E143" s="18" t="inlineStr">
        <is>
          <t>72h-all-markets-net-ev15-execution-v7</t>
        </is>
      </c>
      <c r="F143" s="18" t="inlineStr">
        <is>
          <t>PENDING_KICKOFF_OR_FINAL_SCORE</t>
        </is>
      </c>
      <c r="G143" s="18"/>
      <c r="H143" s="18"/>
      <c r="I143" s="21"/>
      <c r="J143" s="18"/>
      <c r="K143" s="18"/>
      <c r="L143" s="18"/>
      <c r="M143" s="18"/>
      <c r="N143" s="18" t="inlineStr">
        <is>
          <t>2026-W43</t>
        </is>
      </c>
      <c r="O143" s="18" t="inlineStr">
        <is>
          <t>a98524037f736c1c589800f3bd4b329ab00983f7</t>
        </is>
      </c>
      <c r="P143" s="18"/>
      <c r="Q143" s="18"/>
      <c r="R143" s="18"/>
    </row>
    <row r="144" ht="36" customHeight="1">
      <c r="A144" s="18" t="inlineStr">
        <is>
          <t>Serie A|lazio|parma|2026-10-24</t>
        </is>
      </c>
      <c r="B144" s="23">
        <v>46319.78125</v>
      </c>
      <c r="C144" s="18" t="inlineStr">
        <is>
          <t>Serie A</t>
        </is>
      </c>
      <c r="D144" s="18" t="inlineStr">
        <is>
          <t>Lazio vs Parma</t>
        </is>
      </c>
      <c r="E144" s="18" t="inlineStr">
        <is>
          <t>72h-all-markets-net-ev15-execution-v7</t>
        </is>
      </c>
      <c r="F144" s="18" t="inlineStr">
        <is>
          <t>PENDING_KICKOFF_OR_FINAL_SCORE</t>
        </is>
      </c>
      <c r="G144" s="18"/>
      <c r="H144" s="18"/>
      <c r="I144" s="21"/>
      <c r="J144" s="18"/>
      <c r="K144" s="18"/>
      <c r="L144" s="18"/>
      <c r="M144" s="18"/>
      <c r="N144" s="18" t="inlineStr">
        <is>
          <t>2026-W43</t>
        </is>
      </c>
      <c r="O144" s="18" t="inlineStr">
        <is>
          <t>a98524037f736c1c589800f3bd4b329ab00983f7</t>
        </is>
      </c>
      <c r="P144" s="18"/>
      <c r="Q144" s="18"/>
      <c r="R144" s="18"/>
    </row>
    <row r="145" ht="36" customHeight="1">
      <c r="A145" s="18" t="inlineStr">
        <is>
          <t>La Liga|ath madrid|deportivo la coruna|2026-10-24</t>
        </is>
      </c>
      <c r="B145" s="23">
        <v>46319.791666666664</v>
      </c>
      <c r="C145" s="18" t="inlineStr">
        <is>
          <t>La Liga</t>
        </is>
      </c>
      <c r="D145" s="18" t="inlineStr">
        <is>
          <t>Atlético Madrid vs Deportivo La Coruña</t>
        </is>
      </c>
      <c r="E145" s="18" t="inlineStr">
        <is>
          <t>72h-all-markets-net-ev15-execution-v7</t>
        </is>
      </c>
      <c r="F145" s="18" t="inlineStr">
        <is>
          <t>PENDING_KICKOFF_OR_FINAL_SCORE</t>
        </is>
      </c>
      <c r="G145" s="18"/>
      <c r="H145" s="18"/>
      <c r="I145" s="21"/>
      <c r="J145" s="18"/>
      <c r="K145" s="18"/>
      <c r="L145" s="18"/>
      <c r="M145" s="18"/>
      <c r="N145" s="18" t="inlineStr">
        <is>
          <t>2026-W43</t>
        </is>
      </c>
      <c r="O145" s="18" t="inlineStr">
        <is>
          <t>a98524037f736c1c589800f3bd4b329ab00983f7</t>
        </is>
      </c>
      <c r="P145" s="18"/>
      <c r="Q145" s="18"/>
      <c r="R145" s="18"/>
    </row>
    <row r="146" ht="36" customHeight="1">
      <c r="A146" s="18" t="inlineStr">
        <is>
          <t>Serie A|inter|fiorentina|2026-10-25</t>
        </is>
      </c>
      <c r="B146" s="23">
        <v>46320.479166666664</v>
      </c>
      <c r="C146" s="18" t="inlineStr">
        <is>
          <t>Serie A</t>
        </is>
      </c>
      <c r="D146" s="18" t="inlineStr">
        <is>
          <t>Inter Milan vs Fiorentina</t>
        </is>
      </c>
      <c r="E146" s="18" t="inlineStr">
        <is>
          <t>72h-seven-markets-dc12-btts-probability-odds-net-ev15-v10</t>
        </is>
      </c>
      <c r="F146" s="18" t="inlineStr">
        <is>
          <t>PENDING_KICKOFF_OR_FINAL_SCORE</t>
        </is>
      </c>
      <c r="G146" s="18"/>
      <c r="H146" s="18"/>
      <c r="I146" s="21"/>
      <c r="J146" s="18"/>
      <c r="K146" s="18"/>
      <c r="L146" s="18"/>
      <c r="M146" s="18"/>
      <c r="N146" s="18" t="inlineStr">
        <is>
          <t>2026-W43</t>
        </is>
      </c>
      <c r="O146" s="18" t="inlineStr">
        <is>
          <t>2db2af40cdce5284e5f00551472a6cbbd381dbcd</t>
        </is>
      </c>
      <c r="P146" s="18"/>
      <c r="Q146" s="18"/>
      <c r="R146" s="18"/>
    </row>
    <row r="147" ht="36" customHeight="1">
      <c r="A147" s="18" t="inlineStr">
        <is>
          <t>La Liga|ath bilbao|getafe|2026-10-25</t>
        </is>
      </c>
      <c r="B147" s="23">
        <v>46320.541666666664</v>
      </c>
      <c r="C147" s="18" t="inlineStr">
        <is>
          <t>La Liga</t>
        </is>
      </c>
      <c r="D147" s="18" t="inlineStr">
        <is>
          <t>Athletic Bilbao vs Getafe</t>
        </is>
      </c>
      <c r="E147" s="18" t="inlineStr">
        <is>
          <t>72h-seven-markets-dc12-btts-probability-odds-net-ev15-v10</t>
        </is>
      </c>
      <c r="F147" s="18" t="inlineStr">
        <is>
          <t>PENDING_KICKOFF_OR_FINAL_SCORE</t>
        </is>
      </c>
      <c r="G147" s="18"/>
      <c r="H147" s="18"/>
      <c r="I147" s="21"/>
      <c r="J147" s="18"/>
      <c r="K147" s="18"/>
      <c r="L147" s="18"/>
      <c r="M147" s="18"/>
      <c r="N147" s="18" t="inlineStr">
        <is>
          <t>2026-W43</t>
        </is>
      </c>
      <c r="O147" s="18" t="inlineStr">
        <is>
          <t>2db2af40cdce5284e5f00551472a6cbbd381dbcd</t>
        </is>
      </c>
      <c r="P147" s="18"/>
      <c r="Q147" s="18"/>
      <c r="R147" s="18"/>
    </row>
  </sheetData>
  <mergeCells count="2">
    <mergeCell ref="B2:P2"/>
    <mergeCell ref="B4:P4"/>
  </mergeCells>
  <pageMargins left="0.7" right="0.7" top="0.75" bottom="0.75" header="0.3" footer="0.3"/>
  <tableParts count="1">
    <tablePart ns1:id="Rab36e2e62cba44b5"/>
  </tableParts>
</worksheet>
</file>

<file path=xl/worksheets/sheet7.xml><?xml version="1.0" encoding="utf-8"?>
<worksheet xmlns="http://schemas.openxmlformats.org/spreadsheetml/2006/main">
  <sheetViews>
    <sheetView workbookViewId="0" showGridLines="0" zoomScale="90">
      <pane xSplit="1" ySplit="5" topLeftCell="B6" activePane="bottomRight" state="frozen"/>
    </sheetView>
  </sheetViews>
  <cols>
    <col min="1" max="1" width="28" customWidth="1"/>
    <col min="2" max="2" width="28" customWidth="1"/>
    <col min="3" max="3" width="12" customWidth="1"/>
    <col min="4" max="4" width="22" customWidth="1"/>
    <col min="5" max="5" width="25" customWidth="1"/>
    <col min="6" max="6" width="20" customWidth="1"/>
    <col min="7" max="7" width="15" customWidth="1"/>
    <col min="8" max="8" width="23" customWidth="1"/>
    <col min="9" max="9" width="48" customWidth="1"/>
    <col min="10" max="10" width="32" customWidth="1"/>
  </cols>
  <sheetData>
    <row r="2" ht="28" customHeight="1">
      <c r="A2" s="25" t="inlineStr">
        <is>
          <t>Experiment readiness</t>
        </is>
      </c>
    </row>
    <row r="4" ht="34" customHeight="1">
      <c r="A4" s="27" t="inlineStr">
        <is>
          <t>Readiness invites review, including negative findings. Production changes still require approval.</t>
        </is>
      </c>
    </row>
    <row r="5" ht="34" customHeight="1">
      <c r="A5" s="24" t="inlineStr">
        <is>
          <t>Experiment</t>
        </is>
      </c>
      <c r="B5" s="24" t="inlineStr">
        <is>
          <t>Status</t>
        </is>
      </c>
      <c r="C5" s="24" t="inlineStr">
        <is>
          <t>Collected</t>
        </is>
      </c>
      <c r="D5" s="24" t="inlineStr">
        <is>
          <t>Evidence unit</t>
        </is>
      </c>
      <c r="E5" s="24" t="inlineStr">
        <is>
          <t>Required sample</t>
        </is>
      </c>
      <c r="F5" s="24" t="inlineStr">
        <is>
          <t>Time collected / required</t>
        </is>
      </c>
      <c r="G5" s="24" t="inlineStr">
        <is>
          <t>Verified coverage</t>
        </is>
      </c>
      <c r="H5" s="24" t="inlineStr">
        <is>
          <t>Review scope</t>
        </is>
      </c>
      <c r="I5" s="24" t="inlineStr">
        <is>
          <t>Remaining requirements / next action</t>
        </is>
      </c>
      <c r="J5" s="24" t="inlineStr">
        <is>
          <t>Evidence finding</t>
        </is>
      </c>
    </row>
    <row r="6" ht="66" customHeight="1">
      <c r="A6" s="18" t="inlineStr">
        <is>
          <t>Goal-market blend</t>
        </is>
      </c>
      <c r="B6" s="28" t="inlineStr">
        <is>
          <t>Collect more data</t>
        </is>
      </c>
      <c r="C6" s="19">
        <v>48</v>
      </c>
      <c r="D6" s="18" t="inlineStr">
        <is>
          <t>Settled observations</t>
        </is>
      </c>
      <c r="E6" s="18" t="inlineStr">
        <is>
          <t>30 settled observations</t>
        </is>
      </c>
      <c r="F6" s="18" t="inlineStr">
        <is>
          <t>2 / 28 days</t>
        </is>
      </c>
      <c r="G6" s="20" t="inlineStr">
        <is>
          <t>Not applicable</t>
        </is>
      </c>
      <c r="H6" s="18" t="inlineStr">
        <is>
          <t>Initial review only</t>
        </is>
      </c>
      <c r="I6" s="18" t="inlineStr">
        <is>
          <t>26 more days</t>
        </is>
      </c>
      <c r="J6" s="18" t="inlineStr">
        <is>
          <t>Initial review only</t>
        </is>
      </c>
    </row>
    <row r="7" ht="66" customHeight="1">
      <c r="A7" s="18" t="inlineStr">
        <is>
          <t>Market-led forecasts</t>
        </is>
      </c>
      <c r="B7" s="28" t="inlineStr">
        <is>
          <t>Collect more data</t>
        </is>
      </c>
      <c r="C7" s="19">
        <v>32</v>
      </c>
      <c r="D7" s="18" t="inlineStr">
        <is>
          <t>Settled observations</t>
        </is>
      </c>
      <c r="E7" s="18" t="inlineStr">
        <is>
          <t>30 settled observations</t>
        </is>
      </c>
      <c r="F7" s="18" t="inlineStr">
        <is>
          <t>2 / 28 days</t>
        </is>
      </c>
      <c r="G7" s="20" t="inlineStr">
        <is>
          <t>Not applicable</t>
        </is>
      </c>
      <c r="H7" s="18" t="inlineStr">
        <is>
          <t>Initial review only</t>
        </is>
      </c>
      <c r="I7" s="18" t="inlineStr">
        <is>
          <t>26 more days</t>
        </is>
      </c>
      <c r="J7" s="18" t="inlineStr">
        <is>
          <t>Initial review only</t>
        </is>
      </c>
    </row>
    <row r="8" ht="66" customHeight="1">
      <c r="A8" s="18" t="inlineStr">
        <is>
          <t>Recency comparison</t>
        </is>
      </c>
      <c r="B8" s="28" t="inlineStr">
        <is>
          <t>Collect more data</t>
        </is>
      </c>
      <c r="C8" s="19">
        <v>30</v>
      </c>
      <c r="D8" s="18" t="inlineStr">
        <is>
          <t>Settled observations</t>
        </is>
      </c>
      <c r="E8" s="18" t="inlineStr">
        <is>
          <t>30 settled observations</t>
        </is>
      </c>
      <c r="F8" s="18" t="inlineStr">
        <is>
          <t>1 / 28 days</t>
        </is>
      </c>
      <c r="G8" s="20" t="inlineStr">
        <is>
          <t>Not applicable</t>
        </is>
      </c>
      <c r="H8" s="18" t="inlineStr">
        <is>
          <t>Initial review only</t>
        </is>
      </c>
      <c r="I8" s="18" t="inlineStr">
        <is>
          <t>27 more days</t>
        </is>
      </c>
      <c r="J8" s="18" t="inlineStr">
        <is>
          <t>Initial review only</t>
        </is>
      </c>
    </row>
    <row r="9" ht="66" customHeight="1">
      <c r="A9" s="18" t="inlineStr">
        <is>
          <t>EV filter sensitivity</t>
        </is>
      </c>
      <c r="B9" s="28" t="inlineStr">
        <is>
          <t>Collect more data</t>
        </is>
      </c>
      <c r="C9" s="19">
        <v>3</v>
      </c>
      <c r="D9" s="18" t="inlineStr">
        <is>
          <t>Settled observations</t>
        </is>
      </c>
      <c r="E9" s="18" t="inlineStr">
        <is>
          <t>30 settled observations</t>
        </is>
      </c>
      <c r="F9" s="18" t="inlineStr">
        <is>
          <t>1 / 28 days</t>
        </is>
      </c>
      <c r="G9" s="20" t="inlineStr">
        <is>
          <t>Not applicable</t>
        </is>
      </c>
      <c r="H9" s="18" t="inlineStr">
        <is>
          <t>Initial review only</t>
        </is>
      </c>
      <c r="I9" s="18" t="inlineStr">
        <is>
          <t>27 more observations; 27 more days</t>
        </is>
      </c>
      <c r="J9" s="18" t="inlineStr">
        <is>
          <t>Initial review only</t>
        </is>
      </c>
    </row>
    <row r="10" ht="66" customHeight="1">
      <c r="A10" s="18" t="inlineStr">
        <is>
          <t>85% market weight</t>
        </is>
      </c>
      <c r="B10" s="28" t="inlineStr">
        <is>
          <t>Collect more data</t>
        </is>
      </c>
      <c r="C10" s="19">
        <v>0</v>
      </c>
      <c r="D10" s="18" t="inlineStr">
        <is>
          <t>Paired fixtures</t>
        </is>
      </c>
      <c r="E10" s="18" t="inlineStr">
        <is>
          <t>300 paired fixtures</t>
        </is>
      </c>
      <c r="F10" s="18" t="inlineStr">
        <is>
          <t>0 / 6 ISO weeks</t>
        </is>
      </c>
      <c r="G10" s="20" t="inlineStr">
        <is>
          <t>Unavailable</t>
        </is>
      </c>
      <c r="H10" s="18" t="inlineStr">
        <is>
          <t>Approval review</t>
        </is>
      </c>
      <c r="I10" s="18" t="inlineStr">
        <is>
          <t>300 more paired fixtures; 6 more ISO weeks; Verified coverage unavailable</t>
        </is>
      </c>
      <c r="J10" s="18" t="inlineStr">
        <is>
          <t>No clear promotion evidence</t>
        </is>
      </c>
    </row>
    <row r="11" ht="66" customHeight="1">
      <c r="A11" s="18" t="inlineStr">
        <is>
          <t>Pinnacle totals anchor</t>
        </is>
      </c>
      <c r="B11" s="28" t="inlineStr">
        <is>
          <t>Collect more data</t>
        </is>
      </c>
      <c r="C11" s="19">
        <v>0</v>
      </c>
      <c r="D11" s="18" t="inlineStr">
        <is>
          <t>Paired fixtures</t>
        </is>
      </c>
      <c r="E11" s="18" t="inlineStr">
        <is>
          <t>300 paired fixtures</t>
        </is>
      </c>
      <c r="F11" s="18" t="inlineStr">
        <is>
          <t>0 / 6 ISO weeks</t>
        </is>
      </c>
      <c r="G11" s="20" t="inlineStr">
        <is>
          <t>Unavailable</t>
        </is>
      </c>
      <c r="H11" s="18" t="inlineStr">
        <is>
          <t>Approval review</t>
        </is>
      </c>
      <c r="I11" s="18" t="inlineStr">
        <is>
          <t>300 more paired fixtures; 6 more ISO weeks; Verified coverage unavailable</t>
        </is>
      </c>
      <c r="J11" s="18" t="inlineStr">
        <is>
          <t>No clear promotion evidence</t>
        </is>
      </c>
    </row>
    <row r="12" ht="66" customHeight="1">
      <c r="A12" s="18" t="inlineStr">
        <is>
          <t>Stronger regularisation (L2=3)</t>
        </is>
      </c>
      <c r="B12" s="28" t="inlineStr">
        <is>
          <t>Collect more data</t>
        </is>
      </c>
      <c r="C12" s="19">
        <v>0</v>
      </c>
      <c r="D12" s="18" t="inlineStr">
        <is>
          <t>Paired fixtures</t>
        </is>
      </c>
      <c r="E12" s="18" t="inlineStr">
        <is>
          <t>300 paired fixtures</t>
        </is>
      </c>
      <c r="F12" s="18" t="inlineStr">
        <is>
          <t>0 / 6 ISO weeks</t>
        </is>
      </c>
      <c r="G12" s="20" t="inlineStr">
        <is>
          <t>Unavailable</t>
        </is>
      </c>
      <c r="H12" s="18" t="inlineStr">
        <is>
          <t>Approval review</t>
        </is>
      </c>
      <c r="I12" s="18" t="inlineStr">
        <is>
          <t>300 more paired fixtures; 6 more ISO weeks; Verified coverage unavailable</t>
        </is>
      </c>
      <c r="J12" s="18" t="inlineStr">
        <is>
          <t>No clear promotion evidence</t>
        </is>
      </c>
    </row>
    <row r="13" ht="66" customHeight="1">
      <c r="A13" s="18" t="inlineStr">
        <is>
          <t>Fixed half-life (480 days)</t>
        </is>
      </c>
      <c r="B13" s="28" t="inlineStr">
        <is>
          <t>Collect more data</t>
        </is>
      </c>
      <c r="C13" s="19">
        <v>0</v>
      </c>
      <c r="D13" s="18" t="inlineStr">
        <is>
          <t>Paired fixtures</t>
        </is>
      </c>
      <c r="E13" s="18" t="inlineStr">
        <is>
          <t>300 paired fixtures</t>
        </is>
      </c>
      <c r="F13" s="18" t="inlineStr">
        <is>
          <t>0 / 6 ISO weeks</t>
        </is>
      </c>
      <c r="G13" s="20" t="inlineStr">
        <is>
          <t>Unavailable</t>
        </is>
      </c>
      <c r="H13" s="18" t="inlineStr">
        <is>
          <t>Approval review</t>
        </is>
      </c>
      <c r="I13" s="18" t="inlineStr">
        <is>
          <t>300 more paired fixtures; 6 more ISO weeks; Verified coverage unavailable</t>
        </is>
      </c>
      <c r="J13" s="18" t="inlineStr">
        <is>
          <t>No clear promotion evidence</t>
        </is>
      </c>
    </row>
    <row r="14" ht="66" customHeight="1">
      <c r="A14" s="18" t="inlineStr">
        <is>
          <t>Probability / calibration policy</t>
        </is>
      </c>
      <c r="B14" s="28" t="inlineStr">
        <is>
          <t>Collect more data</t>
        </is>
      </c>
      <c r="C14" s="19">
        <v>0</v>
      </c>
      <c r="D14" s="18" t="inlineStr">
        <is>
          <t>Paired fixtures</t>
        </is>
      </c>
      <c r="E14" s="18" t="inlineStr">
        <is>
          <t>300 paired fixtures</t>
        </is>
      </c>
      <c r="F14" s="18" t="inlineStr">
        <is>
          <t>0 / 6 ISO weeks</t>
        </is>
      </c>
      <c r="G14" s="20">
        <v>0.0</v>
      </c>
      <c r="H14" s="18" t="inlineStr">
        <is>
          <t>Approval review</t>
        </is>
      </c>
      <c r="I14" s="18" t="inlineStr">
        <is>
          <t>300 more paired fixtures; 6 more ISO weeks; Coverage below 80%</t>
        </is>
      </c>
      <c r="J14" s="18" t="inlineStr">
        <is>
          <t>Initial review only</t>
        </is>
      </c>
    </row>
    <row r="16">
      <c r="A16" s="27" t="inlineStr">
        <is>
          <t>The original four sidecars count observations, not necessarily independent fixtures. Do not add their sample counts together.</t>
        </is>
      </c>
    </row>
    <row r="17">
      <c r="A17" s="27" t="inlineStr">
        <is>
          <t>Coverage and time gates must also pass. Reaching a sample count alone does not make a candidate ready.</t>
        </is>
      </c>
    </row>
    <row r="19">
      <c r="A19" s="31" t="inlineStr">
        <is>
          <t>Back to dashboard</t>
        </is>
      </c>
    </row>
    <row r="22">
      <c r="A22" s="26" t="inlineStr">
        <is>
          <t>Probability and calibration policies — fixed comparisons</t>
        </is>
      </c>
    </row>
    <row r="23" ht="44">
      <c r="A23" s="27" t="inlineStr">
        <is>
          <t>STRICT is primary. ROI is simulated; different selected cohorts are not paired forecast tests. See the detailed report before drawing conclusions.</t>
        </is>
      </c>
    </row>
    <row r="24" ht="34" customHeight="1">
      <c r="A24" s="24" t="inlineStr">
        <is>
          <t>Variant</t>
        </is>
      </c>
      <c r="B24" s="24" t="inlineStr">
        <is>
          <t>Tier</t>
        </is>
      </c>
      <c r="C24" s="24" t="inlineStr">
        <is>
          <t>Selected</t>
        </is>
      </c>
      <c r="D24" s="24" t="inlineStr">
        <is>
          <t>Settled</t>
        </is>
      </c>
      <c r="E24" s="24" t="inlineStr">
        <is>
          <t>Net ROI</t>
        </is>
      </c>
      <c r="F24" s="24" t="inlineStr">
        <is>
          <t>Brier</t>
        </is>
      </c>
      <c r="G24" s="24" t="inlineStr">
        <is>
          <t>Log loss</t>
        </is>
      </c>
      <c r="H24" s="24" t="inlineStr">
        <is>
          <t>Calibration gap</t>
        </is>
      </c>
      <c r="I24" s="24" t="inlineStr">
        <is>
          <t>Drawdown (units)</t>
        </is>
      </c>
      <c r="J24" s="24" t="inlineStr">
        <is>
          <t>Strict profit delta / fixture 95% interval</t>
        </is>
      </c>
    </row>
    <row r="25" ht="30" customHeight="1">
      <c r="A25" s="18" t="inlineStr">
        <is>
          <t>control</t>
        </is>
      </c>
      <c r="B25" s="18" t="inlineStr">
        <is>
          <t>STRICT</t>
        </is>
      </c>
      <c r="C25" s="19">
        <v>1</v>
      </c>
      <c r="D25" s="19">
        <v>0</v>
      </c>
      <c r="E25" s="20" t="inlineStr">
        <is>
          <t>Unavailable</t>
        </is>
      </c>
      <c r="F25" s="18" t="inlineStr">
        <is>
          <t>Unavailable</t>
        </is>
      </c>
      <c r="G25" s="18" t="inlineStr">
        <is>
          <t>Unavailable</t>
        </is>
      </c>
      <c r="H25" s="20" t="inlineStr">
        <is>
          <t>Unavailable</t>
        </is>
      </c>
      <c r="I25" s="18" t="inlineStr">
        <is>
          <t>Unavailable</t>
        </is>
      </c>
      <c r="J25" s="18" t="inlineStr">
        <is>
          <t>Collect more data</t>
        </is>
      </c>
    </row>
    <row r="26" ht="30" customHeight="1">
      <c r="A26" s="18" t="inlineStr">
        <is>
          <t>control</t>
        </is>
      </c>
      <c r="B26" s="18" t="inlineStr">
        <is>
          <t>PROVISIONAL</t>
        </is>
      </c>
      <c r="C26" s="19">
        <v>1</v>
      </c>
      <c r="D26" s="19">
        <v>0</v>
      </c>
      <c r="E26" s="20" t="inlineStr">
        <is>
          <t>Unavailable</t>
        </is>
      </c>
      <c r="F26" s="18" t="inlineStr">
        <is>
          <t>Unavailable</t>
        </is>
      </c>
      <c r="G26" s="18" t="inlineStr">
        <is>
          <t>Unavailable</t>
        </is>
      </c>
      <c r="H26" s="20" t="inlineStr">
        <is>
          <t>Unavailable</t>
        </is>
      </c>
      <c r="I26" s="18" t="inlineStr">
        <is>
          <t>Unavailable</t>
        </is>
      </c>
      <c r="J26" s="18" t="inlineStr">
        <is>
          <t>Not applicable</t>
        </is>
      </c>
    </row>
    <row r="27" ht="30" customHeight="1">
      <c r="A27" s="18" t="inlineStr">
        <is>
          <t>control</t>
        </is>
      </c>
      <c r="B27" s="18" t="inlineStr">
        <is>
          <t>ALL</t>
        </is>
      </c>
      <c r="C27" s="19">
        <v>2</v>
      </c>
      <c r="D27" s="19">
        <v>0</v>
      </c>
      <c r="E27" s="20" t="inlineStr">
        <is>
          <t>Unavailable</t>
        </is>
      </c>
      <c r="F27" s="18" t="inlineStr">
        <is>
          <t>Unavailable</t>
        </is>
      </c>
      <c r="G27" s="18" t="inlineStr">
        <is>
          <t>Unavailable</t>
        </is>
      </c>
      <c r="H27" s="20" t="inlineStr">
        <is>
          <t>Unavailable</t>
        </is>
      </c>
      <c r="I27" s="18" t="inlineStr">
        <is>
          <t>Unavailable</t>
        </is>
      </c>
      <c r="J27" s="18" t="inlineStr">
        <is>
          <t>Not applicable</t>
        </is>
      </c>
    </row>
    <row r="28" ht="30" customHeight="1">
      <c r="A28" s="18" t="inlineStr">
        <is>
          <t>blended_lower</t>
        </is>
      </c>
      <c r="B28" s="18" t="inlineStr">
        <is>
          <t>STRICT</t>
        </is>
      </c>
      <c r="C28" s="19">
        <v>3</v>
      </c>
      <c r="D28" s="19">
        <v>0</v>
      </c>
      <c r="E28" s="20" t="inlineStr">
        <is>
          <t>Unavailable</t>
        </is>
      </c>
      <c r="F28" s="18" t="inlineStr">
        <is>
          <t>Unavailable</t>
        </is>
      </c>
      <c r="G28" s="18" t="inlineStr">
        <is>
          <t>Unavailable</t>
        </is>
      </c>
      <c r="H28" s="20" t="inlineStr">
        <is>
          <t>Unavailable</t>
        </is>
      </c>
      <c r="I28" s="18" t="inlineStr">
        <is>
          <t>Unavailable</t>
        </is>
      </c>
      <c r="J28" s="18" t="inlineStr">
        <is>
          <t>Collect more data</t>
        </is>
      </c>
    </row>
    <row r="29" ht="30" customHeight="1">
      <c r="A29" s="18" t="inlineStr">
        <is>
          <t>blended_lower</t>
        </is>
      </c>
      <c r="B29" s="18" t="inlineStr">
        <is>
          <t>PROVISIONAL</t>
        </is>
      </c>
      <c r="C29" s="19">
        <v>1</v>
      </c>
      <c r="D29" s="19">
        <v>0</v>
      </c>
      <c r="E29" s="20" t="inlineStr">
        <is>
          <t>Unavailable</t>
        </is>
      </c>
      <c r="F29" s="18" t="inlineStr">
        <is>
          <t>Unavailable</t>
        </is>
      </c>
      <c r="G29" s="18" t="inlineStr">
        <is>
          <t>Unavailable</t>
        </is>
      </c>
      <c r="H29" s="20" t="inlineStr">
        <is>
          <t>Unavailable</t>
        </is>
      </c>
      <c r="I29" s="18" t="inlineStr">
        <is>
          <t>Unavailable</t>
        </is>
      </c>
      <c r="J29" s="18" t="inlineStr">
        <is>
          <t>Not applicable</t>
        </is>
      </c>
    </row>
    <row r="30" ht="30" customHeight="1">
      <c r="A30" s="18" t="inlineStr">
        <is>
          <t>blended_lower</t>
        </is>
      </c>
      <c r="B30" s="18" t="inlineStr">
        <is>
          <t>ALL</t>
        </is>
      </c>
      <c r="C30" s="19">
        <v>4</v>
      </c>
      <c r="D30" s="19">
        <v>0</v>
      </c>
      <c r="E30" s="20" t="inlineStr">
        <is>
          <t>Unavailable</t>
        </is>
      </c>
      <c r="F30" s="18" t="inlineStr">
        <is>
          <t>Unavailable</t>
        </is>
      </c>
      <c r="G30" s="18" t="inlineStr">
        <is>
          <t>Unavailable</t>
        </is>
      </c>
      <c r="H30" s="20" t="inlineStr">
        <is>
          <t>Unavailable</t>
        </is>
      </c>
      <c r="I30" s="18" t="inlineStr">
        <is>
          <t>Unavailable</t>
        </is>
      </c>
      <c r="J30" s="18" t="inlineStr">
        <is>
          <t>Not applicable</t>
        </is>
      </c>
    </row>
    <row r="31" ht="30" customHeight="1">
      <c r="A31" s="18" t="inlineStr">
        <is>
          <t>blended_higher</t>
        </is>
      </c>
      <c r="B31" s="18" t="inlineStr">
        <is>
          <t>STRICT</t>
        </is>
      </c>
      <c r="C31" s="19">
        <v>0</v>
      </c>
      <c r="D31" s="19">
        <v>0</v>
      </c>
      <c r="E31" s="20" t="inlineStr">
        <is>
          <t>Unavailable</t>
        </is>
      </c>
      <c r="F31" s="18" t="inlineStr">
        <is>
          <t>Unavailable</t>
        </is>
      </c>
      <c r="G31" s="18" t="inlineStr">
        <is>
          <t>Unavailable</t>
        </is>
      </c>
      <c r="H31" s="20" t="inlineStr">
        <is>
          <t>Unavailable</t>
        </is>
      </c>
      <c r="I31" s="18" t="inlineStr">
        <is>
          <t>Unavailable</t>
        </is>
      </c>
      <c r="J31" s="18" t="inlineStr">
        <is>
          <t>Collect more data</t>
        </is>
      </c>
    </row>
    <row r="32" ht="30" customHeight="1">
      <c r="A32" s="18" t="inlineStr">
        <is>
          <t>blended_higher</t>
        </is>
      </c>
      <c r="B32" s="18" t="inlineStr">
        <is>
          <t>PROVISIONAL</t>
        </is>
      </c>
      <c r="C32" s="19">
        <v>1</v>
      </c>
      <c r="D32" s="19">
        <v>0</v>
      </c>
      <c r="E32" s="20" t="inlineStr">
        <is>
          <t>Unavailable</t>
        </is>
      </c>
      <c r="F32" s="18" t="inlineStr">
        <is>
          <t>Unavailable</t>
        </is>
      </c>
      <c r="G32" s="18" t="inlineStr">
        <is>
          <t>Unavailable</t>
        </is>
      </c>
      <c r="H32" s="20" t="inlineStr">
        <is>
          <t>Unavailable</t>
        </is>
      </c>
      <c r="I32" s="18" t="inlineStr">
        <is>
          <t>Unavailable</t>
        </is>
      </c>
      <c r="J32" s="18" t="inlineStr">
        <is>
          <t>Not applicable</t>
        </is>
      </c>
    </row>
    <row r="33" ht="30" customHeight="1">
      <c r="A33" s="18" t="inlineStr">
        <is>
          <t>blended_higher</t>
        </is>
      </c>
      <c r="B33" s="18" t="inlineStr">
        <is>
          <t>ALL</t>
        </is>
      </c>
      <c r="C33" s="19">
        <v>1</v>
      </c>
      <c r="D33" s="19">
        <v>0</v>
      </c>
      <c r="E33" s="20" t="inlineStr">
        <is>
          <t>Unavailable</t>
        </is>
      </c>
      <c r="F33" s="18" t="inlineStr">
        <is>
          <t>Unavailable</t>
        </is>
      </c>
      <c r="G33" s="18" t="inlineStr">
        <is>
          <t>Unavailable</t>
        </is>
      </c>
      <c r="H33" s="20" t="inlineStr">
        <is>
          <t>Unavailable</t>
        </is>
      </c>
      <c r="I33" s="18" t="inlineStr">
        <is>
          <t>Unavailable</t>
        </is>
      </c>
      <c r="J33" s="18" t="inlineStr">
        <is>
          <t>Not applicable</t>
        </is>
      </c>
    </row>
    <row r="34" ht="30" customHeight="1">
      <c r="A34" s="18" t="inlineStr">
        <is>
          <t>raw_lower</t>
        </is>
      </c>
      <c r="B34" s="18" t="inlineStr">
        <is>
          <t>STRICT</t>
        </is>
      </c>
      <c r="C34" s="19">
        <v>1</v>
      </c>
      <c r="D34" s="19">
        <v>0</v>
      </c>
      <c r="E34" s="20" t="inlineStr">
        <is>
          <t>Unavailable</t>
        </is>
      </c>
      <c r="F34" s="18" t="inlineStr">
        <is>
          <t>Unavailable</t>
        </is>
      </c>
      <c r="G34" s="18" t="inlineStr">
        <is>
          <t>Unavailable</t>
        </is>
      </c>
      <c r="H34" s="20" t="inlineStr">
        <is>
          <t>Unavailable</t>
        </is>
      </c>
      <c r="I34" s="18" t="inlineStr">
        <is>
          <t>Unavailable</t>
        </is>
      </c>
      <c r="J34" s="18" t="inlineStr">
        <is>
          <t>Collect more data</t>
        </is>
      </c>
    </row>
    <row r="35" ht="30" customHeight="1">
      <c r="A35" s="18" t="inlineStr">
        <is>
          <t>raw_lower</t>
        </is>
      </c>
      <c r="B35" s="18" t="inlineStr">
        <is>
          <t>PROVISIONAL</t>
        </is>
      </c>
      <c r="C35" s="19">
        <v>1</v>
      </c>
      <c r="D35" s="19">
        <v>0</v>
      </c>
      <c r="E35" s="20" t="inlineStr">
        <is>
          <t>Unavailable</t>
        </is>
      </c>
      <c r="F35" s="18" t="inlineStr">
        <is>
          <t>Unavailable</t>
        </is>
      </c>
      <c r="G35" s="18" t="inlineStr">
        <is>
          <t>Unavailable</t>
        </is>
      </c>
      <c r="H35" s="20" t="inlineStr">
        <is>
          <t>Unavailable</t>
        </is>
      </c>
      <c r="I35" s="18" t="inlineStr">
        <is>
          <t>Unavailable</t>
        </is>
      </c>
      <c r="J35" s="18" t="inlineStr">
        <is>
          <t>Not applicable</t>
        </is>
      </c>
    </row>
    <row r="36" ht="30" customHeight="1">
      <c r="A36" s="18" t="inlineStr">
        <is>
          <t>raw_lower</t>
        </is>
      </c>
      <c r="B36" s="18" t="inlineStr">
        <is>
          <t>ALL</t>
        </is>
      </c>
      <c r="C36" s="19">
        <v>2</v>
      </c>
      <c r="D36" s="19">
        <v>0</v>
      </c>
      <c r="E36" s="20" t="inlineStr">
        <is>
          <t>Unavailable</t>
        </is>
      </c>
      <c r="F36" s="18" t="inlineStr">
        <is>
          <t>Unavailable</t>
        </is>
      </c>
      <c r="G36" s="18" t="inlineStr">
        <is>
          <t>Unavailable</t>
        </is>
      </c>
      <c r="H36" s="20" t="inlineStr">
        <is>
          <t>Unavailable</t>
        </is>
      </c>
      <c r="I36" s="18" t="inlineStr">
        <is>
          <t>Unavailable</t>
        </is>
      </c>
      <c r="J36" s="18" t="inlineStr">
        <is>
          <t>Not applicable</t>
        </is>
      </c>
    </row>
    <row r="37" ht="30" customHeight="1">
      <c r="A37" s="18" t="inlineStr">
        <is>
          <t>raw_higher</t>
        </is>
      </c>
      <c r="B37" s="18" t="inlineStr">
        <is>
          <t>STRICT</t>
        </is>
      </c>
      <c r="C37" s="19">
        <v>1</v>
      </c>
      <c r="D37" s="19">
        <v>0</v>
      </c>
      <c r="E37" s="20" t="inlineStr">
        <is>
          <t>Unavailable</t>
        </is>
      </c>
      <c r="F37" s="18" t="inlineStr">
        <is>
          <t>Unavailable</t>
        </is>
      </c>
      <c r="G37" s="18" t="inlineStr">
        <is>
          <t>Unavailable</t>
        </is>
      </c>
      <c r="H37" s="20" t="inlineStr">
        <is>
          <t>Unavailable</t>
        </is>
      </c>
      <c r="I37" s="18" t="inlineStr">
        <is>
          <t>Unavailable</t>
        </is>
      </c>
      <c r="J37" s="18" t="inlineStr">
        <is>
          <t>Collect more data</t>
        </is>
      </c>
    </row>
    <row r="38" ht="30" customHeight="1">
      <c r="A38" s="18" t="inlineStr">
        <is>
          <t>raw_higher</t>
        </is>
      </c>
      <c r="B38" s="18" t="inlineStr">
        <is>
          <t>PROVISIONAL</t>
        </is>
      </c>
      <c r="C38" s="19">
        <v>1</v>
      </c>
      <c r="D38" s="19">
        <v>0</v>
      </c>
      <c r="E38" s="20" t="inlineStr">
        <is>
          <t>Unavailable</t>
        </is>
      </c>
      <c r="F38" s="18" t="inlineStr">
        <is>
          <t>Unavailable</t>
        </is>
      </c>
      <c r="G38" s="18" t="inlineStr">
        <is>
          <t>Unavailable</t>
        </is>
      </c>
      <c r="H38" s="20" t="inlineStr">
        <is>
          <t>Unavailable</t>
        </is>
      </c>
      <c r="I38" s="18" t="inlineStr">
        <is>
          <t>Unavailable</t>
        </is>
      </c>
      <c r="J38" s="18" t="inlineStr">
        <is>
          <t>Not applicable</t>
        </is>
      </c>
    </row>
    <row r="39" ht="30" customHeight="1">
      <c r="A39" s="18" t="inlineStr">
        <is>
          <t>raw_higher</t>
        </is>
      </c>
      <c r="B39" s="18" t="inlineStr">
        <is>
          <t>ALL</t>
        </is>
      </c>
      <c r="C39" s="19">
        <v>2</v>
      </c>
      <c r="D39" s="19">
        <v>0</v>
      </c>
      <c r="E39" s="20" t="inlineStr">
        <is>
          <t>Unavailable</t>
        </is>
      </c>
      <c r="F39" s="18" t="inlineStr">
        <is>
          <t>Unavailable</t>
        </is>
      </c>
      <c r="G39" s="18" t="inlineStr">
        <is>
          <t>Unavailable</t>
        </is>
      </c>
      <c r="H39" s="20" t="inlineStr">
        <is>
          <t>Unavailable</t>
        </is>
      </c>
      <c r="I39" s="18" t="inlineStr">
        <is>
          <t>Unavailable</t>
        </is>
      </c>
      <c r="J39" s="18" t="inlineStr">
        <is>
          <t>Not applicable</t>
        </is>
      </c>
    </row>
    <row r="40" ht="30" customHeight="1">
      <c r="A40" s="18" t="inlineStr">
        <is>
          <t>adjusted_lower</t>
        </is>
      </c>
      <c r="B40" s="18" t="inlineStr">
        <is>
          <t>STRICT</t>
        </is>
      </c>
      <c r="C40" s="19">
        <v>1</v>
      </c>
      <c r="D40" s="19">
        <v>0</v>
      </c>
      <c r="E40" s="20" t="inlineStr">
        <is>
          <t>Unavailable</t>
        </is>
      </c>
      <c r="F40" s="18" t="inlineStr">
        <is>
          <t>Unavailable</t>
        </is>
      </c>
      <c r="G40" s="18" t="inlineStr">
        <is>
          <t>Unavailable</t>
        </is>
      </c>
      <c r="H40" s="20" t="inlineStr">
        <is>
          <t>Unavailable</t>
        </is>
      </c>
      <c r="I40" s="18" t="inlineStr">
        <is>
          <t>Unavailable</t>
        </is>
      </c>
      <c r="J40" s="18" t="inlineStr">
        <is>
          <t>Collect more data</t>
        </is>
      </c>
    </row>
    <row r="41" ht="30" customHeight="1">
      <c r="A41" s="18" t="inlineStr">
        <is>
          <t>adjusted_lower</t>
        </is>
      </c>
      <c r="B41" s="18" t="inlineStr">
        <is>
          <t>PROVISIONAL</t>
        </is>
      </c>
      <c r="C41" s="19">
        <v>1</v>
      </c>
      <c r="D41" s="19">
        <v>0</v>
      </c>
      <c r="E41" s="20" t="inlineStr">
        <is>
          <t>Unavailable</t>
        </is>
      </c>
      <c r="F41" s="18" t="inlineStr">
        <is>
          <t>Unavailable</t>
        </is>
      </c>
      <c r="G41" s="18" t="inlineStr">
        <is>
          <t>Unavailable</t>
        </is>
      </c>
      <c r="H41" s="20" t="inlineStr">
        <is>
          <t>Unavailable</t>
        </is>
      </c>
      <c r="I41" s="18" t="inlineStr">
        <is>
          <t>Unavailable</t>
        </is>
      </c>
      <c r="J41" s="18" t="inlineStr">
        <is>
          <t>Not applicable</t>
        </is>
      </c>
    </row>
    <row r="42" ht="30" customHeight="1">
      <c r="A42" s="18" t="inlineStr">
        <is>
          <t>adjusted_lower</t>
        </is>
      </c>
      <c r="B42" s="18" t="inlineStr">
        <is>
          <t>ALL</t>
        </is>
      </c>
      <c r="C42" s="19">
        <v>2</v>
      </c>
      <c r="D42" s="19">
        <v>0</v>
      </c>
      <c r="E42" s="20" t="inlineStr">
        <is>
          <t>Unavailable</t>
        </is>
      </c>
      <c r="F42" s="18" t="inlineStr">
        <is>
          <t>Unavailable</t>
        </is>
      </c>
      <c r="G42" s="18" t="inlineStr">
        <is>
          <t>Unavailable</t>
        </is>
      </c>
      <c r="H42" s="20" t="inlineStr">
        <is>
          <t>Unavailable</t>
        </is>
      </c>
      <c r="I42" s="18" t="inlineStr">
        <is>
          <t>Unavailable</t>
        </is>
      </c>
      <c r="J42" s="18" t="inlineStr">
        <is>
          <t>Not applicable</t>
        </is>
      </c>
    </row>
    <row r="43" ht="30" customHeight="1">
      <c r="A43" s="18" t="inlineStr">
        <is>
          <t>adjusted_higher</t>
        </is>
      </c>
      <c r="B43" s="18" t="inlineStr">
        <is>
          <t>STRICT</t>
        </is>
      </c>
      <c r="C43" s="19">
        <v>1</v>
      </c>
      <c r="D43" s="19">
        <v>0</v>
      </c>
      <c r="E43" s="20" t="inlineStr">
        <is>
          <t>Unavailable</t>
        </is>
      </c>
      <c r="F43" s="18" t="inlineStr">
        <is>
          <t>Unavailable</t>
        </is>
      </c>
      <c r="G43" s="18" t="inlineStr">
        <is>
          <t>Unavailable</t>
        </is>
      </c>
      <c r="H43" s="20" t="inlineStr">
        <is>
          <t>Unavailable</t>
        </is>
      </c>
      <c r="I43" s="18" t="inlineStr">
        <is>
          <t>Unavailable</t>
        </is>
      </c>
      <c r="J43" s="18" t="inlineStr">
        <is>
          <t>Collect more data</t>
        </is>
      </c>
    </row>
    <row r="44" ht="30" customHeight="1">
      <c r="A44" s="18" t="inlineStr">
        <is>
          <t>adjusted_higher</t>
        </is>
      </c>
      <c r="B44" s="18" t="inlineStr">
        <is>
          <t>PROVISIONAL</t>
        </is>
      </c>
      <c r="C44" s="19">
        <v>1</v>
      </c>
      <c r="D44" s="19">
        <v>0</v>
      </c>
      <c r="E44" s="20" t="inlineStr">
        <is>
          <t>Unavailable</t>
        </is>
      </c>
      <c r="F44" s="18" t="inlineStr">
        <is>
          <t>Unavailable</t>
        </is>
      </c>
      <c r="G44" s="18" t="inlineStr">
        <is>
          <t>Unavailable</t>
        </is>
      </c>
      <c r="H44" s="20" t="inlineStr">
        <is>
          <t>Unavailable</t>
        </is>
      </c>
      <c r="I44" s="18" t="inlineStr">
        <is>
          <t>Unavailable</t>
        </is>
      </c>
      <c r="J44" s="18" t="inlineStr">
        <is>
          <t>Not applicable</t>
        </is>
      </c>
    </row>
    <row r="45" ht="30" customHeight="1">
      <c r="A45" s="18" t="inlineStr">
        <is>
          <t>adjusted_higher</t>
        </is>
      </c>
      <c r="B45" s="18" t="inlineStr">
        <is>
          <t>ALL</t>
        </is>
      </c>
      <c r="C45" s="19">
        <v>2</v>
      </c>
      <c r="D45" s="19">
        <v>0</v>
      </c>
      <c r="E45" s="20" t="inlineStr">
        <is>
          <t>Unavailable</t>
        </is>
      </c>
      <c r="F45" s="18" t="inlineStr">
        <is>
          <t>Unavailable</t>
        </is>
      </c>
      <c r="G45" s="18" t="inlineStr">
        <is>
          <t>Unavailable</t>
        </is>
      </c>
      <c r="H45" s="20" t="inlineStr">
        <is>
          <t>Unavailable</t>
        </is>
      </c>
      <c r="I45" s="18" t="inlineStr">
        <is>
          <t>Unavailable</t>
        </is>
      </c>
      <c r="J45" s="18" t="inlineStr">
        <is>
          <t>Not applicable</t>
        </is>
      </c>
    </row>
    <row r="46" ht="30" customHeight="1">
      <c r="A46" s="18" t="inlineStr">
        <is>
          <t>penalty_half</t>
        </is>
      </c>
      <c r="B46" s="18" t="inlineStr">
        <is>
          <t>STRICT</t>
        </is>
      </c>
      <c r="C46" s="19">
        <v>1</v>
      </c>
      <c r="D46" s="19">
        <v>0</v>
      </c>
      <c r="E46" s="20" t="inlineStr">
        <is>
          <t>Unavailable</t>
        </is>
      </c>
      <c r="F46" s="18" t="inlineStr">
        <is>
          <t>Unavailable</t>
        </is>
      </c>
      <c r="G46" s="18" t="inlineStr">
        <is>
          <t>Unavailable</t>
        </is>
      </c>
      <c r="H46" s="20" t="inlineStr">
        <is>
          <t>Unavailable</t>
        </is>
      </c>
      <c r="I46" s="18" t="inlineStr">
        <is>
          <t>Unavailable</t>
        </is>
      </c>
      <c r="J46" s="18" t="inlineStr">
        <is>
          <t>Collect more data</t>
        </is>
      </c>
    </row>
    <row r="47" ht="30" customHeight="1">
      <c r="A47" s="18" t="inlineStr">
        <is>
          <t>penalty_half</t>
        </is>
      </c>
      <c r="B47" s="18" t="inlineStr">
        <is>
          <t>PROVISIONAL</t>
        </is>
      </c>
      <c r="C47" s="19">
        <v>1</v>
      </c>
      <c r="D47" s="19">
        <v>0</v>
      </c>
      <c r="E47" s="20" t="inlineStr">
        <is>
          <t>Unavailable</t>
        </is>
      </c>
      <c r="F47" s="18" t="inlineStr">
        <is>
          <t>Unavailable</t>
        </is>
      </c>
      <c r="G47" s="18" t="inlineStr">
        <is>
          <t>Unavailable</t>
        </is>
      </c>
      <c r="H47" s="20" t="inlineStr">
        <is>
          <t>Unavailable</t>
        </is>
      </c>
      <c r="I47" s="18" t="inlineStr">
        <is>
          <t>Unavailable</t>
        </is>
      </c>
      <c r="J47" s="18" t="inlineStr">
        <is>
          <t>Not applicable</t>
        </is>
      </c>
    </row>
    <row r="48" ht="30" customHeight="1">
      <c r="A48" s="18" t="inlineStr">
        <is>
          <t>penalty_half</t>
        </is>
      </c>
      <c r="B48" s="18" t="inlineStr">
        <is>
          <t>ALL</t>
        </is>
      </c>
      <c r="C48" s="19">
        <v>2</v>
      </c>
      <c r="D48" s="19">
        <v>0</v>
      </c>
      <c r="E48" s="20" t="inlineStr">
        <is>
          <t>Unavailable</t>
        </is>
      </c>
      <c r="F48" s="18" t="inlineStr">
        <is>
          <t>Unavailable</t>
        </is>
      </c>
      <c r="G48" s="18" t="inlineStr">
        <is>
          <t>Unavailable</t>
        </is>
      </c>
      <c r="H48" s="20" t="inlineStr">
        <is>
          <t>Unavailable</t>
        </is>
      </c>
      <c r="I48" s="18" t="inlineStr">
        <is>
          <t>Unavailable</t>
        </is>
      </c>
      <c r="J48" s="18" t="inlineStr">
        <is>
          <t>Not applicable</t>
        </is>
      </c>
    </row>
    <row r="49" ht="30" customHeight="1">
      <c r="A49" s="18" t="inlineStr">
        <is>
          <t>penalty_stronger</t>
        </is>
      </c>
      <c r="B49" s="18" t="inlineStr">
        <is>
          <t>STRICT</t>
        </is>
      </c>
      <c r="C49" s="19">
        <v>1</v>
      </c>
      <c r="D49" s="19">
        <v>0</v>
      </c>
      <c r="E49" s="20" t="inlineStr">
        <is>
          <t>Unavailable</t>
        </is>
      </c>
      <c r="F49" s="18" t="inlineStr">
        <is>
          <t>Unavailable</t>
        </is>
      </c>
      <c r="G49" s="18" t="inlineStr">
        <is>
          <t>Unavailable</t>
        </is>
      </c>
      <c r="H49" s="20" t="inlineStr">
        <is>
          <t>Unavailable</t>
        </is>
      </c>
      <c r="I49" s="18" t="inlineStr">
        <is>
          <t>Unavailable</t>
        </is>
      </c>
      <c r="J49" s="18" t="inlineStr">
        <is>
          <t>Collect more data</t>
        </is>
      </c>
    </row>
    <row r="50" ht="30" customHeight="1">
      <c r="A50" s="18" t="inlineStr">
        <is>
          <t>penalty_stronger</t>
        </is>
      </c>
      <c r="B50" s="18" t="inlineStr">
        <is>
          <t>PROVISIONAL</t>
        </is>
      </c>
      <c r="C50" s="19">
        <v>1</v>
      </c>
      <c r="D50" s="19">
        <v>0</v>
      </c>
      <c r="E50" s="20" t="inlineStr">
        <is>
          <t>Unavailable</t>
        </is>
      </c>
      <c r="F50" s="18" t="inlineStr">
        <is>
          <t>Unavailable</t>
        </is>
      </c>
      <c r="G50" s="18" t="inlineStr">
        <is>
          <t>Unavailable</t>
        </is>
      </c>
      <c r="H50" s="20" t="inlineStr">
        <is>
          <t>Unavailable</t>
        </is>
      </c>
      <c r="I50" s="18" t="inlineStr">
        <is>
          <t>Unavailable</t>
        </is>
      </c>
      <c r="J50" s="18" t="inlineStr">
        <is>
          <t>Not applicable</t>
        </is>
      </c>
    </row>
    <row r="51" ht="30" customHeight="1">
      <c r="A51" s="18" t="inlineStr">
        <is>
          <t>penalty_stronger</t>
        </is>
      </c>
      <c r="B51" s="18" t="inlineStr">
        <is>
          <t>ALL</t>
        </is>
      </c>
      <c r="C51" s="19">
        <v>2</v>
      </c>
      <c r="D51" s="19">
        <v>0</v>
      </c>
      <c r="E51" s="20" t="inlineStr">
        <is>
          <t>Unavailable</t>
        </is>
      </c>
      <c r="F51" s="18" t="inlineStr">
        <is>
          <t>Unavailable</t>
        </is>
      </c>
      <c r="G51" s="18" t="inlineStr">
        <is>
          <t>Unavailable</t>
        </is>
      </c>
      <c r="H51" s="20" t="inlineStr">
        <is>
          <t>Unavailable</t>
        </is>
      </c>
      <c r="I51" s="18" t="inlineStr">
        <is>
          <t>Unavailable</t>
        </is>
      </c>
      <c r="J51" s="18" t="inlineStr">
        <is>
          <t>Not applicable</t>
        </is>
      </c>
    </row>
  </sheetData>
  <autoFilter ref="A5:J14"/>
  <mergeCells count="6">
    <mergeCell ref="A2:J2"/>
    <mergeCell ref="A4:J4"/>
    <mergeCell ref="A16:J16"/>
    <mergeCell ref="A17:J17"/>
    <mergeCell ref="A22:J22"/>
    <mergeCell ref="A23:J23"/>
  </mergeCells>
  <conditionalFormatting sqref="B6:B14">
    <cfRule type="expression" priority="101" dxfId="5">
      <formula>OR(B6="Ready for review",B6="First look ready")</formula>
    </cfRule>
    <cfRule type="expression" priority="102" dxfId="4">
      <formula>OR(B6="Report unavailable or stale",B6="Data quality blocked")</formula>
    </cfRule>
    <cfRule type="expression" priority="103" dxfId="3">
      <formula>OR(B6="Collect more data")</formula>
    </cfRule>
  </conditionalFormatting>
  <hyperlinks>
    <hyperlink ref="A19" location="'Dashboard'!A1" display="Back to dashboard"/>
  </hyperlink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workbookViewId="0" showGridLines="0" zoomScale="90">
      <pane xSplit="0" ySplit="5" topLeftCell="A6" activePane="bottomLeft" state="frozen"/>
    </sheetView>
  </sheetViews>
  <cols>
    <col min="1" max="1" width="20" customWidth="1"/>
    <col min="2" max="2" width="18" customWidth="1"/>
    <col min="3" max="3" width="18" customWidth="1"/>
    <col min="4" max="4" width="20" customWidth="1"/>
    <col min="5" max="5" width="22" customWidth="1"/>
    <col min="6" max="6" width="22" customWidth="1"/>
    <col min="7" max="7" width="20" customWidth="1"/>
    <col min="8" max="8" width="20" customWidth="1"/>
  </cols>
  <sheetData>
    <row r="2" ht="28" customHeight="1">
      <c r="A2" s="25" t="inlineStr">
        <is>
          <t>Weekly performance</t>
        </is>
      </c>
    </row>
    <row r="4" ht="34" customHeight="1">
      <c r="A4" s="27" t="inlineStr">
        <is>
          <t>ISO calendar weeks. All archived selection policies and tiers; profit uses offered prices and simulated stakes.</t>
        </is>
      </c>
    </row>
    <row r="5" ht="34" customHeight="1">
      <c r="A5" s="24" t="inlineStr">
        <is>
          <t>ISO week</t>
        </is>
      </c>
      <c r="B5" s="24" t="inlineStr">
        <is>
          <t>Settled selections</t>
        </is>
      </c>
      <c r="C5" s="24" t="inlineStr">
        <is>
          <t>Priced selections</t>
        </is>
      </c>
      <c r="D5" s="24" t="inlineStr">
        <is>
          <t>Simulated profit (units)</t>
        </is>
      </c>
      <c r="E5" s="24" t="inlineStr">
        <is>
          <t>Cumulative profit (units)</t>
        </is>
      </c>
      <c r="F5" s="24" t="inlineStr">
        <is>
          <t>Win rate</t>
        </is>
      </c>
    </row>
    <row r="6" ht="26" customHeight="1">
      <c r="A6" s="18" t="str">
        <f>Breakdowns!B24</f>
        <v>2026-W41</v>
      </c>
      <c r="B6" s="19">
        <f>Breakdowns!D24</f>
        <v>4.0</v>
      </c>
      <c r="C6" s="19">
        <f>COUNTIFS(Selections!$P$6:$P$27,A6,Selections!$M$6:$M$27,"&gt;0")</f>
        <v>4.0</v>
      </c>
      <c r="D6" s="22">
        <f>IF(C6=0,"n.a.",Breakdowns!J24)</f>
        <v>-1.48</v>
      </c>
      <c r="E6" s="22">
        <f>IF(SUM($C$6:C6)=0,"n.a.",SUM($D$6:D6))</f>
        <v>-1.48</v>
      </c>
      <c r="F6" s="20">
        <f>Breakdowns!H24</f>
        <v>0.5</v>
      </c>
    </row>
    <row r="7" ht="26" customHeight="1">
      <c r="A7" s="18" t="str">
        <f>Breakdowns!B25</f>
        <v>2026-W42</v>
      </c>
      <c r="B7" s="19">
        <f>Breakdowns!D25</f>
        <v>7.0</v>
      </c>
      <c r="C7" s="19">
        <f>COUNTIFS(Selections!$P$6:$P$27,A7,Selections!$M$6:$M$27,"&gt;0")</f>
        <v>7.0</v>
      </c>
      <c r="D7" s="22">
        <f>IF(C7=0,"n.a.",Breakdowns!J25)</f>
        <v>1.5899999999999999</v>
      </c>
      <c r="E7" s="22">
        <f>IF(SUM($C$6:C7)=0,"n.a.",SUM($D$6:D7))</f>
        <v>0.10999999999999988</v>
      </c>
      <c r="F7" s="20">
        <f>Breakdowns!H25</f>
        <v>0.8571428571428571</v>
      </c>
    </row>
    <row r="8" ht="26" customHeight="1">
      <c r="A8" s="18" t="str">
        <f>Breakdowns!B26</f>
        <v>2026-W43</v>
      </c>
      <c r="B8" s="19">
        <f>Breakdowns!D26</f>
        <v>0.0</v>
      </c>
      <c r="C8" s="19">
        <f>COUNTIFS(Selections!$P$6:$P$27,A8,Selections!$M$6:$M$27,"&gt;0")</f>
        <v>0</v>
      </c>
      <c r="D8" s="22" t="str">
        <f>IF(C8=0,"n.a.",Breakdowns!J26)</f>
        <v>n.a.</v>
      </c>
      <c r="E8" s="22">
        <f>IF(SUM($C$6:C8)=0,"n.a.",SUM($D$6:D8))</f>
        <v>0.10999999999999988</v>
      </c>
      <c r="F8" s="20" t="str">
        <f>Breakdowns!H26</f>
        <v>n.a.</v>
      </c>
    </row>
    <row r="10">
      <c r="A10" s="27" t="inlineStr">
        <is>
          <t>Pending selections are excluded from rates. Weeks with no priced settled selections have no realised evidence of profit.</t>
        </is>
      </c>
    </row>
  </sheetData>
  <mergeCells count="3">
    <mergeCell ref="A2:H2"/>
    <mergeCell ref="A4:H4"/>
    <mergeCell ref="A10:H10"/>
  </mergeCells>
  <drawing ns1:id="rIdMonitoring"/>
</worksheet>
</file>

<file path=xl/worksheets/sheet9.xml><?xml version="1.0" encoding="utf-8"?>
<worksheet xmlns="http://schemas.openxmlformats.org/spreadsheetml/2006/main">
  <sheetViews>
    <sheetView workbookViewId="0" showGridLines="0" zoomScale="90"/>
  </sheetViews>
  <cols>
    <col min="1" max="1" width="28" customWidth="1"/>
    <col min="2" max="2" width="68" customWidth="1"/>
    <col min="3" max="3" width="64" customWidth="1"/>
  </cols>
  <sheetData>
    <row r="2" ht="28" customHeight="1">
      <c r="A2" s="25" t="inlineStr">
        <is>
          <t>Metric guide</t>
        </is>
      </c>
    </row>
    <row r="4" ht="34" customHeight="1">
      <c r="A4" s="27" t="inlineStr">
        <is>
          <t>Definitions apply to the archived forecasts and simulated selections in this workbook.</t>
        </is>
      </c>
    </row>
    <row r="5" ht="34" customHeight="1">
      <c r="A5" s="24" t="inlineStr">
        <is>
          <t>Metric</t>
        </is>
      </c>
      <c r="B5" s="24" t="inlineStr">
        <is>
          <t>Meaning</t>
        </is>
      </c>
      <c r="C5" s="24" t="inlineStr">
        <is>
          <t>How to read it</t>
        </is>
      </c>
    </row>
    <row r="6" ht="54" customHeight="1">
      <c r="A6" s="18" t="inlineStr">
        <is>
          <t>Win rate</t>
        </is>
      </c>
      <c r="B6" s="18" t="inlineStr">
        <is>
          <t>Wins divided by settled selections. Pending and unverified results are excluded.</t>
        </is>
      </c>
      <c r="C6" s="18" t="inlineStr">
        <is>
          <t>Read with the settled sample size and 95% interval.</t>
        </is>
      </c>
    </row>
    <row r="7" ht="54" customHeight="1">
      <c r="A7" s="18" t="inlineStr">
        <is>
          <t>Simulated ROI</t>
        </is>
      </c>
      <c r="B7" s="18" t="inlineStr">
        <is>
          <t>Simulated net profit divided by staked units. Includes recorded per-stake costs.</t>
        </is>
      </c>
      <c r="C7" s="18" t="inlineStr">
        <is>
          <t>Offered prices and simulated stakes are not proof of actual returns. Missing prices are excluded.</t>
        </is>
      </c>
    </row>
    <row r="8" ht="54" customHeight="1">
      <c r="A8" s="18" t="inlineStr">
        <is>
          <t>Binary Brier</t>
        </is>
      </c>
      <c r="B8" s="18" t="inlineStr">
        <is>
          <t>Mean squared error between a forecast probability and a binary outcome.</t>
        </is>
      </c>
      <c r="C8" s="18" t="inlineStr">
        <is>
          <t>Lower is better. Read the number of valid probability samples.</t>
        </is>
      </c>
    </row>
    <row r="9" ht="54" customHeight="1">
      <c r="A9" s="18" t="inlineStr">
        <is>
          <t>1X2 Brier</t>
        </is>
      </c>
      <c r="B9" s="18" t="inlineStr">
        <is>
          <t>Multiclass probability error across home win, draw and away win.</t>
        </is>
      </c>
      <c r="C9" s="18" t="inlineStr">
        <is>
          <t>Lower is better. Its scale differs from binary Brier; do not compare the two directly.</t>
        </is>
      </c>
    </row>
    <row r="10" ht="54" customHeight="1">
      <c r="A10" s="18" t="inlineStr">
        <is>
          <t>Log loss</t>
        </is>
      </c>
      <c r="B10" s="18" t="inlineStr">
        <is>
          <t>Penalty assigned to the probability of the observed outcome.</t>
        </is>
      </c>
      <c r="C10" s="18" t="inlineStr">
        <is>
          <t>Lower is better. Compare candidates on the same fixtures.</t>
        </is>
      </c>
    </row>
    <row r="11" ht="54" customHeight="1">
      <c r="A11" s="18" t="inlineStr">
        <is>
          <t>Calibration gap</t>
        </is>
      </c>
      <c r="B11" s="18" t="inlineStr">
        <is>
          <t>Mean forecast probability minus observed win rate on the same scored selections.</t>
        </is>
      </c>
      <c r="C11" s="18" t="inlineStr">
        <is>
          <t>Closer to zero is better. Positive indicates overconfidence; negative indicates underconfidence.</t>
        </is>
      </c>
    </row>
    <row r="12" ht="54" customHeight="1">
      <c r="A12" s="18" t="inlineStr">
        <is>
          <t>Same-book offer CLV</t>
        </is>
      </c>
      <c r="B12" s="18" t="inlineStr">
        <is>
          <t>Frozen offered odds divided by observed near-close odds at the same bookmaker, minus one.</t>
        </is>
      </c>
      <c r="C12" s="18" t="inlineStr">
        <is>
          <t>Positive means a better earlier offered price. Quotes are not accepted prices or guaranteed official closing odds.</t>
        </is>
      </c>
    </row>
    <row r="13" ht="54" customHeight="1">
      <c r="A13" s="18" t="inlineStr">
        <is>
          <t>Fair-close EV</t>
        </is>
      </c>
      <c r="B13" s="18" t="inlineStr">
        <is>
          <t>Frozen offered odds multiplied by the de-vigged near-close probability, minus one and recorded costs.</t>
        </is>
      </c>
      <c r="C13" s="18" t="inlineStr">
        <is>
          <t>Positive indicates value relative to that observed reference. Coverage must be shown.</t>
        </is>
      </c>
    </row>
    <row r="14" ht="54" customHeight="1">
      <c r="A14" s="18" t="inlineStr">
        <is>
          <t>Verified coverage</t>
        </is>
      </c>
      <c r="B14" s="18" t="inlineStr">
        <is>
          <t>Share of verified in-scope fixtures with a usable paired candidate forecast.</t>
        </is>
      </c>
      <c r="C14" s="18" t="inlineStr">
        <is>
          <t>Use each versioned trial's registered minimum. Missing coverage remains unavailable.</t>
        </is>
      </c>
    </row>
    <row r="15" ht="54" customHeight="1">
      <c r="A15" s="18" t="inlineStr">
        <is>
          <t>Initial review</t>
        </is>
      </c>
      <c r="B15" s="18" t="inlineStr">
        <is>
          <t>Original sidecars: at least 28 collection days and 30 settled observations.</t>
        </is>
      </c>
      <c r="C15" s="18" t="inlineStr">
        <is>
          <t>An initial look permits review, not promotion or a profitability claim.</t>
        </is>
      </c>
    </row>
    <row r="16" ht="54" customHeight="1">
      <c r="A16" s="18" t="inlineStr">
        <is>
          <t>Approval review</t>
        </is>
      </c>
      <c r="B16" s="18" t="inlineStr">
        <is>
          <t>Versioned trials: registered fixture, ISO-week and coverage gates must pass.</t>
        </is>
      </c>
      <c r="C16" s="18" t="inlineStr">
        <is>
          <t>Readiness can include negative findings. Production changes require approval.</t>
        </is>
      </c>
    </row>
    <row r="17" ht="54" customHeight="1">
      <c r="A17" s="18" t="inlineStr">
        <is>
          <t>ISO week</t>
        </is>
      </c>
      <c r="B17" s="18" t="inlineStr">
        <is>
          <t>Calendar year and week, assigned by the existing grading system.</t>
        </is>
      </c>
      <c r="C17" s="18" t="inlineStr">
        <is>
          <t>This is not a competition gameweek.</t>
        </is>
      </c>
    </row>
    <row r="18" ht="54" customHeight="1">
      <c r="A18" s="18" t="inlineStr">
        <is>
          <t>Unavailable / n.a.</t>
        </is>
      </c>
      <c r="B18" s="18" t="inlineStr">
        <is>
          <t>The required input or settled sample is missing.</t>
        </is>
      </c>
      <c r="C18" s="18" t="inlineStr">
        <is>
          <t>This is not a zero result and must not be interpreted as healthy evidence.</t>
        </is>
      </c>
    </row>
    <row r="21">
      <c r="A21" s="31" t="inlineStr">
        <is>
          <t>Back to dashboard</t>
        </is>
      </c>
    </row>
  </sheetData>
  <mergeCells count="2">
    <mergeCell ref="A2:C2"/>
    <mergeCell ref="A4:C4"/>
  </mergeCells>
  <hyperlinks>
    <hyperlink ref="A21" location="'Dashboard'!A1" display="Back to dashboard"/>
  </hyperlinks>
</worksheet>
</file>

<file path=xl/worksheets/sheet10.xml><?xml version="1.0" encoding="utf-8"?>
<worksheet xmlns="http://schemas.openxmlformats.org/spreadsheetml/2006/main">
  <sheetViews>
    <sheetView workbookViewId="0" showGridLines="0" zoomScale="90">
      <pane xSplit="1" ySplit="6" topLeftCell="B7" activePane="bottomRight" state="frozen"/>
    </sheetView>
  </sheetViews>
  <cols>
    <col min="1" max="1" width="28" customWidth="1"/>
    <col min="2" max="2" width="23" customWidth="1"/>
    <col min="3" max="3" width="18" customWidth="1"/>
    <col min="4" max="4" width="22" customWidth="1"/>
    <col min="5" max="5" width="36" customWidth="1"/>
    <col min="6" max="6" width="44" customWidth="1"/>
  </cols>
  <sheetData>
    <row r="2" ht="28" customHeight="1">
      <c r="A2" s="25" t="inlineStr">
        <is>
          <t>Pipeline health</t>
        </is>
      </c>
    </row>
    <row r="4" ht="34" customHeight="1">
      <c r="A4" s="27" t="inlineStr">
        <is>
          <t>Health describes collection and evidence coverage. Recent result dates alone do not verify source completeness.</t>
        </is>
      </c>
    </row>
    <row r="5">
      <c r="A5" s="27" t="inlineStr">
        <is>
          <t>Review UTC: 2026-10-15T15:13:16.300635+00:00</t>
        </is>
      </c>
    </row>
    <row r="7">
      <c r="A7" s="26" t="inlineStr">
        <is>
          <t>Training data freshness</t>
        </is>
      </c>
    </row>
    <row r="8" ht="34" customHeight="1">
      <c r="A8" s="24" t="inlineStr">
        <is>
          <t>League</t>
        </is>
      </c>
      <c r="B8" s="24" t="inlineStr">
        <is>
          <t>Latest result</t>
        </is>
      </c>
      <c r="C8" s="24" t="inlineStr">
        <is>
          <t>Training matches</t>
        </is>
      </c>
      <c r="D8" s="24" t="inlineStr">
        <is>
          <t>Days since result</t>
        </is>
      </c>
      <c r="E8" s="24" t="inlineStr">
        <is>
          <t>Source status</t>
        </is>
      </c>
      <c r="F8" s="24" t="inlineStr">
        <is>
          <t>Next check</t>
        </is>
      </c>
    </row>
    <row r="9" ht="44" customHeight="1">
      <c r="A9" s="18" t="inlineStr">
        <is>
          <t>Bundesliga</t>
        </is>
      </c>
      <c r="B9" s="18" t="inlineStr">
        <is>
          <t>2026-10-11</t>
        </is>
      </c>
      <c r="C9" s="19">
        <v>963</v>
      </c>
      <c r="D9" s="19">
        <v>4</v>
      </c>
      <c r="E9" s="18" t="inlineStr">
        <is>
          <t>Result date only not completeness verified</t>
        </is>
      </c>
      <c r="F9" s="18" t="inlineStr">
        <is>
          <t>Source completeness unverified</t>
        </is>
      </c>
    </row>
    <row r="10" ht="44" customHeight="1">
      <c r="A10" s="18" t="inlineStr">
        <is>
          <t>EPL</t>
        </is>
      </c>
      <c r="B10" s="18" t="inlineStr">
        <is>
          <t>2026-10-12</t>
        </is>
      </c>
      <c r="C10" s="19">
        <v>1200</v>
      </c>
      <c r="D10" s="19">
        <v>3</v>
      </c>
      <c r="E10" s="18" t="inlineStr">
        <is>
          <t>Result date only not completeness verified</t>
        </is>
      </c>
      <c r="F10" s="18" t="inlineStr">
        <is>
          <t>Source completeness unverified</t>
        </is>
      </c>
    </row>
    <row r="11" ht="44" customHeight="1">
      <c r="A11" s="18" t="inlineStr">
        <is>
          <t>LaLiga</t>
        </is>
      </c>
      <c r="B11" s="18" t="inlineStr">
        <is>
          <t>2026-10-12</t>
        </is>
      </c>
      <c r="C11" s="19">
        <v>1218</v>
      </c>
      <c r="D11" s="19">
        <v>3</v>
      </c>
      <c r="E11" s="18" t="inlineStr">
        <is>
          <t>Result date only not completeness verified</t>
        </is>
      </c>
      <c r="F11" s="18" t="inlineStr">
        <is>
          <t>Source completeness unverified</t>
        </is>
      </c>
    </row>
    <row r="12" ht="44" customHeight="1">
      <c r="A12" s="18" t="inlineStr">
        <is>
          <t>Ligue1</t>
        </is>
      </c>
      <c r="B12" s="18" t="inlineStr">
        <is>
          <t>2026-10-11</t>
        </is>
      </c>
      <c r="C12" s="19">
        <v>972</v>
      </c>
      <c r="D12" s="19">
        <v>4</v>
      </c>
      <c r="E12" s="18" t="inlineStr">
        <is>
          <t>Result date only not completeness verified</t>
        </is>
      </c>
      <c r="F12" s="18" t="inlineStr">
        <is>
          <t>Source completeness unverified</t>
        </is>
      </c>
    </row>
    <row r="13" ht="44" customHeight="1">
      <c r="A13" s="18" t="inlineStr">
        <is>
          <t>SerieA</t>
        </is>
      </c>
      <c r="B13" s="18" t="inlineStr">
        <is>
          <t>2026-10-12</t>
        </is>
      </c>
      <c r="C13" s="19">
        <v>1200</v>
      </c>
      <c r="D13" s="19">
        <v>3</v>
      </c>
      <c r="E13" s="18" t="inlineStr">
        <is>
          <t>Result date only not completeness verified</t>
        </is>
      </c>
      <c r="F13" s="18" t="inlineStr">
        <is>
          <t>Source completeness unverified</t>
        </is>
      </c>
    </row>
    <row r="14" ht="44" customHeight="1">
      <c r="A14" s="18" t="inlineStr">
        <is>
          <t>UCL</t>
        </is>
      </c>
      <c r="B14" s="18" t="inlineStr">
        <is>
          <t>2026-10-14</t>
        </is>
      </c>
      <c r="C14" s="19">
        <v>539</v>
      </c>
      <c r="D14" s="19">
        <v>1</v>
      </c>
      <c r="E14" s="18" t="inlineStr">
        <is>
          <t>Current within provider schedule</t>
        </is>
      </c>
      <c r="F14" s="18" t="inlineStr">
        <is>
          <t>See source health report</t>
        </is>
      </c>
    </row>
    <row r="17">
      <c r="A17" s="26" t="inlineStr">
        <is>
          <t>Near-close quote coverage</t>
        </is>
      </c>
    </row>
    <row r="18" ht="34" customHeight="1">
      <c r="A18" s="24" t="inlineStr">
        <is>
          <t>Bookmaker</t>
        </is>
      </c>
      <c r="B18" s="24" t="inlineStr">
        <is>
          <t>Covered selections</t>
        </is>
      </c>
      <c r="C18" s="24" t="inlineStr">
        <is>
          <t>Missing selections</t>
        </is>
      </c>
      <c r="D18" s="24" t="inlineStr">
        <is>
          <t>Pending selections</t>
        </is>
      </c>
      <c r="E18" s="24" t="inlineStr">
        <is>
          <t>Mean fair-close EV</t>
        </is>
      </c>
      <c r="F18" s="24" t="inlineStr">
        <is>
          <t>Same-book offer CLV</t>
        </is>
      </c>
    </row>
    <row r="19" ht="44" customHeight="1">
      <c r="A19" s="18" t="inlineStr">
        <is>
          <t>1xbet</t>
        </is>
      </c>
      <c r="B19" s="19">
        <v>0</v>
      </c>
      <c r="C19" s="19">
        <v>13</v>
      </c>
      <c r="D19" s="19">
        <v>9</v>
      </c>
      <c r="E19" s="20" t="inlineStr">
        <is>
          <t>Unavailable</t>
        </is>
      </c>
      <c r="F19" s="20" t="inlineStr">
        <is>
          <t>Unavailable</t>
        </is>
      </c>
    </row>
    <row r="20" ht="44" customHeight="1">
      <c r="A20" s="18" t="inlineStr">
        <is>
          <t>pinnacle</t>
        </is>
      </c>
      <c r="B20" s="19">
        <v>1</v>
      </c>
      <c r="C20" s="19">
        <v>12</v>
      </c>
      <c r="D20" s="19">
        <v>9</v>
      </c>
      <c r="E20" s="20">
        <v>0.05317884471232537</v>
      </c>
      <c r="F20" s="20" t="inlineStr">
        <is>
          <t>Unavailable</t>
        </is>
      </c>
    </row>
    <row r="23">
      <c r="A23" s="27" t="inlineStr">
        <is>
          <t>Observed near-close quotes are not guaranteed official closes. Accepted bet prices and execution remain unverified.</t>
        </is>
      </c>
    </row>
    <row r="25">
      <c r="A25" s="26" t="inlineStr">
        <is>
          <t>Latest shortlist quote audit</t>
        </is>
      </c>
    </row>
    <row r="26" ht="34" customHeight="1">
      <c r="A26" s="24" t="inlineStr">
        <is>
          <t>Check</t>
        </is>
      </c>
      <c r="B26" s="24" t="inlineStr">
        <is>
          <t>Recorded value</t>
        </is>
      </c>
    </row>
    <row r="27" ht="44" customHeight="1">
      <c r="A27" s="18" t="inlineStr">
        <is>
          <t>Account availability</t>
        </is>
      </c>
      <c r="B27" s="18" t="inlineStr">
        <is>
          <t>Not verified with bookmaker accounts</t>
        </is>
      </c>
    </row>
    <row r="28" ht="44" customHeight="1">
      <c r="A28" s="18" t="inlineStr">
        <is>
          <t>Bookmakers: 1xBet</t>
        </is>
      </c>
      <c r="B28" s="19">
        <v>2</v>
      </c>
    </row>
    <row r="29" ht="44" customHeight="1">
      <c r="A29" s="18" t="inlineStr">
        <is>
          <t>Costs recorded</t>
        </is>
      </c>
      <c r="B29" s="19">
        <v>2</v>
      </c>
    </row>
    <row r="30" ht="44" customHeight="1">
      <c r="A30" s="18" t="inlineStr">
        <is>
          <t>Exchange quotes</t>
        </is>
      </c>
      <c r="B30" s="19">
        <v>0</v>
      </c>
    </row>
    <row r="31" ht="44" customHeight="1">
      <c r="A31" s="18" t="inlineStr">
        <is>
          <t>Missing quote age</t>
        </is>
      </c>
      <c r="B31" s="19">
        <v>0</v>
      </c>
    </row>
    <row r="32" ht="44" customHeight="1">
      <c r="A32" s="18" t="inlineStr">
        <is>
          <t>Quote age over 24h</t>
        </is>
      </c>
      <c r="B32" s="19">
        <v>0</v>
      </c>
    </row>
    <row r="33" ht="44" customHeight="1">
      <c r="A33" s="18" t="inlineStr">
        <is>
          <t>Selected quotes</t>
        </is>
      </c>
      <c r="B33" s="19">
        <v>2</v>
      </c>
    </row>
    <row r="36">
      <c r="A36" s="26" t="inlineStr">
        <is>
          <t>Forecast capture coverage</t>
        </is>
      </c>
    </row>
    <row r="37" ht="34" customHeight="1">
      <c r="A37" s="24" t="inlineStr">
        <is>
          <t>Experiment</t>
        </is>
      </c>
      <c r="B37" s="24" t="inlineStr">
        <is>
          <t>Capture state</t>
        </is>
      </c>
      <c r="C37" s="24" t="inlineStr">
        <is>
          <t>Snapshot count</t>
        </is>
      </c>
    </row>
    <row r="38" ht="44" customHeight="1">
      <c r="A38" s="18" t="inlineStr">
        <is>
          <t>Goal-market blend</t>
        </is>
      </c>
      <c r="B38" s="18" t="inlineStr">
        <is>
          <t>Captured</t>
        </is>
      </c>
      <c r="C38" s="19">
        <v>14</v>
      </c>
    </row>
    <row r="39" ht="44" customHeight="1">
      <c r="A39" s="18" t="inlineStr">
        <is>
          <t>Goal-market blend</t>
        </is>
      </c>
      <c r="B39" s="18" t="inlineStr">
        <is>
          <t>Legacy not recorded</t>
        </is>
      </c>
      <c r="C39" s="19">
        <v>14</v>
      </c>
    </row>
    <row r="40" ht="44" customHeight="1">
      <c r="A40" s="18" t="inlineStr">
        <is>
          <t>Market-led forecasts</t>
        </is>
      </c>
      <c r="B40" s="18" t="inlineStr">
        <is>
          <t>Captured</t>
        </is>
      </c>
      <c r="C40" s="19">
        <v>14</v>
      </c>
    </row>
    <row r="41" ht="44" customHeight="1">
      <c r="A41" s="18" t="inlineStr">
        <is>
          <t>Market-led forecasts</t>
        </is>
      </c>
      <c r="B41" s="18" t="inlineStr">
        <is>
          <t>Legacy not recorded</t>
        </is>
      </c>
      <c r="C41" s="19">
        <v>14</v>
      </c>
    </row>
    <row r="42" ht="44" customHeight="1">
      <c r="A42" s="18" t="inlineStr">
        <is>
          <t>Recency comparison</t>
        </is>
      </c>
      <c r="B42" s="18" t="inlineStr">
        <is>
          <t>Captured</t>
        </is>
      </c>
      <c r="C42" s="19">
        <v>10</v>
      </c>
    </row>
    <row r="43" ht="44" customHeight="1">
      <c r="A43" s="18" t="inlineStr">
        <is>
          <t>Recency comparison</t>
        </is>
      </c>
      <c r="B43" s="18" t="inlineStr">
        <is>
          <t>Legacy not recorded</t>
        </is>
      </c>
      <c r="C43" s="19">
        <v>18</v>
      </c>
    </row>
    <row r="44" ht="44" customHeight="1">
      <c r="A44" s="18" t="inlineStr">
        <is>
          <t>EV filter sensitivity</t>
        </is>
      </c>
      <c r="B44" s="18" t="inlineStr">
        <is>
          <t>Captured</t>
        </is>
      </c>
      <c r="C44" s="19">
        <v>9</v>
      </c>
    </row>
    <row r="45" ht="44" customHeight="1">
      <c r="A45" s="18" t="inlineStr">
        <is>
          <t>EV filter sensitivity</t>
        </is>
      </c>
      <c r="B45" s="18" t="inlineStr">
        <is>
          <t>Legacy not recorded</t>
        </is>
      </c>
      <c r="C45" s="19">
        <v>19</v>
      </c>
    </row>
    <row r="46" ht="44" customHeight="1">
      <c r="A46" s="18" t="inlineStr">
        <is>
          <t>85% market weight</t>
        </is>
      </c>
      <c r="B46" s="18" t="inlineStr">
        <is>
          <t>Captured</t>
        </is>
      </c>
      <c r="C46" s="19">
        <v>7</v>
      </c>
    </row>
    <row r="47" ht="44" customHeight="1">
      <c r="A47" s="18" t="inlineStr">
        <is>
          <t>85% market weight</t>
        </is>
      </c>
      <c r="B47" s="18" t="inlineStr">
        <is>
          <t>Legacy not recorded</t>
        </is>
      </c>
      <c r="C47" s="19">
        <v>20</v>
      </c>
    </row>
    <row r="48" ht="44" customHeight="1">
      <c r="A48" s="18" t="inlineStr">
        <is>
          <t>85% market weight</t>
        </is>
      </c>
      <c r="B48" s="18" t="inlineStr">
        <is>
          <t>Present but rejected</t>
        </is>
      </c>
      <c r="C48" s="19">
        <v>1</v>
      </c>
    </row>
    <row r="49" ht="44" customHeight="1">
      <c r="A49" s="18" t="inlineStr">
        <is>
          <t>Pinnacle totals anchor</t>
        </is>
      </c>
      <c r="B49" s="18" t="inlineStr">
        <is>
          <t>Captured</t>
        </is>
      </c>
      <c r="C49" s="19">
        <v>7</v>
      </c>
    </row>
    <row r="50" ht="44" customHeight="1">
      <c r="A50" s="18" t="inlineStr">
        <is>
          <t>Pinnacle totals anchor</t>
        </is>
      </c>
      <c r="B50" s="18" t="inlineStr">
        <is>
          <t>Legacy not recorded</t>
        </is>
      </c>
      <c r="C50" s="19">
        <v>21</v>
      </c>
    </row>
    <row r="51" ht="44" customHeight="1">
      <c r="A51" s="18" t="inlineStr">
        <is>
          <t>Stronger regularisation (L2=3)</t>
        </is>
      </c>
      <c r="B51" s="18" t="inlineStr">
        <is>
          <t>Legacy not recorded</t>
        </is>
      </c>
      <c r="C51" s="19">
        <v>28</v>
      </c>
    </row>
    <row r="52" ht="44" customHeight="1">
      <c r="A52" s="18" t="inlineStr">
        <is>
          <t>Fixed half-life (480 days)</t>
        </is>
      </c>
      <c r="B52" s="18" t="inlineStr">
        <is>
          <t>Legacy not recorded</t>
        </is>
      </c>
      <c r="C52" s="19">
        <v>28</v>
      </c>
    </row>
    <row r="53" ht="44" customHeight="1">
      <c r="A53" s="18" t="inlineStr">
        <is>
          <t>Probability / calibration policy</t>
        </is>
      </c>
      <c r="B53" s="18" t="inlineStr">
        <is>
          <t>Captured</t>
        </is>
      </c>
      <c r="C53" s="19">
        <v>1</v>
      </c>
    </row>
    <row r="54" ht="44" customHeight="1">
      <c r="A54" s="18" t="inlineStr">
        <is>
          <t>Probability / calibration policy</t>
        </is>
      </c>
      <c r="B54" s="18" t="inlineStr">
        <is>
          <t>Legacy not recorded</t>
        </is>
      </c>
      <c r="C54" s="19">
        <v>26</v>
      </c>
    </row>
    <row r="55" ht="44" customHeight="1">
      <c r="A55" s="18" t="inlineStr">
        <is>
          <t>Probability / calibration policy</t>
        </is>
      </c>
      <c r="B55" s="18" t="inlineStr">
        <is>
          <t>Present but rejected</t>
        </is>
      </c>
      <c r="C55" s="19">
        <v>1</v>
      </c>
    </row>
    <row r="58">
      <c r="A58" s="26" t="inlineStr">
        <is>
          <t>EV sensitivity results</t>
        </is>
      </c>
    </row>
    <row r="59" ht="34" customHeight="1">
      <c r="A59" s="24" t="inlineStr">
        <is>
          <t>EV floor</t>
        </is>
      </c>
      <c r="B59" s="24" t="inlineStr">
        <is>
          <t>Tier</t>
        </is>
      </c>
      <c r="C59" s="24" t="inlineStr">
        <is>
          <t>Selected</t>
        </is>
      </c>
      <c r="D59" s="24" t="inlineStr">
        <is>
          <t>Settled</t>
        </is>
      </c>
      <c r="E59" s="24" t="inlineStr">
        <is>
          <t>Simulated ROI</t>
        </is>
      </c>
      <c r="F59" s="24" t="inlineStr">
        <is>
          <t>Drawdown (units)</t>
        </is>
      </c>
    </row>
    <row r="60" ht="44" customHeight="1">
      <c r="A60" s="20">
        <v>0.015</v>
      </c>
      <c r="B60" s="18" t="inlineStr">
        <is>
          <t>ALL</t>
        </is>
      </c>
      <c r="C60" s="19">
        <v>7</v>
      </c>
      <c r="D60" s="19">
        <v>3</v>
      </c>
      <c r="E60" s="20">
        <v>0.35999999999999993</v>
      </c>
      <c r="F60" s="22">
        <v>0.0</v>
      </c>
    </row>
    <row r="61" ht="44" customHeight="1">
      <c r="A61" s="20">
        <v>0.015</v>
      </c>
      <c r="B61" s="18" t="inlineStr">
        <is>
          <t>STRICT</t>
        </is>
      </c>
      <c r="C61" s="19">
        <v>6</v>
      </c>
      <c r="D61" s="19">
        <v>3</v>
      </c>
      <c r="E61" s="20">
        <v>0.35999999999999993</v>
      </c>
      <c r="F61" s="22">
        <v>0.0</v>
      </c>
    </row>
    <row r="62" ht="44" customHeight="1">
      <c r="A62" s="20">
        <v>0.015</v>
      </c>
      <c r="B62" s="18" t="inlineStr">
        <is>
          <t>PROVISIONAL</t>
        </is>
      </c>
      <c r="C62" s="19">
        <v>1</v>
      </c>
      <c r="D62" s="19">
        <v>0</v>
      </c>
      <c r="E62" s="20"/>
      <c r="F62" s="22"/>
    </row>
    <row r="63" ht="44" customHeight="1">
      <c r="A63" s="20">
        <v>0.03</v>
      </c>
      <c r="B63" s="18" t="inlineStr">
        <is>
          <t>ALL</t>
        </is>
      </c>
      <c r="C63" s="19">
        <v>7</v>
      </c>
      <c r="D63" s="19">
        <v>3</v>
      </c>
      <c r="E63" s="20">
        <v>0.35999999999999993</v>
      </c>
      <c r="F63" s="22">
        <v>0.0</v>
      </c>
    </row>
    <row r="64" ht="44" customHeight="1">
      <c r="A64" s="20">
        <v>0.03</v>
      </c>
      <c r="B64" s="18" t="inlineStr">
        <is>
          <t>STRICT</t>
        </is>
      </c>
      <c r="C64" s="19">
        <v>6</v>
      </c>
      <c r="D64" s="19">
        <v>3</v>
      </c>
      <c r="E64" s="20">
        <v>0.35999999999999993</v>
      </c>
      <c r="F64" s="22">
        <v>0.0</v>
      </c>
    </row>
    <row r="65" ht="44" customHeight="1">
      <c r="A65" s="20">
        <v>0.03</v>
      </c>
      <c r="B65" s="18" t="inlineStr">
        <is>
          <t>PROVISIONAL</t>
        </is>
      </c>
      <c r="C65" s="19">
        <v>1</v>
      </c>
      <c r="D65" s="19">
        <v>0</v>
      </c>
      <c r="E65" s="20"/>
      <c r="F65" s="22"/>
    </row>
    <row r="66" ht="44" customHeight="1">
      <c r="A66" s="20">
        <v>0.05</v>
      </c>
      <c r="B66" s="18" t="inlineStr">
        <is>
          <t>ALL</t>
        </is>
      </c>
      <c r="C66" s="19">
        <v>6</v>
      </c>
      <c r="D66" s="19">
        <v>3</v>
      </c>
      <c r="E66" s="20">
        <v>0.35999999999999993</v>
      </c>
      <c r="F66" s="22">
        <v>0.0</v>
      </c>
    </row>
    <row r="67" ht="44" customHeight="1">
      <c r="A67" s="20">
        <v>0.05</v>
      </c>
      <c r="B67" s="18" t="inlineStr">
        <is>
          <t>STRICT</t>
        </is>
      </c>
      <c r="C67" s="19">
        <v>5</v>
      </c>
      <c r="D67" s="19">
        <v>3</v>
      </c>
      <c r="E67" s="20">
        <v>0.35999999999999993</v>
      </c>
      <c r="F67" s="22">
        <v>0.0</v>
      </c>
    </row>
    <row r="68" ht="44" customHeight="1">
      <c r="A68" s="20">
        <v>0.05</v>
      </c>
      <c r="B68" s="18" t="inlineStr">
        <is>
          <t>PROVISIONAL</t>
        </is>
      </c>
      <c r="C68" s="19">
        <v>1</v>
      </c>
      <c r="D68" s="19">
        <v>0</v>
      </c>
      <c r="E68" s="20"/>
      <c r="F68" s="22"/>
    </row>
    <row r="71">
      <c r="A71" s="26" t="inlineStr">
        <is>
          <t>Daily review observations</t>
        </is>
      </c>
    </row>
    <row r="72" ht="34" customHeight="1">
      <c r="A72" s="24" t="inlineStr">
        <is>
          <t>Review date</t>
        </is>
      </c>
      <c r="B72" s="24" t="inlineStr">
        <is>
          <t>Graded</t>
        </is>
      </c>
      <c r="C72" s="24" t="inlineStr">
        <is>
          <t>Win rate</t>
        </is>
      </c>
      <c r="D72" s="24" t="inlineStr">
        <is>
          <t>Simulated ROI</t>
        </is>
      </c>
      <c r="E72" s="24" t="inlineStr">
        <is>
          <t>Brier</t>
        </is>
      </c>
    </row>
    <row r="73" ht="44" customHeight="1">
      <c r="A73" s="18" t="inlineStr">
        <is>
          <t>2026-10-13</t>
        </is>
      </c>
      <c r="B73" s="19">
        <v>9</v>
      </c>
      <c r="C73" s="20">
        <v>0.666667</v>
      </c>
      <c r="D73" s="20">
        <v>-0.096667</v>
      </c>
      <c r="E73" s="21">
        <v>0.250532</v>
      </c>
    </row>
    <row r="74" ht="44" customHeight="1">
      <c r="A74" s="18" t="inlineStr">
        <is>
          <t>2026-10-14</t>
        </is>
      </c>
      <c r="B74" s="19">
        <v>11</v>
      </c>
      <c r="C74" s="20">
        <v>0.727273</v>
      </c>
      <c r="D74" s="20">
        <v>0.01</v>
      </c>
      <c r="E74" s="21">
        <v>0.215932</v>
      </c>
    </row>
    <row r="75" ht="44" customHeight="1">
      <c r="A75" s="18" t="inlineStr">
        <is>
          <t>2026-10-15</t>
        </is>
      </c>
      <c r="B75" s="19">
        <v>11</v>
      </c>
      <c r="C75" s="20">
        <v>0.727273</v>
      </c>
      <c r="D75" s="20">
        <v>0.01</v>
      </c>
      <c r="E75" s="21">
        <v>0.215932</v>
      </c>
    </row>
    <row r="78">
      <c r="A78" s="26" t="inlineStr">
        <is>
          <t>Dependency versions</t>
        </is>
      </c>
    </row>
    <row r="79" ht="34" customHeight="1">
      <c r="A79" s="24" t="inlineStr">
        <is>
          <t>Dependency</t>
        </is>
      </c>
      <c r="B79" s="24" t="inlineStr">
        <is>
          <t>Version</t>
        </is>
      </c>
    </row>
    <row r="80" ht="44" customHeight="1">
      <c r="A80" s="18" t="inlineStr">
        <is>
          <t>PyYAML</t>
        </is>
      </c>
      <c r="B80" s="18" t="inlineStr">
        <is>
          <t>6.0.3</t>
        </is>
      </c>
    </row>
    <row r="81" ht="44" customHeight="1">
      <c r="A81" s="18" t="inlineStr">
        <is>
          <t>coverage</t>
        </is>
      </c>
      <c r="B81" s="18" t="inlineStr">
        <is>
          <t>7.16.2</t>
        </is>
      </c>
    </row>
    <row r="82" ht="44" customHeight="1">
      <c r="A82" s="18" t="inlineStr">
        <is>
          <t>numpy</t>
        </is>
      </c>
      <c r="B82" s="18" t="inlineStr">
        <is>
          <t>2.5.4</t>
        </is>
      </c>
    </row>
    <row r="83" ht="44" customHeight="1">
      <c r="A83" s="18" t="inlineStr">
        <is>
          <t>pandas</t>
        </is>
      </c>
      <c r="B83" s="18" t="inlineStr">
        <is>
          <t>3.0.6</t>
        </is>
      </c>
    </row>
    <row r="84" ht="44" customHeight="1">
      <c r="A84" s="18" t="inlineStr">
        <is>
          <t>python</t>
        </is>
      </c>
      <c r="B84" s="18" t="inlineStr">
        <is>
          <t>3.12.15</t>
        </is>
      </c>
    </row>
    <row r="85" ht="44" customHeight="1">
      <c r="A85" s="18" t="inlineStr">
        <is>
          <t>python-dotenv</t>
        </is>
      </c>
      <c r="B85" s="18" t="inlineStr">
        <is>
          <t>1.2.4</t>
        </is>
      </c>
    </row>
    <row r="86" ht="44" customHeight="1">
      <c r="A86" s="18" t="inlineStr">
        <is>
          <t>requests</t>
        </is>
      </c>
      <c r="B86" s="18" t="inlineStr">
        <is>
          <t>2.34.2</t>
        </is>
      </c>
    </row>
    <row r="87" ht="44" customHeight="1">
      <c r="A87" s="18" t="inlineStr">
        <is>
          <t>scipy</t>
        </is>
      </c>
      <c r="B87" s="18" t="inlineStr">
        <is>
          <t>1.18.1</t>
        </is>
      </c>
    </row>
    <row r="90">
      <c r="A90" s="31" t="inlineStr">
        <is>
          <t>Back to dashboard</t>
        </is>
      </c>
    </row>
  </sheetData>
  <mergeCells count="11">
    <mergeCell ref="A2:F2"/>
    <mergeCell ref="A4:F4"/>
    <mergeCell ref="A5:F5"/>
    <mergeCell ref="A7:F7"/>
    <mergeCell ref="A17:F17"/>
    <mergeCell ref="A23:F23"/>
    <mergeCell ref="A25:F25"/>
    <mergeCell ref="A36:F36"/>
    <mergeCell ref="A58:F58"/>
    <mergeCell ref="A71:F71"/>
    <mergeCell ref="A78:F78"/>
  </mergeCells>
  <conditionalFormatting sqref="E9">
    <cfRule type="expression" priority="101" dxfId="4">
      <formula>OR(E9="Stale",E9="Source unavailable",E9="Refresh failed")</formula>
    </cfRule>
    <cfRule type="expression" priority="102" dxfId="3">
      <formula>OR(E9="Result date only not completeness verified")</formula>
    </cfRule>
  </conditionalFormatting>
  <conditionalFormatting sqref="E10">
    <cfRule type="expression" priority="101" dxfId="4">
      <formula>OR(E10="Stale",E10="Source unavailable",E10="Refresh failed")</formula>
    </cfRule>
    <cfRule type="expression" priority="102" dxfId="3">
      <formula>OR(E10="Result date only not completeness verified")</formula>
    </cfRule>
  </conditionalFormatting>
  <conditionalFormatting sqref="E11">
    <cfRule type="expression" priority="101" dxfId="4">
      <formula>OR(E11="Stale",E11="Source unavailable",E11="Refresh failed")</formula>
    </cfRule>
    <cfRule type="expression" priority="102" dxfId="3">
      <formula>OR(E11="Result date only not completeness verified")</formula>
    </cfRule>
  </conditionalFormatting>
  <conditionalFormatting sqref="E12">
    <cfRule type="expression" priority="101" dxfId="4">
      <formula>OR(E12="Stale",E12="Source unavailable",E12="Refresh failed")</formula>
    </cfRule>
    <cfRule type="expression" priority="102" dxfId="3">
      <formula>OR(E12="Result date only not completeness verified")</formula>
    </cfRule>
  </conditionalFormatting>
  <conditionalFormatting sqref="E13">
    <cfRule type="expression" priority="101" dxfId="4">
      <formula>OR(E13="Stale",E13="Source unavailable",E13="Refresh failed")</formula>
    </cfRule>
    <cfRule type="expression" priority="102" dxfId="3">
      <formula>OR(E13="Result date only not completeness verified")</formula>
    </cfRule>
  </conditionalFormatting>
  <conditionalFormatting sqref="E14">
    <cfRule type="expression" priority="101" dxfId="4">
      <formula>OR(E14="Stale",E14="Source unavailable",E14="Refresh failed")</formula>
    </cfRule>
    <cfRule type="expression" priority="102" dxfId="3">
      <formula>OR(E14="Result date only not completeness verified")</formula>
    </cfRule>
  </conditionalFormatting>
  <conditionalFormatting sqref="B38">
    <cfRule type="expression" priority="101" dxfId="4">
      <formula>OR(B38="Capture failed",B38="Invalid",B38="Hash mismatch")</formula>
    </cfRule>
    <cfRule type="expression" priority="102" dxfId="3">
      <formula>OR(B38="Legacy not recorded",B38="Missing",B38="Not captured")</formula>
    </cfRule>
  </conditionalFormatting>
  <conditionalFormatting sqref="B39">
    <cfRule type="expression" priority="101" dxfId="4">
      <formula>OR(B39="Capture failed",B39="Invalid",B39="Hash mismatch")</formula>
    </cfRule>
    <cfRule type="expression" priority="102" dxfId="3">
      <formula>OR(B39="Legacy not recorded",B39="Missing",B39="Not captured")</formula>
    </cfRule>
  </conditionalFormatting>
  <conditionalFormatting sqref="B40">
    <cfRule type="expression" priority="101" dxfId="4">
      <formula>OR(B40="Capture failed",B40="Invalid",B40="Hash mismatch")</formula>
    </cfRule>
    <cfRule type="expression" priority="102" dxfId="3">
      <formula>OR(B40="Legacy not recorded",B40="Missing",B40="Not captured")</formula>
    </cfRule>
  </conditionalFormatting>
  <conditionalFormatting sqref="B41">
    <cfRule type="expression" priority="101" dxfId="4">
      <formula>OR(B41="Capture failed",B41="Invalid",B41="Hash mismatch")</formula>
    </cfRule>
    <cfRule type="expression" priority="102" dxfId="3">
      <formula>OR(B41="Legacy not recorded",B41="Missing",B41="Not captured")</formula>
    </cfRule>
  </conditionalFormatting>
  <conditionalFormatting sqref="B42">
    <cfRule type="expression" priority="101" dxfId="4">
      <formula>OR(B42="Capture failed",B42="Invalid",B42="Hash mismatch")</formula>
    </cfRule>
    <cfRule type="expression" priority="102" dxfId="3">
      <formula>OR(B42="Legacy not recorded",B42="Missing",B42="Not captured")</formula>
    </cfRule>
  </conditionalFormatting>
  <conditionalFormatting sqref="B43">
    <cfRule type="expression" priority="101" dxfId="4">
      <formula>OR(B43="Capture failed",B43="Invalid",B43="Hash mismatch")</formula>
    </cfRule>
    <cfRule type="expression" priority="102" dxfId="3">
      <formula>OR(B43="Legacy not recorded",B43="Missing",B43="Not captured")</formula>
    </cfRule>
  </conditionalFormatting>
  <conditionalFormatting sqref="B44">
    <cfRule type="expression" priority="101" dxfId="4">
      <formula>OR(B44="Capture failed",B44="Invalid",B44="Hash mismatch")</formula>
    </cfRule>
    <cfRule type="expression" priority="102" dxfId="3">
      <formula>OR(B44="Legacy not recorded",B44="Missing",B44="Not captured")</formula>
    </cfRule>
  </conditionalFormatting>
  <conditionalFormatting sqref="B45">
    <cfRule type="expression" priority="101" dxfId="4">
      <formula>OR(B45="Capture failed",B45="Invalid",B45="Hash mismatch")</formula>
    </cfRule>
    <cfRule type="expression" priority="102" dxfId="3">
      <formula>OR(B45="Legacy not recorded",B45="Missing",B45="Not captured")</formula>
    </cfRule>
  </conditionalFormatting>
  <conditionalFormatting sqref="B46">
    <cfRule type="expression" priority="101" dxfId="4">
      <formula>OR(B46="Capture failed",B46="Invalid",B46="Hash mismatch")</formula>
    </cfRule>
    <cfRule type="expression" priority="102" dxfId="3">
      <formula>OR(B46="Legacy not recorded",B46="Missing",B46="Not captured")</formula>
    </cfRule>
  </conditionalFormatting>
  <conditionalFormatting sqref="B47">
    <cfRule type="expression" priority="101" dxfId="4">
      <formula>OR(B47="Capture failed",B47="Invalid",B47="Hash mismatch")</formula>
    </cfRule>
    <cfRule type="expression" priority="102" dxfId="3">
      <formula>OR(B47="Legacy not recorded",B47="Missing",B47="Not captured")</formula>
    </cfRule>
  </conditionalFormatting>
  <conditionalFormatting sqref="B48">
    <cfRule type="expression" priority="101" dxfId="4">
      <formula>OR(B48="Capture failed",B48="Invalid",B48="Hash mismatch")</formula>
    </cfRule>
    <cfRule type="expression" priority="102" dxfId="3">
      <formula>OR(B48="Legacy not recorded",B48="Missing",B48="Not captured")</formula>
    </cfRule>
  </conditionalFormatting>
  <conditionalFormatting sqref="B49">
    <cfRule type="expression" priority="101" dxfId="4">
      <formula>OR(B49="Capture failed",B49="Invalid",B49="Hash mismatch")</formula>
    </cfRule>
    <cfRule type="expression" priority="102" dxfId="3">
      <formula>OR(B49="Legacy not recorded",B49="Missing",B49="Not captured")</formula>
    </cfRule>
  </conditionalFormatting>
  <conditionalFormatting sqref="B50">
    <cfRule type="expression" priority="101" dxfId="4">
      <formula>OR(B50="Capture failed",B50="Invalid",B50="Hash mismatch")</formula>
    </cfRule>
    <cfRule type="expression" priority="102" dxfId="3">
      <formula>OR(B50="Legacy not recorded",B50="Missing",B50="Not captured")</formula>
    </cfRule>
  </conditionalFormatting>
  <conditionalFormatting sqref="B51">
    <cfRule type="expression" priority="101" dxfId="4">
      <formula>OR(B51="Capture failed",B51="Invalid",B51="Hash mismatch")</formula>
    </cfRule>
    <cfRule type="expression" priority="102" dxfId="3">
      <formula>OR(B51="Legacy not recorded",B51="Missing",B51="Not captured")</formula>
    </cfRule>
  </conditionalFormatting>
  <conditionalFormatting sqref="B52">
    <cfRule type="expression" priority="101" dxfId="4">
      <formula>OR(B52="Capture failed",B52="Invalid",B52="Hash mismatch")</formula>
    </cfRule>
    <cfRule type="expression" priority="102" dxfId="3">
      <formula>OR(B52="Legacy not recorded",B52="Missing",B52="Not captured")</formula>
    </cfRule>
  </conditionalFormatting>
  <conditionalFormatting sqref="B53">
    <cfRule type="expression" priority="101" dxfId="4">
      <formula>OR(B53="Capture failed",B53="Invalid",B53="Hash mismatch")</formula>
    </cfRule>
    <cfRule type="expression" priority="102" dxfId="3">
      <formula>OR(B53="Legacy not recorded",B53="Missing",B53="Not captured")</formula>
    </cfRule>
  </conditionalFormatting>
  <conditionalFormatting sqref="B54">
    <cfRule type="expression" priority="101" dxfId="4">
      <formula>OR(B54="Capture failed",B54="Invalid",B54="Hash mismatch")</formula>
    </cfRule>
    <cfRule type="expression" priority="102" dxfId="3">
      <formula>OR(B54="Legacy not recorded",B54="Missing",B54="Not captured")</formula>
    </cfRule>
  </conditionalFormatting>
  <conditionalFormatting sqref="B55">
    <cfRule type="expression" priority="101" dxfId="4">
      <formula>OR(B55="Capture failed",B55="Invalid",B55="Hash mismatch")</formula>
    </cfRule>
    <cfRule type="expression" priority="102" dxfId="3">
      <formula>OR(B55="Legacy not recorded",B55="Missing",B55="Not captured")</formula>
    </cfRule>
  </conditionalFormatting>
  <hyperlinks>
    <hyperlink ref="A90" location="'Dashboard'!A1" display="Back to dashboard"/>
  </hyperlinks>
</worksheet>
</file>

<file path=xl/worksheets/sheet11.xml><?xml version="1.0" encoding="utf-8"?>
<worksheet xmlns="http://schemas.openxmlformats.org/spreadsheetml/2006/main">
  <sheetViews>
    <sheetView workbookViewId="0" showGridLines="0" zoomScale="90">
      <pane xSplit="1" ySplit="5" topLeftCell="B6" activePane="bottomRight" state="frozen"/>
    </sheetView>
  </sheetViews>
  <cols>
    <col min="1" max="1" width="24" customWidth="1"/>
    <col min="2" max="2" width="26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</cols>
  <sheetData>
    <row r="2" ht="28" customHeight="1">
      <c r="A2" s="25" t="inlineStr">
        <is>
          <t>Forecast capture history</t>
        </is>
      </c>
    </row>
    <row r="4" ht="34" customHeight="1">
      <c r="A4" s="27" t="inlineStr">
        <is>
          <t>Raw capture states are retained for diagnosing missing or failed experiment capture.</t>
        </is>
      </c>
    </row>
    <row r="5" ht="34" customHeight="1">
      <c r="A5" s="24" t="inlineStr">
        <is>
          <t>Snapshot</t>
        </is>
      </c>
      <c r="B5" s="24" t="inlineStr">
        <is>
          <t>Captured UTC</t>
        </is>
      </c>
      <c r="C5" s="24" t="inlineStr">
        <is>
          <t>Goal-market blend</t>
        </is>
      </c>
      <c r="D5" s="24" t="inlineStr">
        <is>
          <t>Market-led forecasts</t>
        </is>
      </c>
      <c r="E5" s="24" t="inlineStr">
        <is>
          <t>Recency comparison</t>
        </is>
      </c>
      <c r="F5" s="24" t="inlineStr">
        <is>
          <t>EV filter sensitivity</t>
        </is>
      </c>
      <c r="G5" s="24" t="inlineStr">
        <is>
          <t>85% market weight</t>
        </is>
      </c>
      <c r="H5" s="24" t="inlineStr">
        <is>
          <t>Pinnacle totals anchor</t>
        </is>
      </c>
      <c r="I5" s="24" t="inlineStr">
        <is>
          <t>Stronger regularisation (L2=3)</t>
        </is>
      </c>
      <c r="J5" s="24" t="inlineStr">
        <is>
          <t>Fixed half-life (480 days)</t>
        </is>
      </c>
      <c r="K5" s="24" t="inlineStr">
        <is>
          <t>Probability / calibration policy</t>
        </is>
      </c>
    </row>
    <row r="6" ht="56" customHeight="1">
      <c r="A6" s="18" t="inlineStr">
        <is>
          <t>2fd31d33722311d8e0155bb5eca6b3a310ac938b</t>
        </is>
      </c>
      <c r="B6" s="18" t="inlineStr">
        <is>
          <t>2026-10-11T06:30:30Z</t>
        </is>
      </c>
      <c r="C6" s="18" t="inlineStr">
        <is>
          <t>LEGACY_NOT_RECORDED</t>
        </is>
      </c>
      <c r="D6" s="18" t="inlineStr">
        <is>
          <t>LEGACY_NOT_RECORDED</t>
        </is>
      </c>
      <c r="E6" s="18" t="inlineStr">
        <is>
          <t>LEGACY_NOT_RECORDED</t>
        </is>
      </c>
      <c r="F6" s="18" t="inlineStr">
        <is>
          <t>LEGACY_NOT_RECORDED</t>
        </is>
      </c>
      <c r="G6" s="18" t="inlineStr">
        <is>
          <t>LEGACY_NOT_RECORDED</t>
        </is>
      </c>
      <c r="H6" s="18" t="inlineStr">
        <is>
          <t>LEGACY_NOT_RECORDED</t>
        </is>
      </c>
      <c r="I6" s="18" t="inlineStr">
        <is>
          <t>LEGACY_NOT_RECORDED</t>
        </is>
      </c>
      <c r="J6" s="18" t="inlineStr">
        <is>
          <t>LEGACY_NOT_RECORDED</t>
        </is>
      </c>
      <c r="K6" s="18" t="inlineStr">
        <is>
          <t>LEGACY_NOT_RECORDED</t>
        </is>
      </c>
    </row>
    <row r="7" ht="56" customHeight="1">
      <c r="A7" s="18" t="inlineStr">
        <is>
          <t>bdc690a8c70643c93f1595d53c067b7d91325270</t>
        </is>
      </c>
      <c r="B7" s="18" t="inlineStr">
        <is>
          <t>2026-10-11T06:38:09Z</t>
        </is>
      </c>
      <c r="C7" s="18" t="inlineStr">
        <is>
          <t>LEGACY_NOT_RECORDED</t>
        </is>
      </c>
      <c r="D7" s="18" t="inlineStr">
        <is>
          <t>LEGACY_NOT_RECORDED</t>
        </is>
      </c>
      <c r="E7" s="18" t="inlineStr">
        <is>
          <t>LEGACY_NOT_RECORDED</t>
        </is>
      </c>
      <c r="F7" s="18" t="inlineStr">
        <is>
          <t>LEGACY_NOT_RECORDED</t>
        </is>
      </c>
      <c r="G7" s="18" t="inlineStr">
        <is>
          <t>LEGACY_NOT_RECORDED</t>
        </is>
      </c>
      <c r="H7" s="18" t="inlineStr">
        <is>
          <t>LEGACY_NOT_RECORDED</t>
        </is>
      </c>
      <c r="I7" s="18" t="inlineStr">
        <is>
          <t>LEGACY_NOT_RECORDED</t>
        </is>
      </c>
      <c r="J7" s="18" t="inlineStr">
        <is>
          <t>LEGACY_NOT_RECORDED</t>
        </is>
      </c>
      <c r="K7" s="18" t="inlineStr">
        <is>
          <t>LEGACY_NOT_RECORDED</t>
        </is>
      </c>
    </row>
    <row r="8" ht="56" customHeight="1">
      <c r="A8" s="18" t="inlineStr">
        <is>
          <t>b9c15c09504aaf57de5ad0957adb91c0e9b37243</t>
        </is>
      </c>
      <c r="B8" s="18" t="inlineStr">
        <is>
          <t>2026-10-11T06:44:04Z</t>
        </is>
      </c>
      <c r="C8" s="18" t="inlineStr">
        <is>
          <t>LEGACY_NOT_RECORDED</t>
        </is>
      </c>
      <c r="D8" s="18" t="inlineStr">
        <is>
          <t>LEGACY_NOT_RECORDED</t>
        </is>
      </c>
      <c r="E8" s="18" t="inlineStr">
        <is>
          <t>LEGACY_NOT_RECORDED</t>
        </is>
      </c>
      <c r="F8" s="18" t="inlineStr">
        <is>
          <t>LEGACY_NOT_RECORDED</t>
        </is>
      </c>
      <c r="G8" s="18" t="inlineStr">
        <is>
          <t>LEGACY_NOT_RECORDED</t>
        </is>
      </c>
      <c r="H8" s="18" t="inlineStr">
        <is>
          <t>LEGACY_NOT_RECORDED</t>
        </is>
      </c>
      <c r="I8" s="18" t="inlineStr">
        <is>
          <t>LEGACY_NOT_RECORDED</t>
        </is>
      </c>
      <c r="J8" s="18" t="inlineStr">
        <is>
          <t>LEGACY_NOT_RECORDED</t>
        </is>
      </c>
      <c r="K8" s="18" t="inlineStr">
        <is>
          <t>LEGACY_NOT_RECORDED</t>
        </is>
      </c>
    </row>
    <row r="9" ht="56" customHeight="1">
      <c r="A9" s="18" t="inlineStr">
        <is>
          <t>648ca5973f8d6521eefb8a4a5233fabb8e644a8e</t>
        </is>
      </c>
      <c r="B9" s="18" t="inlineStr">
        <is>
          <t>2026-10-11T08:21:00Z</t>
        </is>
      </c>
      <c r="C9" s="18" t="inlineStr">
        <is>
          <t>LEGACY_NOT_RECORDED</t>
        </is>
      </c>
      <c r="D9" s="18" t="inlineStr">
        <is>
          <t>LEGACY_NOT_RECORDED</t>
        </is>
      </c>
      <c r="E9" s="18" t="inlineStr">
        <is>
          <t>LEGACY_NOT_RECORDED</t>
        </is>
      </c>
      <c r="F9" s="18" t="inlineStr">
        <is>
          <t>LEGACY_NOT_RECORDED</t>
        </is>
      </c>
      <c r="G9" s="18" t="inlineStr">
        <is>
          <t>LEGACY_NOT_RECORDED</t>
        </is>
      </c>
      <c r="H9" s="18" t="inlineStr">
        <is>
          <t>LEGACY_NOT_RECORDED</t>
        </is>
      </c>
      <c r="I9" s="18" t="inlineStr">
        <is>
          <t>LEGACY_NOT_RECORDED</t>
        </is>
      </c>
      <c r="J9" s="18" t="inlineStr">
        <is>
          <t>LEGACY_NOT_RECORDED</t>
        </is>
      </c>
      <c r="K9" s="18" t="inlineStr">
        <is>
          <t>LEGACY_NOT_RECORDED</t>
        </is>
      </c>
    </row>
    <row r="10" ht="56" customHeight="1">
      <c r="A10" s="18" t="inlineStr">
        <is>
          <t>660b75e4a3111f2a890ba1d58d595a637d01d0f2</t>
        </is>
      </c>
      <c r="B10" s="18" t="inlineStr">
        <is>
          <t>2026-10-11T08:25:02Z</t>
        </is>
      </c>
      <c r="C10" s="18" t="inlineStr">
        <is>
          <t>LEGACY_NOT_RECORDED</t>
        </is>
      </c>
      <c r="D10" s="18" t="inlineStr">
        <is>
          <t>LEGACY_NOT_RECORDED</t>
        </is>
      </c>
      <c r="E10" s="18" t="inlineStr">
        <is>
          <t>LEGACY_NOT_RECORDED</t>
        </is>
      </c>
      <c r="F10" s="18" t="inlineStr">
        <is>
          <t>LEGACY_NOT_RECORDED</t>
        </is>
      </c>
      <c r="G10" s="18" t="inlineStr">
        <is>
          <t>LEGACY_NOT_RECORDED</t>
        </is>
      </c>
      <c r="H10" s="18" t="inlineStr">
        <is>
          <t>LEGACY_NOT_RECORDED</t>
        </is>
      </c>
      <c r="I10" s="18" t="inlineStr">
        <is>
          <t>LEGACY_NOT_RECORDED</t>
        </is>
      </c>
      <c r="J10" s="18" t="inlineStr">
        <is>
          <t>LEGACY_NOT_RECORDED</t>
        </is>
      </c>
      <c r="K10" s="18" t="inlineStr">
        <is>
          <t>LEGACY_NOT_RECORDED</t>
        </is>
      </c>
    </row>
    <row r="11" ht="56" customHeight="1">
      <c r="A11" s="18" t="inlineStr">
        <is>
          <t>a2cdead106b513fd623cffd1e43a491685d68cc3</t>
        </is>
      </c>
      <c r="B11" s="18" t="inlineStr">
        <is>
          <t>2026-10-11T10:46:00Z</t>
        </is>
      </c>
      <c r="C11" s="18" t="inlineStr">
        <is>
          <t>LEGACY_NOT_RECORDED</t>
        </is>
      </c>
      <c r="D11" s="18" t="inlineStr">
        <is>
          <t>LEGACY_NOT_RECORDED</t>
        </is>
      </c>
      <c r="E11" s="18" t="inlineStr">
        <is>
          <t>LEGACY_NOT_RECORDED</t>
        </is>
      </c>
      <c r="F11" s="18" t="inlineStr">
        <is>
          <t>LEGACY_NOT_RECORDED</t>
        </is>
      </c>
      <c r="G11" s="18" t="inlineStr">
        <is>
          <t>LEGACY_NOT_RECORDED</t>
        </is>
      </c>
      <c r="H11" s="18" t="inlineStr">
        <is>
          <t>LEGACY_NOT_RECORDED</t>
        </is>
      </c>
      <c r="I11" s="18" t="inlineStr">
        <is>
          <t>LEGACY_NOT_RECORDED</t>
        </is>
      </c>
      <c r="J11" s="18" t="inlineStr">
        <is>
          <t>LEGACY_NOT_RECORDED</t>
        </is>
      </c>
      <c r="K11" s="18" t="inlineStr">
        <is>
          <t>LEGACY_NOT_RECORDED</t>
        </is>
      </c>
    </row>
    <row r="12" ht="56" customHeight="1">
      <c r="A12" s="18" t="inlineStr">
        <is>
          <t>5fb257972ff233227b2e94d4b784eebf60b66d42</t>
        </is>
      </c>
      <c r="B12" s="18" t="inlineStr">
        <is>
          <t>2026-10-11T11:06:08Z</t>
        </is>
      </c>
      <c r="C12" s="18" t="inlineStr">
        <is>
          <t>LEGACY_NOT_RECORDED</t>
        </is>
      </c>
      <c r="D12" s="18" t="inlineStr">
        <is>
          <t>LEGACY_NOT_RECORDED</t>
        </is>
      </c>
      <c r="E12" s="18" t="inlineStr">
        <is>
          <t>LEGACY_NOT_RECORDED</t>
        </is>
      </c>
      <c r="F12" s="18" t="inlineStr">
        <is>
          <t>LEGACY_NOT_RECORDED</t>
        </is>
      </c>
      <c r="G12" s="18" t="inlineStr">
        <is>
          <t>LEGACY_NOT_RECORDED</t>
        </is>
      </c>
      <c r="H12" s="18" t="inlineStr">
        <is>
          <t>LEGACY_NOT_RECORDED</t>
        </is>
      </c>
      <c r="I12" s="18" t="inlineStr">
        <is>
          <t>LEGACY_NOT_RECORDED</t>
        </is>
      </c>
      <c r="J12" s="18" t="inlineStr">
        <is>
          <t>LEGACY_NOT_RECORDED</t>
        </is>
      </c>
      <c r="K12" s="18" t="inlineStr">
        <is>
          <t>LEGACY_NOT_RECORDED</t>
        </is>
      </c>
    </row>
    <row r="13" ht="56" customHeight="1">
      <c r="A13" s="18" t="inlineStr">
        <is>
          <t>f1a72cc22d717088fb3c74014de8aae60f586e46</t>
        </is>
      </c>
      <c r="B13" s="18" t="inlineStr">
        <is>
          <t>2026-10-11T11:32:53Z</t>
        </is>
      </c>
      <c r="C13" s="18" t="inlineStr">
        <is>
          <t>LEGACY_NOT_RECORDED</t>
        </is>
      </c>
      <c r="D13" s="18" t="inlineStr">
        <is>
          <t>LEGACY_NOT_RECORDED</t>
        </is>
      </c>
      <c r="E13" s="18" t="inlineStr">
        <is>
          <t>LEGACY_NOT_RECORDED</t>
        </is>
      </c>
      <c r="F13" s="18" t="inlineStr">
        <is>
          <t>LEGACY_NOT_RECORDED</t>
        </is>
      </c>
      <c r="G13" s="18" t="inlineStr">
        <is>
          <t>LEGACY_NOT_RECORDED</t>
        </is>
      </c>
      <c r="H13" s="18" t="inlineStr">
        <is>
          <t>LEGACY_NOT_RECORDED</t>
        </is>
      </c>
      <c r="I13" s="18" t="inlineStr">
        <is>
          <t>LEGACY_NOT_RECORDED</t>
        </is>
      </c>
      <c r="J13" s="18" t="inlineStr">
        <is>
          <t>LEGACY_NOT_RECORDED</t>
        </is>
      </c>
      <c r="K13" s="18" t="inlineStr">
        <is>
          <t>LEGACY_NOT_RECORDED</t>
        </is>
      </c>
    </row>
    <row r="14" ht="56" customHeight="1">
      <c r="A14" s="18" t="inlineStr">
        <is>
          <t>4f7af2f470a0b5cdb7b8ae974c859f87b0236fc4</t>
        </is>
      </c>
      <c r="B14" s="18" t="inlineStr">
        <is>
          <t>2026-10-12T16:34:11Z</t>
        </is>
      </c>
      <c r="C14" s="18" t="inlineStr">
        <is>
          <t>LEGACY_NOT_RECORDED</t>
        </is>
      </c>
      <c r="D14" s="18" t="inlineStr">
        <is>
          <t>LEGACY_NOT_RECORDED</t>
        </is>
      </c>
      <c r="E14" s="18" t="inlineStr">
        <is>
          <t>LEGACY_NOT_RECORDED</t>
        </is>
      </c>
      <c r="F14" s="18" t="inlineStr">
        <is>
          <t>LEGACY_NOT_RECORDED</t>
        </is>
      </c>
      <c r="G14" s="18" t="inlineStr">
        <is>
          <t>LEGACY_NOT_RECORDED</t>
        </is>
      </c>
      <c r="H14" s="18" t="inlineStr">
        <is>
          <t>LEGACY_NOT_RECORDED</t>
        </is>
      </c>
      <c r="I14" s="18" t="inlineStr">
        <is>
          <t>LEGACY_NOT_RECORDED</t>
        </is>
      </c>
      <c r="J14" s="18" t="inlineStr">
        <is>
          <t>LEGACY_NOT_RECORDED</t>
        </is>
      </c>
      <c r="K14" s="18" t="inlineStr">
        <is>
          <t>LEGACY_NOT_RECORDED</t>
        </is>
      </c>
    </row>
    <row r="15" ht="56" customHeight="1">
      <c r="A15" s="18" t="inlineStr">
        <is>
          <t>5496e9ba03aeb2ae41363a329fbc48e9754cfb0e</t>
        </is>
      </c>
      <c r="B15" s="18" t="inlineStr">
        <is>
          <t>2026-10-12T21:11:56Z</t>
        </is>
      </c>
      <c r="C15" s="18" t="inlineStr">
        <is>
          <t>LEGACY_NOT_RECORDED</t>
        </is>
      </c>
      <c r="D15" s="18" t="inlineStr">
        <is>
          <t>LEGACY_NOT_RECORDED</t>
        </is>
      </c>
      <c r="E15" s="18" t="inlineStr">
        <is>
          <t>LEGACY_NOT_RECORDED</t>
        </is>
      </c>
      <c r="F15" s="18" t="inlineStr">
        <is>
          <t>LEGACY_NOT_RECORDED</t>
        </is>
      </c>
      <c r="G15" s="18" t="inlineStr">
        <is>
          <t>LEGACY_NOT_RECORDED</t>
        </is>
      </c>
      <c r="H15" s="18" t="inlineStr">
        <is>
          <t>LEGACY_NOT_RECORDED</t>
        </is>
      </c>
      <c r="I15" s="18" t="inlineStr">
        <is>
          <t>LEGACY_NOT_RECORDED</t>
        </is>
      </c>
      <c r="J15" s="18" t="inlineStr">
        <is>
          <t>LEGACY_NOT_RECORDED</t>
        </is>
      </c>
      <c r="K15" s="18" t="inlineStr">
        <is>
          <t>LEGACY_NOT_RECORDED</t>
        </is>
      </c>
    </row>
    <row r="16" ht="56" customHeight="1">
      <c r="A16" s="18" t="inlineStr">
        <is>
          <t>f6306ebd6d74a53df80194728284cbdc188f3667</t>
        </is>
      </c>
      <c r="B16" s="18" t="inlineStr">
        <is>
          <t>2026-10-13T07:01:01Z</t>
        </is>
      </c>
      <c r="C16" s="18" t="inlineStr">
        <is>
          <t>LEGACY_NOT_RECORDED</t>
        </is>
      </c>
      <c r="D16" s="18" t="inlineStr">
        <is>
          <t>LEGACY_NOT_RECORDED</t>
        </is>
      </c>
      <c r="E16" s="18" t="inlineStr">
        <is>
          <t>LEGACY_NOT_RECORDED</t>
        </is>
      </c>
      <c r="F16" s="18" t="inlineStr">
        <is>
          <t>LEGACY_NOT_RECORDED</t>
        </is>
      </c>
      <c r="G16" s="18" t="inlineStr">
        <is>
          <t>LEGACY_NOT_RECORDED</t>
        </is>
      </c>
      <c r="H16" s="18" t="inlineStr">
        <is>
          <t>LEGACY_NOT_RECORDED</t>
        </is>
      </c>
      <c r="I16" s="18" t="inlineStr">
        <is>
          <t>LEGACY_NOT_RECORDED</t>
        </is>
      </c>
      <c r="J16" s="18" t="inlineStr">
        <is>
          <t>LEGACY_NOT_RECORDED</t>
        </is>
      </c>
      <c r="K16" s="18" t="inlineStr">
        <is>
          <t>LEGACY_NOT_RECORDED</t>
        </is>
      </c>
    </row>
    <row r="17" ht="56" customHeight="1">
      <c r="A17" s="18" t="inlineStr">
        <is>
          <t>fbfe5af89d0633da4bf4e581e42347272b5e913e</t>
        </is>
      </c>
      <c r="B17" s="18" t="inlineStr">
        <is>
          <t>2026-10-13T07:52:43Z</t>
        </is>
      </c>
      <c r="C17" s="18" t="inlineStr">
        <is>
          <t>LEGACY_NOT_RECORDED</t>
        </is>
      </c>
      <c r="D17" s="18" t="inlineStr">
        <is>
          <t>LEGACY_NOT_RECORDED</t>
        </is>
      </c>
      <c r="E17" s="18" t="inlineStr">
        <is>
          <t>LEGACY_NOT_RECORDED</t>
        </is>
      </c>
      <c r="F17" s="18" t="inlineStr">
        <is>
          <t>LEGACY_NOT_RECORDED</t>
        </is>
      </c>
      <c r="G17" s="18" t="inlineStr">
        <is>
          <t>LEGACY_NOT_RECORDED</t>
        </is>
      </c>
      <c r="H17" s="18" t="inlineStr">
        <is>
          <t>LEGACY_NOT_RECORDED</t>
        </is>
      </c>
      <c r="I17" s="18" t="inlineStr">
        <is>
          <t>LEGACY_NOT_RECORDED</t>
        </is>
      </c>
      <c r="J17" s="18" t="inlineStr">
        <is>
          <t>LEGACY_NOT_RECORDED</t>
        </is>
      </c>
      <c r="K17" s="18" t="inlineStr">
        <is>
          <t>LEGACY_NOT_RECORDED</t>
        </is>
      </c>
    </row>
    <row r="18" ht="56" customHeight="1">
      <c r="A18" s="18" t="inlineStr">
        <is>
          <t>87b1676077a47afbdd6b75767d92bd78c5bd8f30</t>
        </is>
      </c>
      <c r="B18" s="18" t="inlineStr">
        <is>
          <t>2026-10-13T09:01:13Z</t>
        </is>
      </c>
      <c r="C18" s="18" t="inlineStr">
        <is>
          <t>LEGACY_NOT_RECORDED</t>
        </is>
      </c>
      <c r="D18" s="18" t="inlineStr">
        <is>
          <t>LEGACY_NOT_RECORDED</t>
        </is>
      </c>
      <c r="E18" s="18" t="inlineStr">
        <is>
          <t>LEGACY_NOT_RECORDED</t>
        </is>
      </c>
      <c r="F18" s="18" t="inlineStr">
        <is>
          <t>LEGACY_NOT_RECORDED</t>
        </is>
      </c>
      <c r="G18" s="18" t="inlineStr">
        <is>
          <t>LEGACY_NOT_RECORDED</t>
        </is>
      </c>
      <c r="H18" s="18" t="inlineStr">
        <is>
          <t>LEGACY_NOT_RECORDED</t>
        </is>
      </c>
      <c r="I18" s="18" t="inlineStr">
        <is>
          <t>LEGACY_NOT_RECORDED</t>
        </is>
      </c>
      <c r="J18" s="18" t="inlineStr">
        <is>
          <t>LEGACY_NOT_RECORDED</t>
        </is>
      </c>
      <c r="K18" s="18" t="inlineStr">
        <is>
          <t>LEGACY_NOT_RECORDED</t>
        </is>
      </c>
    </row>
    <row r="19" ht="56" customHeight="1">
      <c r="A19" s="18" t="inlineStr">
        <is>
          <t>0dba961b0bbe74d5cd4c3779bb410a5707e2a2f1</t>
        </is>
      </c>
      <c r="B19" s="18" t="inlineStr">
        <is>
          <t>2026-10-13T09:27:14Z</t>
        </is>
      </c>
      <c r="C19" s="18" t="inlineStr">
        <is>
          <t>LEGACY_NOT_RECORDED</t>
        </is>
      </c>
      <c r="D19" s="18" t="inlineStr">
        <is>
          <t>LEGACY_NOT_RECORDED</t>
        </is>
      </c>
      <c r="E19" s="18" t="inlineStr">
        <is>
          <t>LEGACY_NOT_RECORDED</t>
        </is>
      </c>
      <c r="F19" s="18" t="inlineStr">
        <is>
          <t>LEGACY_NOT_RECORDED</t>
        </is>
      </c>
      <c r="G19" s="18" t="inlineStr">
        <is>
          <t>LEGACY_NOT_RECORDED</t>
        </is>
      </c>
      <c r="H19" s="18" t="inlineStr">
        <is>
          <t>LEGACY_NOT_RECORDED</t>
        </is>
      </c>
      <c r="I19" s="18" t="inlineStr">
        <is>
          <t>LEGACY_NOT_RECORDED</t>
        </is>
      </c>
      <c r="J19" s="18" t="inlineStr">
        <is>
          <t>LEGACY_NOT_RECORDED</t>
        </is>
      </c>
      <c r="K19" s="18" t="inlineStr">
        <is>
          <t>LEGACY_NOT_RECORDED</t>
        </is>
      </c>
    </row>
    <row r="20" ht="56" customHeight="1">
      <c r="A20" s="18" t="inlineStr">
        <is>
          <t>962a7a22cb5bd1ec1fb3ceac2b4d2345662a495b</t>
        </is>
      </c>
      <c r="B20" s="18" t="inlineStr">
        <is>
          <t>2026-10-13T11:07:31Z</t>
        </is>
      </c>
      <c r="C20" s="18" t="inlineStr">
        <is>
          <t>CAPTURED</t>
        </is>
      </c>
      <c r="D20" s="18" t="inlineStr">
        <is>
          <t>CAPTURED</t>
        </is>
      </c>
      <c r="E20" s="18" t="inlineStr">
        <is>
          <t>LEGACY_NOT_RECORDED</t>
        </is>
      </c>
      <c r="F20" s="18" t="inlineStr">
        <is>
          <t>LEGACY_NOT_RECORDED</t>
        </is>
      </c>
      <c r="G20" s="18" t="inlineStr">
        <is>
          <t>LEGACY_NOT_RECORDED</t>
        </is>
      </c>
      <c r="H20" s="18" t="inlineStr">
        <is>
          <t>LEGACY_NOT_RECORDED</t>
        </is>
      </c>
      <c r="I20" s="18" t="inlineStr">
        <is>
          <t>LEGACY_NOT_RECORDED</t>
        </is>
      </c>
      <c r="J20" s="18" t="inlineStr">
        <is>
          <t>LEGACY_NOT_RECORDED</t>
        </is>
      </c>
      <c r="K20" s="18" t="inlineStr">
        <is>
          <t>LEGACY_NOT_RECORDED</t>
        </is>
      </c>
    </row>
    <row r="21" ht="56" customHeight="1">
      <c r="A21" s="18" t="inlineStr">
        <is>
          <t>aea62120d25e83c8faa9370508b138b5198eff7b</t>
        </is>
      </c>
      <c r="B21" s="18" t="inlineStr">
        <is>
          <t>2026-10-13T12:01:10Z</t>
        </is>
      </c>
      <c r="C21" s="18" t="inlineStr">
        <is>
          <t>CAPTURED</t>
        </is>
      </c>
      <c r="D21" s="18" t="inlineStr">
        <is>
          <t>CAPTURED</t>
        </is>
      </c>
      <c r="E21" s="18" t="inlineStr">
        <is>
          <t>LEGACY_NOT_RECORDED</t>
        </is>
      </c>
      <c r="F21" s="18" t="inlineStr">
        <is>
          <t>LEGACY_NOT_RECORDED</t>
        </is>
      </c>
      <c r="G21" s="18" t="inlineStr">
        <is>
          <t>LEGACY_NOT_RECORDED</t>
        </is>
      </c>
      <c r="H21" s="18" t="inlineStr">
        <is>
          <t>LEGACY_NOT_RECORDED</t>
        </is>
      </c>
      <c r="I21" s="18" t="inlineStr">
        <is>
          <t>LEGACY_NOT_RECORDED</t>
        </is>
      </c>
      <c r="J21" s="18" t="inlineStr">
        <is>
          <t>LEGACY_NOT_RECORDED</t>
        </is>
      </c>
      <c r="K21" s="18" t="inlineStr">
        <is>
          <t>LEGACY_NOT_RECORDED</t>
        </is>
      </c>
    </row>
    <row r="22" ht="56" customHeight="1">
      <c r="A22" s="18" t="inlineStr">
        <is>
          <t>95dc22b24994ed86c16a59b69e2c8a70ef714654</t>
        </is>
      </c>
      <c r="B22" s="18" t="inlineStr">
        <is>
          <t>2026-10-13T12:30:01Z</t>
        </is>
      </c>
      <c r="C22" s="18" t="inlineStr">
        <is>
          <t>CAPTURED</t>
        </is>
      </c>
      <c r="D22" s="18" t="inlineStr">
        <is>
          <t>CAPTURED</t>
        </is>
      </c>
      <c r="E22" s="18" t="inlineStr">
        <is>
          <t>LEGACY_NOT_RECORDED</t>
        </is>
      </c>
      <c r="F22" s="18" t="inlineStr">
        <is>
          <t>LEGACY_NOT_RECORDED</t>
        </is>
      </c>
      <c r="G22" s="18" t="inlineStr">
        <is>
          <t>LEGACY_NOT_RECORDED</t>
        </is>
      </c>
      <c r="H22" s="18" t="inlineStr">
        <is>
          <t>LEGACY_NOT_RECORDED</t>
        </is>
      </c>
      <c r="I22" s="18" t="inlineStr">
        <is>
          <t>LEGACY_NOT_RECORDED</t>
        </is>
      </c>
      <c r="J22" s="18" t="inlineStr">
        <is>
          <t>LEGACY_NOT_RECORDED</t>
        </is>
      </c>
      <c r="K22" s="18" t="inlineStr">
        <is>
          <t>LEGACY_NOT_RECORDED</t>
        </is>
      </c>
    </row>
    <row r="23" ht="56" customHeight="1">
      <c r="A23" s="18" t="inlineStr">
        <is>
          <t>ea202e9e045b13c143daefbf6921b6a2384fc2d1</t>
        </is>
      </c>
      <c r="B23" s="18" t="inlineStr">
        <is>
          <t>2026-10-13T12:48:34Z</t>
        </is>
      </c>
      <c r="C23" s="18" t="inlineStr">
        <is>
          <t>CAPTURED</t>
        </is>
      </c>
      <c r="D23" s="18" t="inlineStr">
        <is>
          <t>CAPTURED</t>
        </is>
      </c>
      <c r="E23" s="18" t="inlineStr">
        <is>
          <t>LEGACY_NOT_RECORDED</t>
        </is>
      </c>
      <c r="F23" s="18" t="inlineStr">
        <is>
          <t>LEGACY_NOT_RECORDED</t>
        </is>
      </c>
      <c r="G23" s="18" t="inlineStr">
        <is>
          <t>LEGACY_NOT_RECORDED</t>
        </is>
      </c>
      <c r="H23" s="18" t="inlineStr">
        <is>
          <t>LEGACY_NOT_RECORDED</t>
        </is>
      </c>
      <c r="I23" s="18" t="inlineStr">
        <is>
          <t>LEGACY_NOT_RECORDED</t>
        </is>
      </c>
      <c r="J23" s="18" t="inlineStr">
        <is>
          <t>LEGACY_NOT_RECORDED</t>
        </is>
      </c>
      <c r="K23" s="18" t="inlineStr">
        <is>
          <t>LEGACY_NOT_RECORDED</t>
        </is>
      </c>
    </row>
    <row r="24" ht="56" customHeight="1">
      <c r="A24" s="18" t="inlineStr">
        <is>
          <t>6556638142ba9c82a8707efbc610087b834abfd3</t>
        </is>
      </c>
      <c r="B24" s="18" t="inlineStr">
        <is>
          <t>2026-10-13T16:06:07Z</t>
        </is>
      </c>
      <c r="C24" s="18" t="inlineStr">
        <is>
          <t>CAPTURED</t>
        </is>
      </c>
      <c r="D24" s="18" t="inlineStr">
        <is>
          <t>CAPTURED</t>
        </is>
      </c>
      <c r="E24" s="18" t="inlineStr">
        <is>
          <t>CAPTURED</t>
        </is>
      </c>
      <c r="F24" s="18" t="inlineStr">
        <is>
          <t>LEGACY_NOT_RECORDED</t>
        </is>
      </c>
      <c r="G24" s="18" t="inlineStr">
        <is>
          <t>LEGACY_NOT_RECORDED</t>
        </is>
      </c>
      <c r="H24" s="18" t="inlineStr">
        <is>
          <t>LEGACY_NOT_RECORDED</t>
        </is>
      </c>
      <c r="I24" s="18" t="inlineStr">
        <is>
          <t>LEGACY_NOT_RECORDED</t>
        </is>
      </c>
      <c r="J24" s="18" t="inlineStr">
        <is>
          <t>LEGACY_NOT_RECORDED</t>
        </is>
      </c>
      <c r="K24" s="18" t="inlineStr">
        <is>
          <t>LEGACY_NOT_RECORDED</t>
        </is>
      </c>
    </row>
    <row r="25" ht="56" customHeight="1">
      <c r="A25" s="18" t="inlineStr">
        <is>
          <t>010ef527d5bf87cd15e4d390779a6fa181811c72</t>
        </is>
      </c>
      <c r="B25" s="18" t="inlineStr">
        <is>
          <t>2026-10-13T17:05:34Z</t>
        </is>
      </c>
      <c r="C25" s="18" t="inlineStr">
        <is>
          <t>CAPTURED</t>
        </is>
      </c>
      <c r="D25" s="18" t="inlineStr">
        <is>
          <t>CAPTURED</t>
        </is>
      </c>
      <c r="E25" s="18" t="inlineStr">
        <is>
          <t>CAPTURED</t>
        </is>
      </c>
      <c r="F25" s="18" t="inlineStr">
        <is>
          <t>CAPTURED</t>
        </is>
      </c>
      <c r="G25" s="18" t="inlineStr">
        <is>
          <t>LEGACY_NOT_RECORDED</t>
        </is>
      </c>
      <c r="H25" s="18" t="inlineStr">
        <is>
          <t>LEGACY_NOT_RECORDED</t>
        </is>
      </c>
      <c r="I25" s="18" t="inlineStr">
        <is>
          <t>LEGACY_NOT_RECORDED</t>
        </is>
      </c>
      <c r="J25" s="18" t="inlineStr">
        <is>
          <t>LEGACY_NOT_RECORDED</t>
        </is>
      </c>
      <c r="K25" s="18" t="inlineStr">
        <is>
          <t>LEGACY_NOT_RECORDED</t>
        </is>
      </c>
    </row>
    <row r="26" ht="56" customHeight="1">
      <c r="A26" s="18" t="inlineStr">
        <is>
          <t>d3f12df5a2a20809c3ac84f9a31766ba965813e3</t>
        </is>
      </c>
      <c r="B26" s="18" t="inlineStr">
        <is>
          <t>2026-10-14T09:52:36Z</t>
        </is>
      </c>
      <c r="C26" s="18" t="inlineStr">
        <is>
          <t>CAPTURED</t>
        </is>
      </c>
      <c r="D26" s="18" t="inlineStr">
        <is>
          <t>CAPTURED</t>
        </is>
      </c>
      <c r="E26" s="18" t="inlineStr">
        <is>
          <t>CAPTURED</t>
        </is>
      </c>
      <c r="F26" s="18" t="inlineStr">
        <is>
          <t>CAPTURED</t>
        </is>
      </c>
      <c r="G26" s="18" t="inlineStr">
        <is>
          <t>CAPTURED</t>
        </is>
      </c>
      <c r="H26" s="18" t="inlineStr">
        <is>
          <t>LEGACY_NOT_RECORDED</t>
        </is>
      </c>
      <c r="I26" s="18" t="inlineStr">
        <is>
          <t>LEGACY_NOT_RECORDED</t>
        </is>
      </c>
      <c r="J26" s="18" t="inlineStr">
        <is>
          <t>LEGACY_NOT_RECORDED</t>
        </is>
      </c>
      <c r="K26" s="18" t="inlineStr">
        <is>
          <t>LEGACY_NOT_RECORDED</t>
        </is>
      </c>
    </row>
    <row r="27" ht="56" customHeight="1">
      <c r="A27" s="18" t="inlineStr">
        <is>
          <t>e5dcb5f670502ffa323617e647aaeb870b634f67</t>
        </is>
      </c>
      <c r="B27" s="18" t="inlineStr">
        <is>
          <t>2026-10-14T11:27:03Z</t>
        </is>
      </c>
      <c r="C27" s="18" t="inlineStr">
        <is>
          <t>CAPTURED</t>
        </is>
      </c>
      <c r="D27" s="18" t="inlineStr">
        <is>
          <t>CAPTURED</t>
        </is>
      </c>
      <c r="E27" s="18" t="inlineStr">
        <is>
          <t>CAPTURED</t>
        </is>
      </c>
      <c r="F27" s="18" t="inlineStr">
        <is>
          <t>CAPTURED</t>
        </is>
      </c>
      <c r="G27" s="18" t="inlineStr">
        <is>
          <t>CAPTURED</t>
        </is>
      </c>
      <c r="H27" s="18" t="inlineStr">
        <is>
          <t>CAPTURED</t>
        </is>
      </c>
      <c r="I27" s="18" t="inlineStr">
        <is>
          <t>LEGACY_NOT_RECORDED</t>
        </is>
      </c>
      <c r="J27" s="18" t="inlineStr">
        <is>
          <t>LEGACY_NOT_RECORDED</t>
        </is>
      </c>
      <c r="K27" s="18" t="inlineStr">
        <is>
          <t>LEGACY_NOT_RECORDED</t>
        </is>
      </c>
    </row>
    <row r="28" ht="56" customHeight="1">
      <c r="A28" s="18" t="inlineStr">
        <is>
          <t>54bb8a2c2c957dda77ef247b3e042f6a945bda8f</t>
        </is>
      </c>
      <c r="B28" s="18" t="inlineStr">
        <is>
          <t>2026-10-14T18:20:17Z</t>
        </is>
      </c>
      <c r="C28" s="18" t="inlineStr">
        <is>
          <t>CAPTURED</t>
        </is>
      </c>
      <c r="D28" s="18" t="inlineStr">
        <is>
          <t>CAPTURED</t>
        </is>
      </c>
      <c r="E28" s="18" t="inlineStr">
        <is>
          <t>CAPTURED</t>
        </is>
      </c>
      <c r="F28" s="18" t="inlineStr">
        <is>
          <t>CAPTURED</t>
        </is>
      </c>
      <c r="G28" s="18" t="inlineStr">
        <is>
          <t>CAPTURED</t>
        </is>
      </c>
      <c r="H28" s="18" t="inlineStr">
        <is>
          <t>CAPTURED</t>
        </is>
      </c>
      <c r="I28" s="18" t="inlineStr">
        <is>
          <t>LEGACY_NOT_RECORDED</t>
        </is>
      </c>
      <c r="J28" s="18" t="inlineStr">
        <is>
          <t>LEGACY_NOT_RECORDED</t>
        </is>
      </c>
      <c r="K28" s="18" t="inlineStr">
        <is>
          <t>LEGACY_NOT_RECORDED</t>
        </is>
      </c>
    </row>
    <row r="29" ht="56" customHeight="1">
      <c r="A29" s="18" t="inlineStr">
        <is>
          <t>a98524037f736c1c589800f3bd4b329ab00983f7</t>
        </is>
      </c>
      <c r="B29" s="18" t="inlineStr">
        <is>
          <t>2026-10-14T19:19:02Z</t>
        </is>
      </c>
      <c r="C29" s="18" t="inlineStr">
        <is>
          <t>CAPTURED</t>
        </is>
      </c>
      <c r="D29" s="18" t="inlineStr">
        <is>
          <t>CAPTURED</t>
        </is>
      </c>
      <c r="E29" s="18" t="inlineStr">
        <is>
          <t>CAPTURED</t>
        </is>
      </c>
      <c r="F29" s="18" t="inlineStr">
        <is>
          <t>CAPTURED</t>
        </is>
      </c>
      <c r="G29" s="18" t="inlineStr">
        <is>
          <t>PRESENT_BUT_REJECTED</t>
        </is>
      </c>
      <c r="H29" s="18" t="inlineStr">
        <is>
          <t>CAPTURED</t>
        </is>
      </c>
      <c r="I29" s="18" t="inlineStr">
        <is>
          <t>LEGACY_NOT_RECORDED</t>
        </is>
      </c>
      <c r="J29" s="18" t="inlineStr">
        <is>
          <t>LEGACY_NOT_RECORDED</t>
        </is>
      </c>
      <c r="K29" s="18" t="inlineStr">
        <is>
          <t>LEGACY_NOT_RECORDED</t>
        </is>
      </c>
    </row>
    <row r="30" ht="56" customHeight="1">
      <c r="A30" s="18" t="inlineStr">
        <is>
          <t>758c1097916ab17ba10735956e8ec494027e9fa4</t>
        </is>
      </c>
      <c r="B30" s="18" t="inlineStr">
        <is>
          <t>2026-10-14T21:11:21Z</t>
        </is>
      </c>
      <c r="C30" s="18" t="inlineStr">
        <is>
          <t>CAPTURED</t>
        </is>
      </c>
      <c r="D30" s="18" t="inlineStr">
        <is>
          <t>CAPTURED</t>
        </is>
      </c>
      <c r="E30" s="18" t="inlineStr">
        <is>
          <t>CAPTURED</t>
        </is>
      </c>
      <c r="F30" s="18" t="inlineStr">
        <is>
          <t>CAPTURED</t>
        </is>
      </c>
      <c r="G30" s="18" t="inlineStr">
        <is>
          <t>CAPTURED</t>
        </is>
      </c>
      <c r="H30" s="18" t="inlineStr">
        <is>
          <t>CAPTURED</t>
        </is>
      </c>
      <c r="I30" s="18" t="inlineStr">
        <is>
          <t>LEGACY_NOT_RECORDED</t>
        </is>
      </c>
      <c r="J30" s="18" t="inlineStr">
        <is>
          <t>LEGACY_NOT_RECORDED</t>
        </is>
      </c>
      <c r="K30" s="18" t="inlineStr">
        <is>
          <t>LEGACY_NOT_RECORDED</t>
        </is>
      </c>
    </row>
    <row r="31" ht="56" customHeight="1">
      <c r="A31" s="18" t="inlineStr">
        <is>
          <t>376b9f9ba8a8b03ea259c57729113f873b0b980d</t>
        </is>
      </c>
      <c r="B31" s="18" t="inlineStr">
        <is>
          <t>2026-10-15T06:57:54Z</t>
        </is>
      </c>
      <c r="C31" s="18" t="inlineStr">
        <is>
          <t>CAPTURED</t>
        </is>
      </c>
      <c r="D31" s="18" t="inlineStr">
        <is>
          <t>CAPTURED</t>
        </is>
      </c>
      <c r="E31" s="18" t="inlineStr">
        <is>
          <t>CAPTURED</t>
        </is>
      </c>
      <c r="F31" s="18" t="inlineStr">
        <is>
          <t>CAPTURED</t>
        </is>
      </c>
      <c r="G31" s="18" t="inlineStr">
        <is>
          <t>CAPTURED</t>
        </is>
      </c>
      <c r="H31" s="18" t="inlineStr">
        <is>
          <t>CAPTURED</t>
        </is>
      </c>
      <c r="I31" s="18" t="inlineStr">
        <is>
          <t>LEGACY_NOT_RECORDED</t>
        </is>
      </c>
      <c r="J31" s="18" t="inlineStr">
        <is>
          <t>LEGACY_NOT_RECORDED</t>
        </is>
      </c>
      <c r="K31" s="18" t="inlineStr">
        <is>
          <t>LEGACY_NOT_RECORDED</t>
        </is>
      </c>
    </row>
    <row r="32" ht="56" customHeight="1">
      <c r="A32" s="18" t="inlineStr">
        <is>
          <t>b57f98f7704eb71a9d1b11eddf359e66786ea2fe</t>
        </is>
      </c>
      <c r="B32" s="18" t="inlineStr">
        <is>
          <t>2026-10-15T09:56:48Z</t>
        </is>
      </c>
      <c r="C32" s="18" t="inlineStr">
        <is>
          <t>CAPTURED</t>
        </is>
      </c>
      <c r="D32" s="18" t="inlineStr">
        <is>
          <t>CAPTURED</t>
        </is>
      </c>
      <c r="E32" s="18" t="inlineStr">
        <is>
          <t>CAPTURED</t>
        </is>
      </c>
      <c r="F32" s="18" t="inlineStr">
        <is>
          <t>CAPTURED</t>
        </is>
      </c>
      <c r="G32" s="18" t="inlineStr">
        <is>
          <t>CAPTURED</t>
        </is>
      </c>
      <c r="H32" s="18" t="inlineStr">
        <is>
          <t>CAPTURED</t>
        </is>
      </c>
      <c r="I32" s="18" t="inlineStr">
        <is>
          <t>LEGACY_NOT_RECORDED</t>
        </is>
      </c>
      <c r="J32" s="18" t="inlineStr">
        <is>
          <t>LEGACY_NOT_RECORDED</t>
        </is>
      </c>
      <c r="K32" s="18" t="inlineStr">
        <is>
          <t>PRESENT_BUT_REJECTED</t>
        </is>
      </c>
    </row>
    <row r="33" ht="56" customHeight="1">
      <c r="A33" s="18" t="inlineStr">
        <is>
          <t>2db2af40cdce5284e5f00551472a6cbbd381dbcd</t>
        </is>
      </c>
      <c r="B33" s="18" t="inlineStr">
        <is>
          <t>2026-10-15T13:21:36Z</t>
        </is>
      </c>
      <c r="C33" s="18" t="inlineStr">
        <is>
          <t>CAPTURED</t>
        </is>
      </c>
      <c r="D33" s="18" t="inlineStr">
        <is>
          <t>CAPTURED</t>
        </is>
      </c>
      <c r="E33" s="18" t="inlineStr">
        <is>
          <t>CAPTURED</t>
        </is>
      </c>
      <c r="F33" s="18" t="inlineStr">
        <is>
          <t>CAPTURED</t>
        </is>
      </c>
      <c r="G33" s="18" t="inlineStr">
        <is>
          <t>CAPTURED</t>
        </is>
      </c>
      <c r="H33" s="18" t="inlineStr">
        <is>
          <t>CAPTURED</t>
        </is>
      </c>
      <c r="I33" s="18" t="inlineStr">
        <is>
          <t>LEGACY_NOT_RECORDED</t>
        </is>
      </c>
      <c r="J33" s="18" t="inlineStr">
        <is>
          <t>LEGACY_NOT_RECORDED</t>
        </is>
      </c>
      <c r="K33" s="18" t="inlineStr">
        <is>
          <t>CAPTURED</t>
        </is>
      </c>
    </row>
  </sheetData>
  <autoFilter ref="A5:H33"/>
  <mergeCells count="2">
    <mergeCell ref="A2:H2"/>
    <mergeCell ref="A4:H4"/>
  </mergeCells>
</worksheet>
</file>