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Experiments" sheetId="7" ns1:id="rIdReadable7"/>
    <sheet name="Pipeline Health" sheetId="10" ns1:id="rIdReadable10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1" ns1:id="rIdReadable11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14.0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0.98</v>
                </pt>
                <pt idx="2">
                  <v>0.98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</c:v>
                </c:pt>
                <c:pt idx="1">
                  <c:v>0.625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Plan'!$A$10:$A$34</c:f>
              <c:strCache>
                <c:ptCount val="25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2026-10-18T16:30:00+00:00</c:v>
                </c:pt>
                <c:pt idx="22">
                  <c:v>2026-10-18T19:00:00+00:00</c:v>
                </c:pt>
                <c:pt idx="23">
                  <c:v>2026-10-19T19:00:00+00:00</c:v>
                </c:pt>
                <c:pt idx="24">
                  <c:v>2026-10-20T19:00:00+00:00</c:v>
                </c:pt>
              </c:strCache>
            </c:strRef>
          </c:cat>
          <c:val>
            <c:numRef>
              <c:f>'ROI Plan'!$F$10:$F$34</c:f>
              <c:numCache>
                <c:formatCode>General</c:formatCode>
                <c:ptCount val="25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-0.13000000000000012</c:v>
                </c:pt>
                <c:pt idx="12">
                  <c:v>0.10999999999999988</c:v>
                </c:pt>
                <c:pt idx="13">
                  <c:v>0.3799999999999999</c:v>
                </c:pt>
                <c:pt idx="14">
                  <c:v>-0.6200000000000001</c:v>
                </c:pt>
                <c:pt idx="15">
                  <c:v>-0.3500000000000001</c:v>
                </c:pt>
                <c:pt idx="16">
                  <c:v>0.06999999999999984</c:v>
                </c:pt>
                <c:pt idx="17">
                  <c:v>0.17999999999999994</c:v>
                </c:pt>
                <c:pt idx="18">
                  <c:v>0.76</c:v>
                </c:pt>
                <c:pt idx="19">
                  <c:v>0.98</c:v>
                </c:pt>
                <c:pt idx="20">
                  <c:v>0.98</c:v>
                </c:pt>
                <c:pt idx="21">
                  <c:v>0.98</c:v>
                </c:pt>
                <c:pt idx="22">
                  <c:v>0.98</c:v>
                </c:pt>
                <c:pt idx="23">
                  <c:v>0.98</c:v>
                </c:pt>
                <c:pt idx="24">
                  <c:v>0.98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0.6649168259093771</c:v>
                </c:pt>
                <c:pt idx="3">
                  <c:v>0.7598033602744063</c:v>
                </c:pt>
                <c:pt idx="4">
                  <c:v>0.8371222720964511</c:v>
                </c:pt>
                <c:pt idx="5">
                  <c:v>0.924016532734367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0.75</c:v>
                </c:pt>
                <c:pt idx="3">
                  <c:v>0.75</c:v>
                </c:pt>
                <c:pt idx="4">
                  <c:v>0.6666666666666666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34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7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30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68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str">
        <v>Archived selections</v>
      </c>
      <c r="B7" s="19">
        <f>Breakdowns!C6</f>
        <v>25</v>
      </c>
      <c r="C7" s="18"/>
      <c r="D7" s="18" t="str">
        <v>STRICT</v>
      </c>
      <c r="E7" s="18">
        <f>Breakdowns!D7</f>
        <v>10</v>
      </c>
      <c r="F7" s="20">
        <f>Breakdowns!H7</f>
        <v>0.9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str">
        <v>Settled selections</v>
      </c>
      <c r="B8" s="19">
        <f>Breakdowns!D6</f>
        <v>18</v>
      </c>
      <c r="C8" s="18"/>
      <c r="D8" s="18" t="str">
        <v>PROVISIONAL</v>
      </c>
      <c r="E8" s="18">
        <f>Breakdowns!D8</f>
        <v>8</v>
      </c>
      <c r="F8" s="20">
        <f>Breakdowns!H8</f>
        <v>0.625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14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4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7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0.7777777777777778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0.05444444444444444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0.98</v>
      </c>
      <c r="C14" s="18"/>
      <c r="D14" s="18" t="inlineStr">
        <is>
          <t>18 settled; 7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0.1692179608268378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IF(COUNT(Predictions!H6:H168)=0,"n.a.",AVERAGE(Predictions!H6:H168))</f>
        <v>0.6166666666666667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IF(COUNT(Predictions!I6:I168)=0,"n.a.",AVERAGE(Predictions!I6:I168))</f>
        <v>0.5450981351666667</v>
      </c>
      <c r="C17" s="18"/>
      <c r="D17" s="18" t="inlineStr">
        <is>
          <t>Over 1.5</t>
        </is>
      </c>
      <c r="E17" s="18">
        <f>COUNT(Predictions!J6:J168)</f>
        <v>60</v>
      </c>
      <c r="F17" s="20">
        <f>IF(E17=0,"n.a.",AVERAGE(Predictions!J6:J168))</f>
        <v>0.8166666666666667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str">
        <v>Win-rate 95% lower</v>
      </c>
      <c r="B18" s="20">
        <f>IF(B8=0,"n.a.",(B12+1.96^2/(2*B8)-1.96*SQRT(B12*(1-B12)/B8+1.96^2/(4*B8^2)))/(1+1.96^2/B8))</f>
        <v>0.5478497354769452</v>
      </c>
      <c r="C18" s="18"/>
      <c r="D18" s="18" t="inlineStr">
        <is>
          <t>Under 3.5</t>
        </is>
      </c>
      <c r="E18" s="18">
        <f>COUNT(Predictions!K6:K168)</f>
        <v>60</v>
      </c>
      <c r="F18" s="20">
        <f>IF(E18=0,"n.a.",AVERAGE(Predictions!K6:K168))</f>
        <v>0.6166666666666667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str">
        <v>Win-rate 95% upper</v>
      </c>
      <c r="B19" s="20">
        <f>IF(B8=0,"n.a.",(B12+1.96^2/(2*B8)+1.96*SQRT(B12*(1-B12)/B8+1.96^2/(4*B8^2)))/(1+1.96^2/B8))</f>
        <v>0.90999218086618</v>
      </c>
      <c r="C19" s="18"/>
      <c r="D19" s="18" t="inlineStr">
        <is>
          <t>BTTS Yes</t>
        </is>
      </c>
      <c r="E19" s="18">
        <f>COUNT(Predictions!L6:L168)</f>
        <v>60</v>
      </c>
      <c r="F19" s="20">
        <f>IF(E19=0,"n.a.",AVERAGE(Predictions!L6:L168))</f>
        <v>0.5666666666666667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COUNT(Predictions!M6:M168)</f>
        <v>60</v>
      </c>
      <c r="F20" s="20">
        <f>IF(E20=0,"n.a.",AVERAGE(Predictions!M6:M168))</f>
        <v>0.5666666666666667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14 wins from 18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2026-10-18T14:18:16.482695+00:00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Review notes use 30 scored samples as a prompt, not statistical proof. Reassess on a future holdout.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31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2026-10-18 09:58:45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0.3400000000000001</v>
      </c>
      <c r="F16" s="22">
        <f>SUM($E$10:E16)</f>
        <v>-0.51</v>
      </c>
      <c r="G16" s="22">
        <f>$B$4+F16</f>
        <v>99.49</v>
      </c>
      <c r="H16" s="22">
        <f>MAX($B$4,$G$10:G16)</f>
        <v>100</v>
      </c>
      <c r="I16" s="22">
        <f>H16-G16</f>
        <v>0.5100000000000051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-1.51</v>
      </c>
      <c r="G17" s="22">
        <f>$B$4+F17</f>
        <v>98.49</v>
      </c>
      <c r="H17" s="22">
        <f>MAX($B$4,$G$10:G17)</f>
        <v>100</v>
      </c>
      <c r="I17" s="22">
        <f>H17-G17</f>
        <v>1.5100000000000051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0.1499999999999999</v>
      </c>
      <c r="F18" s="22">
        <f>SUM($E$10:E18)</f>
        <v>-1.36</v>
      </c>
      <c r="G18" s="22">
        <f>$B$4+F18</f>
        <v>98.64</v>
      </c>
      <c r="H18" s="22">
        <f>MAX($B$4,$G$10:G18)</f>
        <v>100</v>
      </c>
      <c r="I18" s="22">
        <f>H18-G18</f>
        <v>1.3599999999999994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0.49</v>
      </c>
      <c r="F19" s="22">
        <f>SUM($E$10:E19)</f>
        <v>-0.8700000000000001</v>
      </c>
      <c r="G19" s="22">
        <f>$B$4+F19</f>
        <v>99.13</v>
      </c>
      <c r="H19" s="22">
        <f>MAX($B$4,$G$10:G19)</f>
        <v>100</v>
      </c>
      <c r="I19" s="22">
        <f>H19-G19</f>
        <v>0.8700000000000045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-0.8700000000000001</v>
      </c>
      <c r="G20" s="22">
        <f>$B$4+F20</f>
        <v>99.13</v>
      </c>
      <c r="H20" s="22">
        <f>MAX($B$4,$G$10:G20)</f>
        <v>100</v>
      </c>
      <c r="I20" s="22">
        <f>H20-G20</f>
        <v>0.8700000000000045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0.74</v>
      </c>
      <c r="F21" s="22">
        <f>SUM($E$10:E21)</f>
        <v>-0.13000000000000012</v>
      </c>
      <c r="G21" s="22">
        <f>$B$4+F21</f>
        <v>99.87</v>
      </c>
      <c r="H21" s="22">
        <f>MAX($B$4,$G$10:G21)</f>
        <v>100</v>
      </c>
      <c r="I21" s="22">
        <f>H21-G21</f>
        <v>0.12999999999999545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0.24</v>
      </c>
      <c r="F22" s="22">
        <f>SUM($E$10:E22)</f>
        <v>0.10999999999999988</v>
      </c>
      <c r="G22" s="22">
        <f>$B$4+F22</f>
        <v>100.11</v>
      </c>
      <c r="H22" s="22">
        <f>MAX($B$4,$G$10:G22)</f>
        <v>100.11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0.3799999999999999</v>
      </c>
      <c r="G23" s="22">
        <f>$B$4+F23</f>
        <v>100.38</v>
      </c>
      <c r="H23" s="22">
        <f>MAX($B$4,$G$10:G23)</f>
        <v>100.38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-0.6200000000000001</v>
      </c>
      <c r="G24" s="22">
        <f>$B$4+F24</f>
        <v>99.38</v>
      </c>
      <c r="H24" s="22">
        <f>MAX($B$4,$G$10:G24)</f>
        <v>100.38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-0.3500000000000001</v>
      </c>
      <c r="G25" s="22">
        <f>$B$4+F25</f>
        <v>99.65</v>
      </c>
      <c r="H25" s="22">
        <f>MAX($B$4,$G$10:G25)</f>
        <v>100.38</v>
      </c>
      <c r="I25" s="22">
        <f>H25-G25</f>
        <v>0.7299999999999898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0.06999999999999984</v>
      </c>
      <c r="G26" s="22">
        <f>$B$4+F26</f>
        <v>100.07</v>
      </c>
      <c r="H26" s="22">
        <f>MAX($B$4,$G$10:G26)</f>
        <v>100.38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0.1100000000000001</v>
      </c>
      <c r="F27" s="22">
        <f>SUM($E$10:E27)</f>
        <v>0.17999999999999994</v>
      </c>
      <c r="G27" s="22">
        <f>$B$4+F27</f>
        <v>100.18</v>
      </c>
      <c r="H27" s="22">
        <f>MAX($B$4,$G$10:G27)</f>
        <v>100.38</v>
      </c>
      <c r="I27" s="22">
        <f>H27-G27</f>
        <v>0.19999999999998863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0.5800000000000001</v>
      </c>
      <c r="F28" s="22">
        <f>SUM($E$10:E28)</f>
        <v>0.76</v>
      </c>
      <c r="G28" s="22">
        <f>$B$4+F28</f>
        <v>100.76</v>
      </c>
      <c r="H28" s="22">
        <f>MAX($B$4,$G$10:G28)</f>
        <v>100.76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0.98</v>
      </c>
      <c r="G29" s="22">
        <f>$B$4+F29</f>
        <v>100.98</v>
      </c>
      <c r="H29" s="22">
        <f>MAX($B$4,$G$10:G29)</f>
        <v>100.98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PENDING_KICKOFF_OR_FINAL_SCORE</t>
        </is>
      </c>
      <c r="D30" s="22" t="str">
        <f>IF(ISNUMBER(Selections!M26),Selections!M26,"")</f>
        <v/>
      </c>
      <c r="E30" s="22" t="str">
        <f>IF(ISNUMBER(Selections!N26),Selections!N26,"")</f>
        <v/>
      </c>
      <c r="F30" s="22">
        <f>SUM($E$10:E30)</f>
        <v>0.98</v>
      </c>
      <c r="G30" s="22">
        <f>$B$4+F30</f>
        <v>100.98</v>
      </c>
      <c r="H30" s="22">
        <f>MAX($B$4,$G$10:G30)</f>
        <v>100.98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2026-10-18T16:30:00+00:00</t>
        </is>
      </c>
      <c r="B31" s="18" t="inlineStr">
        <is>
          <t>Málaga vs Real Sociedad</t>
        </is>
      </c>
      <c r="C31" s="18" t="inlineStr">
        <is>
          <t>PENDING_KICKOFF_OR_FINAL_SCORE</t>
        </is>
      </c>
      <c r="D31" s="22" t="str">
        <f>IF(ISNUMBER(Selections!M27),Selections!M27,"")</f>
        <v/>
      </c>
      <c r="E31" s="22" t="str">
        <f>IF(ISNUMBER(Selections!N27),Selections!N27,"")</f>
        <v/>
      </c>
      <c r="F31" s="22">
        <f>SUM($E$10:E31)</f>
        <v>0.98</v>
      </c>
      <c r="G31" s="22">
        <f>$B$4+F31</f>
        <v>100.98</v>
      </c>
      <c r="H31" s="22">
        <f>MAX($B$4,$G$10:G31)</f>
        <v>100.98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2026-10-18T19:00:00+00:00</t>
        </is>
      </c>
      <c r="B32" s="18" t="inlineStr">
        <is>
          <t>Real Madrid vs Sevilla</t>
        </is>
      </c>
      <c r="C32" s="18" t="inlineStr">
        <is>
          <t>PENDING_KICKOFF_OR_FINAL_SCORE</t>
        </is>
      </c>
      <c r="D32" s="22" t="str">
        <f>IF(ISNUMBER(Selections!M28),Selections!M28,"")</f>
        <v/>
      </c>
      <c r="E32" s="22" t="str">
        <f>IF(ISNUMBER(Selections!N28),Selections!N28,"")</f>
        <v/>
      </c>
      <c r="F32" s="22">
        <f>SUM($E$10:E32)</f>
        <v>0.98</v>
      </c>
      <c r="G32" s="22">
        <f>$B$4+F32</f>
        <v>100.98</v>
      </c>
      <c r="H32" s="22">
        <f>MAX($B$4,$G$10:G32)</f>
        <v>100.98</v>
      </c>
      <c r="I32" s="22">
        <f>H32-G32</f>
        <v>0.0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2026-10-19T19:00:00+00:00</t>
        </is>
      </c>
      <c r="B33" s="18" t="inlineStr">
        <is>
          <t>Tottenham Hotspur vs Coventry City</t>
        </is>
      </c>
      <c r="C33" s="18" t="inlineStr">
        <is>
          <t>PENDING_KICKOFF_OR_FINAL_SCORE</t>
        </is>
      </c>
      <c r="D33" s="22" t="str">
        <f>IF(ISNUMBER(Selections!M29),Selections!M29,"")</f>
        <v/>
      </c>
      <c r="E33" s="22" t="str">
        <f>IF(ISNUMBER(Selections!N29),Selections!N29,"")</f>
        <v/>
      </c>
      <c r="F33" s="22">
        <f>SUM($E$10:E33)</f>
        <v>0.98</v>
      </c>
      <c r="G33" s="22">
        <f>$B$4+F33</f>
        <v>100.98</v>
      </c>
      <c r="H33" s="22">
        <f>MAX($B$4,$G$10:G33)</f>
        <v>100.98</v>
      </c>
      <c r="I33" s="22">
        <f>H33-G33</f>
        <v>0.0</v>
      </c>
      <c r="J33" s="18" t="inlineStr">
        <is>
          <t>2026-W43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2026-10-20T19:00:00+00:00</t>
        </is>
      </c>
      <c r="B34" s="18" t="inlineStr">
        <is>
          <t>Liverpool vs Villarreal</t>
        </is>
      </c>
      <c r="C34" s="18" t="inlineStr">
        <is>
          <t>PENDING_KICKOFF_OR_FINAL_SCORE</t>
        </is>
      </c>
      <c r="D34" s="22" t="str">
        <f>IF(ISNUMBER(Selections!M30),Selections!M30,"")</f>
        <v/>
      </c>
      <c r="E34" s="22" t="str">
        <f>IF(ISNUMBER(Selections!N30),Selections!N30,"")</f>
        <v/>
      </c>
      <c r="F34" s="22">
        <f>SUM($E$10:E34)</f>
        <v>0.98</v>
      </c>
      <c r="G34" s="22">
        <f>$B$4+F34</f>
        <v>100.98</v>
      </c>
      <c r="H34" s="22">
        <f>MAX($B$4,$G$10:G34)</f>
        <v>100.98</v>
      </c>
      <c r="I34" s="22">
        <f>H34-G34</f>
        <v>0.0</v>
      </c>
      <c r="J34" s="18" t="inlineStr">
        <is>
          <t>2026-W43</t>
        </is>
      </c>
      <c r="K34" s="18"/>
      <c r="L34" s="18"/>
      <c r="M34" s="18"/>
      <c r="N34" s="18"/>
      <c r="O34" s="18"/>
      <c r="P34" s="18"/>
      <c r="Q34" s="18"/>
      <c r="R34" s="18"/>
    </row>
  </sheetData>
  <mergeCells count="1">
    <mergeCell ref="A2:J2"/>
  </mergeCells>
  <conditionalFormatting sqref="E10:E34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COUNTA(Selections!$A$6:$A$30)</f>
        <v>25</v>
      </c>
      <c r="D6" s="19">
        <f>(COUNTIFS(Selections!$K$6:$K$30,"WON")+COUNTIFS(Selections!$K$6:$K$30,"LOST"))</f>
        <v>18</v>
      </c>
      <c r="E6" s="19">
        <f>COUNTIFS(Selections!$K$6:$K$30,"WON")</f>
        <v>14</v>
      </c>
      <c r="F6" s="19">
        <f>COUNTIFS(Selections!$K$6:$K$30,"LOST")</f>
        <v>4</v>
      </c>
      <c r="G6" s="19">
        <f>COUNTA(Selections!$A$6:$A$30)-(COUNTIFS(Selections!$K$6:$K$30,"WON")+COUNTIFS(Selections!$K$6:$K$30,"LOST"))</f>
        <v>7</v>
      </c>
      <c r="H6" s="20">
        <f>IF((COUNTIFS(Selections!$K$6:$K$30,"WON")+COUNTIFS(Selections!$K$6:$K$30,"LOST"))=0,"n.a.",COUNTIFS(Selections!$K$6:$K$30,"WON")/(COUNTIFS(Selections!$K$6:$K$30,"WON")+COUNTIFS(Selections!$K$6:$K$30,"LOST")))</f>
        <v>0.7777777777777778</v>
      </c>
      <c r="I6" s="22">
        <f>SUM(Selections!$M$6:$M$30)</f>
        <v>18</v>
      </c>
      <c r="J6" s="22">
        <f>SUM(Selections!$N$6:$N$30)</f>
        <v>0.98</v>
      </c>
      <c r="K6" s="20">
        <f>IF(SUM(Selections!$M$6:$M$30)=0,"n.a.",SUM(Selections!$N$6:$N$30)/SUM(Selections!$M$6:$M$30))</f>
        <v>0.05444444444444444</v>
      </c>
      <c r="L6" s="21">
        <f>IF(SUM(Selections!$T$6:$T$30)=0,"n.a.",SUM(Selections!$O$6:$O$30)/SUM(Selections!$T$6:$T$30))</f>
        <v>0.1692179608268378</v>
      </c>
      <c r="M6" s="20">
        <f>IF(SUM(Selections!$T$6:$T$30)=0,"n.a.",SUM(Selections!$S$6:$S$30)/SUM(Selections!$T$6:$T$30))</f>
        <v>0.800982250458406</v>
      </c>
      <c r="N6" s="20">
        <f>IF(SUM(Selections!$T$6:$T$30)=0,"n.a.",(SUMIFS(Selections!$L$6:$L$30,Selections!$T$6:$T$30,1))/SUM(Selections!$T$6:$T$30))</f>
        <v>0.7777777777777778</v>
      </c>
      <c r="O6" s="20">
        <f>IF(SUM(Selections!$T$6:$T$30)=0,"n.a.",(SUM(Selections!$S$6:$S$30)-(SUMIFS(Selections!$L$6:$L$30,Selections!$T$6:$T$30,1)))/SUM(Selections!$T$6:$T$30))</f>
        <v>0.023204472680628196</v>
      </c>
      <c r="P6" s="19">
        <f>SUM(Selections!$T$6:$T$30)</f>
        <v>18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(n=18).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COUNTIFS(Selections!$F$6:$F$30,"STRICT")</f>
        <v>14</v>
      </c>
      <c r="D7" s="19">
        <f>(COUNTIFS(Selections!$F$6:$F$30,"STRICT",Selections!$K$6:$K$30,"WON")+COUNTIFS(Selections!$F$6:$F$30,"STRICT",Selections!$K$6:$K$30,"LOST"))</f>
        <v>10</v>
      </c>
      <c r="E7" s="19">
        <f>COUNTIFS(Selections!$F$6:$F$30,"STRICT",Selections!$K$6:$K$30,"WON")</f>
        <v>9</v>
      </c>
      <c r="F7" s="19">
        <f>COUNTIFS(Selections!$F$6:$F$30,"STRICT",Selections!$K$6:$K$30,"LOST")</f>
        <v>1</v>
      </c>
      <c r="G7" s="19">
        <f>COUNTIFS(Selections!$F$6:$F$30,"STRICT")-(COUNTIFS(Selections!$F$6:$F$30,"STRICT",Selections!$K$6:$K$30,"WON")+COUNTIFS(Selections!$F$6:$F$30,"STRICT",Selections!$K$6:$K$30,"LOST"))</f>
        <v>4</v>
      </c>
      <c r="H7" s="20">
        <f>IF((COUNTIFS(Selections!$F$6:$F$30,"STRICT",Selections!$K$6:$K$30,"WON")+COUNTIFS(Selections!$F$6:$F$30,"STRICT",Selections!$K$6:$K$30,"LOST"))=0,"n.a.",COUNTIFS(Selections!$F$6:$F$30,"STRICT",Selections!$K$6:$K$30,"WON")/(COUNTIFS(Selections!$F$6:$F$30,"STRICT",Selections!$K$6:$K$30,"WON")+COUNTIFS(Selections!$F$6:$F$30,"STRICT",Selections!$K$6:$K$30,"LOST")))</f>
        <v>0.9</v>
      </c>
      <c r="I7" s="22">
        <f>SUMIFS(Selections!$M$6:$M$30,Selections!$F$6:$F$30,"STRICT")</f>
        <v>10</v>
      </c>
      <c r="J7" s="22">
        <f>SUMIFS(Selections!$N$6:$N$30,Selections!$F$6:$F$30,"STRICT")</f>
        <v>2.71</v>
      </c>
      <c r="K7" s="20">
        <f>IF(SUMIFS(Selections!$M$6:$M$30,Selections!$F$6:$F$30,"STRICT")=0,"n.a.",SUMIFS(Selections!$N$6:$N$30,Selections!$F$6:$F$30,"STRICT")/SUMIFS(Selections!$M$6:$M$30,Selections!$F$6:$F$30,"STRICT"))</f>
        <v>0.271</v>
      </c>
      <c r="L7" s="21">
        <f>IF(SUMIFS(Selections!$T$6:$T$30,Selections!$F$6:$F$30,"STRICT")=0,"n.a.",SUMIFS(Selections!$O$6:$O$30,Selections!$F$6:$F$30,"STRICT")/SUMIFS(Selections!$T$6:$T$30,Selections!$F$6:$F$30,"STRICT"))</f>
        <v>0.09768215427902749</v>
      </c>
      <c r="M7" s="20">
        <f>IF(SUMIFS(Selections!$T$6:$T$30,Selections!$F$6:$F$30,"STRICT")=0,"n.a.",SUMIFS(Selections!$S$6:$S$30,Selections!$F$6:$F$30,"STRICT")/SUMIFS(Selections!$T$6:$T$30,Selections!$F$6:$F$30,"STRICT"))</f>
        <v>0.7657506059148657</v>
      </c>
      <c r="N7" s="20">
        <f>IF(SUMIFS(Selections!$T$6:$T$30,Selections!$F$6:$F$30,"STRICT")=0,"n.a.",(SUMIFS(Selections!$L$6:$L$30,Selections!$F$6:$F$30,"STRICT",Selections!$T$6:$T$30,1))/SUMIFS(Selections!$T$6:$T$30,Selections!$F$6:$F$30,"STRICT"))</f>
        <v>0.9</v>
      </c>
      <c r="O7" s="20">
        <f>IF(SUMIFS(Selections!$T$6:$T$30,Selections!$F$6:$F$30,"STRICT")=0,"n.a.",(SUMIFS(Selections!$S$6:$S$30,Selections!$F$6:$F$30,"STRICT")-(SUMIFS(Selections!$L$6:$L$30,Selections!$F$6:$F$30,"STRICT",Selections!$T$6:$T$30,1)))/SUMIFS(Selections!$T$6:$T$30,Selections!$F$6:$F$30,"STRICT"))</f>
        <v>-0.13424939408513437</v>
      </c>
      <c r="P7" s="19">
        <f>SUMIFS(Selections!$T$6:$T$30,Selections!$F$6:$F$30,"STRICT")</f>
        <v>10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(n=10).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COUNTIFS(Selections!$F$6:$F$30,"PROVISIONAL")</f>
        <v>11</v>
      </c>
      <c r="D8" s="19">
        <f>(COUNTIFS(Selections!$F$6:$F$30,"PROVISIONAL",Selections!$K$6:$K$30,"WON")+COUNTIFS(Selections!$F$6:$F$30,"PROVISIONAL",Selections!$K$6:$K$30,"LOST"))</f>
        <v>8</v>
      </c>
      <c r="E8" s="19">
        <f>COUNTIFS(Selections!$F$6:$F$30,"PROVISIONAL",Selections!$K$6:$K$30,"WON")</f>
        <v>5</v>
      </c>
      <c r="F8" s="19">
        <f>COUNTIFS(Selections!$F$6:$F$30,"PROVISIONAL",Selections!$K$6:$K$30,"LOST")</f>
        <v>3</v>
      </c>
      <c r="G8" s="19">
        <f>COUNTIFS(Selections!$F$6:$F$30,"PROVISIONAL")-(COUNTIFS(Selections!$F$6:$F$30,"PROVISIONAL",Selections!$K$6:$K$30,"WON")+COUNTIFS(Selections!$F$6:$F$30,"PROVISIONAL",Selections!$K$6:$K$30,"LOST"))</f>
        <v>3</v>
      </c>
      <c r="H8" s="20">
        <f>IF((COUNTIFS(Selections!$F$6:$F$30,"PROVISIONAL",Selections!$K$6:$K$30,"WON")+COUNTIFS(Selections!$F$6:$F$30,"PROVISIONAL",Selections!$K$6:$K$30,"LOST"))=0,"n.a.",COUNTIFS(Selections!$F$6:$F$30,"PROVISIONAL",Selections!$K$6:$K$30,"WON")/(COUNTIFS(Selections!$F$6:$F$30,"PROVISIONAL",Selections!$K$6:$K$30,"WON")+COUNTIFS(Selections!$F$6:$F$30,"PROVISIONAL",Selections!$K$6:$K$30,"LOST")))</f>
        <v>0.625</v>
      </c>
      <c r="I8" s="22">
        <f>SUMIFS(Selections!$M$6:$M$30,Selections!$F$6:$F$30,"PROVISIONAL")</f>
        <v>8</v>
      </c>
      <c r="J8" s="22">
        <f>SUMIFS(Selections!$N$6:$N$30,Selections!$F$6:$F$30,"PROVISIONAL")</f>
        <v>-1.73</v>
      </c>
      <c r="K8" s="20">
        <f>IF(SUMIFS(Selections!$M$6:$M$30,Selections!$F$6:$F$30,"PROVISIONAL")=0,"n.a.",SUMIFS(Selections!$N$6:$N$30,Selections!$F$6:$F$30,"PROVISIONAL")/SUMIFS(Selections!$M$6:$M$30,Selections!$F$6:$F$30,"PROVISIONAL"))</f>
        <v>-0.21625</v>
      </c>
      <c r="L8" s="21">
        <f>IF(SUMIFS(Selections!$T$6:$T$30,Selections!$F$6:$F$30,"PROVISIONAL")=0,"n.a.",SUMIFS(Selections!$O$6:$O$30,Selections!$F$6:$F$30,"PROVISIONAL")/SUMIFS(Selections!$T$6:$T$30,Selections!$F$6:$F$30,"PROVISIONAL"))</f>
        <v>0.2586377190116007</v>
      </c>
      <c r="M8" s="20">
        <f>IF(SUMIFS(Selections!$T$6:$T$30,Selections!$F$6:$F$30,"PROVISIONAL")=0,"n.a.",SUMIFS(Selections!$S$6:$S$30,Selections!$F$6:$F$30,"PROVISIONAL")/SUMIFS(Selections!$T$6:$T$30,Selections!$F$6:$F$30,"PROVISIONAL"))</f>
        <v>0.8450218061378314</v>
      </c>
      <c r="N8" s="20">
        <f>IF(SUMIFS(Selections!$T$6:$T$30,Selections!$F$6:$F$30,"PROVISIONAL")=0,"n.a.",(SUMIFS(Selections!$L$6:$L$30,Selections!$F$6:$F$30,"PROVISIONAL",Selections!$T$6:$T$30,1))/SUMIFS(Selections!$T$6:$T$30,Selections!$F$6:$F$30,"PROVISIONAL"))</f>
        <v>0.625</v>
      </c>
      <c r="O8" s="20">
        <f>IF(SUMIFS(Selections!$T$6:$T$30,Selections!$F$6:$F$30,"PROVISIONAL")=0,"n.a.",(SUMIFS(Selections!$S$6:$S$30,Selections!$F$6:$F$30,"PROVISIONAL")-(SUMIFS(Selections!$L$6:$L$30,Selections!$F$6:$F$30,"PROVISIONAL",Selections!$T$6:$T$30,1)))/SUMIFS(Selections!$T$6:$T$30,Selections!$F$6:$F$30,"PROVISIONAL"))</f>
        <v>0.2200218061378314</v>
      </c>
      <c r="P8" s="19">
        <f>SUMIFS(Selections!$T$6:$T$30,Selections!$F$6:$F$30,"PROVISIONAL")</f>
        <v>8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(n=8).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COUNTIFS(Selections!$C$6:$C$30,"Bundesliga")</f>
        <v>2</v>
      </c>
      <c r="D9" s="19">
        <f>(COUNTIFS(Selections!$C$6:$C$30,"Bundesliga",Selections!$K$6:$K$30,"WON")+COUNTIFS(Selections!$C$6:$C$30,"Bundesliga",Selections!$K$6:$K$30,"LOST"))</f>
        <v>1</v>
      </c>
      <c r="E9" s="19">
        <f>COUNTIFS(Selections!$C$6:$C$30,"Bundesliga",Selections!$K$6:$K$30,"WON")</f>
        <v>1</v>
      </c>
      <c r="F9" s="19">
        <f>COUNTIFS(Selections!$C$6:$C$30,"Bundesliga",Selections!$K$6:$K$30,"LOST")</f>
        <v>0</v>
      </c>
      <c r="G9" s="19">
        <f>COUNTIFS(Selections!$C$6:$C$30,"Bundesliga")-(COUNTIFS(Selections!$C$6:$C$30,"Bundesliga",Selections!$K$6:$K$30,"WON")+COUNTIFS(Selections!$C$6:$C$30,"Bundesliga",Selections!$K$6:$K$30,"LOST"))</f>
        <v>1</v>
      </c>
      <c r="H9" s="20">
        <f>IF((COUNTIFS(Selections!$C$6:$C$30,"Bundesliga",Selections!$K$6:$K$30,"WON")+COUNTIFS(Selections!$C$6:$C$30,"Bundesliga",Selections!$K$6:$K$30,"LOST"))=0,"n.a.",COUNTIFS(Selections!$C$6:$C$30,"Bundesliga",Selections!$K$6:$K$30,"WON")/(COUNTIFS(Selections!$C$6:$C$30,"Bundesliga",Selections!$K$6:$K$30,"WON")+COUNTIFS(Selections!$C$6:$C$30,"Bundesliga",Selections!$K$6:$K$30,"LOST")))</f>
        <v>1.0</v>
      </c>
      <c r="I9" s="22">
        <f>SUMIFS(Selections!$M$6:$M$30,Selections!$C$6:$C$30,"Bundesliga")</f>
        <v>1</v>
      </c>
      <c r="J9" s="22">
        <f>SUMIFS(Selections!$N$6:$N$30,Selections!$C$6:$C$30,"Bundesliga")</f>
        <v>0.27</v>
      </c>
      <c r="K9" s="20">
        <f>IF(SUMIFS(Selections!$M$6:$M$30,Selections!$C$6:$C$30,"Bundesliga")=0,"n.a.",SUMIFS(Selections!$N$6:$N$30,Selections!$C$6:$C$30,"Bundesliga")/SUMIFS(Selections!$M$6:$M$30,Selections!$C$6:$C$30,"Bundesliga"))</f>
        <v>0.27</v>
      </c>
      <c r="L9" s="21">
        <f>IF(SUMIFS(Selections!$T$6:$T$30,Selections!$C$6:$C$30,"Bundesliga")=0,"n.a.",SUMIFS(Selections!$O$6:$O$30,Selections!$C$6:$C$30,"Bundesliga")/SUMIFS(Selections!$T$6:$T$30,Selections!$C$6:$C$30,"Bundesliga"))</f>
        <v>0.03933741464046248</v>
      </c>
      <c r="M9" s="20">
        <f>IF(SUMIFS(Selections!$T$6:$T$30,Selections!$C$6:$C$30,"Bundesliga")=0,"n.a.",SUMIFS(Selections!$S$6:$S$30,Selections!$C$6:$C$30,"Bundesliga")/SUMIFS(Selections!$T$6:$T$30,Selections!$C$6:$C$30,"Bundesliga"))</f>
        <v>0.8016633804854422</v>
      </c>
      <c r="N9" s="20">
        <f>IF(SUMIFS(Selections!$T$6:$T$30,Selections!$C$6:$C$30,"Bundesliga")=0,"n.a.",(SUMIFS(Selections!$L$6:$L$30,Selections!$C$6:$C$30,"Bundesliga",Selections!$T$6:$T$30,1))/SUMIFS(Selections!$T$6:$T$30,Selections!$C$6:$C$30,"Bundesliga"))</f>
        <v>1.0</v>
      </c>
      <c r="O9" s="20">
        <f>IF(SUMIFS(Selections!$T$6:$T$30,Selections!$C$6:$C$30,"Bundesliga")=0,"n.a.",(SUMIFS(Selections!$S$6:$S$30,Selections!$C$6:$C$30,"Bundesliga")-(SUMIFS(Selections!$L$6:$L$30,Selections!$C$6:$C$30,"Bundesliga",Selections!$T$6:$T$30,1)))/SUMIFS(Selections!$T$6:$T$30,Selections!$C$6:$C$30,"Bundesliga"))</f>
        <v>-0.19833661951455783</v>
      </c>
      <c r="P9" s="19">
        <f>SUMIFS(Selections!$T$6:$T$30,Selections!$C$6:$C$30,"Bundesliga")</f>
        <v>1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(n=1).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COUNTIFS(Selections!$C$6:$C$30,"La Liga")</f>
        <v>7</v>
      </c>
      <c r="D10" s="19">
        <f>(COUNTIFS(Selections!$C$6:$C$30,"La Liga",Selections!$K$6:$K$30,"WON")+COUNTIFS(Selections!$C$6:$C$30,"La Liga",Selections!$K$6:$K$30,"LOST"))</f>
        <v>4</v>
      </c>
      <c r="E10" s="19">
        <f>COUNTIFS(Selections!$C$6:$C$30,"La Liga",Selections!$K$6:$K$30,"WON")</f>
        <v>4</v>
      </c>
      <c r="F10" s="19">
        <f>COUNTIFS(Selections!$C$6:$C$30,"La Liga",Selections!$K$6:$K$30,"LOST")</f>
        <v>0</v>
      </c>
      <c r="G10" s="19">
        <f>COUNTIFS(Selections!$C$6:$C$30,"La Liga")-(COUNTIFS(Selections!$C$6:$C$30,"La Liga",Selections!$K$6:$K$30,"WON")+COUNTIFS(Selections!$C$6:$C$30,"La Liga",Selections!$K$6:$K$30,"LOST"))</f>
        <v>3</v>
      </c>
      <c r="H10" s="20">
        <f>IF((COUNTIFS(Selections!$C$6:$C$30,"La Liga",Selections!$K$6:$K$30,"WON")+COUNTIFS(Selections!$C$6:$C$30,"La Liga",Selections!$K$6:$K$30,"LOST"))=0,"n.a.",COUNTIFS(Selections!$C$6:$C$30,"La Liga",Selections!$K$6:$K$30,"WON")/(COUNTIFS(Selections!$C$6:$C$30,"La Liga",Selections!$K$6:$K$30,"WON")+COUNTIFS(Selections!$C$6:$C$30,"La Liga",Selections!$K$6:$K$30,"LOST")))</f>
        <v>1.0</v>
      </c>
      <c r="I10" s="22">
        <f>SUMIFS(Selections!$M$6:$M$30,Selections!$C$6:$C$30,"La Liga")</f>
        <v>4</v>
      </c>
      <c r="J10" s="22">
        <f>SUMIFS(Selections!$N$6:$N$30,Selections!$C$6:$C$30,"La Liga")</f>
        <v>1.07</v>
      </c>
      <c r="K10" s="20">
        <f>IF(SUMIFS(Selections!$M$6:$M$30,Selections!$C$6:$C$30,"La Liga")=0,"n.a.",SUMIFS(Selections!$N$6:$N$30,Selections!$C$6:$C$30,"La Liga")/SUMIFS(Selections!$M$6:$M$30,Selections!$C$6:$C$30,"La Liga"))</f>
        <v>0.2675</v>
      </c>
      <c r="L10" s="21">
        <f>IF(SUMIFS(Selections!$T$6:$T$30,Selections!$C$6:$C$30,"La Liga")=0,"n.a.",SUMIFS(Selections!$O$6:$O$30,Selections!$C$6:$C$30,"La Liga")/SUMIFS(Selections!$T$6:$T$30,Selections!$C$6:$C$30,"La Liga"))</f>
        <v>0.021688922607929213</v>
      </c>
      <c r="M10" s="20">
        <f>IF(SUMIFS(Selections!$T$6:$T$30,Selections!$C$6:$C$30,"La Liga")=0,"n.a.",SUMIFS(Selections!$S$6:$S$30,Selections!$C$6:$C$30,"La Liga")/SUMIFS(Selections!$T$6:$T$30,Selections!$C$6:$C$30,"La Liga"))</f>
        <v>0.8627182827427508</v>
      </c>
      <c r="N10" s="20">
        <f>IF(SUMIFS(Selections!$T$6:$T$30,Selections!$C$6:$C$30,"La Liga")=0,"n.a.",(SUMIFS(Selections!$L$6:$L$30,Selections!$C$6:$C$30,"La Liga",Selections!$T$6:$T$30,1))/SUMIFS(Selections!$T$6:$T$30,Selections!$C$6:$C$30,"La Liga"))</f>
        <v>1.0</v>
      </c>
      <c r="O10" s="20">
        <f>IF(SUMIFS(Selections!$T$6:$T$30,Selections!$C$6:$C$30,"La Liga")=0,"n.a.",(SUMIFS(Selections!$S$6:$S$30,Selections!$C$6:$C$30,"La Liga")-(SUMIFS(Selections!$L$6:$L$30,Selections!$C$6:$C$30,"La Liga",Selections!$T$6:$T$30,1)))/SUMIFS(Selections!$T$6:$T$30,Selections!$C$6:$C$30,"La Liga"))</f>
        <v>-0.13728171725724925</v>
      </c>
      <c r="P10" s="19">
        <f>SUMIFS(Selections!$T$6:$T$30,Selections!$C$6:$C$30,"La Liga")</f>
        <v>4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(n=4).</v>
      </c>
      <c r="R10" s="18"/>
    </row>
    <row r="11" ht="36" customHeight="1">
      <c r="A11" s="18" t="inlineStr">
        <is>
          <t>League</t>
        </is>
      </c>
      <c r="B11" s="18" t="inlineStr">
        <is>
          <t>Premier League</t>
        </is>
      </c>
      <c r="C11" s="19">
        <f>COUNTIFS(Selections!$C$6:$C$30,"Premier League")</f>
        <v>6</v>
      </c>
      <c r="D11" s="19">
        <f>(COUNTIFS(Selections!$C$6:$C$30,"Premier League",Selections!$K$6:$K$30,"WON")+COUNTIFS(Selections!$C$6:$C$30,"Premier League",Selections!$K$6:$K$30,"LOST"))</f>
        <v>5</v>
      </c>
      <c r="E11" s="19">
        <f>COUNTIFS(Selections!$C$6:$C$30,"Premier League",Selections!$K$6:$K$30,"WON")</f>
        <v>2</v>
      </c>
      <c r="F11" s="19">
        <f>COUNTIFS(Selections!$C$6:$C$30,"Premier League",Selections!$K$6:$K$30,"LOST")</f>
        <v>3</v>
      </c>
      <c r="G11" s="19">
        <f>COUNTIFS(Selections!$C$6:$C$30,"Premier League")-(COUNTIFS(Selections!$C$6:$C$30,"Premier League",Selections!$K$6:$K$30,"WON")+COUNTIFS(Selections!$C$6:$C$30,"Premier League",Selections!$K$6:$K$30,"LOST"))</f>
        <v>1</v>
      </c>
      <c r="H11" s="20">
        <f>IF((COUNTIFS(Selections!$C$6:$C$30,"Premier League",Selections!$K$6:$K$30,"WON")+COUNTIFS(Selections!$C$6:$C$30,"Premier League",Selections!$K$6:$K$30,"LOST"))=0,"n.a.",COUNTIFS(Selections!$C$6:$C$30,"Premier League",Selections!$K$6:$K$30,"WON")/(COUNTIFS(Selections!$C$6:$C$30,"Premier League",Selections!$K$6:$K$30,"WON")+COUNTIFS(Selections!$C$6:$C$30,"Premier League",Selections!$K$6:$K$30,"LOST")))</f>
        <v>0.4</v>
      </c>
      <c r="I11" s="22">
        <f>SUMIFS(Selections!$M$6:$M$30,Selections!$C$6:$C$30,"Premier League")</f>
        <v>5</v>
      </c>
      <c r="J11" s="22">
        <f>SUMIFS(Selections!$N$6:$N$30,Selections!$C$6:$C$30,"Premier League")</f>
        <v>-2.4699999999999998</v>
      </c>
      <c r="K11" s="20">
        <f>IF(SUMIFS(Selections!$M$6:$M$30,Selections!$C$6:$C$30,"Premier League")=0,"n.a.",SUMIFS(Selections!$N$6:$N$30,Selections!$C$6:$C$30,"Premier League")/SUMIFS(Selections!$M$6:$M$30,Selections!$C$6:$C$30,"Premier League"))</f>
        <v>-0.49399999999999994</v>
      </c>
      <c r="L11" s="21">
        <f>IF(SUMIFS(Selections!$T$6:$T$30,Selections!$C$6:$C$30,"Premier League")=0,"n.a.",SUMIFS(Selections!$O$6:$O$30,Selections!$C$6:$C$30,"Premier League")/SUMIFS(Selections!$T$6:$T$30,Selections!$C$6:$C$30,"Premier League"))</f>
        <v>0.4022420694603978</v>
      </c>
      <c r="M11" s="20">
        <f>IF(SUMIFS(Selections!$T$6:$T$30,Selections!$C$6:$C$30,"Premier League")=0,"n.a.",SUMIFS(Selections!$S$6:$S$30,Selections!$C$6:$C$30,"Premier League")/SUMIFS(Selections!$T$6:$T$30,Selections!$C$6:$C$30,"Premier League"))</f>
        <v>0.8287876612163535</v>
      </c>
      <c r="N11" s="20">
        <f>IF(SUMIFS(Selections!$T$6:$T$30,Selections!$C$6:$C$30,"Premier League")=0,"n.a.",(SUMIFS(Selections!$L$6:$L$30,Selections!$C$6:$C$30,"Premier League",Selections!$T$6:$T$30,1))/SUMIFS(Selections!$T$6:$T$30,Selections!$C$6:$C$30,"Premier League"))</f>
        <v>0.4</v>
      </c>
      <c r="O11" s="20">
        <f>IF(SUMIFS(Selections!$T$6:$T$30,Selections!$C$6:$C$30,"Premier League")=0,"n.a.",(SUMIFS(Selections!$S$6:$S$30,Selections!$C$6:$C$30,"Premier League")-(SUMIFS(Selections!$L$6:$L$30,Selections!$C$6:$C$30,"Premier League",Selections!$T$6:$T$30,1)))/SUMIFS(Selections!$T$6:$T$30,Selections!$C$6:$C$30,"Premier League"))</f>
        <v>0.4287876612163535</v>
      </c>
      <c r="P11" s="19">
        <f>SUMIFS(Selections!$T$6:$T$30,Selections!$C$6:$C$30,"Premier League")</f>
        <v>5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(n=5).</v>
      </c>
      <c r="R11" s="18"/>
    </row>
    <row r="12" ht="36" customHeight="1">
      <c r="A12" s="18" t="inlineStr">
        <is>
          <t>League</t>
        </is>
      </c>
      <c r="B12" s="18" t="inlineStr">
        <is>
          <t>Serie A</t>
        </is>
      </c>
      <c r="C12" s="19">
        <f>COUNTIFS(Selections!$C$6:$C$30,"Serie A")</f>
        <v>4</v>
      </c>
      <c r="D12" s="19">
        <f>(COUNTIFS(Selections!$C$6:$C$30,"Serie A",Selections!$K$6:$K$30,"WON")+COUNTIFS(Selections!$C$6:$C$30,"Serie A",Selections!$K$6:$K$30,"LOST"))</f>
        <v>4</v>
      </c>
      <c r="E12" s="19">
        <f>COUNTIFS(Selections!$C$6:$C$30,"Serie A",Selections!$K$6:$K$30,"WON")</f>
        <v>3</v>
      </c>
      <c r="F12" s="19">
        <f>COUNTIFS(Selections!$C$6:$C$30,"Serie A",Selections!$K$6:$K$30,"LOST")</f>
        <v>1</v>
      </c>
      <c r="G12" s="19">
        <f>COUNTIFS(Selections!$C$6:$C$30,"Serie A")-(COUNTIFS(Selections!$C$6:$C$30,"Serie A",Selections!$K$6:$K$30,"WON")+COUNTIFS(Selections!$C$6:$C$30,"Serie A",Selections!$K$6:$K$30,"LOST"))</f>
        <v>0</v>
      </c>
      <c r="H12" s="20">
        <f>IF((COUNTIFS(Selections!$C$6:$C$30,"Serie A",Selections!$K$6:$K$30,"WON")+COUNTIFS(Selections!$C$6:$C$30,"Serie A",Selections!$K$6:$K$30,"LOST"))=0,"n.a.",COUNTIFS(Selections!$C$6:$C$30,"Serie A",Selections!$K$6:$K$30,"WON")/(COUNTIFS(Selections!$C$6:$C$30,"Serie A",Selections!$K$6:$K$30,"WON")+COUNTIFS(Selections!$C$6:$C$30,"Serie A",Selections!$K$6:$K$30,"LOST")))</f>
        <v>0.75</v>
      </c>
      <c r="I12" s="22">
        <f>SUMIFS(Selections!$M$6:$M$30,Selections!$C$6:$C$30,"Serie A")</f>
        <v>4</v>
      </c>
      <c r="J12" s="22">
        <f>SUMIFS(Selections!$N$6:$N$30,Selections!$C$6:$C$30,"Serie A")</f>
        <v>0.49</v>
      </c>
      <c r="K12" s="20">
        <f>IF(SUMIFS(Selections!$M$6:$M$30,Selections!$C$6:$C$30,"Serie A")=0,"n.a.",SUMIFS(Selections!$N$6:$N$30,Selections!$C$6:$C$30,"Serie A")/SUMIFS(Selections!$M$6:$M$30,Selections!$C$6:$C$30,"Serie A"))</f>
        <v>0.1225</v>
      </c>
      <c r="L12" s="21">
        <f>IF(SUMIFS(Selections!$T$6:$T$30,Selections!$C$6:$C$30,"Serie A")=0,"n.a.",SUMIFS(Selections!$O$6:$O$30,Selections!$C$6:$C$30,"Serie A")/SUMIFS(Selections!$T$6:$T$30,Selections!$C$6:$C$30,"Serie A"))</f>
        <v>0.17461553462283086</v>
      </c>
      <c r="M12" s="20">
        <f>IF(SUMIFS(Selections!$T$6:$T$30,Selections!$C$6:$C$30,"Serie A")=0,"n.a.",SUMIFS(Selections!$S$6:$S$30,Selections!$C$6:$C$30,"Serie A")/SUMIFS(Selections!$T$6:$T$30,Selections!$C$6:$C$30,"Serie A"))</f>
        <v>0.6981379824821343</v>
      </c>
      <c r="N12" s="20">
        <f>IF(SUMIFS(Selections!$T$6:$T$30,Selections!$C$6:$C$30,"Serie A")=0,"n.a.",(SUMIFS(Selections!$L$6:$L$30,Selections!$C$6:$C$30,"Serie A",Selections!$T$6:$T$30,1))/SUMIFS(Selections!$T$6:$T$30,Selections!$C$6:$C$30,"Serie A"))</f>
        <v>0.75</v>
      </c>
      <c r="O12" s="20">
        <f>IF(SUMIFS(Selections!$T$6:$T$30,Selections!$C$6:$C$30,"Serie A")=0,"n.a.",(SUMIFS(Selections!$S$6:$S$30,Selections!$C$6:$C$30,"Serie A")-(SUMIFS(Selections!$L$6:$L$30,Selections!$C$6:$C$30,"Serie A",Selections!$T$6:$T$30,1)))/SUMIFS(Selections!$T$6:$T$30,Selections!$C$6:$C$30,"Serie A"))</f>
        <v>-0.05186201751786568</v>
      </c>
      <c r="P12" s="19">
        <f>SUMIFS(Selections!$T$6:$T$30,Selections!$C$6:$C$30,"Serie A")</f>
        <v>4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(n=4).</v>
      </c>
      <c r="R12" s="18"/>
    </row>
    <row r="13" ht="36" customHeight="1">
      <c r="A13" s="18" t="inlineStr">
        <is>
          <t>League</t>
        </is>
      </c>
      <c r="B13" s="18" t="inlineStr">
        <is>
          <t>UEFA Champions League</t>
        </is>
      </c>
      <c r="C13" s="19">
        <f>COUNTIFS(Selections!$C$6:$C$30,"UEFA Champions League")</f>
        <v>6</v>
      </c>
      <c r="D13" s="19">
        <f>(COUNTIFS(Selections!$C$6:$C$30,"UEFA Champions League",Selections!$K$6:$K$30,"WON")+COUNTIFS(Selections!$C$6:$C$30,"UEFA Champions League",Selections!$K$6:$K$30,"LOST"))</f>
        <v>4</v>
      </c>
      <c r="E13" s="19">
        <f>COUNTIFS(Selections!$C$6:$C$30,"UEFA Champions League",Selections!$K$6:$K$30,"WON")</f>
        <v>4</v>
      </c>
      <c r="F13" s="19">
        <f>COUNTIFS(Selections!$C$6:$C$30,"UEFA Champions League",Selections!$K$6:$K$30,"LOST")</f>
        <v>0</v>
      </c>
      <c r="G13" s="19">
        <f>COUNTIFS(Selections!$C$6:$C$30,"UEFA Champions League")-(COUNTIFS(Selections!$C$6:$C$30,"UEFA Champions League",Selections!$K$6:$K$30,"WON")+COUNTIFS(Selections!$C$6:$C$30,"UEFA Champions League",Selections!$K$6:$K$30,"LOST"))</f>
        <v>2</v>
      </c>
      <c r="H13" s="20">
        <f>IF((COUNTIFS(Selections!$C$6:$C$30,"UEFA Champions League",Selections!$K$6:$K$30,"WON")+COUNTIFS(Selections!$C$6:$C$30,"UEFA Champions League",Selections!$K$6:$K$30,"LOST"))=0,"n.a.",COUNTIFS(Selections!$C$6:$C$30,"UEFA Champions League",Selections!$K$6:$K$30,"WON")/(COUNTIFS(Selections!$C$6:$C$30,"UEFA Champions League",Selections!$K$6:$K$30,"WON")+COUNTIFS(Selections!$C$6:$C$30,"UEFA Champions League",Selections!$K$6:$K$30,"LOST")))</f>
        <v>1.0</v>
      </c>
      <c r="I13" s="22">
        <f>SUMIFS(Selections!$M$6:$M$30,Selections!$C$6:$C$30,"UEFA Champions League")</f>
        <v>4</v>
      </c>
      <c r="J13" s="22">
        <f>SUMIFS(Selections!$N$6:$N$30,Selections!$C$6:$C$30,"UEFA Champions League")</f>
        <v>1.6199999999999999</v>
      </c>
      <c r="K13" s="20">
        <f>IF(SUMIFS(Selections!$M$6:$M$30,Selections!$C$6:$C$30,"UEFA Champions League")=0,"n.a.",SUMIFS(Selections!$N$6:$N$30,Selections!$C$6:$C$30,"UEFA Champions League")/SUMIFS(Selections!$M$6:$M$30,Selections!$C$6:$C$30,"UEFA Champions League"))</f>
        <v>0.40499999999999997</v>
      </c>
      <c r="L13" s="21">
        <f>IF(SUMIFS(Selections!$T$6:$T$30,Selections!$C$6:$C$30,"UEFA Champions League")=0,"n.a.",SUMIFS(Selections!$O$6:$O$30,Selections!$C$6:$C$30,"UEFA Champions League")/SUMIFS(Selections!$T$6:$T$30,Selections!$C$6:$C$30,"UEFA Champions League"))</f>
        <v>0.052539426004397115</v>
      </c>
      <c r="M13" s="20">
        <f>IF(SUMIFS(Selections!$T$6:$T$30,Selections!$C$6:$C$30,"UEFA Champions League")=0,"n.a.",SUMIFS(Selections!$S$6:$S$30,Selections!$C$6:$C$30,"UEFA Champions League")/SUMIFS(Selections!$T$6:$T$30,Selections!$C$6:$C$30,"UEFA Champions League"))</f>
        <v>0.8071634401961396</v>
      </c>
      <c r="N13" s="20">
        <f>IF(SUMIFS(Selections!$T$6:$T$30,Selections!$C$6:$C$30,"UEFA Champions League")=0,"n.a.",(SUMIFS(Selections!$L$6:$L$30,Selections!$C$6:$C$30,"UEFA Champions League",Selections!$T$6:$T$30,1))/SUMIFS(Selections!$T$6:$T$30,Selections!$C$6:$C$30,"UEFA Champions League"))</f>
        <v>1.0</v>
      </c>
      <c r="O13" s="20">
        <f>IF(SUMIFS(Selections!$T$6:$T$30,Selections!$C$6:$C$30,"UEFA Champions League")=0,"n.a.",(SUMIFS(Selections!$S$6:$S$30,Selections!$C$6:$C$30,"UEFA Champions League")-(SUMIFS(Selections!$L$6:$L$30,Selections!$C$6:$C$30,"UEFA Champions League",Selections!$T$6:$T$30,1)))/SUMIFS(Selections!$T$6:$T$30,Selections!$C$6:$C$30,"UEFA Champions League"))</f>
        <v>-0.19283655980386039</v>
      </c>
      <c r="P13" s="19">
        <f>SUMIFS(Selections!$T$6:$T$30,Selections!$C$6:$C$30,"UEFA Champions League")</f>
        <v>4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(n=4).</v>
      </c>
      <c r="R13" s="18"/>
    </row>
    <row r="14" ht="36" customHeight="1">
      <c r="A14" s="18" t="inlineStr">
        <is>
          <t>Market</t>
        </is>
      </c>
      <c r="B14" s="18" t="inlineStr">
        <is>
          <t>Away win</t>
        </is>
      </c>
      <c r="C14" s="19">
        <f>COUNTIFS(Selections!$E$6:$E$30,"Away win")</f>
        <v>1</v>
      </c>
      <c r="D14" s="19">
        <f>(COUNTIFS(Selections!$E$6:$E$30,"Away win",Selections!$K$6:$K$30,"WON")+COUNTIFS(Selections!$E$6:$E$30,"Away win",Selections!$K$6:$K$30,"LOST"))</f>
        <v>1</v>
      </c>
      <c r="E14" s="19">
        <f>COUNTIFS(Selections!$E$6:$E$30,"Away win",Selections!$K$6:$K$30,"WON")</f>
        <v>0</v>
      </c>
      <c r="F14" s="19">
        <f>COUNTIFS(Selections!$E$6:$E$30,"Away win",Selections!$K$6:$K$30,"LOST")</f>
        <v>1</v>
      </c>
      <c r="G14" s="19">
        <f>COUNTIFS(Selections!$E$6:$E$30,"Away win")-(COUNTIFS(Selections!$E$6:$E$30,"Away win",Selections!$K$6:$K$30,"WON")+COUNTIFS(Selections!$E$6:$E$30,"Away win",Selections!$K$6:$K$30,"LOST"))</f>
        <v>0</v>
      </c>
      <c r="H14" s="20">
        <f>IF((COUNTIFS(Selections!$E$6:$E$30,"Away win",Selections!$K$6:$K$30,"WON")+COUNTIFS(Selections!$E$6:$E$30,"Away win",Selections!$K$6:$K$30,"LOST"))=0,"n.a.",COUNTIFS(Selections!$E$6:$E$30,"Away win",Selections!$K$6:$K$30,"WON")/(COUNTIFS(Selections!$E$6:$E$30,"Away win",Selections!$K$6:$K$30,"WON")+COUNTIFS(Selections!$E$6:$E$30,"Away win",Selections!$K$6:$K$30,"LOST")))</f>
        <v>0.0</v>
      </c>
      <c r="I14" s="22">
        <f>SUMIFS(Selections!$M$6:$M$30,Selections!$E$6:$E$30,"Away win")</f>
        <v>1</v>
      </c>
      <c r="J14" s="22">
        <f>SUMIFS(Selections!$N$6:$N$30,Selections!$E$6:$E$30,"Away win")</f>
        <v>-1.0</v>
      </c>
      <c r="K14" s="20">
        <f>IF(SUMIFS(Selections!$M$6:$M$30,Selections!$E$6:$E$30,"Away win")=0,"n.a.",SUMIFS(Selections!$N$6:$N$30,Selections!$E$6:$E$30,"Away win")/SUMIFS(Selections!$M$6:$M$30,Selections!$E$6:$E$30,"Away win"))</f>
        <v>-1.0</v>
      </c>
      <c r="L14" s="21">
        <f>IF(SUMIFS(Selections!$T$6:$T$30,Selections!$E$6:$E$30,"Away win")=0,"n.a.",SUMIFS(Selections!$O$6:$O$30,Selections!$E$6:$E$30,"Away win")/SUMIFS(Selections!$T$6:$T$30,Selections!$E$6:$E$30,"Away win"))</f>
        <v>0.43602718522290096</v>
      </c>
      <c r="M14" s="20">
        <f>IF(SUMIFS(Selections!$T$6:$T$30,Selections!$E$6:$E$30,"Away win")=0,"n.a.",SUMIFS(Selections!$S$6:$S$30,Selections!$E$6:$E$30,"Away win")/SUMIFS(Selections!$T$6:$T$30,Selections!$E$6:$E$30,"Away win"))</f>
        <v>0.6603235458643747</v>
      </c>
      <c r="N14" s="20">
        <f>IF(SUMIFS(Selections!$T$6:$T$30,Selections!$E$6:$E$30,"Away win")=0,"n.a.",(SUMIFS(Selections!$L$6:$L$30,Selections!$E$6:$E$30,"Away win",Selections!$T$6:$T$30,1))/SUMIFS(Selections!$T$6:$T$30,Selections!$E$6:$E$30,"Away win"))</f>
        <v>0.0</v>
      </c>
      <c r="O14" s="20">
        <f>IF(SUMIFS(Selections!$T$6:$T$30,Selections!$E$6:$E$30,"Away win")=0,"n.a.",(SUMIFS(Selections!$S$6:$S$30,Selections!$E$6:$E$30,"Away win")-(SUMIFS(Selections!$L$6:$L$30,Selections!$E$6:$E$30,"Away win",Selections!$T$6:$T$30,1)))/SUMIFS(Selections!$T$6:$T$30,Selections!$E$6:$E$30,"Away win"))</f>
        <v>0.6603235458643747</v>
      </c>
      <c r="P14" s="19">
        <f>SUMIFS(Selections!$T$6:$T$30,Selections!$E$6:$E$30,"Away win")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Market</t>
        </is>
      </c>
      <c r="B15" s="18" t="inlineStr">
        <is>
          <t>Both Teams to Score - Yes</t>
        </is>
      </c>
      <c r="C15" s="19">
        <f>COUNTIFS(Selections!$E$6:$E$30,"Both Teams to Score - Yes")</f>
        <v>1</v>
      </c>
      <c r="D15" s="19">
        <f>(COUNTIFS(Selections!$E$6:$E$30,"Both Teams to Score - Yes",Selections!$K$6:$K$30,"WON")+COUNTIFS(Selections!$E$6:$E$30,"Both Teams to Score - Yes",Selections!$K$6:$K$30,"LOST"))</f>
        <v>1</v>
      </c>
      <c r="E15" s="19">
        <f>COUNTIFS(Selections!$E$6:$E$30,"Both Teams to Score - Yes",Selections!$K$6:$K$30,"WON")</f>
        <v>1</v>
      </c>
      <c r="F15" s="19">
        <f>COUNTIFS(Selections!$E$6:$E$30,"Both Teams to Score - Yes",Selections!$K$6:$K$30,"LOST")</f>
        <v>0</v>
      </c>
      <c r="G15" s="19">
        <f>COUNTIFS(Selections!$E$6:$E$30,"Both Teams to Score - Yes")-(COUNTIFS(Selections!$E$6:$E$30,"Both Teams to Score - Yes",Selections!$K$6:$K$30,"WON")+COUNTIFS(Selections!$E$6:$E$30,"Both Teams to Score - Yes",Selections!$K$6:$K$30,"LOST"))</f>
        <v>0</v>
      </c>
      <c r="H15" s="20">
        <f>IF((COUNTIFS(Selections!$E$6:$E$30,"Both Teams to Score - Yes",Selections!$K$6:$K$30,"WON")+COUNTIFS(Selections!$E$6:$E$30,"Both Teams to Score - Yes",Selections!$K$6:$K$30,"LOST"))=0,"n.a.",COUNTIFS(Selections!$E$6:$E$30,"Both Teams to Score - Yes",Selections!$K$6:$K$30,"WON")/(COUNTIFS(Selections!$E$6:$E$30,"Both Teams to Score - Yes",Selections!$K$6:$K$30,"WON")+COUNTIFS(Selections!$E$6:$E$30,"Both Teams to Score - Yes",Selections!$K$6:$K$30,"LOST")))</f>
        <v>1.0</v>
      </c>
      <c r="I15" s="22">
        <f>SUMIFS(Selections!$M$6:$M$30,Selections!$E$6:$E$30,"Both Teams to Score - Yes")</f>
        <v>1</v>
      </c>
      <c r="J15" s="22">
        <f>SUMIFS(Selections!$N$6:$N$30,Selections!$E$6:$E$30,"Both Teams to Score - Yes")</f>
        <v>0.49</v>
      </c>
      <c r="K15" s="20">
        <f>IF(SUMIFS(Selections!$M$6:$M$30,Selections!$E$6:$E$30,"Both Teams to Score - Yes")=0,"n.a.",SUMIFS(Selections!$N$6:$N$30,Selections!$E$6:$E$30,"Both Teams to Score - Yes")/SUMIFS(Selections!$M$6:$M$30,Selections!$E$6:$E$30,"Both Teams to Score - Yes"))</f>
        <v>0.49</v>
      </c>
      <c r="L15" s="21">
        <f>IF(SUMIFS(Selections!$T$6:$T$30,Selections!$E$6:$E$30,"Both Teams to Score - Yes")=0,"n.a.",SUMIFS(Selections!$O$6:$O$30,Selections!$E$6:$E$30,"Both Teams to Score - Yes")/SUMIFS(Selections!$T$6:$T$30,Selections!$E$6:$E$30,"Both Teams to Score - Yes"))</f>
        <v>0.08662845606019748</v>
      </c>
      <c r="M15" s="20">
        <f>IF(SUMIFS(Selections!$T$6:$T$30,Selections!$E$6:$E$30,"Both Teams to Score - Yes")=0,"n.a.",SUMIFS(Selections!$S$6:$S$30,Selections!$E$6:$E$30,"Both Teams to Score - Yes")/SUMIFS(Selections!$T$6:$T$30,Selections!$E$6:$E$30,"Both Teams to Score - Yes"))</f>
        <v>0.7056728757654207</v>
      </c>
      <c r="N15" s="20">
        <f>IF(SUMIFS(Selections!$T$6:$T$30,Selections!$E$6:$E$30,"Both Teams to Score - Yes")=0,"n.a.",(SUMIFS(Selections!$L$6:$L$30,Selections!$E$6:$E$30,"Both Teams to Score - Yes",Selections!$T$6:$T$30,1))/SUMIFS(Selections!$T$6:$T$30,Selections!$E$6:$E$30,"Both Teams to Score - Yes"))</f>
        <v>1.0</v>
      </c>
      <c r="O15" s="20">
        <f>IF(SUMIFS(Selections!$T$6:$T$30,Selections!$E$6:$E$30,"Both Teams to Score - Yes")=0,"n.a.",(SUMIFS(Selections!$S$6:$S$30,Selections!$E$6:$E$30,"Both Teams to Score - Yes")-(SUMIFS(Selections!$L$6:$L$30,Selections!$E$6:$E$30,"Both Teams to Score - Yes",Selections!$T$6:$T$30,1)))/SUMIFS(Selections!$T$6:$T$30,Selections!$E$6:$E$30,"Both Teams to Score - Yes"))</f>
        <v>-0.2943271242345793</v>
      </c>
      <c r="P15" s="19">
        <f>SUMIFS(Selections!$T$6:$T$30,Selections!$E$6:$E$30,"Both Teams to Score - Yes")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Double Chance 1X</t>
        </is>
      </c>
      <c r="C16" s="19">
        <f>COUNTIFS(Selections!$E$6:$E$30,"Double Chance 1X")</f>
        <v>2</v>
      </c>
      <c r="D16" s="19">
        <f>(COUNTIFS(Selections!$E$6:$E$30,"Double Chance 1X",Selections!$K$6:$K$30,"WON")+COUNTIFS(Selections!$E$6:$E$30,"Double Chance 1X",Selections!$K$6:$K$30,"LOST"))</f>
        <v>1</v>
      </c>
      <c r="E16" s="19">
        <f>COUNTIFS(Selections!$E$6:$E$30,"Double Chance 1X",Selections!$K$6:$K$30,"WON")</f>
        <v>1</v>
      </c>
      <c r="F16" s="19">
        <f>COUNTIFS(Selections!$E$6:$E$30,"Double Chance 1X",Selections!$K$6:$K$30,"LOST")</f>
        <v>0</v>
      </c>
      <c r="G16" s="19">
        <f>COUNTIFS(Selections!$E$6:$E$30,"Double Chance 1X")-(COUNTIFS(Selections!$E$6:$E$30,"Double Chance 1X",Selections!$K$6:$K$30,"WON")+COUNTIFS(Selections!$E$6:$E$30,"Double Chance 1X",Selections!$K$6:$K$30,"LOST"))</f>
        <v>1</v>
      </c>
      <c r="H16" s="20">
        <f>IF((COUNTIFS(Selections!$E$6:$E$30,"Double Chance 1X",Selections!$K$6:$K$30,"WON")+COUNTIFS(Selections!$E$6:$E$30,"Double Chance 1X",Selections!$K$6:$K$30,"LOST"))=0,"n.a.",COUNTIFS(Selections!$E$6:$E$30,"Double Chance 1X",Selections!$K$6:$K$30,"WON")/(COUNTIFS(Selections!$E$6:$E$30,"Double Chance 1X",Selections!$K$6:$K$30,"WON")+COUNTIFS(Selections!$E$6:$E$30,"Double Chance 1X",Selections!$K$6:$K$30,"LOST")))</f>
        <v>1.0</v>
      </c>
      <c r="I16" s="22">
        <f>SUMIFS(Selections!$M$6:$M$30,Selections!$E$6:$E$30,"Double Chance 1X")</f>
        <v>1</v>
      </c>
      <c r="J16" s="22">
        <f>SUMIFS(Selections!$N$6:$N$30,Selections!$E$6:$E$30,"Double Chance 1X")</f>
        <v>0.27</v>
      </c>
      <c r="K16" s="20">
        <f>IF(SUMIFS(Selections!$M$6:$M$30,Selections!$E$6:$E$30,"Double Chance 1X")=0,"n.a.",SUMIFS(Selections!$N$6:$N$30,Selections!$E$6:$E$30,"Double Chance 1X")/SUMIFS(Selections!$M$6:$M$30,Selections!$E$6:$E$30,"Double Chance 1X"))</f>
        <v>0.27</v>
      </c>
      <c r="L16" s="21">
        <f>IF(SUMIFS(Selections!$T$6:$T$30,Selections!$E$6:$E$30,"Double Chance 1X")=0,"n.a.",SUMIFS(Selections!$O$6:$O$30,Selections!$E$6:$E$30,"Double Chance 1X")/SUMIFS(Selections!$T$6:$T$30,Selections!$E$6:$E$30,"Double Chance 1X"))</f>
        <v>0.03933741464046248</v>
      </c>
      <c r="M16" s="20">
        <f>IF(SUMIFS(Selections!$T$6:$T$30,Selections!$E$6:$E$30,"Double Chance 1X")=0,"n.a.",SUMIFS(Selections!$S$6:$S$30,Selections!$E$6:$E$30,"Double Chance 1X")/SUMIFS(Selections!$T$6:$T$30,Selections!$E$6:$E$30,"Double Chance 1X"))</f>
        <v>0.8016633804854422</v>
      </c>
      <c r="N16" s="20">
        <f>IF(SUMIFS(Selections!$T$6:$T$30,Selections!$E$6:$E$30,"Double Chance 1X")=0,"n.a.",(SUMIFS(Selections!$L$6:$L$30,Selections!$E$6:$E$30,"Double Chance 1X",Selections!$T$6:$T$30,1))/SUMIFS(Selections!$T$6:$T$30,Selections!$E$6:$E$30,"Double Chance 1X"))</f>
        <v>1.0</v>
      </c>
      <c r="O16" s="20">
        <f>IF(SUMIFS(Selections!$T$6:$T$30,Selections!$E$6:$E$30,"Double Chance 1X")=0,"n.a.",(SUMIFS(Selections!$S$6:$S$30,Selections!$E$6:$E$30,"Double Chance 1X")-(SUMIFS(Selections!$L$6:$L$30,Selections!$E$6:$E$30,"Double Chance 1X",Selections!$T$6:$T$30,1)))/SUMIFS(Selections!$T$6:$T$30,Selections!$E$6:$E$30,"Double Chance 1X"))</f>
        <v>-0.19833661951455783</v>
      </c>
      <c r="P16" s="19">
        <f>SUMIFS(Selections!$T$6:$T$30,Selections!$E$6:$E$30,"Double Chance 1X")</f>
        <v>1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(n=1).</v>
      </c>
      <c r="R16" s="18"/>
    </row>
    <row r="17" ht="36" customHeight="1">
      <c r="A17" s="18" t="inlineStr">
        <is>
          <t>Market</t>
        </is>
      </c>
      <c r="B17" s="18" t="inlineStr">
        <is>
          <t>Home win</t>
        </is>
      </c>
      <c r="C17" s="19">
        <f>COUNTIFS(Selections!$E$6:$E$30,"Home win")</f>
        <v>6</v>
      </c>
      <c r="D17" s="19">
        <f>(COUNTIFS(Selections!$E$6:$E$30,"Home win",Selections!$K$6:$K$30,"WON")+COUNTIFS(Selections!$E$6:$E$30,"Home win",Selections!$K$6:$K$30,"LOST"))</f>
        <v>3</v>
      </c>
      <c r="E17" s="19">
        <f>COUNTIFS(Selections!$E$6:$E$30,"Home win",Selections!$K$6:$K$30,"WON")</f>
        <v>3</v>
      </c>
      <c r="F17" s="19">
        <f>COUNTIFS(Selections!$E$6:$E$30,"Home win",Selections!$K$6:$K$30,"LOST")</f>
        <v>0</v>
      </c>
      <c r="G17" s="19">
        <f>COUNTIFS(Selections!$E$6:$E$30,"Home win")-(COUNTIFS(Selections!$E$6:$E$30,"Home win",Selections!$K$6:$K$30,"WON")+COUNTIFS(Selections!$E$6:$E$30,"Home win",Selections!$K$6:$K$30,"LOST"))</f>
        <v>3</v>
      </c>
      <c r="H17" s="20">
        <f>IF((COUNTIFS(Selections!$E$6:$E$30,"Home win",Selections!$K$6:$K$30,"WON")+COUNTIFS(Selections!$E$6:$E$30,"Home win",Selections!$K$6:$K$30,"LOST"))=0,"n.a.",COUNTIFS(Selections!$E$6:$E$30,"Home win",Selections!$K$6:$K$30,"WON")/(COUNTIFS(Selections!$E$6:$E$30,"Home win",Selections!$K$6:$K$30,"WON")+COUNTIFS(Selections!$E$6:$E$30,"Home win",Selections!$K$6:$K$30,"LOST")))</f>
        <v>1.0</v>
      </c>
      <c r="I17" s="22">
        <f>SUMIFS(Selections!$M$6:$M$30,Selections!$E$6:$E$30,"Home win")</f>
        <v>3</v>
      </c>
      <c r="J17" s="22">
        <f>SUMIFS(Selections!$N$6:$N$30,Selections!$E$6:$E$30,"Home win")</f>
        <v>1.95</v>
      </c>
      <c r="K17" s="20">
        <f>IF(SUMIFS(Selections!$M$6:$M$30,Selections!$E$6:$E$30,"Home win")=0,"n.a.",SUMIFS(Selections!$N$6:$N$30,Selections!$E$6:$E$30,"Home win")/SUMIFS(Selections!$M$6:$M$30,Selections!$E$6:$E$30,"Home win"))</f>
        <v>0.65</v>
      </c>
      <c r="L17" s="21">
        <f>IF(SUMIFS(Selections!$T$6:$T$30,Selections!$E$6:$E$30,"Home win")=0,"n.a.",SUMIFS(Selections!$O$6:$O$30,Selections!$E$6:$E$30,"Home win")/SUMIFS(Selections!$T$6:$T$30,Selections!$E$6:$E$30,"Home win"))</f>
        <v>0.11139910506729317</v>
      </c>
      <c r="M17" s="20">
        <f>IF(SUMIFS(Selections!$T$6:$T$30,Selections!$E$6:$E$30,"Home win")=0,"n.a.",SUMIFS(Selections!$S$6:$S$30,Selections!$E$6:$E$30,"Home win")/SUMIFS(Selections!$T$6:$T$30,Selections!$E$6:$E$30,"Home win"))</f>
        <v>0.6664479192577112</v>
      </c>
      <c r="N17" s="20">
        <f>IF(SUMIFS(Selections!$T$6:$T$30,Selections!$E$6:$E$30,"Home win")=0,"n.a.",(SUMIFS(Selections!$L$6:$L$30,Selections!$E$6:$E$30,"Home win",Selections!$T$6:$T$30,1))/SUMIFS(Selections!$T$6:$T$30,Selections!$E$6:$E$30,"Home win"))</f>
        <v>1.0</v>
      </c>
      <c r="O17" s="20">
        <f>IF(SUMIFS(Selections!$T$6:$T$30,Selections!$E$6:$E$30,"Home win")=0,"n.a.",(SUMIFS(Selections!$S$6:$S$30,Selections!$E$6:$E$30,"Home win")-(SUMIFS(Selections!$L$6:$L$30,Selections!$E$6:$E$30,"Home win",Selections!$T$6:$T$30,1)))/SUMIFS(Selections!$T$6:$T$30,Selections!$E$6:$E$30,"Home win"))</f>
        <v>-0.3335520807422888</v>
      </c>
      <c r="P17" s="19">
        <f>SUMIFS(Selections!$T$6:$T$30,Selections!$E$6:$E$30,"Home win")</f>
        <v>3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(n=3).</v>
      </c>
      <c r="R17" s="18"/>
    </row>
    <row r="18" ht="36" customHeight="1">
      <c r="A18" s="18" t="inlineStr">
        <is>
          <t>Market</t>
        </is>
      </c>
      <c r="B18" s="18" t="inlineStr">
        <is>
          <t>Over 1.5</t>
        </is>
      </c>
      <c r="C18" s="19">
        <f>COUNTIFS(Selections!$E$6:$E$30,"Over 1.5")</f>
        <v>9</v>
      </c>
      <c r="D18" s="19">
        <f>(COUNTIFS(Selections!$E$6:$E$30,"Over 1.5",Selections!$K$6:$K$30,"WON")+COUNTIFS(Selections!$E$6:$E$30,"Over 1.5",Selections!$K$6:$K$30,"LOST"))</f>
        <v>7</v>
      </c>
      <c r="E18" s="19">
        <f>COUNTIFS(Selections!$E$6:$E$30,"Over 1.5",Selections!$K$6:$K$30,"WON")</f>
        <v>7</v>
      </c>
      <c r="F18" s="19">
        <f>COUNTIFS(Selections!$E$6:$E$30,"Over 1.5",Selections!$K$6:$K$30,"LOST")</f>
        <v>0</v>
      </c>
      <c r="G18" s="19">
        <f>COUNTIFS(Selections!$E$6:$E$30,"Over 1.5")-(COUNTIFS(Selections!$E$6:$E$30,"Over 1.5",Selections!$K$6:$K$30,"WON")+COUNTIFS(Selections!$E$6:$E$30,"Over 1.5",Selections!$K$6:$K$30,"LOST"))</f>
        <v>2</v>
      </c>
      <c r="H18" s="20">
        <f>IF((COUNTIFS(Selections!$E$6:$E$30,"Over 1.5",Selections!$K$6:$K$30,"WON")+COUNTIFS(Selections!$E$6:$E$30,"Over 1.5",Selections!$K$6:$K$30,"LOST"))=0,"n.a.",COUNTIFS(Selections!$E$6:$E$30,"Over 1.5",Selections!$K$6:$K$30,"WON")/(COUNTIFS(Selections!$E$6:$E$30,"Over 1.5",Selections!$K$6:$K$30,"WON")+COUNTIFS(Selections!$E$6:$E$30,"Over 1.5",Selections!$K$6:$K$30,"LOST")))</f>
        <v>1.0</v>
      </c>
      <c r="I18" s="22">
        <f>SUMIFS(Selections!$M$6:$M$30,Selections!$E$6:$E$30,"Over 1.5")</f>
        <v>7</v>
      </c>
      <c r="J18" s="22">
        <f>SUMIFS(Selections!$N$6:$N$30,Selections!$E$6:$E$30,"Over 1.5")</f>
        <v>1.57</v>
      </c>
      <c r="K18" s="20">
        <f>IF(SUMIFS(Selections!$M$6:$M$30,Selections!$E$6:$E$30,"Over 1.5")=0,"n.a.",SUMIFS(Selections!$N$6:$N$30,Selections!$E$6:$E$30,"Over 1.5")/SUMIFS(Selections!$M$6:$M$30,Selections!$E$6:$E$30,"Over 1.5"))</f>
        <v>0.22428571428571428</v>
      </c>
      <c r="L18" s="21">
        <f>IF(SUMIFS(Selections!$T$6:$T$30,Selections!$E$6:$E$30,"Over 1.5")=0,"n.a.",SUMIFS(Selections!$O$6:$O$30,Selections!$E$6:$E$30,"Over 1.5")/SUMIFS(Selections!$T$6:$T$30,Selections!$E$6:$E$30,"Over 1.5"))</f>
        <v>0.01486785645513977</v>
      </c>
      <c r="M18" s="20">
        <f>IF(SUMIFS(Selections!$T$6:$T$30,Selections!$E$6:$E$30,"Over 1.5")=0,"n.a.",SUMIFS(Selections!$S$6:$S$30,Selections!$E$6:$E$30,"Over 1.5")/SUMIFS(Selections!$T$6:$T$30,Selections!$E$6:$E$30,"Over 1.5"))</f>
        <v>0.8895251424298042</v>
      </c>
      <c r="N18" s="20">
        <f>IF(SUMIFS(Selections!$T$6:$T$30,Selections!$E$6:$E$30,"Over 1.5")=0,"n.a.",(SUMIFS(Selections!$L$6:$L$30,Selections!$E$6:$E$30,"Over 1.5",Selections!$T$6:$T$30,1))/SUMIFS(Selections!$T$6:$T$30,Selections!$E$6:$E$30,"Over 1.5"))</f>
        <v>1.0</v>
      </c>
      <c r="O18" s="20">
        <f>IF(SUMIFS(Selections!$T$6:$T$30,Selections!$E$6:$E$30,"Over 1.5")=0,"n.a.",(SUMIFS(Selections!$S$6:$S$30,Selections!$E$6:$E$30,"Over 1.5")-(SUMIFS(Selections!$L$6:$L$30,Selections!$E$6:$E$30,"Over 1.5",Selections!$T$6:$T$30,1)))/SUMIFS(Selections!$T$6:$T$30,Selections!$E$6:$E$30,"Over 1.5"))</f>
        <v>-0.11047485757019582</v>
      </c>
      <c r="P18" s="19">
        <f>SUMIFS(Selections!$T$6:$T$30,Selections!$E$6:$E$30,"Over 1.5")</f>
        <v>7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(n=7).</v>
      </c>
      <c r="R18" s="18"/>
    </row>
    <row r="19" ht="36" customHeight="1">
      <c r="A19" s="18" t="inlineStr">
        <is>
          <t>Market</t>
        </is>
      </c>
      <c r="B19" s="18" t="inlineStr">
        <is>
          <t>Under 3.5</t>
        </is>
      </c>
      <c r="C19" s="19">
        <f>COUNTIFS(Selections!$E$6:$E$30,"Under 3.5")</f>
        <v>6</v>
      </c>
      <c r="D19" s="19">
        <f>(COUNTIFS(Selections!$E$6:$E$30,"Under 3.5",Selections!$K$6:$K$30,"WON")+COUNTIFS(Selections!$E$6:$E$30,"Under 3.5",Selections!$K$6:$K$30,"LOST"))</f>
        <v>5</v>
      </c>
      <c r="E19" s="19">
        <f>COUNTIFS(Selections!$E$6:$E$30,"Under 3.5",Selections!$K$6:$K$30,"WON")</f>
        <v>2</v>
      </c>
      <c r="F19" s="19">
        <f>COUNTIFS(Selections!$E$6:$E$30,"Under 3.5",Selections!$K$6:$K$30,"LOST")</f>
        <v>3</v>
      </c>
      <c r="G19" s="19">
        <f>COUNTIFS(Selections!$E$6:$E$30,"Under 3.5")-(COUNTIFS(Selections!$E$6:$E$30,"Under 3.5",Selections!$K$6:$K$30,"WON")+COUNTIFS(Selections!$E$6:$E$30,"Under 3.5",Selections!$K$6:$K$30,"LOST"))</f>
        <v>1</v>
      </c>
      <c r="H19" s="20">
        <f>IF((COUNTIFS(Selections!$E$6:$E$30,"Under 3.5",Selections!$K$6:$K$30,"WON")+COUNTIFS(Selections!$E$6:$E$30,"Under 3.5",Selections!$K$6:$K$30,"LOST"))=0,"n.a.",COUNTIFS(Selections!$E$6:$E$30,"Under 3.5",Selections!$K$6:$K$30,"WON")/(COUNTIFS(Selections!$E$6:$E$30,"Under 3.5",Selections!$K$6:$K$30,"WON")+COUNTIFS(Selections!$E$6:$E$30,"Under 3.5",Selections!$K$6:$K$30,"LOST")))</f>
        <v>0.4</v>
      </c>
      <c r="I19" s="22">
        <f>SUMIFS(Selections!$M$6:$M$30,Selections!$E$6:$E$30,"Under 3.5")</f>
        <v>5</v>
      </c>
      <c r="J19" s="22">
        <f>SUMIFS(Selections!$N$6:$N$30,Selections!$E$6:$E$30,"Under 3.5")</f>
        <v>-2.3</v>
      </c>
      <c r="K19" s="20">
        <f>IF(SUMIFS(Selections!$M$6:$M$30,Selections!$E$6:$E$30,"Under 3.5")=0,"n.a.",SUMIFS(Selections!$N$6:$N$30,Selections!$E$6:$E$30,"Under 3.5")/SUMIFS(Selections!$M$6:$M$30,Selections!$E$6:$E$30,"Under 3.5"))</f>
        <v>-0.45999999999999996</v>
      </c>
      <c r="L19" s="21">
        <f>IF(SUMIFS(Selections!$T$6:$T$30,Selections!$E$6:$E$30,"Under 3.5")=0,"n.a.",SUMIFS(Selections!$O$6:$O$30,Selections!$E$6:$E$30,"Under 3.5")/SUMIFS(Selections!$T$6:$T$30,Selections!$E$6:$E$30,"Under 3.5"))</f>
        <v>0.40913158571433234</v>
      </c>
      <c r="M19" s="20">
        <f>IF(SUMIFS(Selections!$T$6:$T$30,Selections!$E$6:$E$30,"Under 3.5")=0,"n.a.",SUMIFS(Selections!$S$6:$S$30,Selections!$E$6:$E$30,"Under 3.5")/SUMIFS(Selections!$T$6:$T$30,Selections!$E$6:$E$30,"Under 3.5"))</f>
        <v>0.8048001902708615</v>
      </c>
      <c r="N19" s="20">
        <f>IF(SUMIFS(Selections!$T$6:$T$30,Selections!$E$6:$E$30,"Under 3.5")=0,"n.a.",(SUMIFS(Selections!$L$6:$L$30,Selections!$E$6:$E$30,"Under 3.5",Selections!$T$6:$T$30,1))/SUMIFS(Selections!$T$6:$T$30,Selections!$E$6:$E$30,"Under 3.5"))</f>
        <v>0.4</v>
      </c>
      <c r="O19" s="20">
        <f>IF(SUMIFS(Selections!$T$6:$T$30,Selections!$E$6:$E$30,"Under 3.5")=0,"n.a.",(SUMIFS(Selections!$S$6:$S$30,Selections!$E$6:$E$30,"Under 3.5")-(SUMIFS(Selections!$L$6:$L$30,Selections!$E$6:$E$30,"Under 3.5",Selections!$T$6:$T$30,1)))/SUMIFS(Selections!$T$6:$T$30,Selections!$E$6:$E$30,"Under 3.5"))</f>
        <v>0.40480019027086145</v>
      </c>
      <c r="P19" s="19">
        <f>SUMIFS(Selections!$T$6:$T$30,Selections!$E$6:$E$30,"Under 3.5")</f>
        <v>5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(n=5).</v>
      </c>
      <c r="R19" s="18"/>
    </row>
    <row r="20" ht="36" customHeight="1">
      <c r="A20" s="18" t="inlineStr">
        <is>
          <t>Policy</t>
        </is>
      </c>
      <c r="B20" s="18" t="inlineStr">
        <is>
          <t>72h-all-markets-net-ev15-execution-v7</t>
        </is>
      </c>
      <c r="C20" s="19">
        <f>COUNTIFS(Selections!$G$6:$G$30,"72h-all-markets-net-ev15-execution-v7")</f>
        <v>2</v>
      </c>
      <c r="D20" s="19">
        <f>(COUNTIFS(Selections!$G$6:$G$30,"72h-all-markets-net-ev15-execution-v7",Selections!$K$6:$K$30,"WON")+COUNTIFS(Selections!$G$6:$G$30,"72h-all-markets-net-ev15-execution-v7",Selections!$K$6:$K$30,"LOST"))</f>
        <v>2</v>
      </c>
      <c r="E20" s="19">
        <f>COUNTIFS(Selections!$G$6:$G$30,"72h-all-markets-net-ev15-execution-v7",Selections!$K$6:$K$30,"WON")</f>
        <v>1</v>
      </c>
      <c r="F20" s="19">
        <f>COUNTIFS(Selections!$G$6:$G$30,"72h-all-markets-net-ev15-execution-v7",Selections!$K$6:$K$30,"LOST")</f>
        <v>1</v>
      </c>
      <c r="G20" s="19">
        <f>COUNTIFS(Selections!$G$6:$G$30,"72h-all-markets-net-ev15-execution-v7")-(COUNTIFS(Selections!$G$6:$G$30,"72h-all-markets-net-ev15-execution-v7",Selections!$K$6:$K$30,"WON")+COUNTIFS(Selections!$G$6:$G$30,"72h-all-markets-net-ev15-execution-v7",Selections!$K$6:$K$30,"LOST"))</f>
        <v>0</v>
      </c>
      <c r="H20" s="20">
        <f>IF((COUNTIFS(Selections!$G$6:$G$30,"72h-all-markets-net-ev15-execution-v7",Selections!$K$6:$K$30,"WON")+COUNTIFS(Selections!$G$6:$G$30,"72h-all-markets-net-ev15-execution-v7",Selections!$K$6:$K$30,"LOST"))=0,"n.a.",COUNTIFS(Selections!$G$6:$G$30,"72h-all-markets-net-ev15-execution-v7",Selections!$K$6:$K$30,"WON")/(COUNTIFS(Selections!$G$6:$G$30,"72h-all-markets-net-ev15-execution-v7",Selections!$K$6:$K$30,"WON")+COUNTIFS(Selections!$G$6:$G$30,"72h-all-markets-net-ev15-execution-v7",Selections!$K$6:$K$30,"LOST")))</f>
        <v>0.5</v>
      </c>
      <c r="I20" s="22">
        <f>SUMIFS(Selections!$M$6:$M$30,Selections!$G$6:$G$30,"72h-all-markets-net-ev15-execution-v7")</f>
        <v>2</v>
      </c>
      <c r="J20" s="22">
        <f>SUMIFS(Selections!$N$6:$N$30,Selections!$G$6:$G$30,"72h-all-markets-net-ev15-execution-v7")</f>
        <v>-0.73</v>
      </c>
      <c r="K20" s="20">
        <f>IF(SUMIFS(Selections!$M$6:$M$30,Selections!$G$6:$G$30,"72h-all-markets-net-ev15-execution-v7")=0,"n.a.",SUMIFS(Selections!$N$6:$N$30,Selections!$G$6:$G$30,"72h-all-markets-net-ev15-execution-v7")/SUMIFS(Selections!$M$6:$M$30,Selections!$G$6:$G$30,"72h-all-markets-net-ev15-execution-v7"))</f>
        <v>-0.365</v>
      </c>
      <c r="L20" s="21">
        <f>IF(SUMIFS(Selections!$T$6:$T$30,Selections!$G$6:$G$30,"72h-all-markets-net-ev15-execution-v7")=0,"n.a.",SUMIFS(Selections!$O$6:$O$30,Selections!$G$6:$G$30,"72h-all-markets-net-ev15-execution-v7")/SUMIFS(Selections!$T$6:$T$30,Selections!$G$6:$G$30,"72h-all-markets-net-ev15-execution-v7"))</f>
        <v>0.22940386115877875</v>
      </c>
      <c r="M20" s="20">
        <f>IF(SUMIFS(Selections!$T$6:$T$30,Selections!$G$6:$G$30,"72h-all-markets-net-ev15-execution-v7")=0,"n.a.",SUMIFS(Selections!$S$6:$S$30,Selections!$G$6:$G$30,"72h-all-markets-net-ev15-execution-v7")/SUMIFS(Selections!$T$6:$T$30,Selections!$G$6:$G$30,"72h-all-markets-net-ev15-execution-v7"))</f>
        <v>0.7546956595191849</v>
      </c>
      <c r="N20" s="20">
        <f>IF(SUMIFS(Selections!$T$6:$T$30,Selections!$G$6:$G$30,"72h-all-markets-net-ev15-execution-v7")=0,"n.a.",(SUMIFS(Selections!$L$6:$L$30,Selections!$G$6:$G$30,"72h-all-markets-net-ev15-execution-v7",Selections!$T$6:$T$30,1))/SUMIFS(Selections!$T$6:$T$30,Selections!$G$6:$G$30,"72h-all-markets-net-ev15-execution-v7"))</f>
        <v>0.5</v>
      </c>
      <c r="O20" s="20">
        <f>IF(SUMIFS(Selections!$T$6:$T$30,Selections!$G$6:$G$30,"72h-all-markets-net-ev15-execution-v7")=0,"n.a.",(SUMIFS(Selections!$S$6:$S$30,Selections!$G$6:$G$30,"72h-all-markets-net-ev15-execution-v7")-(SUMIFS(Selections!$L$6:$L$30,Selections!$G$6:$G$30,"72h-all-markets-net-ev15-execution-v7",Selections!$T$6:$T$30,1)))/SUMIFS(Selections!$T$6:$T$30,Selections!$G$6:$G$30,"72h-all-markets-net-ev15-execution-v7"))</f>
        <v>0.25469565951918494</v>
      </c>
      <c r="P20" s="19">
        <f>SUMIFS(Selections!$T$6:$T$30,Selections!$G$6:$G$30,"72h-all-markets-net-ev15-execution-v7")</f>
        <v>2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(n=2).</v>
      </c>
      <c r="R20" s="18"/>
    </row>
    <row r="21" ht="36" customHeight="1">
      <c r="A21" s="18" t="inlineStr">
        <is>
          <t>Policy</t>
        </is>
      </c>
      <c r="B21" s="18" t="inlineStr">
        <is>
          <t>72h-seven-markets-fresh-references-net-ev15-v11</t>
        </is>
      </c>
      <c r="C21" s="19">
        <f>COUNTIFS(Selections!$G$6:$G$30,"72h-seven-markets-fresh-references-net-ev15-v11")</f>
        <v>3</v>
      </c>
      <c r="D21" s="19">
        <f>(COUNTIFS(Selections!$G$6:$G$30,"72h-seven-markets-fresh-references-net-ev15-v11",Selections!$K$6:$K$30,"WON")+COUNTIFS(Selections!$G$6:$G$30,"72h-seven-markets-fresh-references-net-ev15-v11",Selections!$K$6:$K$30,"LOST"))</f>
        <v>1</v>
      </c>
      <c r="E21" s="19">
        <f>COUNTIFS(Selections!$G$6:$G$30,"72h-seven-markets-fresh-references-net-ev15-v11",Selections!$K$6:$K$30,"WON")</f>
        <v>1</v>
      </c>
      <c r="F21" s="19">
        <f>COUNTIFS(Selections!$G$6:$G$30,"72h-seven-markets-fresh-references-net-ev15-v11",Selections!$K$6:$K$30,"LOST")</f>
        <v>0</v>
      </c>
      <c r="G21" s="19">
        <f>COUNTIFS(Selections!$G$6:$G$30,"72h-seven-markets-fresh-references-net-ev15-v11")-(COUNTIFS(Selections!$G$6:$G$30,"72h-seven-markets-fresh-references-net-ev15-v11",Selections!$K$6:$K$30,"WON")+COUNTIFS(Selections!$G$6:$G$30,"72h-seven-markets-fresh-references-net-ev15-v11",Selections!$K$6:$K$30,"LOST"))</f>
        <v>2</v>
      </c>
      <c r="H21" s="20">
        <f>IF((COUNTIFS(Selections!$G$6:$G$30,"72h-seven-markets-fresh-references-net-ev15-v11",Selections!$K$6:$K$30,"WON")+COUNTIFS(Selections!$G$6:$G$30,"72h-seven-markets-fresh-references-net-ev15-v11",Selections!$K$6:$K$30,"LOST"))=0,"n.a.",COUNTIFS(Selections!$G$6:$G$30,"72h-seven-markets-fresh-references-net-ev15-v11",Selections!$K$6:$K$30,"WON")/(COUNTIFS(Selections!$G$6:$G$30,"72h-seven-markets-fresh-references-net-ev15-v11",Selections!$K$6:$K$30,"WON")+COUNTIFS(Selections!$G$6:$G$30,"72h-seven-markets-fresh-references-net-ev15-v11",Selections!$K$6:$K$30,"LOST")))</f>
        <v>1.0</v>
      </c>
      <c r="I21" s="22">
        <f>SUMIFS(Selections!$M$6:$M$30,Selections!$G$6:$G$30,"72h-seven-markets-fresh-references-net-ev15-v11")</f>
        <v>1</v>
      </c>
      <c r="J21" s="22">
        <f>SUMIFS(Selections!$N$6:$N$30,Selections!$G$6:$G$30,"72h-seven-markets-fresh-references-net-ev15-v11")</f>
        <v>0.5800000000000001</v>
      </c>
      <c r="K21" s="20">
        <f>IF(SUMIFS(Selections!$M$6:$M$30,Selections!$G$6:$G$30,"72h-seven-markets-fresh-references-net-ev15-v11")=0,"n.a.",SUMIFS(Selections!$N$6:$N$30,Selections!$G$6:$G$30,"72h-seven-markets-fresh-references-net-ev15-v11")/SUMIFS(Selections!$M$6:$M$30,Selections!$G$6:$G$30,"72h-seven-markets-fresh-references-net-ev15-v11"))</f>
        <v>0.5800000000000001</v>
      </c>
      <c r="L21" s="21">
        <f>IF(SUMIFS(Selections!$T$6:$T$30,Selections!$G$6:$G$30,"72h-seven-markets-fresh-references-net-ev15-v11")=0,"n.a.",SUMIFS(Selections!$O$6:$O$30,Selections!$G$6:$G$30,"72h-seven-markets-fresh-references-net-ev15-v11")/SUMIFS(Selections!$T$6:$T$30,Selections!$G$6:$G$30,"72h-seven-markets-fresh-references-net-ev15-v11"))</f>
        <v>0.12004824380104485</v>
      </c>
      <c r="M21" s="20">
        <f>IF(SUMIFS(Selections!$T$6:$T$30,Selections!$G$6:$G$30,"72h-seven-markets-fresh-references-net-ev15-v11")=0,"n.a.",SUMIFS(Selections!$S$6:$S$30,Selections!$G$6:$G$30,"72h-seven-markets-fresh-references-net-ev15-v11")/SUMIFS(Selections!$T$6:$T$30,Selections!$G$6:$G$30,"72h-seven-markets-fresh-references-net-ev15-v11"))</f>
        <v>0.6535202115547794</v>
      </c>
      <c r="N21" s="20">
        <f>IF(SUMIFS(Selections!$T$6:$T$30,Selections!$G$6:$G$30,"72h-seven-markets-fresh-references-net-ev15-v11")=0,"n.a.",(SUMIFS(Selections!$L$6:$L$30,Selections!$G$6:$G$30,"72h-seven-markets-fresh-references-net-ev15-v11",Selections!$T$6:$T$30,1))/SUMIFS(Selections!$T$6:$T$30,Selections!$G$6:$G$30,"72h-seven-markets-fresh-references-net-ev15-v11"))</f>
        <v>1.0</v>
      </c>
      <c r="O21" s="20">
        <f>IF(SUMIFS(Selections!$T$6:$T$30,Selections!$G$6:$G$30,"72h-seven-markets-fresh-references-net-ev15-v11")=0,"n.a.",(SUMIFS(Selections!$S$6:$S$30,Selections!$G$6:$G$30,"72h-seven-markets-fresh-references-net-ev15-v11")-(SUMIFS(Selections!$L$6:$L$30,Selections!$G$6:$G$30,"72h-seven-markets-fresh-references-net-ev15-v11",Selections!$T$6:$T$30,1)))/SUMIFS(Selections!$T$6:$T$30,Selections!$G$6:$G$30,"72h-seven-markets-fresh-references-net-ev15-v11"))</f>
        <v>-0.34647978844522065</v>
      </c>
      <c r="P21" s="19">
        <f>SUMIFS(Selections!$T$6:$T$30,Selections!$G$6:$G$30,"72h-seven-markets-fresh-references-net-ev15-v11")</f>
        <v>1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(n=1).</v>
      </c>
      <c r="R21" s="18"/>
    </row>
    <row r="22" ht="36" customHeight="1">
      <c r="A22" s="18" t="inlineStr">
        <is>
          <t>Policy</t>
        </is>
      </c>
      <c r="B22" s="18" t="inlineStr">
        <is>
          <t>72h-six-markets-dc12-probability-odds-net-ev15-v9</t>
        </is>
      </c>
      <c r="C22" s="19">
        <f>COUNTIFS(Selections!$G$6:$G$30,"72h-six-markets-dc12-probability-odds-net-ev15-v9")</f>
        <v>1</v>
      </c>
      <c r="D22" s="19">
        <f>(COUNTIFS(Selections!$G$6:$G$30,"72h-six-markets-dc12-probability-odds-net-ev15-v9",Selections!$K$6:$K$30,"WON")+COUNTIFS(Selections!$G$6:$G$30,"72h-six-markets-dc12-probability-odds-net-ev15-v9",Selections!$K$6:$K$30,"LOST"))</f>
        <v>1</v>
      </c>
      <c r="E22" s="19">
        <f>COUNTIFS(Selections!$G$6:$G$30,"72h-six-markets-dc12-probability-odds-net-ev15-v9",Selections!$K$6:$K$30,"WON")</f>
        <v>1</v>
      </c>
      <c r="F22" s="19">
        <f>COUNTIFS(Selections!$G$6:$G$30,"72h-six-markets-dc12-probability-odds-net-ev15-v9",Selections!$K$6:$K$30,"LOST")</f>
        <v>0</v>
      </c>
      <c r="G22" s="19">
        <f>COUNTIFS(Selections!$G$6:$G$30,"72h-six-markets-dc12-probability-odds-net-ev15-v9")-(COUNTIFS(Selections!$G$6:$G$30,"72h-six-markets-dc12-probability-odds-net-ev15-v9",Selections!$K$6:$K$30,"WON")+COUNTIFS(Selections!$G$6:$G$30,"72h-six-markets-dc12-probability-odds-net-ev15-v9",Selections!$K$6:$K$30,"LOST"))</f>
        <v>0</v>
      </c>
      <c r="H22" s="20">
        <f>IF((COUNTIFS(Selections!$G$6:$G$30,"72h-six-markets-dc12-probability-odds-net-ev15-v9",Selections!$K$6:$K$30,"WON")+COUNTIFS(Selections!$G$6:$G$30,"72h-six-markets-dc12-probability-odds-net-ev15-v9",Selections!$K$6:$K$30,"LOST"))=0,"n.a.",COUNTIFS(Selections!$G$6:$G$30,"72h-six-markets-dc12-probability-odds-net-ev15-v9",Selections!$K$6:$K$30,"WON")/(COUNTIFS(Selections!$G$6:$G$30,"72h-six-markets-dc12-probability-odds-net-ev15-v9",Selections!$K$6:$K$30,"WON")+COUNTIFS(Selections!$G$6:$G$30,"72h-six-markets-dc12-probability-odds-net-ev15-v9",Selections!$K$6:$K$30,"LOST")))</f>
        <v>1.0</v>
      </c>
      <c r="I22" s="22">
        <f>SUMIFS(Selections!$M$6:$M$30,Selections!$G$6:$G$30,"72h-six-markets-dc12-probability-odds-net-ev15-v9")</f>
        <v>1</v>
      </c>
      <c r="J22" s="22">
        <f>SUMIFS(Selections!$N$6:$N$30,Selections!$G$6:$G$30,"72h-six-markets-dc12-probability-odds-net-ev15-v9")</f>
        <v>0.27</v>
      </c>
      <c r="K22" s="20">
        <f>IF(SUMIFS(Selections!$M$6:$M$30,Selections!$G$6:$G$30,"72h-six-markets-dc12-probability-odds-net-ev15-v9")=0,"n.a.",SUMIFS(Selections!$N$6:$N$30,Selections!$G$6:$G$30,"72h-six-markets-dc12-probability-odds-net-ev15-v9")/SUMIFS(Selections!$M$6:$M$30,Selections!$G$6:$G$30,"72h-six-markets-dc12-probability-odds-net-ev15-v9"))</f>
        <v>0.27</v>
      </c>
      <c r="L22" s="21">
        <f>IF(SUMIFS(Selections!$T$6:$T$30,Selections!$G$6:$G$30,"72h-six-markets-dc12-probability-odds-net-ev15-v9")=0,"n.a.",SUMIFS(Selections!$O$6:$O$30,Selections!$G$6:$G$30,"72h-six-markets-dc12-probability-odds-net-ev15-v9")/SUMIFS(Selections!$T$6:$T$30,Selections!$G$6:$G$30,"72h-six-markets-dc12-probability-odds-net-ev15-v9"))</f>
        <v>0.03933741464046248</v>
      </c>
      <c r="M22" s="20">
        <f>IF(SUMIFS(Selections!$T$6:$T$30,Selections!$G$6:$G$30,"72h-six-markets-dc12-probability-odds-net-ev15-v9")=0,"n.a.",SUMIFS(Selections!$S$6:$S$30,Selections!$G$6:$G$30,"72h-six-markets-dc12-probability-odds-net-ev15-v9")/SUMIFS(Selections!$T$6:$T$30,Selections!$G$6:$G$30,"72h-six-markets-dc12-probability-odds-net-ev15-v9"))</f>
        <v>0.8016633804854422</v>
      </c>
      <c r="N22" s="20">
        <f>IF(SUMIFS(Selections!$T$6:$T$30,Selections!$G$6:$G$30,"72h-six-markets-dc12-probability-odds-net-ev15-v9")=0,"n.a.",(SUMIFS(Selections!$L$6:$L$30,Selections!$G$6:$G$30,"72h-six-markets-dc12-probability-odds-net-ev15-v9",Selections!$T$6:$T$30,1))/SUMIFS(Selections!$T$6:$T$30,Selections!$G$6:$G$30,"72h-six-markets-dc12-probability-odds-net-ev15-v9"))</f>
        <v>1.0</v>
      </c>
      <c r="O22" s="20">
        <f>IF(SUMIFS(Selections!$T$6:$T$30,Selections!$G$6:$G$30,"72h-six-markets-dc12-probability-odds-net-ev15-v9")=0,"n.a.",(SUMIFS(Selections!$S$6:$S$30,Selections!$G$6:$G$30,"72h-six-markets-dc12-probability-odds-net-ev15-v9")-(SUMIFS(Selections!$L$6:$L$30,Selections!$G$6:$G$30,"72h-six-markets-dc12-probability-odds-net-ev15-v9",Selections!$T$6:$T$30,1)))/SUMIFS(Selections!$T$6:$T$30,Selections!$G$6:$G$30,"72h-six-markets-dc12-probability-odds-net-ev15-v9"))</f>
        <v>-0.19833661951455783</v>
      </c>
      <c r="P22" s="19">
        <f>SUMIFS(Selections!$T$6:$T$30,Selections!$G$6:$G$30,"72h-six-markets-dc12-probability-odds-net-ev15-v9")</f>
        <v>1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(n=1).</v>
      </c>
      <c r="R22" s="18"/>
    </row>
    <row r="23" ht="36" customHeight="1">
      <c r="A23" s="18" t="inlineStr">
        <is>
          <t>Policy</t>
        </is>
      </c>
      <c r="B23" s="18" t="inlineStr">
        <is>
          <t>72h-ucl-v3</t>
        </is>
      </c>
      <c r="C23" s="19">
        <f>COUNTIFS(Selections!$G$6:$G$30,"72h-ucl-v3")</f>
        <v>8</v>
      </c>
      <c r="D23" s="19">
        <f>(COUNTIFS(Selections!$G$6:$G$30,"72h-ucl-v3",Selections!$K$6:$K$30,"WON")+COUNTIFS(Selections!$G$6:$G$30,"72h-ucl-v3",Selections!$K$6:$K$30,"LOST"))</f>
        <v>6</v>
      </c>
      <c r="E23" s="19">
        <f>COUNTIFS(Selections!$G$6:$G$30,"72h-ucl-v3",Selections!$K$6:$K$30,"WON")</f>
        <v>5</v>
      </c>
      <c r="F23" s="19">
        <f>COUNTIFS(Selections!$G$6:$G$30,"72h-ucl-v3",Selections!$K$6:$K$30,"LOST")</f>
        <v>1</v>
      </c>
      <c r="G23" s="19">
        <f>COUNTIFS(Selections!$G$6:$G$30,"72h-ucl-v3")-(COUNTIFS(Selections!$G$6:$G$30,"72h-ucl-v3",Selections!$K$6:$K$30,"WON")+COUNTIFS(Selections!$G$6:$G$30,"72h-ucl-v3",Selections!$K$6:$K$30,"LOST"))</f>
        <v>2</v>
      </c>
      <c r="H23" s="20">
        <f>IF((COUNTIFS(Selections!$G$6:$G$30,"72h-ucl-v3",Selections!$K$6:$K$30,"WON")+COUNTIFS(Selections!$G$6:$G$30,"72h-ucl-v3",Selections!$K$6:$K$30,"LOST"))=0,"n.a.",COUNTIFS(Selections!$G$6:$G$30,"72h-ucl-v3",Selections!$K$6:$K$30,"WON")/(COUNTIFS(Selections!$G$6:$G$30,"72h-ucl-v3",Selections!$K$6:$K$30,"WON")+COUNTIFS(Selections!$G$6:$G$30,"72h-ucl-v3",Selections!$K$6:$K$30,"LOST")))</f>
        <v>0.8333333333333334</v>
      </c>
      <c r="I23" s="22">
        <f>SUMIFS(Selections!$M$6:$M$30,Selections!$G$6:$G$30,"72h-ucl-v3")</f>
        <v>6</v>
      </c>
      <c r="J23" s="22">
        <f>SUMIFS(Selections!$N$6:$N$30,Selections!$G$6:$G$30,"72h-ucl-v3")</f>
        <v>0.96</v>
      </c>
      <c r="K23" s="20">
        <f>IF(SUMIFS(Selections!$M$6:$M$30,Selections!$G$6:$G$30,"72h-ucl-v3")=0,"n.a.",SUMIFS(Selections!$N$6:$N$30,Selections!$G$6:$G$30,"72h-ucl-v3")/SUMIFS(Selections!$M$6:$M$30,Selections!$G$6:$G$30,"72h-ucl-v3"))</f>
        <v>0.16</v>
      </c>
      <c r="L23" s="21">
        <f>IF(SUMIFS(Selections!$T$6:$T$30,Selections!$G$6:$G$30,"72h-ucl-v3")=0,"n.a.",SUMIFS(Selections!$O$6:$O$30,Selections!$G$6:$G$30,"72h-ucl-v3")/SUMIFS(Selections!$T$6:$T$30,Selections!$G$6:$G$30,"72h-ucl-v3"))</f>
        <v>0.13798221541257352</v>
      </c>
      <c r="M23" s="20">
        <f>IF(SUMIFS(Selections!$T$6:$T$30,Selections!$G$6:$G$30,"72h-ucl-v3")=0,"n.a.",SUMIFS(Selections!$S$6:$S$30,Selections!$G$6:$G$30,"72h-ucl-v3")/SUMIFS(Selections!$T$6:$T$30,Selections!$G$6:$G$30,"72h-ucl-v3"))</f>
        <v>0.7942949268394889</v>
      </c>
      <c r="N23" s="20">
        <f>IF(SUMIFS(Selections!$T$6:$T$30,Selections!$G$6:$G$30,"72h-ucl-v3")=0,"n.a.",(SUMIFS(Selections!$L$6:$L$30,Selections!$G$6:$G$30,"72h-ucl-v3",Selections!$T$6:$T$30,1))/SUMIFS(Selections!$T$6:$T$30,Selections!$G$6:$G$30,"72h-ucl-v3"))</f>
        <v>0.8333333333333334</v>
      </c>
      <c r="O23" s="20">
        <f>IF(SUMIFS(Selections!$T$6:$T$30,Selections!$G$6:$G$30,"72h-ucl-v3")=0,"n.a.",(SUMIFS(Selections!$S$6:$S$30,Selections!$G$6:$G$30,"72h-ucl-v3")-(SUMIFS(Selections!$L$6:$L$30,Selections!$G$6:$G$30,"72h-ucl-v3",Selections!$T$6:$T$30,1)))/SUMIFS(Selections!$T$6:$T$30,Selections!$G$6:$G$30,"72h-ucl-v3"))</f>
        <v>-0.03903840649384449</v>
      </c>
      <c r="P23" s="19">
        <f>SUMIFS(Selections!$T$6:$T$30,Selections!$G$6:$G$30,"72h-ucl-v3")</f>
        <v>6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(n=6).</v>
      </c>
      <c r="R23" s="18"/>
    </row>
    <row r="24" ht="36" customHeight="1">
      <c r="A24" s="18" t="inlineStr">
        <is>
          <t>Policy</t>
        </is>
      </c>
      <c r="B24" s="18" t="inlineStr">
        <is>
          <t>legacy/unspecified</t>
        </is>
      </c>
      <c r="C24" s="19">
        <f>COUNTIFS(Selections!$G$6:$G$30,"legacy/unspecified")</f>
        <v>11</v>
      </c>
      <c r="D24" s="19">
        <f>(COUNTIFS(Selections!$G$6:$G$30,"legacy/unspecified",Selections!$K$6:$K$30,"WON")+COUNTIFS(Selections!$G$6:$G$30,"legacy/unspecified",Selections!$K$6:$K$30,"LOST"))</f>
        <v>8</v>
      </c>
      <c r="E24" s="19">
        <f>COUNTIFS(Selections!$G$6:$G$30,"legacy/unspecified",Selections!$K$6:$K$30,"WON")</f>
        <v>6</v>
      </c>
      <c r="F24" s="19">
        <f>COUNTIFS(Selections!$G$6:$G$30,"legacy/unspecified",Selections!$K$6:$K$30,"LOST")</f>
        <v>2</v>
      </c>
      <c r="G24" s="19">
        <f>COUNTIFS(Selections!$G$6:$G$30,"legacy/unspecified")-(COUNTIFS(Selections!$G$6:$G$30,"legacy/unspecified",Selections!$K$6:$K$30,"WON")+COUNTIFS(Selections!$G$6:$G$30,"legacy/unspecified",Selections!$K$6:$K$30,"LOST"))</f>
        <v>3</v>
      </c>
      <c r="H24" s="20">
        <f>IF((COUNTIFS(Selections!$G$6:$G$30,"legacy/unspecified",Selections!$K$6:$K$30,"WON")+COUNTIFS(Selections!$G$6:$G$30,"legacy/unspecified",Selections!$K$6:$K$30,"LOST"))=0,"n.a.",COUNTIFS(Selections!$G$6:$G$30,"legacy/unspecified",Selections!$K$6:$K$30,"WON")/(COUNTIFS(Selections!$G$6:$G$30,"legacy/unspecified",Selections!$K$6:$K$30,"WON")+COUNTIFS(Selections!$G$6:$G$30,"legacy/unspecified",Selections!$K$6:$K$30,"LOST")))</f>
        <v>0.75</v>
      </c>
      <c r="I24" s="22">
        <f>SUMIFS(Selections!$M$6:$M$30,Selections!$G$6:$G$30,"legacy/unspecified")</f>
        <v>8</v>
      </c>
      <c r="J24" s="22">
        <f>SUMIFS(Selections!$N$6:$N$30,Selections!$G$6:$G$30,"legacy/unspecified")</f>
        <v>-0.10000000000000009</v>
      </c>
      <c r="K24" s="20">
        <f>IF(SUMIFS(Selections!$M$6:$M$30,Selections!$G$6:$G$30,"legacy/unspecified")=0,"n.a.",SUMIFS(Selections!$N$6:$N$30,Selections!$G$6:$G$30,"legacy/unspecified")/SUMIFS(Selections!$M$6:$M$30,Selections!$G$6:$G$30,"legacy/unspecified"))</f>
        <v>-0.012500000000000011</v>
      </c>
      <c r="L24" s="21">
        <f>IF(SUMIFS(Selections!$T$6:$T$30,Selections!$G$6:$G$30,"legacy/unspecified")=0,"n.a.",SUMIFS(Selections!$O$6:$O$30,Selections!$G$6:$G$30,"legacy/unspecified")/SUMIFS(Selections!$T$6:$T$30,Selections!$G$6:$G$30,"legacy/unspecified"))</f>
        <v>0.1999795777060718</v>
      </c>
      <c r="M24" s="20">
        <f>IF(SUMIFS(Selections!$T$6:$T$30,Selections!$G$6:$G$30,"legacy/unspecified")=0,"n.a.",SUMIFS(Selections!$S$6:$S$30,Selections!$G$6:$G$30,"legacy/unspecified")/SUMIFS(Selections!$T$6:$T$30,Selections!$G$6:$G$30,"legacy/unspecified"))</f>
        <v>0.8359170045169729</v>
      </c>
      <c r="N24" s="20">
        <f>IF(SUMIFS(Selections!$T$6:$T$30,Selections!$G$6:$G$30,"legacy/unspecified")=0,"n.a.",(SUMIFS(Selections!$L$6:$L$30,Selections!$G$6:$G$30,"legacy/unspecified",Selections!$T$6:$T$30,1))/SUMIFS(Selections!$T$6:$T$30,Selections!$G$6:$G$30,"legacy/unspecified"))</f>
        <v>0.75</v>
      </c>
      <c r="O24" s="20">
        <f>IF(SUMIFS(Selections!$T$6:$T$30,Selections!$G$6:$G$30,"legacy/unspecified")=0,"n.a.",(SUMIFS(Selections!$S$6:$S$30,Selections!$G$6:$G$30,"legacy/unspecified")-(SUMIFS(Selections!$L$6:$L$30,Selections!$G$6:$G$30,"legacy/unspecified",Selections!$T$6:$T$30,1)))/SUMIFS(Selections!$T$6:$T$30,Selections!$G$6:$G$30,"legacy/unspecified"))</f>
        <v>0.08591700451697293</v>
      </c>
      <c r="P24" s="19">
        <f>SUMIFS(Selections!$T$6:$T$30,Selections!$G$6:$G$30,"legacy/unspecified")</f>
        <v>8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(n=8).</v>
      </c>
      <c r="R24" s="18"/>
    </row>
    <row r="25" ht="36" customHeight="1">
      <c r="A25" s="18" t="inlineStr">
        <is>
          <t>Week</t>
        </is>
      </c>
      <c r="B25" s="18" t="inlineStr">
        <is>
          <t>2026-W41</t>
        </is>
      </c>
      <c r="C25" s="19">
        <f>COUNTIFS(Selections!$P$6:$P$30,"2026-W41")</f>
        <v>5</v>
      </c>
      <c r="D25" s="19">
        <f>(COUNTIFS(Selections!$P$6:$P$30,"2026-W41",Selections!$K$6:$K$30,"WON")+COUNTIFS(Selections!$P$6:$P$30,"2026-W41",Selections!$K$6:$K$30,"LOST"))</f>
        <v>4</v>
      </c>
      <c r="E25" s="19">
        <f>COUNTIFS(Selections!$P$6:$P$30,"2026-W41",Selections!$K$6:$K$30,"WON")</f>
        <v>2</v>
      </c>
      <c r="F25" s="19">
        <f>COUNTIFS(Selections!$P$6:$P$30,"2026-W41",Selections!$K$6:$K$30,"LOST")</f>
        <v>2</v>
      </c>
      <c r="G25" s="19">
        <f>COUNTIFS(Selections!$P$6:$P$30,"2026-W41")-(COUNTIFS(Selections!$P$6:$P$30,"2026-W41",Selections!$K$6:$K$30,"WON")+COUNTIFS(Selections!$P$6:$P$30,"2026-W41",Selections!$K$6:$K$30,"LOST"))</f>
        <v>1</v>
      </c>
      <c r="H25" s="20">
        <f>IF((COUNTIFS(Selections!$P$6:$P$30,"2026-W41",Selections!$K$6:$K$30,"WON")+COUNTIFS(Selections!$P$6:$P$30,"2026-W41",Selections!$K$6:$K$30,"LOST"))=0,"n.a.",COUNTIFS(Selections!$P$6:$P$30,"2026-W41",Selections!$K$6:$K$30,"WON")/(COUNTIFS(Selections!$P$6:$P$30,"2026-W41",Selections!$K$6:$K$30,"WON")+COUNTIFS(Selections!$P$6:$P$30,"2026-W41",Selections!$K$6:$K$30,"LOST")))</f>
        <v>0.5</v>
      </c>
      <c r="I25" s="22">
        <f>SUMIFS(Selections!$M$6:$M$30,Selections!$P$6:$P$30,"2026-W41")</f>
        <v>4</v>
      </c>
      <c r="J25" s="22">
        <f>SUMIFS(Selections!$N$6:$N$30,Selections!$P$6:$P$30,"2026-W41")</f>
        <v>-1.48</v>
      </c>
      <c r="K25" s="20">
        <f>IF(SUMIFS(Selections!$M$6:$M$30,Selections!$P$6:$P$30,"2026-W41")=0,"n.a.",SUMIFS(Selections!$N$6:$N$30,Selections!$P$6:$P$30,"2026-W41")/SUMIFS(Selections!$M$6:$M$30,Selections!$P$6:$P$30,"2026-W41"))</f>
        <v>-0.37</v>
      </c>
      <c r="L25" s="21">
        <f>IF(SUMIFS(Selections!$T$6:$T$30,Selections!$P$6:$P$30,"2026-W41")=0,"n.a.",SUMIFS(Selections!$O$6:$O$30,Selections!$P$6:$P$30,"2026-W41")/SUMIFS(Selections!$T$6:$T$30,Selections!$P$6:$P$30,"2026-W41"))</f>
        <v>0.32911599206243786</v>
      </c>
      <c r="M25" s="20">
        <f>IF(SUMIFS(Selections!$T$6:$T$30,Selections!$P$6:$P$30,"2026-W41")=0,"n.a.",SUMIFS(Selections!$S$6:$S$30,Selections!$P$6:$P$30,"2026-W41")/SUMIFS(Selections!$T$6:$T$30,Selections!$P$6:$P$30,"2026-W41"))</f>
        <v>0.8211485691621172</v>
      </c>
      <c r="N25" s="20">
        <f>IF(SUMIFS(Selections!$T$6:$T$30,Selections!$P$6:$P$30,"2026-W41")=0,"n.a.",(SUMIFS(Selections!$L$6:$L$30,Selections!$P$6:$P$30,"2026-W41",Selections!$T$6:$T$30,1))/SUMIFS(Selections!$T$6:$T$30,Selections!$P$6:$P$30,"2026-W41"))</f>
        <v>0.5</v>
      </c>
      <c r="O25" s="20">
        <f>IF(SUMIFS(Selections!$T$6:$T$30,Selections!$P$6:$P$30,"2026-W41")=0,"n.a.",(SUMIFS(Selections!$S$6:$S$30,Selections!$P$6:$P$30,"2026-W41")-(SUMIFS(Selections!$L$6:$L$30,Selections!$P$6:$P$30,"2026-W41",Selections!$T$6:$T$30,1)))/SUMIFS(Selections!$T$6:$T$30,Selections!$P$6:$P$30,"2026-W41"))</f>
        <v>0.3211485691621172</v>
      </c>
      <c r="P25" s="19">
        <f>SUMIFS(Selections!$T$6:$T$30,Selections!$P$6:$P$30,"2026-W41")</f>
        <v>4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(n=4).</v>
      </c>
      <c r="R25" s="18"/>
    </row>
    <row r="26" ht="36" customHeight="1">
      <c r="A26" s="18" t="inlineStr">
        <is>
          <t>Week</t>
        </is>
      </c>
      <c r="B26" s="18" t="inlineStr">
        <is>
          <t>2026-W42</t>
        </is>
      </c>
      <c r="C26" s="19">
        <f>COUNTIFS(Selections!$P$6:$P$30,"2026-W42")</f>
        <v>18</v>
      </c>
      <c r="D26" s="19">
        <f>(COUNTIFS(Selections!$P$6:$P$30,"2026-W42",Selections!$K$6:$K$30,"WON")+COUNTIFS(Selections!$P$6:$P$30,"2026-W42",Selections!$K$6:$K$30,"LOST"))</f>
        <v>14</v>
      </c>
      <c r="E26" s="19">
        <f>COUNTIFS(Selections!$P$6:$P$30,"2026-W42",Selections!$K$6:$K$30,"WON")</f>
        <v>12</v>
      </c>
      <c r="F26" s="19">
        <f>COUNTIFS(Selections!$P$6:$P$30,"2026-W42",Selections!$K$6:$K$30,"LOST")</f>
        <v>2</v>
      </c>
      <c r="G26" s="19">
        <f>COUNTIFS(Selections!$P$6:$P$30,"2026-W42")-(COUNTIFS(Selections!$P$6:$P$30,"2026-W42",Selections!$K$6:$K$30,"WON")+COUNTIFS(Selections!$P$6:$P$30,"2026-W42",Selections!$K$6:$K$30,"LOST"))</f>
        <v>4</v>
      </c>
      <c r="H26" s="20">
        <f>IF((COUNTIFS(Selections!$P$6:$P$30,"2026-W42",Selections!$K$6:$K$30,"WON")+COUNTIFS(Selections!$P$6:$P$30,"2026-W42",Selections!$K$6:$K$30,"LOST"))=0,"n.a.",COUNTIFS(Selections!$P$6:$P$30,"2026-W42",Selections!$K$6:$K$30,"WON")/(COUNTIFS(Selections!$P$6:$P$30,"2026-W42",Selections!$K$6:$K$30,"WON")+COUNTIFS(Selections!$P$6:$P$30,"2026-W42",Selections!$K$6:$K$30,"LOST")))</f>
        <v>0.8571428571428571</v>
      </c>
      <c r="I26" s="22">
        <f>SUMIFS(Selections!$M$6:$M$30,Selections!$P$6:$P$30,"2026-W42")</f>
        <v>14</v>
      </c>
      <c r="J26" s="22">
        <f>SUMIFS(Selections!$N$6:$N$30,Selections!$P$6:$P$30,"2026-W42")</f>
        <v>2.46</v>
      </c>
      <c r="K26" s="20">
        <f>IF(SUMIFS(Selections!$M$6:$M$30,Selections!$P$6:$P$30,"2026-W42")=0,"n.a.",SUMIFS(Selections!$N$6:$N$30,Selections!$P$6:$P$30,"2026-W42")/SUMIFS(Selections!$M$6:$M$30,Selections!$P$6:$P$30,"2026-W42"))</f>
        <v>0.1757142857142857</v>
      </c>
      <c r="L26" s="21">
        <f>IF(SUMIFS(Selections!$T$6:$T$30,Selections!$P$6:$P$30,"2026-W42")=0,"n.a.",SUMIFS(Selections!$O$6:$O$30,Selections!$P$6:$P$30,"2026-W42")/SUMIFS(Selections!$T$6:$T$30,Selections!$P$6:$P$30,"2026-W42"))</f>
        <v>0.12353280904523778</v>
      </c>
      <c r="M26" s="20">
        <f>IF(SUMIFS(Selections!$T$6:$T$30,Selections!$P$6:$P$30,"2026-W42")=0,"n.a.",SUMIFS(Selections!$S$6:$S$30,Selections!$P$6:$P$30,"2026-W42")/SUMIFS(Selections!$T$6:$T$30,Selections!$P$6:$P$30,"2026-W42"))</f>
        <v>0.7952204451144885</v>
      </c>
      <c r="N26" s="20">
        <f>IF(SUMIFS(Selections!$T$6:$T$30,Selections!$P$6:$P$30,"2026-W42")=0,"n.a.",(SUMIFS(Selections!$L$6:$L$30,Selections!$P$6:$P$30,"2026-W42",Selections!$T$6:$T$30,1))/SUMIFS(Selections!$T$6:$T$30,Selections!$P$6:$P$30,"2026-W42"))</f>
        <v>0.8571428571428571</v>
      </c>
      <c r="O26" s="20">
        <f>IF(SUMIFS(Selections!$T$6:$T$30,Selections!$P$6:$P$30,"2026-W42")=0,"n.a.",(SUMIFS(Selections!$S$6:$S$30,Selections!$P$6:$P$30,"2026-W42")-(SUMIFS(Selections!$L$6:$L$30,Selections!$P$6:$P$30,"2026-W42",Selections!$T$6:$T$30,1)))/SUMIFS(Selections!$T$6:$T$30,Selections!$P$6:$P$30,"2026-W42"))</f>
        <v>-0.06192241202836857</v>
      </c>
      <c r="P26" s="19">
        <f>SUMIFS(Selections!$T$6:$T$30,Selections!$P$6:$P$30,"2026-W42")</f>
        <v>14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(n=14).</v>
      </c>
      <c r="R26" s="18"/>
    </row>
    <row r="27" ht="36" customHeight="1">
      <c r="A27" s="18" t="inlineStr">
        <is>
          <t>Week</t>
        </is>
      </c>
      <c r="B27" s="18" t="inlineStr">
        <is>
          <t>2026-W43</t>
        </is>
      </c>
      <c r="C27" s="19">
        <f>COUNTIFS(Selections!$P$6:$P$30,"2026-W43")</f>
        <v>2</v>
      </c>
      <c r="D27" s="19">
        <f>(COUNTIFS(Selections!$P$6:$P$30,"2026-W43",Selections!$K$6:$K$30,"WON")+COUNTIFS(Selections!$P$6:$P$30,"2026-W43",Selections!$K$6:$K$30,"LOST"))</f>
        <v>0</v>
      </c>
      <c r="E27" s="19">
        <f>COUNTIFS(Selections!$P$6:$P$30,"2026-W43",Selections!$K$6:$K$30,"WON")</f>
        <v>0</v>
      </c>
      <c r="F27" s="19">
        <f>COUNTIFS(Selections!$P$6:$P$30,"2026-W43",Selections!$K$6:$K$30,"LOST")</f>
        <v>0</v>
      </c>
      <c r="G27" s="19">
        <f>COUNTIFS(Selections!$P$6:$P$30,"2026-W43")-(COUNTIFS(Selections!$P$6:$P$30,"2026-W43",Selections!$K$6:$K$30,"WON")+COUNTIFS(Selections!$P$6:$P$30,"2026-W43",Selections!$K$6:$K$30,"LOST"))</f>
        <v>2</v>
      </c>
      <c r="H27" s="20" t="str">
        <f>IF((COUNTIFS(Selections!$P$6:$P$30,"2026-W43",Selections!$K$6:$K$30,"WON")+COUNTIFS(Selections!$P$6:$P$30,"2026-W43",Selections!$K$6:$K$30,"LOST"))=0,"n.a.",COUNTIFS(Selections!$P$6:$P$30,"2026-W43",Selections!$K$6:$K$30,"WON")/(COUNTIFS(Selections!$P$6:$P$30,"2026-W43",Selections!$K$6:$K$30,"WON")+COUNTIFS(Selections!$P$6:$P$30,"2026-W43",Selections!$K$6:$K$30,"LOST")))</f>
        <v>n.a.</v>
      </c>
      <c r="I27" s="22">
        <f>SUMIFS(Selections!$M$6:$M$30,Selections!$P$6:$P$30,"2026-W43")</f>
        <v>0</v>
      </c>
      <c r="J27" s="22">
        <f>SUMIFS(Selections!$N$6:$N$30,Selections!$P$6:$P$30,"2026-W43")</f>
        <v>0</v>
      </c>
      <c r="K27" s="20" t="str">
        <f>IF(SUMIFS(Selections!$M$6:$M$30,Selections!$P$6:$P$30,"2026-W43")=0,"n.a.",SUMIFS(Selections!$N$6:$N$30,Selections!$P$6:$P$30,"2026-W43")/SUMIFS(Selections!$M$6:$M$30,Selections!$P$6:$P$30,"2026-W43"))</f>
        <v>n.a.</v>
      </c>
      <c r="L27" s="21" t="str">
        <f>IF(SUMIFS(Selections!$T$6:$T$30,Selections!$P$6:$P$30,"2026-W43")=0,"n.a.",SUMIFS(Selections!$O$6:$O$30,Selections!$P$6:$P$30,"2026-W43")/SUMIFS(Selections!$T$6:$T$30,Selections!$P$6:$P$30,"2026-W43"))</f>
        <v>n.a.</v>
      </c>
      <c r="M27" s="20" t="str">
        <f>IF(SUMIFS(Selections!$T$6:$T$30,Selections!$P$6:$P$30,"2026-W43")=0,"n.a.",SUMIFS(Selections!$S$6:$S$30,Selections!$P$6:$P$30,"2026-W43")/SUMIFS(Selections!$T$6:$T$30,Selections!$P$6:$P$30,"2026-W43"))</f>
        <v>n.a.</v>
      </c>
      <c r="N27" s="20" t="str">
        <f>IF(SUMIFS(Selections!$T$6:$T$30,Selections!$P$6:$P$30,"2026-W43")=0,"n.a.",(SUMIFS(Selections!$L$6:$L$30,Selections!$P$6:$P$30,"2026-W43",Selections!$T$6:$T$30,1))/SUMIFS(Selections!$T$6:$T$30,Selections!$P$6:$P$30,"2026-W43"))</f>
        <v>n.a.</v>
      </c>
      <c r="O27" s="20" t="str">
        <f>IF(SUMIFS(Selections!$T$6:$T$30,Selections!$P$6:$P$30,"2026-W43")=0,"n.a.",(SUMIFS(Selections!$S$6:$S$30,Selections!$P$6:$P$30,"2026-W43")-(SUMIFS(Selections!$L$6:$L$30,Selections!$P$6:$P$30,"2026-W43",Selections!$T$6:$T$30,1)))/SUMIFS(Selections!$T$6:$T$30,Selections!$P$6:$P$30,"2026-W43"))</f>
        <v>n.a.</v>
      </c>
      <c r="P27" s="19">
        <f>SUMIFS(Selections!$T$6:$T$30,Selections!$P$6:$P$30,"2026-W43")</f>
        <v>0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(n=0).</v>
      </c>
      <c r="R27" s="18"/>
    </row>
  </sheetData>
  <mergeCells count="2">
    <mergeCell ref="A2:Q2"/>
    <mergeCell ref="A4:Q4"/>
  </mergeCells>
  <conditionalFormatting sqref="K6:K27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COUNTIFS(Selections!$S$6:$S$30,"&gt;="&amp;B6,Selections!$S$6:$S$30,"&lt;"&amp;C6,Selections!$T$6:$T$30,1)</f>
        <v>0</v>
      </c>
      <c r="E6" s="20" t="str">
        <f>IF(D6=0,"n.a.",SUMIFS(Selections!$S$6:$S$30,Selections!$S$6:$S$30,"&gt;="&amp;B6,Selections!$S$6:$S$30,"&lt;"&amp;C6,Selections!$T$6:$T$30,1)/D6)</f>
        <v>n.a.</v>
      </c>
      <c r="F6" s="20" t="str">
        <f>IF(D6=0,"n.a.",SUMIFS(Selections!$L$6:$L$30,Selections!$S$6:$S$30,"&gt;="&amp;B6,Selections!$S$6:$S$30,"&lt;"&amp;C6,Selections!$T$6:$T$30,1)/D6)</f>
        <v>n.a.</v>
      </c>
      <c r="G6" s="20" t="str">
        <f>IF(D6=0,"n.a.",E6-F6)</f>
        <v>n.a.</v>
      </c>
      <c r="H6" s="21" t="str">
        <f>IF(D6=0,"n.a.",SUMIFS(Selections!$O$6:$O$30,Selections!$S$6:$S$30,"&gt;="&amp;B6,Selections!$S$6:$S$30,"&lt;"&amp;C6,Selections!$T$6:$T$30,1)/D6)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COUNTIFS(Selections!$S$6:$S$30,"&gt;="&amp;B7,Selections!$S$6:$S$30,"&lt;"&amp;C7,Selections!$T$6:$T$30,1)</f>
        <v>0</v>
      </c>
      <c r="E7" s="20" t="str">
        <f>IF(D7=0,"n.a.",SUMIFS(Selections!$S$6:$S$30,Selections!$S$6:$S$30,"&gt;="&amp;B7,Selections!$S$6:$S$30,"&lt;"&amp;C7,Selections!$T$6:$T$30,1)/D7)</f>
        <v>n.a.</v>
      </c>
      <c r="F7" s="20" t="str">
        <f>IF(D7=0,"n.a.",SUMIFS(Selections!$L$6:$L$30,Selections!$S$6:$S$30,"&gt;="&amp;B7,Selections!$S$6:$S$30,"&lt;"&amp;C7,Selections!$T$6:$T$30,1)/D7)</f>
        <v>n.a.</v>
      </c>
      <c r="G7" s="20" t="str">
        <f>IF(D7=0,"n.a.",E7-F7)</f>
        <v>n.a.</v>
      </c>
      <c r="H7" s="21" t="str">
        <f>IF(D7=0,"n.a.",SUMIFS(Selections!$O$6:$O$30,Selections!$S$6:$S$30,"&gt;="&amp;B7,Selections!$S$6:$S$30,"&lt;"&amp;C7,Selections!$T$6:$T$30,1)/D7)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COUNTIFS(Selections!$S$6:$S$30,"&gt;="&amp;B8,Selections!$S$6:$S$30,"&lt;"&amp;C8,Selections!$T$6:$T$30,1)</f>
        <v>4</v>
      </c>
      <c r="E8" s="20">
        <f>IF(D8=0,"n.a.",SUMIFS(Selections!$S$6:$S$30,Selections!$S$6:$S$30,"&gt;="&amp;B8,Selections!$S$6:$S$30,"&lt;"&amp;C8,Selections!$T$6:$T$30,1)/D8)</f>
        <v>0.6649168259093771</v>
      </c>
      <c r="F8" s="20">
        <f>IF(D8=0,"n.a.",SUMIFS(Selections!$L$6:$L$30,Selections!$S$6:$S$30,"&gt;="&amp;B8,Selections!$S$6:$S$30,"&lt;"&amp;C8,Selections!$T$6:$T$30,1)/D8)</f>
        <v>0.75</v>
      </c>
      <c r="G8" s="20">
        <f>IF(D8=0,"n.a.",E8-F8)</f>
        <v>-0.08508317409062294</v>
      </c>
      <c r="H8" s="21">
        <f>IF(D8=0,"n.a.",SUMIFS(Selections!$O$6:$O$30,Selections!$S$6:$S$30,"&gt;="&amp;B8,Selections!$S$6:$S$30,"&lt;"&amp;C8,Selections!$T$6:$T$30,1)/D8)</f>
        <v>0.19255612510619513</v>
      </c>
      <c r="I8" s="18" t="inlineStr">
        <is>
          <t>Collect more scored forecasts (n=4).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COUNTIFS(Selections!$S$6:$S$30,"&gt;="&amp;B9,Selections!$S$6:$S$30,"&lt;"&amp;C9,Selections!$T$6:$T$30,1)</f>
        <v>4</v>
      </c>
      <c r="E9" s="20">
        <f>IF(D9=0,"n.a.",SUMIFS(Selections!$S$6:$S$30,Selections!$S$6:$S$30,"&gt;="&amp;B9,Selections!$S$6:$S$30,"&lt;"&amp;C9,Selections!$T$6:$T$30,1)/D9)</f>
        <v>0.7598033602744063</v>
      </c>
      <c r="F9" s="20">
        <f>IF(D9=0,"n.a.",SUMIFS(Selections!$L$6:$L$30,Selections!$S$6:$S$30,"&gt;="&amp;B9,Selections!$S$6:$S$30,"&lt;"&amp;C9,Selections!$T$6:$T$30,1)/D9)</f>
        <v>0.75</v>
      </c>
      <c r="G9" s="20">
        <f>IF(D9=0,"n.a.",E9-F9)</f>
        <v>0.009803360274406314</v>
      </c>
      <c r="H9" s="21">
        <f>IF(D9=0,"n.a.",SUMIFS(Selections!$O$6:$O$30,Selections!$S$6:$S$30,"&gt;="&amp;B9,Selections!$S$6:$S$30,"&lt;"&amp;C9,Selections!$T$6:$T$30,1)/D9)</f>
        <v>0.18645173019771322</v>
      </c>
      <c r="I9" s="18" t="inlineStr">
        <is>
          <t>Collect more scored forecasts (n=4).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COUNTIFS(Selections!$S$6:$S$30,"&gt;="&amp;B10,Selections!$S$6:$S$30,"&lt;"&amp;C10,Selections!$T$6:$T$30,1)</f>
        <v>6</v>
      </c>
      <c r="E10" s="20">
        <f>IF(D10=0,"n.a.",SUMIFS(Selections!$S$6:$S$30,Selections!$S$6:$S$30,"&gt;="&amp;B10,Selections!$S$6:$S$30,"&lt;"&amp;C10,Selections!$T$6:$T$30,1)/D10)</f>
        <v>0.8371222720964511</v>
      </c>
      <c r="F10" s="20">
        <f>IF(D10=0,"n.a.",SUMIFS(Selections!$L$6:$L$30,Selections!$S$6:$S$30,"&gt;="&amp;B10,Selections!$S$6:$S$30,"&lt;"&amp;C10,Selections!$T$6:$T$30,1)/D10)</f>
        <v>0.6666666666666666</v>
      </c>
      <c r="G10" s="20">
        <f>IF(D10=0,"n.a.",E10-F10)</f>
        <v>0.17045560542978444</v>
      </c>
      <c r="H10" s="21">
        <f>IF(D10=0,"n.a.",SUMIFS(Selections!$O$6:$O$30,Selections!$S$6:$S$30,"&gt;="&amp;B10,Selections!$S$6:$S$30,"&lt;"&amp;C10,Selections!$T$6:$T$30,1)/D10)</f>
        <v>0.2510357703314588</v>
      </c>
      <c r="I10" s="18" t="inlineStr">
        <is>
          <t>Collect more scored forecasts (n=6).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COUNTIFS(Selections!$S$6:$S$30,"&gt;="&amp;B11,Selections!$S$6:$S$30,"&lt;"&amp;C11,Selections!$T$6:$T$30,1)</f>
        <v>4</v>
      </c>
      <c r="E11" s="20">
        <f>IF(D11=0,"n.a.",SUMIFS(Selections!$S$6:$S$30,Selections!$S$6:$S$30,"&gt;="&amp;B11,Selections!$S$6:$S$30,"&lt;"&amp;C11,Selections!$T$6:$T$30,1)/D11)</f>
        <v>0.924016532734367</v>
      </c>
      <c r="F11" s="20">
        <f>IF(D11=0,"n.a.",SUMIFS(Selections!$L$6:$L$30,Selections!$S$6:$S$30,"&gt;="&amp;B11,Selections!$S$6:$S$30,"&lt;"&amp;C11,Selections!$T$6:$T$30,1)/D11)</f>
        <v>1.0</v>
      </c>
      <c r="G11" s="20">
        <f>IF(D11=0,"n.a.",E11-F11)</f>
        <v>-0.07598346726563299</v>
      </c>
      <c r="H11" s="21">
        <f>IF(D11=0,"n.a.",SUMIFS(Selections!$O$6:$O$30,Selections!$S$6:$S$30,"&gt;="&amp;B11,Selections!$S$6:$S$30,"&lt;"&amp;C11,Selections!$T$6:$T$30,1)/D11)</f>
        <v>0.005919312919673602</v>
      </c>
      <c r="I11" s="18" t="inlineStr">
        <is>
          <t>Collect more scored forecasts (n=4).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Frozen selections. Technical fields are grouped; expand them for source details. Kickoff times are UTC.</t>
        </is>
      </c>
      <c r="B4" s="27" t="inlineStr">
        <is>
          <t>Frozen selections. Technical fields are grouped; expand them for source details. Kickoff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0.8013506483291103</v>
      </c>
      <c r="I6" s="22">
        <v>1.35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a2cdead106b513fd623cffd1e43a491685d68cc3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0.755121820396422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0.5702089636388061</v>
      </c>
      <c r="P7" s="18" t="inlineStr">
        <is>
          <t>2026-W41</t>
        </is>
      </c>
      <c r="Q7" s="18" t="inlineStr">
        <is>
          <t>a2cdead106b513fd623cffd1e43a491685d68cc3</t>
        </is>
      </c>
      <c r="R7" s="18" t="inlineStr">
        <is>
          <t>football-data.org/v4</t>
        </is>
      </c>
      <c r="S7" s="20">
        <f>IF(AND(ISNUMBER(L7),ISNUMBER(H7)),H7,"")</f>
        <v>0.755121820396422</v>
      </c>
      <c r="T7" s="19">
        <f>IF(AND(ISNUMBER(L7),ISNUMBER(H7)),1,0)</f>
        <v>1</v>
      </c>
      <c r="U7" s="22">
        <v>0.0</v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legacy/unspecified</t>
        </is>
      </c>
      <c r="H8" s="20">
        <v>0.8334995781310042</v>
      </c>
      <c r="I8" s="22">
        <v>1.32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0.6947215467445619</v>
      </c>
      <c r="P8" s="18" t="inlineStr">
        <is>
          <t>2026-W41</t>
        </is>
      </c>
      <c r="Q8" s="18" t="inlineStr">
        <is>
          <t>bdc690a8c70643c93f1595d53c067b7d91325270</t>
        </is>
      </c>
      <c r="R8" s="18" t="inlineStr">
        <is>
          <t>football-data.org/v4</t>
        </is>
      </c>
      <c r="S8" s="20">
        <f>IF(AND(ISNUMBER(L8),ISNUMBER(H8)),H8,"")</f>
        <v>0.8334995781310042</v>
      </c>
      <c r="T8" s="19">
        <f>IF(AND(ISNUMBER(L8),ISNUMBER(H8)),1,0)</f>
        <v>1</v>
      </c>
      <c r="U8" s="22">
        <v>0.0</v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legacy/unspecified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bdc690a8c70643c93f1595d53c067b7d91325270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legacy/unspecified</t>
        </is>
      </c>
      <c r="H10" s="20">
        <v>0.8995481130412133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0.010090581593580863</v>
      </c>
      <c r="P10" s="18" t="inlineStr">
        <is>
          <t>2026-W41</t>
        </is>
      </c>
      <c r="Q10" s="18" t="inlineStr">
        <is>
          <t>bdc690a8c70643c93f1595d53c067b7d91325270</t>
        </is>
      </c>
      <c r="R10" s="18" t="inlineStr">
        <is>
          <t>football-data.org/v4</t>
        </is>
      </c>
      <c r="S10" s="20">
        <f>IF(AND(ISNUMBER(L10),ISNUMBER(H10)),H10,"")</f>
        <v>0.8995481130412133</v>
      </c>
      <c r="T10" s="19">
        <f>IF(AND(ISNUMBER(L10),ISNUMBER(H10)),1,0)</f>
        <v>1</v>
      </c>
      <c r="U10" s="22">
        <v>0.0</v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legacy/unspecified</t>
        </is>
      </c>
      <c r="H11" s="20">
        <v>0.6822834074295536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0.10094383319457502</v>
      </c>
      <c r="P11" s="18" t="inlineStr">
        <is>
          <t>2026-W42</t>
        </is>
      </c>
      <c r="Q11" s="18" t="inlineStr">
        <is>
          <t>bdc690a8c70643c93f1595d53c067b7d91325270</t>
        </is>
      </c>
      <c r="R11" s="18" t="inlineStr">
        <is>
          <t>football-data.org/v4</t>
        </is>
      </c>
      <c r="S11" s="20">
        <f>IF(AND(ISNUMBER(L11),ISNUMBER(H11)),H11,"")</f>
        <v>0.6822834074295536</v>
      </c>
      <c r="T11" s="19">
        <f>IF(AND(ISNUMBER(L11),ISNUMBER(H11)),1,0)</f>
        <v>1</v>
      </c>
      <c r="U11" s="22">
        <v>0.0</v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0.7819939798559531</v>
      </c>
      <c r="I12" s="22">
        <v>1.34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0.3400000000000001</v>
      </c>
      <c r="O12" s="21">
        <f>IF(AND(ISNUMBER(L12),ISNUMBER(H12)),(H12-L12)^2,"")</f>
        <v>0.047526624819046584</v>
      </c>
      <c r="P12" s="18" t="inlineStr">
        <is>
          <t>2026-W42</t>
        </is>
      </c>
      <c r="Q12" s="18" t="inlineStr">
        <is>
          <t>a2cdead106b513fd623cffd1e43a491685d68cc3</t>
        </is>
      </c>
      <c r="R12" s="18" t="inlineStr">
        <is>
          <t>football-data.org/v4</t>
        </is>
      </c>
      <c r="S12" s="20">
        <f>IF(AND(ISNUMBER(L12),ISNUMBER(H12)),H12,"")</f>
        <v>0.7819939798559531</v>
      </c>
      <c r="T12" s="19">
        <f>IF(AND(ISNUMBER(L12),ISNUMBER(H12)),1,0)</f>
        <v>1</v>
      </c>
      <c r="U12" s="22">
        <v>0.0</v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legacy/unspecified</t>
        </is>
      </c>
      <c r="H13" s="20">
        <v>0.8367553324728108</v>
      </c>
      <c r="I13" s="22">
        <v>1.5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0.700159486421684</v>
      </c>
      <c r="P13" s="18" t="inlineStr">
        <is>
          <t>2026-W42</t>
        </is>
      </c>
      <c r="Q13" s="18" t="inlineStr">
        <is>
          <t>bdc690a8c70643c93f1595d53c067b7d91325270</t>
        </is>
      </c>
      <c r="R13" s="18" t="inlineStr">
        <is>
          <t>football-data.org/v4</t>
        </is>
      </c>
      <c r="S13" s="20">
        <f>IF(AND(ISNUMBER(L13),ISNUMBER(H13)),H13,"")</f>
        <v>0.8367553324728108</v>
      </c>
      <c r="T13" s="19">
        <f>IF(AND(ISNUMBER(L13),ISNUMBER(H13)),1,0)</f>
        <v>1</v>
      </c>
      <c r="U13" s="22">
        <v>0.0</v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72h-ucl-v3</t>
        </is>
      </c>
      <c r="H14" s="20">
        <v>0.9446461535133436</v>
      </c>
      <c r="I14" s="22">
        <v>1.15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0.1499999999999999</v>
      </c>
      <c r="O14" s="21">
        <f>IF(AND(ISNUMBER(L14),ISNUMBER(H14)),(H14-L14)^2,"")</f>
        <v>0.0030640483208683256</v>
      </c>
      <c r="P14" s="18" t="inlineStr">
        <is>
          <t>2026-W42</t>
        </is>
      </c>
      <c r="Q14" s="18" t="inlineStr">
        <is>
          <t>a2cdead106b513fd623cffd1e43a491685d68cc3</t>
        </is>
      </c>
      <c r="R14" s="18" t="inlineStr">
        <is>
          <t>football-data.org/v4</t>
        </is>
      </c>
      <c r="S14" s="20">
        <f>IF(AND(ISNUMBER(L14),ISNUMBER(H14)),H14,"")</f>
        <v>0.9446461535133436</v>
      </c>
      <c r="T14" s="19">
        <f>IF(AND(ISNUMBER(L14),ISNUMBER(H14)),1,0)</f>
        <v>1</v>
      </c>
      <c r="U14" s="22">
        <v>0.0</v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72h-ucl-v3</t>
        </is>
      </c>
      <c r="H15" s="20">
        <v>0.7056728757654207</v>
      </c>
      <c r="I15" s="22">
        <v>1.49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0.49</v>
      </c>
      <c r="O15" s="21">
        <f>IF(AND(ISNUMBER(L15),ISNUMBER(H15)),(H15-L15)^2,"")</f>
        <v>0.08662845606019748</v>
      </c>
      <c r="P15" s="18" t="inlineStr">
        <is>
          <t>2026-W42</t>
        </is>
      </c>
      <c r="Q15" s="18" t="inlineStr">
        <is>
          <t>a2cdead106b513fd623cffd1e43a491685d68cc3</t>
        </is>
      </c>
      <c r="R15" s="18" t="inlineStr">
        <is>
          <t>football-data.org/v4</t>
        </is>
      </c>
      <c r="S15" s="20">
        <f>IF(AND(ISNUMBER(L15),ISNUMBER(H15)),H15,"")</f>
        <v>0.7056728757654207</v>
      </c>
      <c r="T15" s="19">
        <f>IF(AND(ISNUMBER(L15),ISNUMBER(H15)),1,0)</f>
        <v>1</v>
      </c>
      <c r="U15" s="22">
        <v>0.0</v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72h-ucl-v3</t>
        </is>
      </c>
      <c r="H16" s="20">
        <v>0.9558088803119968</v>
      </c>
      <c r="I16" s="22">
        <v>1.14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4f7af2f470a0b5cdb7b8ae974c859f87b0236fc4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72h-ucl-v3</t>
        </is>
      </c>
      <c r="H17" s="20">
        <v>0.6635401387888005</v>
      </c>
      <c r="I17" s="22">
        <v>1.74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0.74</v>
      </c>
      <c r="O17" s="21">
        <f>IF(AND(ISNUMBER(L17),ISNUMBER(H17)),(H17-L17)^2,"")</f>
        <v>0.11320523820625965</v>
      </c>
      <c r="P17" s="18" t="inlineStr">
        <is>
          <t>2026-W42</t>
        </is>
      </c>
      <c r="Q17" s="18" t="inlineStr">
        <is>
          <t>4f7af2f470a0b5cdb7b8ae974c859f87b0236fc4</t>
        </is>
      </c>
      <c r="R17" s="18" t="inlineStr">
        <is>
          <t>football-data.org/v4</t>
        </is>
      </c>
      <c r="S17" s="20">
        <f>IF(AND(ISNUMBER(L17),ISNUMBER(H17)),H17,"")</f>
        <v>0.6635401387888005</v>
      </c>
      <c r="T17" s="19">
        <f>IF(AND(ISNUMBER(L17),ISNUMBER(H17)),1,0)</f>
        <v>1</v>
      </c>
      <c r="U17" s="22">
        <v>0.0</v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Over 1.5</t>
        </is>
      </c>
      <c r="F18" s="18" t="inlineStr">
        <is>
          <t>STRICT</t>
        </is>
      </c>
      <c r="G18" s="18" t="inlineStr">
        <is>
          <t>72h-ucl-v3</t>
        </is>
      </c>
      <c r="H18" s="20">
        <v>0.9147945927169935</v>
      </c>
      <c r="I18" s="22">
        <v>1.24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0.24</v>
      </c>
      <c r="O18" s="21">
        <f>IF(AND(ISNUMBER(L18),ISNUMBER(H18)),(H18-L18)^2,"")</f>
        <v>0.00725996143026302</v>
      </c>
      <c r="P18" s="18" t="inlineStr">
        <is>
          <t>2026-W42</t>
        </is>
      </c>
      <c r="Q18" s="18" t="inlineStr">
        <is>
          <t>4f7af2f470a0b5cdb7b8ae974c859f87b0236fc4</t>
        </is>
      </c>
      <c r="R18" s="18" t="inlineStr">
        <is>
          <t>football-data.org/v4</t>
        </is>
      </c>
      <c r="S18" s="20">
        <f>IF(AND(ISNUMBER(L18),ISNUMBER(H18)),H18,"")</f>
        <v>0.9147945927169935</v>
      </c>
      <c r="T18" s="19">
        <f>IF(AND(ISNUMBER(L18),ISNUMBER(H18)),1,0)</f>
        <v>1</v>
      </c>
      <c r="U18" s="22">
        <v>0.0</v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0.8490677731739953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IF(ISNUMBER(M19),M19*(I19*L19-1-U19),"")</f>
        <v>0.27</v>
      </c>
      <c r="O19" s="21">
        <f>IF(AND(ISNUMBER(L19),ISNUMBER(H19)),(H19-L19)^2,"")</f>
        <v>0.022780537094656536</v>
      </c>
      <c r="P19" s="18" t="inlineStr">
        <is>
          <t>2026-W42</t>
        </is>
      </c>
      <c r="Q19" s="18" t="inlineStr">
        <is>
          <t>d3f12df5a2a20809c3ac84f9a31766ba965813e3</t>
        </is>
      </c>
      <c r="R19" s="18" t="inlineStr">
        <is>
          <t>football-data.org/v4</t>
        </is>
      </c>
      <c r="S19" s="20">
        <f>IF(AND(ISNUMBER(L19),ISNUMBER(H19)),H19,"")</f>
        <v>0.8490677731739953</v>
      </c>
      <c r="T19" s="19">
        <f>IF(AND(ISNUMBER(L19),ISNUMBER(H19)),1,0)</f>
        <v>1</v>
      </c>
      <c r="U19" s="22">
        <v>0.0</v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72h-all-markets-net-ev15-execution-v7</t>
        </is>
      </c>
      <c r="H20" s="20">
        <v>0.6603235458643747</v>
      </c>
      <c r="I20" s="22">
        <v>1.71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IF(ISNUMBER(M20),M20*(I20*L20-1-U20),"")</f>
        <v>-1.0</v>
      </c>
      <c r="O20" s="21">
        <f>IF(AND(ISNUMBER(L20),ISNUMBER(H20)),(H20-L20)^2,"")</f>
        <v>0.43602718522290096</v>
      </c>
      <c r="P20" s="18" t="inlineStr">
        <is>
          <t>2026-W42</t>
        </is>
      </c>
      <c r="Q20" s="18" t="inlineStr">
        <is>
          <t>54bb8a2c2c957dda77ef247b3e042f6a945bda8f</t>
        </is>
      </c>
      <c r="R20" s="18" t="inlineStr">
        <is>
          <t>football-data.org/v4</t>
        </is>
      </c>
      <c r="S20" s="20">
        <f>IF(AND(ISNUMBER(L20),ISNUMBER(H20)),H20,"")</f>
        <v>0.6603235458643747</v>
      </c>
      <c r="T20" s="19">
        <f>IF(AND(ISNUMBER(L20),ISNUMBER(H20)),1,0)</f>
        <v>1</v>
      </c>
      <c r="U20" s="22">
        <v>0.0</v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72h-six-markets-dc12-probability-odds-net-ev15-v9</t>
        </is>
      </c>
      <c r="H21" s="20">
        <v>0.8016633804854422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IF(ISNUMBER(M21),M21*(I21*L21-1-U21),"")</f>
        <v>0.27</v>
      </c>
      <c r="O21" s="21">
        <f>IF(AND(ISNUMBER(L21),ISNUMBER(H21)),(H21-L21)^2,"")</f>
        <v>0.03933741464046248</v>
      </c>
      <c r="P21" s="18" t="inlineStr">
        <is>
          <t>2026-W42</t>
        </is>
      </c>
      <c r="Q21" s="18" t="inlineStr">
        <is>
          <t>b57f98f7704eb71a9d1b11eddf359e66786ea2fe</t>
        </is>
      </c>
      <c r="R21" s="18" t="inlineStr">
        <is>
          <t>football-data.org/v4</t>
        </is>
      </c>
      <c r="S21" s="20">
        <f>IF(AND(ISNUMBER(L21),ISNUMBER(H21)),H21,"")</f>
        <v>0.8016633804854422</v>
      </c>
      <c r="T21" s="19">
        <f>IF(AND(ISNUMBER(L21),ISNUMBER(H21)),1,0)</f>
        <v>1</v>
      </c>
      <c r="U21" s="22">
        <v>0.0</v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IF(ISNUMBER(M22),M22*(I22*L22-1-U22),"")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bdc690a8c70643c93f1595d53c067b7d91325270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Over 1.5</t>
        </is>
      </c>
      <c r="F23" s="18" t="inlineStr">
        <is>
          <t>PROVISIONAL</t>
        </is>
      </c>
      <c r="G23" s="18" t="inlineStr">
        <is>
          <t>legacy/unspecified</t>
        </is>
      </c>
      <c r="H23" s="20">
        <v>0.9163621198072895</v>
      </c>
      <c r="I23" s="22">
        <v>1.11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IF(ISNUMBER(M23),M23*(I23*L23-1-U23),"")</f>
        <v>0.1100000000000001</v>
      </c>
      <c r="O23" s="21">
        <f>IF(AND(ISNUMBER(L23),ISNUMBER(H23)),(H23-L23)^2,"")</f>
        <v>0.006995295003130188</v>
      </c>
      <c r="P23" s="18" t="inlineStr">
        <is>
          <t>2026-W42</t>
        </is>
      </c>
      <c r="Q23" s="18" t="inlineStr">
        <is>
          <t>bdc690a8c70643c93f1595d53c067b7d91325270</t>
        </is>
      </c>
      <c r="R23" s="18" t="inlineStr">
        <is>
          <t>football-data.org/v4</t>
        </is>
      </c>
      <c r="S23" s="20">
        <f>IF(AND(ISNUMBER(L23),ISNUMBER(H23)),H23,"")</f>
        <v>0.9163621198072895</v>
      </c>
      <c r="T23" s="19">
        <f>IF(AND(ISNUMBER(L23),ISNUMBER(H23)),1,0)</f>
        <v>1</v>
      </c>
      <c r="U23" s="22">
        <v>0.0</v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0.6535202115547794</v>
      </c>
      <c r="I24" s="22">
        <v>1.58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IF(ISNUMBER(M24),M24*(I24*L24-1-U24),"")</f>
        <v>0.5800000000000001</v>
      </c>
      <c r="O24" s="21">
        <f>IF(AND(ISNUMBER(L24),ISNUMBER(H24)),(H24-L24)^2,"")</f>
        <v>0.12004824380104485</v>
      </c>
      <c r="P24" s="18" t="inlineStr">
        <is>
          <t>2026-W42</t>
        </is>
      </c>
      <c r="Q24" s="18" t="inlineStr">
        <is>
          <t>7a6c9d44b7c20308d3ed85270f7cabc2a98df58e</t>
        </is>
      </c>
      <c r="R24" s="18" t="inlineStr">
        <is>
          <t>football-data.org/v4</t>
        </is>
      </c>
      <c r="S24" s="20">
        <f>IF(AND(ISNUMBER(L24),ISNUMBER(H24)),H24,"")</f>
        <v>0.6535202115547794</v>
      </c>
      <c r="T24" s="19">
        <f>IF(AND(ISNUMBER(L24),ISNUMBER(H24)),1,0)</f>
        <v>1</v>
      </c>
      <c r="U24" s="22">
        <v>0.0</v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IF(ISNUMBER(M25),M25*(I25*L25-1-U25),"")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bdc690a8c70643c93f1595d53c067b7d91325270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0.8234367931835674</v>
      </c>
      <c r="I26" s="22">
        <v>1.24</v>
      </c>
      <c r="J26" s="18"/>
      <c r="K26" s="18" t="inlineStr">
        <is>
          <t>PENDING_KICKOFF_OR_FINAL_SCORE</t>
        </is>
      </c>
      <c r="L26" s="18"/>
      <c r="M26" s="22" t="str">
        <f>IF(AND(ISNUMBER(L26),ISNUMBER(I26),I26&gt;1),'ROI Plan'!$B$5,"")</f>
        <v/>
      </c>
      <c r="N26" s="22" t="str">
        <f>IF(ISNUMBER(M26),M26*(I26*L26-1-U26),"")</f>
        <v/>
      </c>
      <c r="O26" s="21">
        <f>IF(AND(ISNUMBER(L26),ISNUMBER(H26)),(H26-L26)^2,"")</f>
      </c>
      <c r="P26" s="18" t="inlineStr">
        <is>
          <t>2026-W42</t>
        </is>
      </c>
      <c r="Q26" s="18" t="inlineStr">
        <is>
          <t>9425e536c27cdb34914535517891f53a7af4191b</t>
        </is>
      </c>
      <c r="R26" s="18"/>
      <c r="S26" s="20">
        <f>IF(AND(ISNUMBER(L26),ISNUMBER(H26)),H26,"")</f>
      </c>
      <c r="T26" s="19">
        <f>IF(AND(ISNUMBER(L26),ISNUMBER(H26)),1,0)</f>
        <v>0</v>
      </c>
      <c r="U26" s="22">
        <v>0.0</v>
      </c>
    </row>
    <row r="27" ht="36" customHeight="1">
      <c r="A27" s="18" t="inlineStr">
        <is>
          <t>La Liga|malaga|real sociedad|2026-10-18</t>
        </is>
      </c>
      <c r="B27" s="23">
        <v>46313.6875</v>
      </c>
      <c r="C27" s="18" t="inlineStr">
        <is>
          <t>La Liga</t>
        </is>
      </c>
      <c r="D27" s="18" t="inlineStr">
        <is>
          <t>Málaga vs Real Sociedad</t>
        </is>
      </c>
      <c r="E27" s="18" t="inlineStr">
        <is>
          <t>Under 3.5</t>
        </is>
      </c>
      <c r="F27" s="18" t="inlineStr">
        <is>
          <t>STRICT</t>
        </is>
      </c>
      <c r="G27" s="18" t="inlineStr">
        <is>
          <t>legacy/unspecified</t>
        </is>
      </c>
      <c r="H27" s="20">
        <v>0.8261247842244344</v>
      </c>
      <c r="I27" s="22">
        <v>1.41</v>
      </c>
      <c r="J27" s="18"/>
      <c r="K27" s="18" t="inlineStr">
        <is>
          <t>PENDING_KICKOFF_OR_FINAL_SCORE</t>
        </is>
      </c>
      <c r="L27" s="18"/>
      <c r="M27" s="22" t="str">
        <f>IF(AND(ISNUMBER(L27),ISNUMBER(I27),I27&gt;1),'ROI Plan'!$B$5,"")</f>
        <v/>
      </c>
      <c r="N27" s="22" t="str">
        <f>IF(ISNUMBER(M27),M27*(I27*L27-1-U27),"")</f>
        <v/>
      </c>
      <c r="O27" s="21">
        <f>IF(AND(ISNUMBER(L27),ISNUMBER(H27)),(H27-L27)^2,"")</f>
      </c>
      <c r="P27" s="18" t="inlineStr">
        <is>
          <t>2026-W42</t>
        </is>
      </c>
      <c r="Q27" s="18" t="inlineStr">
        <is>
          <t>bdc690a8c70643c93f1595d53c067b7d91325270</t>
        </is>
      </c>
      <c r="R27" s="18"/>
      <c r="S27" s="20">
        <f>IF(AND(ISNUMBER(L27),ISNUMBER(H27)),H27,"")</f>
      </c>
      <c r="T27" s="19">
        <f>IF(AND(ISNUMBER(L27),ISNUMBER(H27)),1,0)</f>
        <v>0</v>
      </c>
      <c r="U27" s="22">
        <v>0.0</v>
      </c>
    </row>
    <row r="28" ht="36" customHeight="1">
      <c r="A28" s="18" t="inlineStr">
        <is>
          <t>La Liga|real madrid|sevilla|2026-10-18</t>
        </is>
      </c>
      <c r="B28" s="23">
        <v>46313.791666666664</v>
      </c>
      <c r="C28" s="18" t="inlineStr">
        <is>
          <t>La Liga</t>
        </is>
      </c>
      <c r="D28" s="18" t="inlineStr">
        <is>
          <t>Real Madrid vs Sevilla</t>
        </is>
      </c>
      <c r="E28" s="18" t="inlineStr">
        <is>
          <t>Home win</t>
        </is>
      </c>
      <c r="F28" s="18" t="inlineStr">
        <is>
          <t>PROVISIONAL</t>
        </is>
      </c>
      <c r="G28" s="18" t="inlineStr">
        <is>
          <t>legacy/unspecified</t>
        </is>
      </c>
      <c r="H28" s="20">
        <v>0.78842217536022</v>
      </c>
      <c r="I28" s="22">
        <v>1.3</v>
      </c>
      <c r="J28" s="18"/>
      <c r="K28" s="18" t="inlineStr">
        <is>
          <t>PENDING_KICKOFF_OR_FINAL_SCORE</t>
        </is>
      </c>
      <c r="L28" s="18"/>
      <c r="M28" s="22" t="str">
        <f>IF(AND(ISNUMBER(L28),ISNUMBER(I28),I28&gt;1),'ROI Plan'!$B$5,"")</f>
        <v/>
      </c>
      <c r="N28" s="22" t="str">
        <f>IF(ISNUMBER(M28),M28*(I28*L28-1-U28),"")</f>
        <v/>
      </c>
      <c r="O28" s="21">
        <f>IF(AND(ISNUMBER(L28),ISNUMBER(H28)),(H28-L28)^2,"")</f>
      </c>
      <c r="P28" s="18" t="inlineStr">
        <is>
          <t>2026-W42</t>
        </is>
      </c>
      <c r="Q28" s="18" t="inlineStr">
        <is>
          <t>bdc690a8c70643c93f1595d53c067b7d91325270</t>
        </is>
      </c>
      <c r="R28" s="18"/>
      <c r="S28" s="20">
        <f>IF(AND(ISNUMBER(L28),ISNUMBER(H28)),H28,"")</f>
      </c>
      <c r="T28" s="19">
        <f>IF(AND(ISNUMBER(L28),ISNUMBER(H28)),1,0)</f>
        <v>0</v>
      </c>
      <c r="U28" s="22">
        <v>0.0</v>
      </c>
    </row>
    <row r="29" ht="36" customHeight="1">
      <c r="A29" s="18" t="inlineStr">
        <is>
          <t>Premier League|tottenham|coventry city|2026-10-19</t>
        </is>
      </c>
      <c r="B29" s="23">
        <v>46314.791666666664</v>
      </c>
      <c r="C29" s="18" t="inlineStr">
        <is>
          <t>Premier League</t>
        </is>
      </c>
      <c r="D29" s="18" t="inlineStr">
        <is>
          <t>Tottenham Hotspur vs Coventry City</t>
        </is>
      </c>
      <c r="E29" s="18" t="inlineStr">
        <is>
          <t>Home win</t>
        </is>
      </c>
      <c r="F29" s="18" t="inlineStr">
        <is>
          <t>PROVISIONAL</t>
        </is>
      </c>
      <c r="G29" s="18" t="inlineStr">
        <is>
          <t>legacy/unspecified</t>
        </is>
      </c>
      <c r="H29" s="20">
        <v>0.6624411929150106</v>
      </c>
      <c r="I29" s="22">
        <v>1.54</v>
      </c>
      <c r="J29" s="18"/>
      <c r="K29" s="18" t="inlineStr">
        <is>
          <t>PENDING_KICKOFF_OR_FINAL_SCORE</t>
        </is>
      </c>
      <c r="L29" s="18"/>
      <c r="M29" s="22" t="str">
        <f>IF(AND(ISNUMBER(L29),ISNUMBER(I29),I29&gt;1),'ROI Plan'!$B$5,"")</f>
        <v/>
      </c>
      <c r="N29" s="22" t="str">
        <f>IF(ISNUMBER(M29),M29*(I29*L29-1-U29),"")</f>
        <v/>
      </c>
      <c r="O29" s="21">
        <f>IF(AND(ISNUMBER(L29),ISNUMBER(H29)),(H29-L29)^2,"")</f>
      </c>
      <c r="P29" s="18" t="inlineStr">
        <is>
          <t>2026-W43</t>
        </is>
      </c>
      <c r="Q29" s="18" t="inlineStr">
        <is>
          <t>b9c15c09504aaf57de5ad0957adb91c0e9b37243</t>
        </is>
      </c>
      <c r="R29" s="18"/>
      <c r="S29" s="20">
        <f>IF(AND(ISNUMBER(L29),ISNUMBER(H29)),H29,"")</f>
      </c>
      <c r="T29" s="19">
        <f>IF(AND(ISNUMBER(L29),ISNUMBER(H29)),1,0)</f>
        <v>0</v>
      </c>
      <c r="U29" s="22">
        <v>0.0</v>
      </c>
    </row>
    <row r="30" ht="36" customHeight="1">
      <c r="A30" s="18" t="inlineStr">
        <is>
          <t>UEFA Champions League|liverpool|villarreal|2026-10-20</t>
        </is>
      </c>
      <c r="B30" s="23">
        <v>46315.791666666664</v>
      </c>
      <c r="C30" s="18" t="inlineStr">
        <is>
          <t>UEFA Champions League</t>
        </is>
      </c>
      <c r="D30" s="18" t="inlineStr">
        <is>
          <t>Liverpool vs Villarreal</t>
        </is>
      </c>
      <c r="E30" s="18" t="inlineStr">
        <is>
          <t>Home win</t>
        </is>
      </c>
      <c r="F30" s="18" t="inlineStr">
        <is>
          <t>PROVISIONAL</t>
        </is>
      </c>
      <c r="G30" s="18" t="inlineStr">
        <is>
          <t>72h-seven-markets-fresh-references-net-ev15-v11</t>
        </is>
      </c>
      <c r="H30" s="20">
        <v>0.7278056399711609</v>
      </c>
      <c r="I30" s="22">
        <v>1.53</v>
      </c>
      <c r="J30" s="18"/>
      <c r="K30" s="18" t="inlineStr">
        <is>
          <t>PENDING_KICKOFF_OR_FINAL_SCORE</t>
        </is>
      </c>
      <c r="L30" s="18"/>
      <c r="M30" s="22" t="str">
        <f>IF(AND(ISNUMBER(L30),ISNUMBER(I30),I30&gt;1),'ROI Plan'!$B$5,"")</f>
        <v/>
      </c>
      <c r="N30" s="22" t="str">
        <f>IF(ISNUMBER(M30),M30*(I30*L30-1-U30),"")</f>
        <v/>
      </c>
      <c r="O30" s="21">
        <f>IF(AND(ISNUMBER(L30),ISNUMBER(H30)),(H30-L30)^2,"")</f>
      </c>
      <c r="P30" s="18" t="inlineStr">
        <is>
          <t>2026-W43</t>
        </is>
      </c>
      <c r="Q30" s="18" t="inlineStr">
        <is>
          <t>b4dfb7c51677ddf4227832d694ba27f131887f42</t>
        </is>
      </c>
      <c r="R30" s="18"/>
      <c r="S30" s="20">
        <f>IF(AND(ISNUMBER(L30),ISNUMBER(H30)),H30,"")</f>
      </c>
      <c r="T30" s="19">
        <f>IF(AND(ISNUMBER(L30),ISNUMBER(H30)),1,0)</f>
        <v>0</v>
      </c>
      <c r="U30" s="22">
        <v>0.0</v>
      </c>
    </row>
  </sheetData>
  <mergeCells count="2">
    <mergeCell ref="B2:U2"/>
    <mergeCell ref="B4:U4"/>
  </mergeCells>
  <conditionalFormatting sqref="K6:K30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PENDING_KICKOFF_OR_FINAL_SCORE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PENDING_KICKOFF_OR_FINAL_SCORE</t>
        </is>
      </c>
      <c r="G73" s="18"/>
      <c r="H73" s="18"/>
      <c r="I73" s="21"/>
      <c r="J73" s="18"/>
      <c r="K73" s="18"/>
      <c r="L73" s="18"/>
      <c r="M73" s="18"/>
      <c r="N73" s="18" t="inlineStr">
        <is>
          <t>2026-W42</t>
        </is>
      </c>
      <c r="O73" s="18" t="inlineStr">
        <is>
          <t>2fd31d33722311d8e0155bb5eca6b3a310ac938b</t>
        </is>
      </c>
      <c r="P73" s="18"/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PENDING_KICKOFF_OR_FINAL_SCORE</t>
        </is>
      </c>
      <c r="G74" s="18"/>
      <c r="H74" s="18"/>
      <c r="I74" s="21"/>
      <c r="J74" s="18"/>
      <c r="K74" s="18"/>
      <c r="L74" s="18"/>
      <c r="M74" s="18"/>
      <c r="N74" s="18" t="inlineStr">
        <is>
          <t>2026-W42</t>
        </is>
      </c>
      <c r="O74" s="18" t="inlineStr">
        <is>
          <t>2fd31d33722311d8e0155bb5eca6b3a310ac938b</t>
        </is>
      </c>
      <c r="P74" s="18"/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PENDING_KICKOFF_OR_FINAL_SCORE</t>
        </is>
      </c>
      <c r="G75" s="18"/>
      <c r="H75" s="18"/>
      <c r="I75" s="21"/>
      <c r="J75" s="18"/>
      <c r="K75" s="18"/>
      <c r="L75" s="18"/>
      <c r="M75" s="18"/>
      <c r="N75" s="18" t="inlineStr">
        <is>
          <t>2026-W42</t>
        </is>
      </c>
      <c r="O75" s="18" t="inlineStr">
        <is>
          <t>2fd31d33722311d8e0155bb5eca6b3a310ac938b</t>
        </is>
      </c>
      <c r="P75" s="18"/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PENDING_KICKOFF_OR_FINAL_SCORE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PENDING_KICKOFF_OR_FINAL_SCORE</t>
        </is>
      </c>
      <c r="G77" s="18"/>
      <c r="H77" s="18"/>
      <c r="I77" s="21"/>
      <c r="J77" s="18"/>
      <c r="K77" s="18"/>
      <c r="L77" s="18"/>
      <c r="M77" s="18"/>
      <c r="N77" s="18" t="inlineStr">
        <is>
          <t>2026-W42</t>
        </is>
      </c>
      <c r="O77" s="18" t="inlineStr">
        <is>
          <t>2fd31d33722311d8e0155bb5eca6b3a310ac938b</t>
        </is>
      </c>
      <c r="P77" s="18"/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PENDING_KICKOFF_OR_FINAL_SCORE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PENDING_KICKOFF_OR_FINAL_SCORE</t>
        </is>
      </c>
      <c r="G79" s="18"/>
      <c r="H79" s="18"/>
      <c r="I79" s="21"/>
      <c r="J79" s="18"/>
      <c r="K79" s="18"/>
      <c r="L79" s="18"/>
      <c r="M79" s="18"/>
      <c r="N79" s="18" t="inlineStr">
        <is>
          <t>2026-W42</t>
        </is>
      </c>
      <c r="O79" s="18" t="inlineStr">
        <is>
          <t>2fd31d33722311d8e0155bb5eca6b3a310ac938b</t>
        </is>
      </c>
      <c r="P79" s="18"/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PENDING_KICKOFF_OR_FINAL_SCORE</t>
        </is>
      </c>
      <c r="G80" s="18"/>
      <c r="H80" s="18"/>
      <c r="I80" s="21"/>
      <c r="J80" s="18"/>
      <c r="K80" s="18"/>
      <c r="L80" s="18"/>
      <c r="M80" s="18"/>
      <c r="N80" s="18" t="inlineStr">
        <is>
          <t>2026-W42</t>
        </is>
      </c>
      <c r="O80" s="18" t="inlineStr">
        <is>
          <t>2fd31d33722311d8e0155bb5eca6b3a310ac938b</t>
        </is>
      </c>
      <c r="P80" s="18"/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PENDING_KICKOFF_OR_FINAL_SCORE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PENDING_KICKOFF_OR_FINAL_SCORE</t>
        </is>
      </c>
      <c r="G82" s="18"/>
      <c r="H82" s="18"/>
      <c r="I82" s="21"/>
      <c r="J82" s="18"/>
      <c r="K82" s="18"/>
      <c r="L82" s="18"/>
      <c r="M82" s="18"/>
      <c r="N82" s="18" t="inlineStr">
        <is>
          <t>2026-W42</t>
        </is>
      </c>
      <c r="O82" s="18" t="inlineStr">
        <is>
          <t>2fd31d33722311d8e0155bb5eca6b3a310ac938b</t>
        </is>
      </c>
      <c r="P82" s="18"/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PENDING_KICKOFF_OR_FINAL_SCORE</t>
        </is>
      </c>
      <c r="G83" s="18"/>
      <c r="H83" s="18"/>
      <c r="I83" s="21"/>
      <c r="J83" s="18"/>
      <c r="K83" s="18"/>
      <c r="L83" s="18"/>
      <c r="M83" s="18"/>
      <c r="N83" s="18" t="inlineStr">
        <is>
          <t>2026-W42</t>
        </is>
      </c>
      <c r="O83" s="18" t="inlineStr">
        <is>
          <t>2fd31d33722311d8e0155bb5eca6b3a310ac938b</t>
        </is>
      </c>
      <c r="P83" s="18"/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PENDING_KICKOFF_OR_FINAL_SCORE</t>
        </is>
      </c>
      <c r="G84" s="18"/>
      <c r="H84" s="18"/>
      <c r="I84" s="21"/>
      <c r="J84" s="18"/>
      <c r="K84" s="18"/>
      <c r="L84" s="18"/>
      <c r="M84" s="18"/>
      <c r="N84" s="18" t="inlineStr">
        <is>
          <t>2026-W42</t>
        </is>
      </c>
      <c r="O84" s="18" t="inlineStr">
        <is>
          <t>2fd31d33722311d8e0155bb5eca6b3a310ac938b</t>
        </is>
      </c>
      <c r="P84" s="18"/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PENDING_KICKOFF_OR_FINAL_SCORE</t>
        </is>
      </c>
      <c r="G85" s="18"/>
      <c r="H85" s="18"/>
      <c r="I85" s="21"/>
      <c r="J85" s="18"/>
      <c r="K85" s="18"/>
      <c r="L85" s="18"/>
      <c r="M85" s="18"/>
      <c r="N85" s="18" t="inlineStr">
        <is>
          <t>2026-W42</t>
        </is>
      </c>
      <c r="O85" s="18" t="inlineStr">
        <is>
          <t>2fd31d33722311d8e0155bb5eca6b3a310ac938b</t>
        </is>
      </c>
      <c r="P85" s="18"/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PENDING_KICKOFF_OR_FINAL_SCORE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PENDING_KICKOFF_OR_FINAL_SCORE</t>
        </is>
      </c>
      <c r="G87" s="18"/>
      <c r="H87" s="18"/>
      <c r="I87" s="21"/>
      <c r="J87" s="18"/>
      <c r="K87" s="18"/>
      <c r="L87" s="18"/>
      <c r="M87" s="18"/>
      <c r="N87" s="18" t="inlineStr">
        <is>
          <t>2026-W42</t>
        </is>
      </c>
      <c r="O87" s="18" t="inlineStr">
        <is>
          <t>2fd31d33722311d8e0155bb5eca6b3a310ac938b</t>
        </is>
      </c>
      <c r="P87" s="18"/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PENDING_KICKOFF_OR_FINAL_SCORE</t>
        </is>
      </c>
      <c r="G88" s="18"/>
      <c r="H88" s="18"/>
      <c r="I88" s="21"/>
      <c r="J88" s="18"/>
      <c r="K88" s="18"/>
      <c r="L88" s="18"/>
      <c r="M88" s="18"/>
      <c r="N88" s="18" t="inlineStr">
        <is>
          <t>2026-W42</t>
        </is>
      </c>
      <c r="O88" s="18" t="inlineStr">
        <is>
          <t>2fd31d33722311d8e0155bb5eca6b3a310ac938b</t>
        </is>
      </c>
      <c r="P88" s="18"/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  <row r="157" ht="36" customHeight="1">
      <c r="A157" s="18" t="inlineStr">
        <is>
          <t>Ligue 1|angers|lorient|2026-10-25</t>
        </is>
      </c>
      <c r="B157" s="23">
        <v>46320.677083333336</v>
      </c>
      <c r="C157" s="18" t="inlineStr">
        <is>
          <t>Ligue 1</t>
        </is>
      </c>
      <c r="D157" s="18" t="inlineStr">
        <is>
          <t>Angers vs Lorient</t>
        </is>
      </c>
      <c r="E157" s="18" t="inlineStr">
        <is>
          <t>72h-seven-markets-fresh-references-net-ev15-v11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7a6c9d44b7c20308d3ed85270f7cabc2a98df58e</t>
        </is>
      </c>
      <c r="P157" s="18"/>
      <c r="Q157" s="18"/>
      <c r="R157" s="18"/>
    </row>
    <row r="158" ht="36" customHeight="1">
      <c r="A158" s="18" t="inlineStr">
        <is>
          <t>Ligue 1|auxerre|le mans|2026-10-25</t>
        </is>
      </c>
      <c r="B158" s="23">
        <v>46320.677083333336</v>
      </c>
      <c r="C158" s="18" t="inlineStr">
        <is>
          <t>Ligue 1</t>
        </is>
      </c>
      <c r="D158" s="18" t="inlineStr">
        <is>
          <t>Auxerre vs Le Mans FC</t>
        </is>
      </c>
      <c r="E158" s="18" t="inlineStr">
        <is>
          <t>72h-seven-markets-fresh-references-net-ev15-v11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7a6c9d44b7c20308d3ed85270f7cabc2a98df58e</t>
        </is>
      </c>
      <c r="P158" s="18"/>
      <c r="Q158" s="18"/>
      <c r="R158" s="18"/>
    </row>
    <row r="159" ht="36" customHeight="1">
      <c r="A159" s="18" t="inlineStr">
        <is>
          <t>Ligue 1|marseille|le havre|2026-10-25</t>
        </is>
      </c>
      <c r="B159" s="23">
        <v>46320.677083333336</v>
      </c>
      <c r="C159" s="18" t="inlineStr">
        <is>
          <t>Ligue 1</t>
        </is>
      </c>
      <c r="D159" s="18" t="inlineStr">
        <is>
          <t>Marseille vs Le Havre</t>
        </is>
      </c>
      <c r="E159" s="18" t="inlineStr">
        <is>
          <t>72h-seven-markets-fresh-references-net-ev15-v11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7a6c9d44b7c20308d3ed85270f7cabc2a98df58e</t>
        </is>
      </c>
      <c r="P159" s="18"/>
      <c r="Q159" s="18"/>
      <c r="R159" s="18"/>
    </row>
    <row r="160" ht="36" customHeight="1">
      <c r="A160" s="18" t="inlineStr">
        <is>
          <t>Ligue 1|rennes|strasbourg|2026-10-25</t>
        </is>
      </c>
      <c r="B160" s="23">
        <v>46320.677083333336</v>
      </c>
      <c r="C160" s="18" t="inlineStr">
        <is>
          <t>Ligue 1</t>
        </is>
      </c>
      <c r="D160" s="18" t="inlineStr">
        <is>
          <t>Rennes vs Strasbourg</t>
        </is>
      </c>
      <c r="E160" s="18" t="inlineStr">
        <is>
          <t>72h-seven-markets-fresh-references-net-ev15-v11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7a6c9d44b7c20308d3ed85270f7cabc2a98df58e</t>
        </is>
      </c>
      <c r="P160" s="18"/>
      <c r="Q160" s="18"/>
      <c r="R160" s="18"/>
    </row>
    <row r="161" ht="36" customHeight="1">
      <c r="A161" s="18" t="inlineStr">
        <is>
          <t>Bundesliga|freiburg|bayern munich|2026-10-25</t>
        </is>
      </c>
      <c r="B161" s="23">
        <v>46320.6875</v>
      </c>
      <c r="C161" s="18" t="inlineStr">
        <is>
          <t>Bundesliga</t>
        </is>
      </c>
      <c r="D161" s="18" t="inlineStr">
        <is>
          <t>SC Freiburg vs Bayern Munich</t>
        </is>
      </c>
      <c r="E161" s="18" t="inlineStr">
        <is>
          <t>72h-seven-markets-fresh-references-net-ev15-v11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7a6c9d44b7c20308d3ed85270f7cabc2a98df58e</t>
        </is>
      </c>
      <c r="P161" s="18"/>
      <c r="Q161" s="18"/>
      <c r="R161" s="18"/>
    </row>
    <row r="162" ht="36" customHeight="1">
      <c r="A162" s="18" t="inlineStr">
        <is>
          <t>Premier League|sunderland|leeds|2026-10-25</t>
        </is>
      </c>
      <c r="B162" s="23">
        <v>46320.6875</v>
      </c>
      <c r="C162" s="18" t="inlineStr">
        <is>
          <t>Premier League</t>
        </is>
      </c>
      <c r="D162" s="18" t="inlineStr">
        <is>
          <t>Sunderland vs Leeds United</t>
        </is>
      </c>
      <c r="E162" s="18" t="inlineStr">
        <is>
          <t>72h-seven-markets-fresh-references-net-ev15-v11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7a6c9d44b7c20308d3ed85270f7cabc2a98df58e</t>
        </is>
      </c>
      <c r="P162" s="18"/>
      <c r="Q162" s="18"/>
      <c r="R162" s="18"/>
    </row>
    <row r="163" ht="36" customHeight="1">
      <c r="A163" s="18" t="inlineStr">
        <is>
          <t>Serie A|lecce|juventus|2026-10-25</t>
        </is>
      </c>
      <c r="B163" s="23">
        <v>46320.708333333336</v>
      </c>
      <c r="C163" s="18" t="inlineStr">
        <is>
          <t>Serie A</t>
        </is>
      </c>
      <c r="D163" s="18" t="inlineStr">
        <is>
          <t>Lecce vs Juventus</t>
        </is>
      </c>
      <c r="E163" s="18" t="inlineStr">
        <is>
          <t>72h-seven-markets-fresh-references-net-ev15-v11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7a6c9d44b7c20308d3ed85270f7cabc2a98df58e</t>
        </is>
      </c>
      <c r="P163" s="18"/>
      <c r="Q163" s="18"/>
      <c r="R163" s="18"/>
    </row>
    <row r="164" ht="36" customHeight="1">
      <c r="A164" s="18" t="inlineStr">
        <is>
          <t>La Liga|real sociedad|levante|2026-10-25</t>
        </is>
      </c>
      <c r="B164" s="23">
        <v>46320.729166666664</v>
      </c>
      <c r="C164" s="18" t="inlineStr">
        <is>
          <t>La Liga</t>
        </is>
      </c>
      <c r="D164" s="18" t="inlineStr">
        <is>
          <t>Real Sociedad vs Levante</t>
        </is>
      </c>
      <c r="E164" s="18" t="inlineStr">
        <is>
          <t>72h-seven-markets-fresh-references-net-ev15-v11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7a6c9d44b7c20308d3ed85270f7cabc2a98df58e</t>
        </is>
      </c>
      <c r="P164" s="18"/>
      <c r="Q164" s="18"/>
      <c r="R164" s="18"/>
    </row>
    <row r="165" ht="36" customHeight="1">
      <c r="A165" s="18" t="inlineStr">
        <is>
          <t>Ligue 1|paris sg|lyon|2026-10-25</t>
        </is>
      </c>
      <c r="B165" s="23">
        <v>46320.822916666664</v>
      </c>
      <c r="C165" s="18" t="inlineStr">
        <is>
          <t>Ligue 1</t>
        </is>
      </c>
      <c r="D165" s="18" t="inlineStr">
        <is>
          <t>Paris Saint Germain vs Lyon</t>
        </is>
      </c>
      <c r="E165" s="18" t="inlineStr">
        <is>
          <t>72h-seven-markets-fresh-references-net-ev15-v11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7a6c9d44b7c20308d3ed85270f7cabc2a98df58e</t>
        </is>
      </c>
      <c r="P165" s="18"/>
      <c r="Q165" s="18"/>
      <c r="R165" s="18"/>
    </row>
    <row r="166" ht="36" customHeight="1">
      <c r="A166" s="18" t="inlineStr">
        <is>
          <t>Serie A|udinese|milan|2026-10-25</t>
        </is>
      </c>
      <c r="B166" s="23">
        <v>46320.822916666664</v>
      </c>
      <c r="C166" s="18" t="inlineStr">
        <is>
          <t>Serie A</t>
        </is>
      </c>
      <c r="D166" s="18" t="inlineStr">
        <is>
          <t>Udinese vs AC Milan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7a6c9d44b7c20308d3ed85270f7cabc2a98df58e</t>
        </is>
      </c>
      <c r="P166" s="18"/>
      <c r="Q166" s="18"/>
      <c r="R166" s="18"/>
    </row>
    <row r="167" ht="36" customHeight="1">
      <c r="A167" s="18" t="inlineStr">
        <is>
          <t>La Liga|barcelona|real madrid|2026-10-25</t>
        </is>
      </c>
      <c r="B167" s="23">
        <v>46320.833333333336</v>
      </c>
      <c r="C167" s="18" t="inlineStr">
        <is>
          <t>La Liga</t>
        </is>
      </c>
      <c r="D167" s="18" t="inlineStr">
        <is>
          <t>Barcelona vs Real Madrid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7a6c9d44b7c20308d3ed85270f7cabc2a98df58e</t>
        </is>
      </c>
      <c r="P167" s="18"/>
      <c r="Q167" s="18"/>
      <c r="R167" s="18"/>
    </row>
    <row r="168" ht="36" customHeight="1">
      <c r="A168" s="18" t="inlineStr">
        <is>
          <t>La Liga|sevilla|ca osasuna|2026-10-26</t>
        </is>
      </c>
      <c r="B168" s="23">
        <v>46321.833333333336</v>
      </c>
      <c r="C168" s="18" t="inlineStr">
        <is>
          <t>La Liga</t>
        </is>
      </c>
      <c r="D168" s="18" t="inlineStr">
        <is>
          <t>Sevilla vs CA Osasuna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2026-W44</t>
        </is>
      </c>
      <c r="O168" s="18" t="inlineStr">
        <is>
          <t>7a6c9d44b7c20308d3ed85270f7cabc2a98df58e</t>
        </is>
      </c>
      <c r="P168" s="18"/>
      <c r="Q168" s="18"/>
      <c r="R168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5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23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5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23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78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4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24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6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4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24 more observations; 24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24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1 / 6 ISO weeks</t>
        </is>
      </c>
      <c r="G10" s="20">
        <v>0.9230769230769231</v>
      </c>
      <c r="H10" s="18" t="inlineStr">
        <is>
          <t>Approval review</t>
        </is>
      </c>
      <c r="I10" s="18" t="inlineStr">
        <is>
          <t>276 more paired fixtures; 5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2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0.07692307692307693</v>
      </c>
      <c r="H11" s="18" t="inlineStr">
        <is>
          <t>Approval review</t>
        </is>
      </c>
      <c r="I11" s="18" t="inlineStr">
        <is>
          <t>298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24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1 / 6 ISO weeks</t>
        </is>
      </c>
      <c r="G12" s="20">
        <v>0.9230769230769231</v>
      </c>
      <c r="H12" s="18" t="inlineStr">
        <is>
          <t>Approval review</t>
        </is>
      </c>
      <c r="I12" s="18" t="inlineStr">
        <is>
          <t>276 more paired fixtures; 5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24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1 / 6 ISO weeks</t>
        </is>
      </c>
      <c r="G13" s="20">
        <v>0.9230769230769231</v>
      </c>
      <c r="H13" s="18" t="inlineStr">
        <is>
          <t>Approval review</t>
        </is>
      </c>
      <c r="I13" s="18" t="inlineStr">
        <is>
          <t>276 more paired fixtures; 5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26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1 / 6 ISO weeks</t>
        </is>
      </c>
      <c r="G14" s="20">
        <v>0.45614035087719296</v>
      </c>
      <c r="H14" s="18" t="inlineStr">
        <is>
          <t>Approval review</t>
        </is>
      </c>
      <c r="I14" s="18" t="inlineStr">
        <is>
          <t>274 more paired fixtures; 5 more ISO weeks; Coverage below 80%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1</v>
      </c>
      <c r="E26" s="20">
        <v>0.27</v>
      </c>
      <c r="F26" s="19">
        <v>0.03881635967862205</v>
      </c>
      <c r="G26" s="19">
        <v>0.219423826204877</v>
      </c>
      <c r="H26" s="20">
        <v>-0.19701867850186705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1</v>
      </c>
      <c r="E27" s="20">
        <v>0.26</v>
      </c>
      <c r="F27" s="19">
        <v>0.028716890666425368</v>
      </c>
      <c r="G27" s="19">
        <v>0.18567989452764247</v>
      </c>
      <c r="H27" s="20">
        <v>-0.169460587354185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2</v>
      </c>
      <c r="E28" s="20">
        <v>0.265</v>
      </c>
      <c r="F28" s="19">
        <v>0.03376662517252371</v>
      </c>
      <c r="G28" s="19">
        <v>0.20255186036625972</v>
      </c>
      <c r="H28" s="20">
        <v>-0.18323963292802603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3</v>
      </c>
      <c r="E29" s="20">
        <v>0.2866666666666667</v>
      </c>
      <c r="F29" s="19">
        <v>0.042065557367671584</v>
      </c>
      <c r="G29" s="19">
        <v>0.22934966286367883</v>
      </c>
      <c r="H29" s="20">
        <v>-0.20489726932101304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1</v>
      </c>
      <c r="E30" s="20">
        <v>0.26</v>
      </c>
      <c r="F30" s="19">
        <v>0.028716890666425368</v>
      </c>
      <c r="G30" s="19">
        <v>0.18567989452764247</v>
      </c>
      <c r="H30" s="20">
        <v>-0.169460587354185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4</v>
      </c>
      <c r="E31" s="20">
        <v>0.28</v>
      </c>
      <c r="F31" s="19">
        <v>0.038728390692360025</v>
      </c>
      <c r="G31" s="19">
        <v>0.21843222077966973</v>
      </c>
      <c r="H31" s="20">
        <v>-0.196038098829306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1</v>
      </c>
      <c r="E33" s="20">
        <v>0.26</v>
      </c>
      <c r="F33" s="19">
        <v>0.028716890666425368</v>
      </c>
      <c r="G33" s="19">
        <v>0.18567989452764247</v>
      </c>
      <c r="H33" s="20">
        <v>-0.169460587354185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1</v>
      </c>
      <c r="E34" s="20">
        <v>0.26</v>
      </c>
      <c r="F34" s="19">
        <v>0.028716890666425368</v>
      </c>
      <c r="G34" s="19">
        <v>0.18567989452764247</v>
      </c>
      <c r="H34" s="20">
        <v>-0.169460587354185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1</v>
      </c>
      <c r="E35" s="20">
        <v>0.27</v>
      </c>
      <c r="F35" s="19">
        <v>0.03881635967862205</v>
      </c>
      <c r="G35" s="19">
        <v>0.219423826204877</v>
      </c>
      <c r="H35" s="20">
        <v>-0.19701867850186705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1</v>
      </c>
      <c r="E36" s="20">
        <v>0.26</v>
      </c>
      <c r="F36" s="19">
        <v>0.028716890666425368</v>
      </c>
      <c r="G36" s="19">
        <v>0.18567989452764247</v>
      </c>
      <c r="H36" s="20">
        <v>-0.169460587354185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2</v>
      </c>
      <c r="E37" s="20">
        <v>0.265</v>
      </c>
      <c r="F37" s="19">
        <v>0.03376662517252371</v>
      </c>
      <c r="G37" s="19">
        <v>0.20255186036625972</v>
      </c>
      <c r="H37" s="20">
        <v>-0.18323963292802603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1</v>
      </c>
      <c r="E38" s="20">
        <v>0.27</v>
      </c>
      <c r="F38" s="19">
        <v>0.03881635967862205</v>
      </c>
      <c r="G38" s="19">
        <v>0.219423826204877</v>
      </c>
      <c r="H38" s="20">
        <v>-0.19701867850186705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1</v>
      </c>
      <c r="E39" s="20">
        <v>0.26</v>
      </c>
      <c r="F39" s="19">
        <v>0.028716890666425368</v>
      </c>
      <c r="G39" s="19">
        <v>0.18567989452764247</v>
      </c>
      <c r="H39" s="20">
        <v>-0.169460587354185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2</v>
      </c>
      <c r="E40" s="20">
        <v>0.265</v>
      </c>
      <c r="F40" s="19">
        <v>0.03376662517252371</v>
      </c>
      <c r="G40" s="19">
        <v>0.20255186036625972</v>
      </c>
      <c r="H40" s="20">
        <v>-0.18323963292802603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1</v>
      </c>
      <c r="E41" s="20">
        <v>0.27</v>
      </c>
      <c r="F41" s="19">
        <v>0.03881635967862205</v>
      </c>
      <c r="G41" s="19">
        <v>0.219423826204877</v>
      </c>
      <c r="H41" s="20">
        <v>-0.19701867850186705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1</v>
      </c>
      <c r="E42" s="20">
        <v>0.26</v>
      </c>
      <c r="F42" s="19">
        <v>0.028716890666425368</v>
      </c>
      <c r="G42" s="19">
        <v>0.18567989452764247</v>
      </c>
      <c r="H42" s="20">
        <v>-0.169460587354185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2</v>
      </c>
      <c r="E43" s="20">
        <v>0.265</v>
      </c>
      <c r="F43" s="19">
        <v>0.03376662517252371</v>
      </c>
      <c r="G43" s="19">
        <v>0.20255186036625972</v>
      </c>
      <c r="H43" s="20">
        <v>-0.18323963292802603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1</v>
      </c>
      <c r="E44" s="20">
        <v>0.27</v>
      </c>
      <c r="F44" s="19">
        <v>0.03881635967862205</v>
      </c>
      <c r="G44" s="19">
        <v>0.219423826204877</v>
      </c>
      <c r="H44" s="20">
        <v>-0.19701867850186705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1</v>
      </c>
      <c r="E45" s="20">
        <v>0.26</v>
      </c>
      <c r="F45" s="19">
        <v>0.028716890666425368</v>
      </c>
      <c r="G45" s="19">
        <v>0.18567989452764247</v>
      </c>
      <c r="H45" s="20">
        <v>-0.169460587354185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2</v>
      </c>
      <c r="E46" s="20">
        <v>0.265</v>
      </c>
      <c r="F46" s="19">
        <v>0.03376662517252371</v>
      </c>
      <c r="G46" s="19">
        <v>0.20255186036625972</v>
      </c>
      <c r="H46" s="20">
        <v>-0.18323963292802603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1</v>
      </c>
      <c r="E47" s="20">
        <v>0.27</v>
      </c>
      <c r="F47" s="19">
        <v>0.03881635967862205</v>
      </c>
      <c r="G47" s="19">
        <v>0.219423826204877</v>
      </c>
      <c r="H47" s="20">
        <v>-0.19701867850186705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1</v>
      </c>
      <c r="E48" s="20">
        <v>0.26</v>
      </c>
      <c r="F48" s="19">
        <v>0.026411140144598073</v>
      </c>
      <c r="G48" s="19">
        <v>0.17735198070066524</v>
      </c>
      <c r="H48" s="20">
        <v>-0.162515045902212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2</v>
      </c>
      <c r="E49" s="20">
        <v>0.265</v>
      </c>
      <c r="F49" s="19">
        <v>0.03261374991161006</v>
      </c>
      <c r="G49" s="19">
        <v>0.19838790345277113</v>
      </c>
      <c r="H49" s="20">
        <v>-0.17976686220203952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1</v>
      </c>
      <c r="E50" s="20">
        <v>0.27</v>
      </c>
      <c r="F50" s="19">
        <v>0.03881635967862205</v>
      </c>
      <c r="G50" s="19">
        <v>0.219423826204877</v>
      </c>
      <c r="H50" s="20">
        <v>-0.19701867850186705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1</v>
      </c>
      <c r="E51" s="20">
        <v>0.26</v>
      </c>
      <c r="F51" s="19">
        <v>0.03111912228037517</v>
      </c>
      <c r="G51" s="19">
        <v>0.1940777453401137</v>
      </c>
      <c r="H51" s="20">
        <v>-0.17640612880615902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2</v>
      </c>
      <c r="E52" s="20">
        <v>0.265</v>
      </c>
      <c r="F52" s="19">
        <v>0.03496774097949861</v>
      </c>
      <c r="G52" s="19">
        <v>0.20675078577249534</v>
      </c>
      <c r="H52" s="20">
        <v>-0.1867124036540131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</sheetData>
  <autoFilter ref="A5:J15"/>
  <mergeCells count="7">
    <mergeCell ref="A2:J2"/>
    <mergeCell ref="A4:J4"/>
    <mergeCell ref="A17:J17"/>
    <mergeCell ref="A18:J18"/>
    <mergeCell ref="A23:J23"/>
    <mergeCell ref="A24:J24"/>
    <mergeCell ref="A55:J55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Breakdowns!B25</f>
        <v>2026-W41</v>
      </c>
      <c r="B6" s="19">
        <f>Breakdowns!D25</f>
        <v>4.0</v>
      </c>
      <c r="C6" s="19">
        <f>COUNTIFS(Selections!$P$6:$P$30,A6,Selections!$M$6:$M$30,"&gt;0")</f>
        <v>4.0</v>
      </c>
      <c r="D6" s="22">
        <f>IF(C6=0,"n.a.",Breakdowns!J25)</f>
        <v>-1.48</v>
      </c>
      <c r="E6" s="22">
        <f>IF(SUM($C$6:C6)=0,"n.a.",SUM($D$6:D6))</f>
        <v>-1.48</v>
      </c>
      <c r="F6" s="20">
        <f>Breakdowns!H25</f>
        <v>0.5</v>
      </c>
    </row>
    <row r="7" ht="26" customHeight="1">
      <c r="A7" s="18" t="str">
        <f>Breakdowns!B26</f>
        <v>2026-W42</v>
      </c>
      <c r="B7" s="19">
        <f>Breakdowns!D26</f>
        <v>14.0</v>
      </c>
      <c r="C7" s="19">
        <f>COUNTIFS(Selections!$P$6:$P$30,A7,Selections!$M$6:$M$30,"&gt;0")</f>
        <v>14.0</v>
      </c>
      <c r="D7" s="22">
        <f>IF(C7=0,"n.a.",Breakdowns!J26)</f>
        <v>2.46</v>
      </c>
      <c r="E7" s="22">
        <f>IF(SUM($C$6:C7)=0,"n.a.",SUM($D$6:D7))</f>
        <v>0.98</v>
      </c>
      <c r="F7" s="20">
        <f>Breakdowns!H26</f>
        <v>0.8571428571428571</v>
      </c>
    </row>
    <row r="8" ht="26" customHeight="1">
      <c r="A8" s="18" t="str">
        <f>Breakdowns!B27</f>
        <v>2026-W43</v>
      </c>
      <c r="B8" s="19">
        <f>Breakdowns!D27</f>
        <v>0.0</v>
      </c>
      <c r="C8" s="19">
        <f>COUNTIFS(Selections!$P$6:$P$30,A8,Selections!$M$6:$M$30,"&gt;0")</f>
        <v>0</v>
      </c>
      <c r="D8" s="22" t="str">
        <f>IF(C8=0,"n.a.",Breakdowns!J27)</f>
        <v>n.a.</v>
      </c>
      <c r="E8" s="22">
        <f>IF(SUM($C$6:C8)=0,"n.a.",SUM($D$6:D8))</f>
        <v>0.98</v>
      </c>
      <c r="F8" s="20" t="str">
        <f>Breakdowns!H27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2026-10-18T14:18:16.482695+00:00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2026-10-17</t>
        </is>
      </c>
      <c r="C9" s="19">
        <v>970</v>
      </c>
      <c r="D9" s="19">
        <v>1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2026-10-17</t>
        </is>
      </c>
      <c r="C10" s="19">
        <v>1205</v>
      </c>
      <c r="D10" s="19">
        <v>1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2026-10-17</t>
        </is>
      </c>
      <c r="C11" s="19">
        <v>1223</v>
      </c>
      <c r="D11" s="19">
        <v>1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2026-10-17</t>
        </is>
      </c>
      <c r="C12" s="19">
        <v>976</v>
      </c>
      <c r="D12" s="19">
        <v>1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2026-10-17</t>
        </is>
      </c>
      <c r="C13" s="19">
        <v>1204</v>
      </c>
      <c r="D13" s="19">
        <v>1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4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5</v>
      </c>
      <c r="C19" s="19">
        <v>16</v>
      </c>
      <c r="D19" s="19">
        <v>4</v>
      </c>
      <c r="E19" s="20">
        <v>-0.025431588507977044</v>
      </c>
      <c r="F19" s="20">
        <v>0.009276989170946104</v>
      </c>
    </row>
    <row r="20" ht="44" customHeight="1">
      <c r="A20" s="18" t="inlineStr">
        <is>
          <t>pinnacle</t>
        </is>
      </c>
      <c r="B20" s="19">
        <v>6</v>
      </c>
      <c r="C20" s="19">
        <v>15</v>
      </c>
      <c r="D20" s="19">
        <v>4</v>
      </c>
      <c r="E20" s="20">
        <v>-0.018561327417978002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10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10</v>
      </c>
    </row>
    <row r="32" ht="44" customHeight="1">
      <c r="A32" s="18" t="inlineStr">
        <is>
          <t>Bookmakers: 1xBet</t>
        </is>
      </c>
      <c r="B32" s="19">
        <v>10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21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21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17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16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14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85% market weight</t>
        </is>
      </c>
      <c r="B48" s="18" t="inlineStr">
        <is>
          <t>Present but rejected</t>
        </is>
      </c>
      <c r="C48" s="19">
        <v>1</v>
      </c>
    </row>
    <row r="49" ht="44" customHeight="1">
      <c r="A49" s="18" t="inlineStr">
        <is>
          <t>Pinnacle totals anchor</t>
        </is>
      </c>
      <c r="B49" s="18" t="inlineStr">
        <is>
          <t>Captured</t>
        </is>
      </c>
      <c r="C49" s="19">
        <v>14</v>
      </c>
    </row>
    <row r="50" ht="44" customHeight="1">
      <c r="A50" s="18" t="inlineStr">
        <is>
          <t>Pinnacle totals anchor</t>
        </is>
      </c>
      <c r="B50" s="18" t="inlineStr">
        <is>
          <t>Legacy not recorded</t>
        </is>
      </c>
      <c r="C50" s="19">
        <v>21</v>
      </c>
    </row>
    <row r="51" ht="44" customHeight="1">
      <c r="A51" s="18" t="inlineStr">
        <is>
          <t>Stronger regularisation (L2=3)</t>
        </is>
      </c>
      <c r="B51" s="18" t="inlineStr">
        <is>
          <t>Legacy not recorded</t>
        </is>
      </c>
      <c r="C51" s="19">
        <v>35</v>
      </c>
    </row>
    <row r="52" ht="44" customHeight="1">
      <c r="A52" s="18" t="inlineStr">
        <is>
          <t>Fixed half-life (480 days)</t>
        </is>
      </c>
      <c r="B52" s="18" t="inlineStr">
        <is>
          <t>Legacy not recorded</t>
        </is>
      </c>
      <c r="C52" s="19">
        <v>35</v>
      </c>
    </row>
    <row r="53" ht="44" customHeight="1">
      <c r="A53" s="18" t="inlineStr">
        <is>
          <t>Probability / calibration policy</t>
        </is>
      </c>
      <c r="B53" s="18" t="inlineStr">
        <is>
          <t>Captured</t>
        </is>
      </c>
      <c r="C53" s="19">
        <v>8</v>
      </c>
    </row>
    <row r="54" ht="44" customHeight="1">
      <c r="A54" s="18" t="inlineStr">
        <is>
          <t>Probability / calibration policy</t>
        </is>
      </c>
      <c r="B54" s="18" t="inlineStr">
        <is>
          <t>Legacy not recorded</t>
        </is>
      </c>
      <c r="C54" s="19">
        <v>26</v>
      </c>
    </row>
    <row r="55" ht="44" customHeight="1">
      <c r="A55" s="18" t="inlineStr">
        <is>
          <t>Probability / calibration policy</t>
        </is>
      </c>
      <c r="B55" s="18" t="inlineStr">
        <is>
          <t>Present but rejected</t>
        </is>
      </c>
      <c r="C55" s="19">
        <v>1</v>
      </c>
    </row>
    <row r="56" ht="44" customHeight="1">
      <c r="A56" s="18" t="inlineStr">
        <is>
          <t>Shortlist probability / EV weights</t>
        </is>
      </c>
      <c r="B56" s="18" t="inlineStr">
        <is>
          <t>Legacy not recorded</t>
        </is>
      </c>
      <c r="C56" s="19">
        <v>35</v>
      </c>
    </row>
    <row r="59">
      <c r="A59" s="26" t="inlineStr">
        <is>
          <t>EV sensitivity results</t>
        </is>
      </c>
    </row>
    <row r="60" ht="34" customHeight="1">
      <c r="A60" s="24" t="inlineStr">
        <is>
          <t>EV floor</t>
        </is>
      </c>
      <c r="B60" s="24" t="inlineStr">
        <is>
          <t>Tier</t>
        </is>
      </c>
      <c r="C60" s="24" t="inlineStr">
        <is>
          <t>Selected</t>
        </is>
      </c>
      <c r="D60" s="24" t="inlineStr">
        <is>
          <t>Settled</t>
        </is>
      </c>
      <c r="E60" s="24" t="inlineStr">
        <is>
          <t>Simulated ROI</t>
        </is>
      </c>
      <c r="F60" s="24" t="inlineStr">
        <is>
          <t>Drawdown (units)</t>
        </is>
      </c>
    </row>
    <row r="61" ht="44" customHeight="1">
      <c r="A61" s="20">
        <v>0.015</v>
      </c>
      <c r="B61" s="18" t="inlineStr">
        <is>
          <t>ALL</t>
        </is>
      </c>
      <c r="C61" s="19">
        <v>9</v>
      </c>
      <c r="D61" s="19">
        <v>6</v>
      </c>
      <c r="E61" s="20">
        <v>0.10166666666666664</v>
      </c>
      <c r="F61" s="22">
        <v>1.0</v>
      </c>
    </row>
    <row r="62" ht="44" customHeight="1">
      <c r="A62" s="20">
        <v>0.015</v>
      </c>
      <c r="B62" s="18" t="inlineStr">
        <is>
          <t>STRICT</t>
        </is>
      </c>
      <c r="C62" s="19">
        <v>7</v>
      </c>
      <c r="D62" s="19">
        <v>5</v>
      </c>
      <c r="E62" s="20">
        <v>0.06999999999999998</v>
      </c>
      <c r="F62" s="22">
        <v>1.0</v>
      </c>
    </row>
    <row r="63" ht="44" customHeight="1">
      <c r="A63" s="20">
        <v>0.015</v>
      </c>
      <c r="B63" s="18" t="inlineStr">
        <is>
          <t>PROVISIONAL</t>
        </is>
      </c>
      <c r="C63" s="19">
        <v>2</v>
      </c>
      <c r="D63" s="19">
        <v>1</v>
      </c>
      <c r="E63" s="20">
        <v>0.26</v>
      </c>
      <c r="F63" s="22">
        <v>0.0</v>
      </c>
    </row>
    <row r="64" ht="44" customHeight="1">
      <c r="A64" s="20">
        <v>0.03</v>
      </c>
      <c r="B64" s="18" t="inlineStr">
        <is>
          <t>ALL</t>
        </is>
      </c>
      <c r="C64" s="19">
        <v>8</v>
      </c>
      <c r="D64" s="19">
        <v>6</v>
      </c>
      <c r="E64" s="20">
        <v>0.10166666666666664</v>
      </c>
      <c r="F64" s="22">
        <v>1.0</v>
      </c>
    </row>
    <row r="65" ht="44" customHeight="1">
      <c r="A65" s="20">
        <v>0.03</v>
      </c>
      <c r="B65" s="18" t="inlineStr">
        <is>
          <t>STRICT</t>
        </is>
      </c>
      <c r="C65" s="19">
        <v>6</v>
      </c>
      <c r="D65" s="19">
        <v>5</v>
      </c>
      <c r="E65" s="20">
        <v>0.06999999999999998</v>
      </c>
      <c r="F65" s="22">
        <v>1.0</v>
      </c>
    </row>
    <row r="66" ht="44" customHeight="1">
      <c r="A66" s="20">
        <v>0.03</v>
      </c>
      <c r="B66" s="18" t="inlineStr">
        <is>
          <t>PROVISIONAL</t>
        </is>
      </c>
      <c r="C66" s="19">
        <v>2</v>
      </c>
      <c r="D66" s="19">
        <v>1</v>
      </c>
      <c r="E66" s="20">
        <v>0.26</v>
      </c>
      <c r="F66" s="22">
        <v>0.0</v>
      </c>
    </row>
    <row r="67" ht="44" customHeight="1">
      <c r="A67" s="20">
        <v>0.05</v>
      </c>
      <c r="B67" s="18" t="inlineStr">
        <is>
          <t>ALL</t>
        </is>
      </c>
      <c r="C67" s="19">
        <v>7</v>
      </c>
      <c r="D67" s="19">
        <v>5</v>
      </c>
      <c r="E67" s="20">
        <v>0.06999999999999998</v>
      </c>
      <c r="F67" s="22">
        <v>1.0</v>
      </c>
    </row>
    <row r="68" ht="44" customHeight="1">
      <c r="A68" s="20">
        <v>0.05</v>
      </c>
      <c r="B68" s="18" t="inlineStr">
        <is>
          <t>STRICT</t>
        </is>
      </c>
      <c r="C68" s="19">
        <v>5</v>
      </c>
      <c r="D68" s="19">
        <v>5</v>
      </c>
      <c r="E68" s="20">
        <v>0.06999999999999998</v>
      </c>
      <c r="F68" s="22">
        <v>1.0</v>
      </c>
    </row>
    <row r="69" ht="44" customHeight="1">
      <c r="A69" s="20">
        <v>0.05</v>
      </c>
      <c r="B69" s="18" t="inlineStr">
        <is>
          <t>PROVISIONAL</t>
        </is>
      </c>
      <c r="C69" s="19">
        <v>2</v>
      </c>
      <c r="D69" s="19">
        <v>0</v>
      </c>
      <c r="E69" s="20"/>
      <c r="F69" s="22"/>
    </row>
    <row r="72">
      <c r="A72" s="26" t="inlineStr">
        <is>
          <t>Daily review observations</t>
        </is>
      </c>
    </row>
    <row r="73" ht="34" customHeight="1">
      <c r="A73" s="24" t="inlineStr">
        <is>
          <t>Review date</t>
        </is>
      </c>
      <c r="B73" s="24" t="inlineStr">
        <is>
          <t>Graded</t>
        </is>
      </c>
      <c r="C73" s="24" t="inlineStr">
        <is>
          <t>Win rate</t>
        </is>
      </c>
      <c r="D73" s="24" t="inlineStr">
        <is>
          <t>Simulated ROI</t>
        </is>
      </c>
      <c r="E73" s="24" t="inlineStr">
        <is>
          <t>Brier</t>
        </is>
      </c>
    </row>
    <row r="74" ht="44" customHeight="1">
      <c r="A74" s="18" t="inlineStr">
        <is>
          <t>2026-10-13</t>
        </is>
      </c>
      <c r="B74" s="19">
        <v>9</v>
      </c>
      <c r="C74" s="20">
        <v>0.666667</v>
      </c>
      <c r="D74" s="20">
        <v>-0.096667</v>
      </c>
      <c r="E74" s="21">
        <v>0.250532</v>
      </c>
    </row>
    <row r="75" ht="44" customHeight="1">
      <c r="A75" s="18" t="inlineStr">
        <is>
          <t>2026-10-14</t>
        </is>
      </c>
      <c r="B75" s="19">
        <v>11</v>
      </c>
      <c r="C75" s="20">
        <v>0.727273</v>
      </c>
      <c r="D75" s="20">
        <v>0.01</v>
      </c>
      <c r="E75" s="21">
        <v>0.215932</v>
      </c>
    </row>
    <row r="76" ht="44" customHeight="1">
      <c r="A76" s="18" t="inlineStr">
        <is>
          <t>2026-10-15</t>
        </is>
      </c>
      <c r="B76" s="19">
        <v>11</v>
      </c>
      <c r="C76" s="20">
        <v>0.727273</v>
      </c>
      <c r="D76" s="20">
        <v>0.01</v>
      </c>
      <c r="E76" s="21">
        <v>0.215932</v>
      </c>
    </row>
    <row r="77" ht="44" customHeight="1">
      <c r="A77" s="18" t="inlineStr">
        <is>
          <t>2026-10-16</t>
        </is>
      </c>
      <c r="B77" s="19">
        <v>12</v>
      </c>
      <c r="C77" s="20">
        <v>0.75</v>
      </c>
      <c r="D77" s="20">
        <v>0.031667</v>
      </c>
      <c r="E77" s="21">
        <v>0.199836</v>
      </c>
    </row>
    <row r="78" ht="44" customHeight="1">
      <c r="A78" s="18" t="inlineStr">
        <is>
          <t>2026-10-17</t>
        </is>
      </c>
      <c r="B78" s="19">
        <v>17</v>
      </c>
      <c r="C78" s="20">
        <v>0.764706</v>
      </c>
      <c r="D78" s="20">
        <v>0.044706</v>
      </c>
      <c r="E78" s="21">
        <v>0.178798</v>
      </c>
    </row>
    <row r="79" ht="44" customHeight="1">
      <c r="A79" s="18" t="inlineStr">
        <is>
          <t>2026-10-18</t>
        </is>
      </c>
      <c r="B79" s="19">
        <v>18</v>
      </c>
      <c r="C79" s="20">
        <v>0.777778</v>
      </c>
      <c r="D79" s="20">
        <v>0.054444</v>
      </c>
      <c r="E79" s="21">
        <v>0.169218</v>
      </c>
    </row>
    <row r="82">
      <c r="A82" s="26" t="inlineStr">
        <is>
          <t>Dependency versions</t>
        </is>
      </c>
    </row>
    <row r="83" ht="34" customHeight="1">
      <c r="A83" s="24" t="inlineStr">
        <is>
          <t>Dependency</t>
        </is>
      </c>
      <c r="B83" s="24" t="inlineStr">
        <is>
          <t>Version</t>
        </is>
      </c>
    </row>
    <row r="84" ht="44" customHeight="1">
      <c r="A84" s="18" t="inlineStr">
        <is>
          <t>python</t>
        </is>
      </c>
      <c r="B84" s="18" t="inlineStr">
        <is>
          <t>3.12.15</t>
        </is>
      </c>
    </row>
    <row r="85" ht="44" customHeight="1">
      <c r="A85" s="18" t="inlineStr">
        <is>
          <t>numpy</t>
        </is>
      </c>
      <c r="B85" s="18" t="inlineStr">
        <is>
          <t>2.5.4</t>
        </is>
      </c>
    </row>
    <row r="86" ht="44" customHeight="1">
      <c r="A86" s="18" t="inlineStr">
        <is>
          <t>pandas</t>
        </is>
      </c>
      <c r="B86" s="18" t="inlineStr">
        <is>
          <t>3.0.6</t>
        </is>
      </c>
    </row>
    <row r="87" ht="44" customHeight="1">
      <c r="A87" s="18" t="inlineStr">
        <is>
          <t>scipy</t>
        </is>
      </c>
      <c r="B87" s="18" t="inlineStr">
        <is>
          <t>1.18.1</t>
        </is>
      </c>
    </row>
    <row r="88" ht="44" customHeight="1">
      <c r="A88" s="18" t="inlineStr">
        <is>
          <t>requests</t>
        </is>
      </c>
      <c r="B88" s="18" t="inlineStr">
        <is>
          <t>2.34.2</t>
        </is>
      </c>
    </row>
    <row r="89" ht="44" customHeight="1">
      <c r="A89" s="18" t="inlineStr">
        <is>
          <t>python-dotenv</t>
        </is>
      </c>
      <c r="B89" s="18" t="inlineStr">
        <is>
          <t>1.2.4</t>
        </is>
      </c>
    </row>
    <row r="90" ht="44" customHeight="1">
      <c r="A90" s="18" t="inlineStr">
        <is>
          <t>coverage</t>
        </is>
      </c>
      <c r="B90" s="18" t="inlineStr">
        <is>
          <t>7.16.2</t>
        </is>
      </c>
    </row>
    <row r="91" ht="44" customHeight="1">
      <c r="A91" s="18" t="inlineStr">
        <is>
          <t>PyYAML</t>
        </is>
      </c>
      <c r="B91" s="18" t="inlineStr">
        <is>
          <t>6.0.3</t>
        </is>
      </c>
    </row>
    <row r="94">
      <c r="A94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59:F59"/>
    <mergeCell ref="A72:F72"/>
    <mergeCell ref="A82:F82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hyperlinks>
    <hyperlink ref="A94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</sheetData>
  <autoFilter ref="A5:H40"/>
  <mergeCells count="2">
    <mergeCell ref="A2:H2"/>
    <mergeCell ref="A4:H4"/>
  </mergeCells>
</worksheet>
</file>