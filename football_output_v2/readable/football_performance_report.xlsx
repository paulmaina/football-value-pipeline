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0.8484848484848485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0.7607338760888485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0.8095238095238095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33</v>
      </c>
      <c r="F7" s="20">
        <f>Breakdowns!H7</f>
        <v>0.8484848484848485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0.7666666666666667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0.06466666666666665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0.15315701523221703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0.5688622754491018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0.5730995958682634</v>
      </c>
      <c r="C17" s="18"/>
      <c r="D17" s="18" t="inlineStr">
        <is>
          <t>Over 1.5</t>
        </is>
      </c>
      <c r="E17" s="18">
        <f>COUNT(Predictions!J6:J244)</f>
        <v>167</v>
      </c>
      <c r="F17" s="20">
        <f>IF(E17=0,"n.a.",AVERAGE(Predictions!J6:J244))</f>
        <v>0.8023952095808383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0.6456348865960799</v>
      </c>
      <c r="C18" s="18"/>
      <c r="D18" s="18" t="inlineStr">
        <is>
          <t>Under 3.5</t>
        </is>
      </c>
      <c r="E18" s="18">
        <f>COUNT(Predictions!K6:K244)</f>
        <v>167</v>
      </c>
      <c r="F18" s="20">
        <f>IF(E18=0,"n.a.",AVERAGE(Predictions!K6:K244))</f>
        <v>0.6287425149700598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0.8556056838156894</v>
      </c>
      <c r="C19" s="18"/>
      <c r="D19" s="18" t="inlineStr">
        <is>
          <t>BTTS Yes</t>
        </is>
      </c>
      <c r="E19" s="18">
        <f>COUNT(Predictions!L6:L244)</f>
        <v>167</v>
      </c>
      <c r="F19" s="20">
        <f>IF(E19=0,"n.a.",AVERAGE(Predictions!L6:L244))</f>
        <v>0.562874251497006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167</v>
      </c>
      <c r="F20" s="20">
        <f>IF(E20=0,"n.a.",AVERAGE(Predictions!M6:M244))</f>
        <v>0.562874251497006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2026-10-27T09:25:51.470413+00:00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2026-10-26 11:46:02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60</v>
      </c>
      <c r="E6" s="19">
        <f>(COUNTIFS(Selections!$K$6:$K$78,"WON")+COUNTIFS(Selections!$K$6:$K$78,"HALF_WON"))</f>
        <v>46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13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0.7666666666666667</v>
      </c>
      <c r="I6" s="22">
        <f>SUM(Selections!$M$6:$M$78)</f>
        <v>60</v>
      </c>
      <c r="J6" s="22">
        <f>SUM(Selections!$N$6:$N$78)</f>
        <v>3.879999999999999</v>
      </c>
      <c r="K6" s="20">
        <f>IF(SUM(Selections!$M$6:$M$78)=0,"n.a.",SUM(Selections!$N$6:$N$78)/SUM(Selections!$M$6:$M$78))</f>
        <v>0.06466666666666665</v>
      </c>
      <c r="L6" s="21">
        <f>IF(SUM(Selections!$T$6:$T$78)=0,"n.a.",SUM(Selections!$O$6:$O$78)/SUM(Selections!$T$6:$T$78))</f>
        <v>0.15315701523221703</v>
      </c>
      <c r="M6" s="20">
        <f>IF(SUM(Selections!$T$6:$T$78)=0,"n.a.",SUM(Selections!$S$6:$S$78)/SUM(Selections!$T$6:$T$78))</f>
        <v>0.7466573036186906</v>
      </c>
      <c r="N6" s="20">
        <f>IF(SUM(Selections!$T$6:$T$78)=0,"n.a.",(SUMIFS(Selections!$L$6:$L$78,Selections!$T$6:$T$78,1))/SUM(Selections!$T$6:$T$78))</f>
        <v>0.7666666666666667</v>
      </c>
      <c r="O6" s="20">
        <f>IF(SUM(Selections!$T$6:$T$78)=0,"n.a.",(SUM(Selections!$S$6:$S$78)-(SUMIFS(Selections!$L$6:$L$78,Selections!$T$6:$T$78,1)))/SUM(Selections!$T$6:$T$78))</f>
        <v>-0.02000936304797607</v>
      </c>
      <c r="P6" s="19">
        <f>SUM(Selections!$T$6:$T$78)</f>
        <v>60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33</v>
      </c>
      <c r="E7" s="19">
        <f>(COUNTIFS(Selections!$F$6:$F$78,"STRICT",Selections!$K$6:$K$78,"WON")+COUNTIFS(Selections!$F$6:$F$78,"STRICT",Selections!$K$6:$K$78,"HALF_WON"))</f>
        <v>28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11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0.8484848484848485</v>
      </c>
      <c r="I7" s="22">
        <f>SUMIFS(Selections!$M$6:$M$78,Selections!$F$6:$F$78,"STRICT")</f>
        <v>33</v>
      </c>
      <c r="J7" s="22">
        <f>SUMIFS(Selections!$N$6:$N$78,Selections!$F$6:$F$78,"STRICT")</f>
        <v>6.77</v>
      </c>
      <c r="K7" s="20">
        <f>IF(SUMIFS(Selections!$M$6:$M$78,Selections!$F$6:$F$78,"STRICT")=0,"n.a.",SUMIFS(Selections!$N$6:$N$78,Selections!$F$6:$F$78,"STRICT")/SUMIFS(Selections!$M$6:$M$78,Selections!$F$6:$F$78,"STRICT"))</f>
        <v>0.20515151515151514</v>
      </c>
      <c r="L7" s="21">
        <f>IF(SUMIFS(Selections!$T$6:$T$78,Selections!$F$6:$F$78,"STRICT")=0,"n.a.",SUMIFS(Selections!$O$6:$O$78,Selections!$F$6:$F$78,"STRICT")/SUMIFS(Selections!$T$6:$T$78,Selections!$F$6:$F$78,"STRICT"))</f>
        <v>0.10680197011474592</v>
      </c>
      <c r="M7" s="20">
        <f>IF(SUMIFS(Selections!$T$6:$T$78,Selections!$F$6:$F$78,"STRICT")=0,"n.a.",SUMIFS(Selections!$S$6:$S$78,Selections!$F$6:$F$78,"STRICT")/SUMIFS(Selections!$T$6:$T$78,Selections!$F$6:$F$78,"STRICT"))</f>
        <v>0.7358653782937092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0.8484848484848485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-0.11261947019113927</v>
      </c>
      <c r="P7" s="19">
        <f>SUMIFS(Selections!$T$6:$T$78,Selections!$F$6:$F$78,"STRICT")</f>
        <v>33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12</v>
      </c>
      <c r="E15" s="19">
        <f>(COUNTIFS(Selections!$C$6:$C$78,"Serie A",Selections!$K$6:$K$78,"WON")+COUNTIFS(Selections!$C$6:$C$78,"Serie A",Selections!$K$6:$K$78,"HALF_WON"))</f>
        <v>8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2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0.6666666666666666</v>
      </c>
      <c r="I15" s="22">
        <f>SUMIFS(Selections!$M$6:$M$78,Selections!$C$6:$C$78,"Serie A")</f>
        <v>12</v>
      </c>
      <c r="J15" s="22">
        <f>SUMIFS(Selections!$N$6:$N$78,Selections!$C$6:$C$78,"Serie A")</f>
        <v>-0.9499999999999998</v>
      </c>
      <c r="K15" s="20">
        <f>IF(SUMIFS(Selections!$M$6:$M$78,Selections!$C$6:$C$78,"Serie A")=0,"n.a.",SUMIFS(Selections!$N$6:$N$78,Selections!$C$6:$C$78,"Serie A")/SUMIFS(Selections!$M$6:$M$78,Selections!$C$6:$C$78,"Serie A"))</f>
        <v>-0.07916666666666665</v>
      </c>
      <c r="L15" s="21">
        <f>IF(SUMIFS(Selections!$T$6:$T$78,Selections!$C$6:$C$78,"Serie A")=0,"n.a.",SUMIFS(Selections!$O$6:$O$78,Selections!$C$6:$C$78,"Serie A")/SUMIFS(Selections!$T$6:$T$78,Selections!$C$6:$C$78,"Serie A"))</f>
        <v>0.169928030982309</v>
      </c>
      <c r="M15" s="20">
        <f>IF(SUMIFS(Selections!$T$6:$T$78,Selections!$C$6:$C$78,"Serie A")=0,"n.a.",SUMIFS(Selections!$S$6:$S$78,Selections!$C$6:$C$78,"Serie A")/SUMIFS(Selections!$T$6:$T$78,Selections!$C$6:$C$78,"Serie A"))</f>
        <v>0.7136492876887082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0.6666666666666666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0.04698262102204154</v>
      </c>
      <c r="P15" s="19">
        <f>SUMIFS(Selections!$T$6:$T$78,Selections!$C$6:$C$78,"Serie A")</f>
        <v>12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(n=12).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E26" s="19">
        <f>(COUNTIFS(Selections!$E$6:$E$78,"Corners Under 10.5",Selections!$K$6:$K$78,"WON")+COUNTIFS(Selections!$E$6:$E$78,"Corners Under 10.5",Selections!$K$6:$K$78,"HALF_WON"))</f>
        <v>1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H26" s="20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1.0</v>
      </c>
      <c r="I26" s="22">
        <f>SUMIFS(Selections!$M$6:$M$78,Selections!$E$6:$E$78,"Corners Under 10.5")</f>
        <v>1</v>
      </c>
      <c r="J26" s="22">
        <f>SUMIFS(Selections!$N$6:$N$78,Selections!$E$6:$E$78,"Corners Under 10.5")</f>
        <v>0.53</v>
      </c>
      <c r="K26" s="20">
        <f>IF(SUMIFS(Selections!$M$6:$M$78,Selections!$E$6:$E$78,"Corners Under 10.5")=0,"n.a.",SUMIFS(Selections!$N$6:$N$78,Selections!$E$6:$E$78,"Corners Under 10.5")/SUMIFS(Selections!$M$6:$M$78,Selections!$E$6:$E$78,"Corners Under 10.5"))</f>
        <v>0.53</v>
      </c>
      <c r="L26" s="21">
        <f>IF(SUMIFS(Selections!$T$6:$T$78,Selections!$E$6:$E$78,"Corners Under 10.5")=0,"n.a.",SUMIFS(Selections!$O$6:$O$78,Selections!$E$6:$E$78,"Corners Under 10.5")/SUMIFS(Selections!$T$6:$T$78,Selections!$E$6:$E$78,"Corners Under 10.5"))</f>
        <v>0.07225612473142058</v>
      </c>
      <c r="M26" s="20">
        <f>IF(SUMIFS(Selections!$T$6:$T$78,Selections!$E$6:$E$78,"Corners Under 10.5")=0,"n.a.",SUMIFS(Selections!$S$6:$S$78,Selections!$E$6:$E$78,"Corners Under 10.5")/SUMIFS(Selections!$T$6:$T$78,Selections!$E$6:$E$78,"Corners Under 10.5"))</f>
        <v>0.7311950061263359</v>
      </c>
      <c r="N26" s="20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1.0</v>
      </c>
      <c r="O26" s="20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-0.2688049938736641</v>
      </c>
      <c r="P26" s="19">
        <f>SUMIFS(Selections!$T$6:$T$78,Selections!$E$6:$E$78,"Corners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12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9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4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0.75</v>
      </c>
      <c r="I36" s="22">
        <f>SUMIFS(Selections!$M$6:$M$78,Selections!$G$6:$G$78,"48h-two-per-market-group-probability-ev-corners-cards-v25")</f>
        <v>12</v>
      </c>
      <c r="J36" s="22">
        <f>SUMIFS(Selections!$N$6:$N$78,Selections!$G$6:$G$78,"48h-two-per-market-group-probability-ev-corners-cards-v25")</f>
        <v>0.45999999999999974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0.03833333333333331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0.13045944850654306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0.7093136666437047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0.75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-0.040686333356295346</v>
      </c>
      <c r="P36" s="19">
        <f>SUMIFS(Selections!$T$6:$T$78,Selections!$G$6:$G$78,"48h-two-per-market-group-probability-ev-corners-cards-v25")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34</v>
      </c>
      <c r="E48" s="19">
        <f>(COUNTIFS(Selections!$P$6:$P$78,"2026-W43",Selections!$K$6:$K$78,"WON")+COUNTIFS(Selections!$P$6:$P$78,"2026-W43",Selections!$K$6:$K$78,"HALF_WON"))</f>
        <v>25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7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0.7352941176470589</v>
      </c>
      <c r="I48" s="22">
        <f>SUMIFS(Selections!$M$6:$M$78,Selections!$P$6:$P$78,"2026-W43")</f>
        <v>34</v>
      </c>
      <c r="J48" s="22">
        <f>SUMIFS(Selections!$N$6:$N$78,Selections!$P$6:$P$78,"2026-W43")</f>
        <v>1.0699999999999994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0.0314705882352941</v>
      </c>
      <c r="L48" s="21">
        <f>IF(SUMIFS(Selections!$T$6:$T$78,Selections!$P$6:$P$78,"2026-W43")=0,"n.a.",SUMIFS(Selections!$O$6:$O$78,Selections!$P$6:$P$78,"2026-W43")/SUMIFS(Selections!$T$6:$T$78,Selections!$P$6:$P$78,"2026-W43"))</f>
        <v>0.14715697171487105</v>
      </c>
      <c r="M48" s="20">
        <f>IF(SUMIFS(Selections!$T$6:$T$78,Selections!$P$6:$P$78,"2026-W43")=0,"n.a.",SUMIFS(Selections!$S$6:$S$78,Selections!$P$6:$P$78,"2026-W43")/SUMIFS(Selections!$T$6:$T$78,Selections!$P$6:$P$78,"2026-W43"))</f>
        <v>0.7232981009569568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0.7352941176470589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-0.011996016690102085</v>
      </c>
      <c r="P48" s="19">
        <f>SUMIFS(Selections!$T$6:$T$78,Selections!$P$6:$P$78,"2026-W43")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21</v>
      </c>
      <c r="E9" s="20">
        <f>IF(D9=0,"n.a.",SUMIFS(Selections!$S$6:$S$78,Selections!$S$6:$S$78,"&gt;="&amp;B9,Selections!$S$6:$S$78,"&lt;"&amp;C9,Selections!$T$6:$T$78,1)/D9)</f>
        <v>0.7607338760888485</v>
      </c>
      <c r="F9" s="20">
        <f>IF(D9=0,"n.a.",SUMIFS(Selections!$L$6:$L$78,Selections!$S$6:$S$78,"&gt;="&amp;B9,Selections!$S$6:$S$78,"&lt;"&amp;C9,Selections!$T$6:$T$78,1)/D9)</f>
        <v>0.8095238095238095</v>
      </c>
      <c r="G9" s="20">
        <f>IF(D9=0,"n.a.",E9-F9)</f>
        <v>-0.048789933434961075</v>
      </c>
      <c r="H9" s="21">
        <f>IF(D9=0,"n.a.",SUMIFS(Selections!$O$6:$O$78,Selections!$S$6:$S$78,"&gt;="&amp;B9,Selections!$S$6:$S$78,"&lt;"&amp;C9,Selections!$T$6:$T$78,1)/D9)</f>
        <v>0.15549725657136584</v>
      </c>
      <c r="I9" s="18" t="inlineStr">
        <is>
          <t>Collect more scored forecasts (n=21).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0.9764705882352941</v>
      </c>
      <c r="H10" s="18" t="inlineStr">
        <is>
          <t>Approval review</t>
        </is>
      </c>
      <c r="I10" s="18" t="inlineStr">
        <is>
          <t>217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0.1411764705882353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0.9764705882352941</v>
      </c>
      <c r="H12" s="18" t="inlineStr">
        <is>
          <t>Approval review</t>
        </is>
      </c>
      <c r="I12" s="18" t="inlineStr">
        <is>
          <t>217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0.9764705882352941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COUNTIFS(Selections!$P$6:$P$78,A8,Selections!$M$6:$M$78,"&gt;0")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3.8799999999999986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60</v>
      </c>
      <c r="C8" s="19">
        <v>46</v>
      </c>
      <c r="D8" s="19">
        <v>14</v>
      </c>
      <c r="E8" s="19">
        <v>13</v>
      </c>
      <c r="F8" s="20">
        <v>0.766667</v>
      </c>
      <c r="G8" s="20">
        <v>0.064667</v>
      </c>
      <c r="H8" s="19">
        <v>3.88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2026-10-27T09:25:51.470413+00:00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9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2026-10-25</t>
        </is>
      </c>
      <c r="C12" s="19">
        <v>1998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2026-10-25</t>
        </is>
      </c>
      <c r="C13" s="19">
        <v>1751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8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6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5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37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119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62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80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100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22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34</v>
      </c>
      <c r="C35" s="19">
        <v>38</v>
      </c>
      <c r="D35" s="19">
        <v>1</v>
      </c>
      <c r="E35" s="20">
        <v>-0.02780450127606808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72</v>
      </c>
      <c r="D36" s="19">
        <v>1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46</v>
      </c>
      <c r="C37" s="19">
        <v>26</v>
      </c>
      <c r="D37" s="19">
        <v>1</v>
      </c>
      <c r="E37" s="20">
        <v>-0.030666655948099794</v>
      </c>
      <c r="F37" s="20">
        <v>0.014734308422460327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</v>
      </c>
    </row>
    <row r="49" ht="44" customHeight="1">
      <c r="A49" s="18" t="inlineStr">
        <is>
          <t>Bookmakers: Pinnacle</t>
        </is>
      </c>
      <c r="B49" s="19">
        <v>1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</v>
      </c>
    </row>
    <row r="52" ht="44" customHeight="1">
      <c r="A52" s="18" t="inlineStr">
        <is>
          <t>Upcoming kickoff count</t>
        </is>
      </c>
      <c r="B52" s="19">
        <v>0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39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39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35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11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32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32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53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53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11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11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2" ht="44" customHeight="1">
      <c r="A112" s="18" t="inlineStr">
        <is>
          <t>2026-10-27</t>
        </is>
      </c>
      <c r="B112" s="19">
        <v>60</v>
      </c>
      <c r="C112" s="20">
        <v>0.766667</v>
      </c>
      <c r="D112" s="20">
        <v>0.064667</v>
      </c>
      <c r="E112" s="21">
        <v>0.153157</v>
      </c>
    </row>
    <row r="115">
      <c r="A115" s="26" t="inlineStr">
        <is>
          <t>Dependency versions</t>
        </is>
      </c>
    </row>
    <row r="116" ht="34" customHeight="1">
      <c r="A116" s="24" t="inlineStr">
        <is>
          <t>Dependency</t>
        </is>
      </c>
      <c r="B116" s="24" t="inlineStr">
        <is>
          <t>Version</t>
        </is>
      </c>
    </row>
    <row r="117" ht="44" customHeight="1">
      <c r="A117" s="18" t="inlineStr">
        <is>
          <t>python</t>
        </is>
      </c>
      <c r="B117" s="18" t="inlineStr">
        <is>
          <t>3.12.15</t>
        </is>
      </c>
    </row>
    <row r="118" ht="44" customHeight="1">
      <c r="A118" s="18" t="inlineStr">
        <is>
          <t>numpy</t>
        </is>
      </c>
      <c r="B118" s="18" t="inlineStr">
        <is>
          <t>2.5.4</t>
        </is>
      </c>
    </row>
    <row r="119" ht="44" customHeight="1">
      <c r="A119" s="18" t="inlineStr">
        <is>
          <t>pandas</t>
        </is>
      </c>
      <c r="B119" s="18" t="inlineStr">
        <is>
          <t>3.1.0</t>
        </is>
      </c>
    </row>
    <row r="120" ht="44" customHeight="1">
      <c r="A120" s="18" t="inlineStr">
        <is>
          <t>scipy</t>
        </is>
      </c>
      <c r="B120" s="18" t="inlineStr">
        <is>
          <t>1.18.1</t>
        </is>
      </c>
    </row>
    <row r="121" ht="44" customHeight="1">
      <c r="A121" s="18" t="inlineStr">
        <is>
          <t>requests</t>
        </is>
      </c>
      <c r="B121" s="18" t="inlineStr">
        <is>
          <t>2.34.2</t>
        </is>
      </c>
    </row>
    <row r="122" ht="44" customHeight="1">
      <c r="A122" s="18" t="inlineStr">
        <is>
          <t>rapidfuzz</t>
        </is>
      </c>
      <c r="B122" s="18" t="inlineStr">
        <is>
          <t>3.14.6</t>
        </is>
      </c>
    </row>
    <row r="123" ht="44" customHeight="1">
      <c r="A123" s="18" t="inlineStr">
        <is>
          <t>python-dotenv</t>
        </is>
      </c>
      <c r="B123" s="18" t="inlineStr">
        <is>
          <t>1.2.4</t>
        </is>
      </c>
    </row>
    <row r="124" ht="44" customHeight="1">
      <c r="A124" s="18" t="inlineStr">
        <is>
          <t>coverage</t>
        </is>
      </c>
      <c r="B124" s="18" t="inlineStr">
        <is>
          <t>7.17.0</t>
        </is>
      </c>
    </row>
    <row r="125" ht="44" customHeight="1">
      <c r="A125" s="18" t="inlineStr">
        <is>
          <t>PyYAML</t>
        </is>
      </c>
      <c r="B125" s="18" t="inlineStr">
        <is>
          <t>6.0.3</t>
        </is>
      </c>
    </row>
    <row r="128">
      <c r="A128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5:F11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8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</sheetData>
  <autoFilter ref="A5:H58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2026-10-27T09:25:51.470413+00:00; 1376 candidates on 133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1376</v>
      </c>
      <c r="D9" s="19">
        <v>133</v>
      </c>
      <c r="E9" s="20">
        <v>-0.03274642082773921</v>
      </c>
      <c r="F9" s="20">
        <v>0.2754360465116279</v>
      </c>
      <c r="G9" s="22">
        <v>-11.713486798710083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824</v>
      </c>
      <c r="D11" s="19">
        <v>127</v>
      </c>
      <c r="E11" s="20">
        <v>0.007429215813202136</v>
      </c>
      <c r="F11" s="20">
        <v>0.529126213592233</v>
      </c>
      <c r="G11" s="22">
        <v>2.8392863246721123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133</v>
      </c>
      <c r="D15" s="18"/>
      <c r="E15" s="21">
        <v>-0.09782435117087487</v>
      </c>
      <c r="F15" s="20">
        <v>0.6015037593984962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310</v>
      </c>
      <c r="D20" s="19">
        <v>17</v>
      </c>
      <c r="E20" s="20">
        <v>-0.040520696326017715</v>
      </c>
      <c r="F20" s="20">
        <v>0.24193548387096775</v>
      </c>
      <c r="G20" s="22">
        <v>-20.705675200420465</v>
      </c>
      <c r="H20" s="20">
        <v>-0.0012033032040851546</v>
      </c>
      <c r="I20" s="19">
        <v>310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237</v>
      </c>
      <c r="D21" s="19">
        <v>99</v>
      </c>
      <c r="E21" s="20">
        <v>-0.02260227777420532</v>
      </c>
      <c r="F21" s="20">
        <v>0.4092827004219409</v>
      </c>
      <c r="G21" s="22">
        <v>-5.678347327104944</v>
      </c>
      <c r="H21" s="20">
        <v>0.03044222102562871</v>
      </c>
      <c r="I21" s="19">
        <v>178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215</v>
      </c>
      <c r="D22" s="19">
        <v>90</v>
      </c>
      <c r="E22" s="20">
        <v>-0.03899684659949059</v>
      </c>
      <c r="F22" s="20">
        <v>0.27906976744186046</v>
      </c>
      <c r="G22" s="22">
        <v>-8.370138471244983</v>
      </c>
      <c r="H22" s="20">
        <v>0.001119596501495756</v>
      </c>
      <c r="I22" s="19">
        <v>215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205</v>
      </c>
      <c r="D23" s="19">
        <v>79</v>
      </c>
      <c r="E23" s="20">
        <v>-0.030934312555478696</v>
      </c>
      <c r="F23" s="20">
        <v>0.13170731707317074</v>
      </c>
      <c r="G23" s="22">
        <v>-13.286302587052933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324</v>
      </c>
      <c r="D49" s="19">
        <v>39</v>
      </c>
      <c r="E49" s="20">
        <v>-0.0359965113628846</v>
      </c>
      <c r="F49" s="20">
        <v>0.23148148148148148</v>
      </c>
      <c r="G49" s="22">
        <v>-9.857767218943463</v>
      </c>
      <c r="H49" s="20">
        <v>0.004146594935900756</v>
      </c>
      <c r="I49" s="19">
        <v>213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284</v>
      </c>
      <c r="D50" s="19">
        <v>81</v>
      </c>
      <c r="E50" s="20">
        <v>-0.018509639822468844</v>
      </c>
      <c r="F50" s="20">
        <v>0.4225352112676056</v>
      </c>
      <c r="G50" s="22">
        <v>-2.153854465768168</v>
      </c>
      <c r="H50" s="20">
        <v>0.024021129767916805</v>
      </c>
      <c r="I50" s="19">
        <v>135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1312</v>
      </c>
      <c r="D56" s="19">
        <v>133</v>
      </c>
      <c r="E56" s="20">
        <v>-0.03297359748045886</v>
      </c>
      <c r="F56" s="20">
        <v>0.2774390243902439</v>
      </c>
      <c r="G56" s="22">
        <v>-11.214774646435504</v>
      </c>
      <c r="H56" s="20">
        <v>0.00762851924299777</v>
      </c>
      <c r="I56" s="19">
        <v>773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221</v>
      </c>
      <c r="D63" s="19">
        <v>17</v>
      </c>
      <c r="E63" s="20">
        <v>-0.033595887547028996</v>
      </c>
      <c r="F63" s="20">
        <v>0.248868778280543</v>
      </c>
      <c r="G63" s="22">
        <v>-8.03789509807613</v>
      </c>
      <c r="H63" s="20">
        <v>0.0034362920469933472</v>
      </c>
      <c r="I63" s="19">
        <v>137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