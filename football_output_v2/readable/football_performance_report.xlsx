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5.0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-0.8700000000000001</v>
                </pt>
                <pt idx="2">
                  <v>-0.8700000000000001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Plan'!$A$10:$A$30</c:f>
              <c:strCache>
                <c:ptCount val="2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2026-10-17T14:00:00+00:00</c:v>
                </c:pt>
                <c:pt idx="16">
                  <c:v>2026-10-17T14:00:00+00:00</c:v>
                </c:pt>
                <c:pt idx="17">
                  <c:v>2026-10-18T12:00:00+00:00</c:v>
                </c:pt>
                <c:pt idx="18">
                  <c:v>2026-10-18T16:30:00+00:00</c:v>
                </c:pt>
                <c:pt idx="19">
                  <c:v>2026-10-18T19:00:00+00:00</c:v>
                </c:pt>
                <c:pt idx="20">
                  <c:v>2026-10-19T19:00:00+00:00</c:v>
                </c:pt>
              </c:strCache>
            </c:strRef>
          </c:cat>
          <c:val>
            <c:numRef>
              <c:f>'ROI Plan'!$F$10:$F$30</c:f>
              <c:numCache>
                <c:formatCode>General</c:formatCode>
                <c:ptCount val="2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  <c:pt idx="19">
                  <c:v>-0.8700000000000001</c:v>
                </c:pt>
                <c:pt idx="20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3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21</v>
      </c>
      <c r="C7" s="18"/>
      <c r="D7" s="18" t="str">
        <v>STRICT</v>
      </c>
      <c r="E7" s="18">
        <f>Breakdowns!D7</f>
        <v>4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9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0.6666666666666666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-0.09666666666666668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-0.8700000000000001</v>
      </c>
      <c r="C14" s="18"/>
      <c r="D14" s="18" t="inlineStr">
        <is>
          <t>9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0.25053182411845815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IF(COUNT(Predictions!H6:H136)=0,"n.a.",AVERAGE(Predictions!H6:H136))</f>
        <v>0.6071428571428571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IF(COUNT(Predictions!I6:I136)=0,"n.a.",AVERAGE(Predictions!I6:I136))</f>
        <v>0.5850162907142857</v>
      </c>
      <c r="C17" s="18"/>
      <c r="D17" s="18" t="inlineStr">
        <is>
          <t>Over 1.5</t>
        </is>
      </c>
      <c r="E17" s="18">
        <f>COUNT(Predictions!J6:J136)</f>
        <v>28</v>
      </c>
      <c r="F17" s="20">
        <f>IF(E17=0,"n.a.",AVERAGE(Predictions!J6:J136))</f>
        <v>0.9285714285714286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0.35419734749908977</v>
      </c>
      <c r="C18" s="18"/>
      <c r="D18" s="18" t="inlineStr">
        <is>
          <t>Under 3.5</t>
        </is>
      </c>
      <c r="E18" s="18">
        <f>COUNT(Predictions!K6:K136)</f>
        <v>28</v>
      </c>
      <c r="F18" s="20">
        <f>IF(E18=0,"n.a.",AVERAGE(Predictions!K6:K136))</f>
        <v>0.5714285714285714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0.879418401317257</v>
      </c>
      <c r="C19" s="18"/>
      <c r="D19" s="18" t="inlineStr">
        <is>
          <t>BTTS Yes</t>
        </is>
      </c>
      <c r="E19" s="18">
        <f>COUNT(Predictions!L6:L136)</f>
        <v>28</v>
      </c>
      <c r="F19" s="20">
        <f>IF(E19=0,"n.a.",AVERAGE(Predictions!L6:L136))</f>
        <v>0.5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COUNT(Predictions!M6:M136)</f>
        <v>28</v>
      </c>
      <c r="F20" s="20">
        <f>IF(E20=0,"n.a.",AVERAGE(Predictions!M6:M136))</f>
        <v>0.5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6 wins from 9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2026-10-14T19:19:04.140995+00:00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2026-10-14 19:19:02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PENDING_KICKOFF_OR_FINAL_SCORE</t>
        </is>
      </c>
      <c r="D21" s="22" t="str">
        <f>IF(ISNUMBER(Selections!M17),Selections!M17,"")</f>
        <v/>
      </c>
      <c r="E21" s="22" t="str">
        <f>IF(ISNUMBER(Selections!N17),Selections!N17,"")</f>
        <v/>
      </c>
      <c r="F21" s="22">
        <f>SUM($E$10:E21)</f>
        <v>-0.8700000000000001</v>
      </c>
      <c r="G21" s="22">
        <f>$B$4+F21</f>
        <v>99.13</v>
      </c>
      <c r="H21" s="22">
        <f>MAX($B$4,$G$10:G21)</f>
        <v>100</v>
      </c>
      <c r="I21" s="22">
        <f>H21-G21</f>
        <v>0.8700000000000045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PENDING_KICKOFF_OR_FINAL_SCORE</t>
        </is>
      </c>
      <c r="D22" s="22" t="str">
        <f>IF(ISNUMBER(Selections!M18),Selections!M18,"")</f>
        <v/>
      </c>
      <c r="E22" s="22" t="str">
        <f>IF(ISNUMBER(Selections!N18),Selections!N18,"")</f>
        <v/>
      </c>
      <c r="F22" s="22">
        <f>SUM($E$10:E22)</f>
        <v>-0.8700000000000001</v>
      </c>
      <c r="G22" s="22">
        <f>$B$4+F22</f>
        <v>99.13</v>
      </c>
      <c r="H22" s="22">
        <f>MAX($B$4,$G$10:G22)</f>
        <v>100</v>
      </c>
      <c r="I22" s="22">
        <f>H22-G22</f>
        <v>0.8700000000000045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-0.8700000000000001</v>
      </c>
      <c r="G23" s="22">
        <f>$B$4+F23</f>
        <v>99.13</v>
      </c>
      <c r="H23" s="22">
        <f>MAX($B$4,$G$10:G23)</f>
        <v>100</v>
      </c>
      <c r="I23" s="22">
        <f>H23-G23</f>
        <v>0.8700000000000045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-0.8700000000000001</v>
      </c>
      <c r="G24" s="22">
        <f>$B$4+F24</f>
        <v>99.13</v>
      </c>
      <c r="H24" s="22">
        <f>MAX($B$4,$G$10:G24)</f>
        <v>100</v>
      </c>
      <c r="I24" s="22">
        <f>H24-G24</f>
        <v>0.8700000000000045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Fulham vs Hull City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-0.8700000000000001</v>
      </c>
      <c r="G25" s="22">
        <f>$B$4+F25</f>
        <v>99.13</v>
      </c>
      <c r="H25" s="22">
        <f>MAX($B$4,$G$10:G25)</f>
        <v>100</v>
      </c>
      <c r="I25" s="22">
        <f>H25-G25</f>
        <v>0.8700000000000045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Manchester City vs Ipswich Town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-0.8700000000000001</v>
      </c>
      <c r="G26" s="22">
        <f>$B$4+F26</f>
        <v>99.13</v>
      </c>
      <c r="H26" s="22">
        <f>MAX($B$4,$G$10:G26)</f>
        <v>100</v>
      </c>
      <c r="I26" s="22">
        <f>H26-G26</f>
        <v>0.8700000000000045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2026-10-18T12:00:00+00:00</t>
        </is>
      </c>
      <c r="B27" s="18" t="inlineStr">
        <is>
          <t>CA Osasuna vs Real Racing Club de Santander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-0.8700000000000001</v>
      </c>
      <c r="G27" s="22">
        <f>$B$4+F27</f>
        <v>99.13</v>
      </c>
      <c r="H27" s="22">
        <f>MAX($B$4,$G$10:G27)</f>
        <v>100</v>
      </c>
      <c r="I27" s="22">
        <f>H27-G27</f>
        <v>0.8700000000000045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2026-10-18T16:30:00+00:00</t>
        </is>
      </c>
      <c r="B28" s="18" t="inlineStr">
        <is>
          <t>Málaga vs Real Sociedad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-0.8700000000000001</v>
      </c>
      <c r="G28" s="22">
        <f>$B$4+F28</f>
        <v>99.13</v>
      </c>
      <c r="H28" s="22">
        <f>MAX($B$4,$G$10:G28)</f>
        <v>100</v>
      </c>
      <c r="I28" s="22">
        <f>H28-G28</f>
        <v>0.8700000000000045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2026-10-18T19:00:00+00:00</t>
        </is>
      </c>
      <c r="B29" s="18" t="inlineStr">
        <is>
          <t>Real Madrid vs Sevilla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-0.8700000000000001</v>
      </c>
      <c r="G29" s="22">
        <f>$B$4+F29</f>
        <v>99.13</v>
      </c>
      <c r="H29" s="22">
        <f>MAX($B$4,$G$10:G29)</f>
        <v>100</v>
      </c>
      <c r="I29" s="22">
        <f>H29-G29</f>
        <v>0.8700000000000045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2026-10-19T19:00:00+00:00</t>
        </is>
      </c>
      <c r="B30" s="18" t="inlineStr">
        <is>
          <t>Tottenham Hotspur vs Coventry City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-0.8700000000000001</v>
      </c>
      <c r="G30" s="22">
        <f>$B$4+F30</f>
        <v>99.13</v>
      </c>
      <c r="H30" s="22">
        <f>MAX($B$4,$G$10:G30)</f>
        <v>100</v>
      </c>
      <c r="I30" s="22">
        <f>H30-G30</f>
        <v>0.8700000000000045</v>
      </c>
      <c r="J30" s="18" t="inlineStr">
        <is>
          <t>2026-W43</t>
        </is>
      </c>
      <c r="K30" s="18"/>
      <c r="L30" s="18"/>
      <c r="M30" s="18"/>
      <c r="N30" s="18"/>
      <c r="O30" s="18"/>
      <c r="P30" s="18"/>
      <c r="Q30" s="18"/>
      <c r="R30" s="18"/>
    </row>
  </sheetData>
  <mergeCells count="1">
    <mergeCell ref="A2:J2"/>
  </mergeCells>
  <conditionalFormatting sqref="E10:E3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COUNTA(Selections!$A$6:$A$26)</f>
        <v>21</v>
      </c>
      <c r="D6" s="19">
        <f>(COUNTIFS(Selections!$K$6:$K$26,"WON")+COUNTIFS(Selections!$K$6:$K$26,"LOST"))</f>
        <v>9</v>
      </c>
      <c r="E6" s="19">
        <f>COUNTIFS(Selections!$K$6:$K$26,"WON")</f>
        <v>6</v>
      </c>
      <c r="F6" s="19">
        <f>COUNTIFS(Selections!$K$6:$K$26,"LOST")</f>
        <v>3</v>
      </c>
      <c r="G6" s="19">
        <f>COUNTA(Selections!$A$6:$A$26)-(COUNTIFS(Selections!$K$6:$K$26,"WON")+COUNTIFS(Selections!$K$6:$K$26,"LOST"))</f>
        <v>12</v>
      </c>
      <c r="H6" s="20">
        <f>IF((COUNTIFS(Selections!$K$6:$K$26,"WON")+COUNTIFS(Selections!$K$6:$K$26,"LOST"))=0,"n.a.",COUNTIFS(Selections!$K$6:$K$26,"WON")/(COUNTIFS(Selections!$K$6:$K$26,"WON")+COUNTIFS(Selections!$K$6:$K$26,"LOST")))</f>
        <v>0.6666666666666666</v>
      </c>
      <c r="I6" s="22">
        <f>SUM(Selections!$M$6:$M$26)</f>
        <v>9</v>
      </c>
      <c r="J6" s="22">
        <f>SUM(Selections!$N$6:$N$26)</f>
        <v>-0.8700000000000001</v>
      </c>
      <c r="K6" s="20">
        <f>IF(SUM(Selections!$M$6:$M$26)=0,"n.a.",SUM(Selections!$N$6:$N$26)/SUM(Selections!$M$6:$M$26))</f>
        <v>-0.09666666666666668</v>
      </c>
      <c r="L6" s="21">
        <f>IF(SUM(Selections!$T$6:$T$26)=0,"n.a.",SUM(Selections!$O$6:$O$26)/SUM(Selections!$T$6:$T$26))</f>
        <v>0.25053182411845815</v>
      </c>
      <c r="M6" s="20">
        <f>IF(SUM(Selections!$T$6:$T$26)=0,"n.a.",SUM(Selections!$S$6:$S$26)/SUM(Selections!$T$6:$T$26))</f>
        <v>0.8039940028539501</v>
      </c>
      <c r="N6" s="20">
        <f>IF(SUM(Selections!$T$6:$T$26)=0,"n.a.",(SUMIFS(Selections!$L$6:$L$26,Selections!$T$6:$T$26,1))/SUM(Selections!$T$6:$T$26))</f>
        <v>0.6666666666666666</v>
      </c>
      <c r="O6" s="20">
        <f>IF(SUM(Selections!$T$6:$T$26)=0,"n.a.",(SUM(Selections!$S$6:$S$26)-(SUMIFS(Selections!$L$6:$L$26,Selections!$T$6:$T$26,1)))/SUM(Selections!$T$6:$T$26))</f>
        <v>0.13732733618728343</v>
      </c>
      <c r="P6" s="19">
        <f>SUM(Selections!$T$6:$T$26)</f>
        <v>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COUNTIFS(Selections!$F$6:$F$26,"STRICT")</f>
        <v>11</v>
      </c>
      <c r="D7" s="19">
        <f>(COUNTIFS(Selections!$F$6:$F$26,"STRICT",Selections!$K$6:$K$26,"WON")+COUNTIFS(Selections!$F$6:$F$26,"STRICT",Selections!$K$6:$K$26,"LOST"))</f>
        <v>4</v>
      </c>
      <c r="E7" s="19">
        <f>COUNTIFS(Selections!$F$6:$F$26,"STRICT",Selections!$K$6:$K$26,"WON")</f>
        <v>4</v>
      </c>
      <c r="F7" s="19">
        <f>COUNTIFS(Selections!$F$6:$F$26,"STRICT",Selections!$K$6:$K$26,"LOST")</f>
        <v>0</v>
      </c>
      <c r="G7" s="19">
        <f>COUNTIFS(Selections!$F$6:$F$26,"STRICT")-(COUNTIFS(Selections!$F$6:$F$26,"STRICT",Selections!$K$6:$K$26,"WON")+COUNTIFS(Selections!$F$6:$F$26,"STRICT",Selections!$K$6:$K$26,"LOST"))</f>
        <v>7</v>
      </c>
      <c r="H7" s="20">
        <f>IF((COUNTIFS(Selections!$F$6:$F$26,"STRICT",Selections!$K$6:$K$26,"WON")+COUNTIFS(Selections!$F$6:$F$26,"STRICT",Selections!$K$6:$K$26,"LOST"))=0,"n.a.",COUNTIFS(Selections!$F$6:$F$26,"STRICT",Selections!$K$6:$K$26,"WON")/(COUNTIFS(Selections!$F$6:$F$26,"STRICT",Selections!$K$6:$K$26,"WON")+COUNTIFS(Selections!$F$6:$F$26,"STRICT",Selections!$K$6:$K$26,"LOST")))</f>
        <v>1.0</v>
      </c>
      <c r="I7" s="22">
        <f>SUMIFS(Selections!$M$6:$M$26,Selections!$F$6:$F$26,"STRICT")</f>
        <v>4</v>
      </c>
      <c r="J7" s="22">
        <f>SUMIFS(Selections!$N$6:$N$26,Selections!$F$6:$F$26,"STRICT")</f>
        <v>1.6099999999999999</v>
      </c>
      <c r="K7" s="20">
        <f>IF(SUMIFS(Selections!$M$6:$M$26,Selections!$F$6:$F$26,"STRICT")=0,"n.a.",SUMIFS(Selections!$N$6:$N$26,Selections!$F$6:$F$26,"STRICT")/SUMIFS(Selections!$M$6:$M$26,Selections!$F$6:$F$26,"STRICT"))</f>
        <v>0.40249999999999997</v>
      </c>
      <c r="L7" s="21">
        <f>IF(SUMIFS(Selections!$T$6:$T$26,Selections!$F$6:$F$26,"STRICT")=0,"n.a.",SUMIFS(Selections!$O$6:$O$26,Selections!$F$6:$F$26,"STRICT")/SUMIFS(Selections!$T$6:$T$26,Selections!$F$6:$F$26,"STRICT"))</f>
        <v>0.05954074059867185</v>
      </c>
      <c r="M7" s="20">
        <f>IF(SUMIFS(Selections!$T$6:$T$26,Selections!$F$6:$F$26,"STRICT")=0,"n.a.",SUMIFS(Selections!$S$6:$S$26,Selections!$F$6:$F$26,"STRICT")/SUMIFS(Selections!$T$6:$T$26,Selections!$F$6:$F$26,"STRICT"))</f>
        <v>0.7786491041410677</v>
      </c>
      <c r="N7" s="20">
        <f>IF(SUMIFS(Selections!$T$6:$T$26,Selections!$F$6:$F$26,"STRICT")=0,"n.a.",(SUMIFS(Selections!$L$6:$L$26,Selections!$F$6:$F$26,"STRICT",Selections!$T$6:$T$26,1))/SUMIFS(Selections!$T$6:$T$26,Selections!$F$6:$F$26,"STRICT"))</f>
        <v>1.0</v>
      </c>
      <c r="O7" s="20">
        <f>IF(SUMIFS(Selections!$T$6:$T$26,Selections!$F$6:$F$26,"STRICT")=0,"n.a.",(SUMIFS(Selections!$S$6:$S$26,Selections!$F$6:$F$26,"STRICT")-(SUMIFS(Selections!$L$6:$L$26,Selections!$F$6:$F$26,"STRICT",Selections!$T$6:$T$26,1)))/SUMIFS(Selections!$T$6:$T$26,Selections!$F$6:$F$26,"STRICT"))</f>
        <v>-0.2213508958589323</v>
      </c>
      <c r="P7" s="19">
        <f>SUMIFS(Selections!$T$6:$T$26,Selections!$F$6:$F$26,"STRICT")</f>
        <v>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COUNTIFS(Selections!$F$6:$F$26,"PROVISIONAL")</f>
        <v>10</v>
      </c>
      <c r="D8" s="19">
        <f>(COUNTIFS(Selections!$F$6:$F$26,"PROVISIONAL",Selections!$K$6:$K$26,"WON")+COUNTIFS(Selections!$F$6:$F$26,"PROVISIONAL",Selections!$K$6:$K$26,"LOST"))</f>
        <v>5</v>
      </c>
      <c r="E8" s="19">
        <f>COUNTIFS(Selections!$F$6:$F$26,"PROVISIONAL",Selections!$K$6:$K$26,"WON")</f>
        <v>2</v>
      </c>
      <c r="F8" s="19">
        <f>COUNTIFS(Selections!$F$6:$F$26,"PROVISIONAL",Selections!$K$6:$K$26,"LOST")</f>
        <v>3</v>
      </c>
      <c r="G8" s="19">
        <f>COUNTIFS(Selections!$F$6:$F$26,"PROVISIONAL")-(COUNTIFS(Selections!$F$6:$F$26,"PROVISIONAL",Selections!$K$6:$K$26,"WON")+COUNTIFS(Selections!$F$6:$F$26,"PROVISIONAL",Selections!$K$6:$K$26,"LOST"))</f>
        <v>5</v>
      </c>
      <c r="H8" s="20">
        <f>IF((COUNTIFS(Selections!$F$6:$F$26,"PROVISIONAL",Selections!$K$6:$K$26,"WON")+COUNTIFS(Selections!$F$6:$F$26,"PROVISIONAL",Selections!$K$6:$K$26,"LOST"))=0,"n.a.",COUNTIFS(Selections!$F$6:$F$26,"PROVISIONAL",Selections!$K$6:$K$26,"WON")/(COUNTIFS(Selections!$F$6:$F$26,"PROVISIONAL",Selections!$K$6:$K$26,"WON")+COUNTIFS(Selections!$F$6:$F$26,"PROVISIONAL",Selections!$K$6:$K$26,"LOST")))</f>
        <v>0.4</v>
      </c>
      <c r="I8" s="22">
        <f>SUMIFS(Selections!$M$6:$M$26,Selections!$F$6:$F$26,"PROVISIONAL")</f>
        <v>5</v>
      </c>
      <c r="J8" s="22">
        <f>SUMIFS(Selections!$N$6:$N$26,Selections!$F$6:$F$26,"PROVISIONAL")</f>
        <v>-2.48</v>
      </c>
      <c r="K8" s="20">
        <f>IF(SUMIFS(Selections!$M$6:$M$26,Selections!$F$6:$F$26,"PROVISIONAL")=0,"n.a.",SUMIFS(Selections!$N$6:$N$26,Selections!$F$6:$F$26,"PROVISIONAL")/SUMIFS(Selections!$M$6:$M$26,Selections!$F$6:$F$26,"PROVISIONAL"))</f>
        <v>-0.496</v>
      </c>
      <c r="L8" s="21">
        <f>IF(SUMIFS(Selections!$T$6:$T$26,Selections!$F$6:$F$26,"PROVISIONAL")=0,"n.a.",SUMIFS(Selections!$O$6:$O$26,Selections!$F$6:$F$26,"PROVISIONAL")/SUMIFS(Selections!$T$6:$T$26,Selections!$F$6:$F$26,"PROVISIONAL"))</f>
        <v>0.40332469093428713</v>
      </c>
      <c r="M8" s="20">
        <f>IF(SUMIFS(Selections!$T$6:$T$26,Selections!$F$6:$F$26,"PROVISIONAL")=0,"n.a.",SUMIFS(Selections!$S$6:$S$26,Selections!$F$6:$F$26,"PROVISIONAL")/SUMIFS(Selections!$T$6:$T$26,Selections!$F$6:$F$26,"PROVISIONAL"))</f>
        <v>0.824269921824256</v>
      </c>
      <c r="N8" s="20">
        <f>IF(SUMIFS(Selections!$T$6:$T$26,Selections!$F$6:$F$26,"PROVISIONAL")=0,"n.a.",(SUMIFS(Selections!$L$6:$L$26,Selections!$F$6:$F$26,"PROVISIONAL",Selections!$T$6:$T$26,1))/SUMIFS(Selections!$T$6:$T$26,Selections!$F$6:$F$26,"PROVISIONAL"))</f>
        <v>0.4</v>
      </c>
      <c r="O8" s="20">
        <f>IF(SUMIFS(Selections!$T$6:$T$26,Selections!$F$6:$F$26,"PROVISIONAL")=0,"n.a.",(SUMIFS(Selections!$S$6:$S$26,Selections!$F$6:$F$26,"PROVISIONAL")-(SUMIFS(Selections!$L$6:$L$26,Selections!$F$6:$F$26,"PROVISIONAL",Selections!$T$6:$T$26,1)))/SUMIFS(Selections!$T$6:$T$26,Selections!$F$6:$F$26,"PROVISIONAL"))</f>
        <v>0.42426992182425594</v>
      </c>
      <c r="P8" s="19">
        <f>SUMIFS(Selections!$T$6:$T$26,Selections!$F$6:$F$26,"PROVISIONAL")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COUNTIFS(Selections!$C$6:$C$26,"La Liga")</f>
        <v>7</v>
      </c>
      <c r="D9" s="19">
        <f>(COUNTIFS(Selections!$C$6:$C$26,"La Liga",Selections!$K$6:$K$26,"WON")+COUNTIFS(Selections!$C$6:$C$26,"La Liga",Selections!$K$6:$K$26,"LOST"))</f>
        <v>2</v>
      </c>
      <c r="E9" s="19">
        <f>COUNTIFS(Selections!$C$6:$C$26,"La Liga",Selections!$K$6:$K$26,"WON")</f>
        <v>2</v>
      </c>
      <c r="F9" s="19">
        <f>COUNTIFS(Selections!$C$6:$C$26,"La Liga",Selections!$K$6:$K$26,"LOST")</f>
        <v>0</v>
      </c>
      <c r="G9" s="19">
        <f>COUNTIFS(Selections!$C$6:$C$26,"La Liga")-(COUNTIFS(Selections!$C$6:$C$26,"La Liga",Selections!$K$6:$K$26,"WON")+COUNTIFS(Selections!$C$6:$C$26,"La Liga",Selections!$K$6:$K$26,"LOST"))</f>
        <v>5</v>
      </c>
      <c r="H9" s="20">
        <f>IF((COUNTIFS(Selections!$C$6:$C$26,"La Liga",Selections!$K$6:$K$26,"WON")+COUNTIFS(Selections!$C$6:$C$26,"La Liga",Selections!$K$6:$K$26,"LOST"))=0,"n.a.",COUNTIFS(Selections!$C$6:$C$26,"La Liga",Selections!$K$6:$K$26,"WON")/(COUNTIFS(Selections!$C$6:$C$26,"La Liga",Selections!$K$6:$K$26,"WON")+COUNTIFS(Selections!$C$6:$C$26,"La Liga",Selections!$K$6:$K$26,"LOST")))</f>
        <v>1.0</v>
      </c>
      <c r="I9" s="22">
        <f>SUMIFS(Selections!$M$6:$M$26,Selections!$C$6:$C$26,"La Liga")</f>
        <v>2</v>
      </c>
      <c r="J9" s="22">
        <f>SUMIFS(Selections!$N$6:$N$26,Selections!$C$6:$C$26,"La Liga")</f>
        <v>0.5800000000000001</v>
      </c>
      <c r="K9" s="20">
        <f>IF(SUMIFS(Selections!$M$6:$M$26,Selections!$C$6:$C$26,"La Liga")=0,"n.a.",SUMIFS(Selections!$N$6:$N$26,Selections!$C$6:$C$26,"La Liga")/SUMIFS(Selections!$M$6:$M$26,Selections!$C$6:$C$26,"La Liga"))</f>
        <v>0.29000000000000004</v>
      </c>
      <c r="L9" s="21">
        <f>IF(SUMIFS(Selections!$T$6:$T$26,Selections!$C$6:$C$26,"La Liga")=0,"n.a.",SUMIFS(Selections!$O$6:$O$26,Selections!$C$6:$C$26,"La Liga")/SUMIFS(Selections!$T$6:$T$26,Selections!$C$6:$C$26,"La Liga"))</f>
        <v>0.028808603206313725</v>
      </c>
      <c r="M9" s="20">
        <f>IF(SUMIFS(Selections!$T$6:$T$26,Selections!$C$6:$C$26,"La Liga")=0,"n.a.",SUMIFS(Selections!$S$6:$S$26,Selections!$C$6:$C$26,"La Liga")/SUMIFS(Selections!$T$6:$T$26,Selections!$C$6:$C$26,"La Liga"))</f>
        <v>0.8407710464485831</v>
      </c>
      <c r="N9" s="20">
        <f>IF(SUMIFS(Selections!$T$6:$T$26,Selections!$C$6:$C$26,"La Liga")=0,"n.a.",(SUMIFS(Selections!$L$6:$L$26,Selections!$C$6:$C$26,"La Liga",Selections!$T$6:$T$26,1))/SUMIFS(Selections!$T$6:$T$26,Selections!$C$6:$C$26,"La Liga"))</f>
        <v>1.0</v>
      </c>
      <c r="O9" s="20">
        <f>IF(SUMIFS(Selections!$T$6:$T$26,Selections!$C$6:$C$26,"La Liga")=0,"n.a.",(SUMIFS(Selections!$S$6:$S$26,Selections!$C$6:$C$26,"La Liga")-(SUMIFS(Selections!$L$6:$L$26,Selections!$C$6:$C$26,"La Liga",Selections!$T$6:$T$26,1)))/SUMIFS(Selections!$T$6:$T$26,Selections!$C$6:$C$26,"La Liga"))</f>
        <v>-0.15922895355141686</v>
      </c>
      <c r="P9" s="19">
        <f>SUMIFS(Selections!$T$6:$T$26,Selections!$C$6:$C$26,"La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COUNTIFS(Selections!$C$6:$C$26,"Premier League")</f>
        <v>6</v>
      </c>
      <c r="D10" s="19">
        <f>(COUNTIFS(Selections!$C$6:$C$26,"Premier League",Selections!$K$6:$K$26,"WON")+COUNTIFS(Selections!$C$6:$C$26,"Premier League",Selections!$K$6:$K$26,"LOST"))</f>
        <v>3</v>
      </c>
      <c r="E10" s="19">
        <f>COUNTIFS(Selections!$C$6:$C$26,"Premier League",Selections!$K$6:$K$26,"WON")</f>
        <v>0</v>
      </c>
      <c r="F10" s="19">
        <f>COUNTIFS(Selections!$C$6:$C$26,"Premier League",Selections!$K$6:$K$26,"LOST")</f>
        <v>3</v>
      </c>
      <c r="G10" s="19">
        <f>COUNTIFS(Selections!$C$6:$C$26,"Premier League")-(COUNTIFS(Selections!$C$6:$C$26,"Premier League",Selections!$K$6:$K$26,"WON")+COUNTIFS(Selections!$C$6:$C$26,"Premier League",Selections!$K$6:$K$26,"LOST"))</f>
        <v>3</v>
      </c>
      <c r="H10" s="20">
        <f>IF((COUNTIFS(Selections!$C$6:$C$26,"Premier League",Selections!$K$6:$K$26,"WON")+COUNTIFS(Selections!$C$6:$C$26,"Premier League",Selections!$K$6:$K$26,"LOST"))=0,"n.a.",COUNTIFS(Selections!$C$6:$C$26,"Premier League",Selections!$K$6:$K$26,"WON")/(COUNTIFS(Selections!$C$6:$C$26,"Premier League",Selections!$K$6:$K$26,"WON")+COUNTIFS(Selections!$C$6:$C$26,"Premier League",Selections!$K$6:$K$26,"LOST")))</f>
        <v>0.0</v>
      </c>
      <c r="I10" s="22">
        <f>SUMIFS(Selections!$M$6:$M$26,Selections!$C$6:$C$26,"Premier League")</f>
        <v>3</v>
      </c>
      <c r="J10" s="22">
        <f>SUMIFS(Selections!$N$6:$N$26,Selections!$C$6:$C$26,"Premier League")</f>
        <v>-3.0</v>
      </c>
      <c r="K10" s="20">
        <f>IF(SUMIFS(Selections!$M$6:$M$26,Selections!$C$6:$C$26,"Premier League")=0,"n.a.",SUMIFS(Selections!$N$6:$N$26,Selections!$C$6:$C$26,"Premier League")/SUMIFS(Selections!$M$6:$M$26,Selections!$C$6:$C$26,"Premier League"))</f>
        <v>-1.0</v>
      </c>
      <c r="L10" s="21">
        <f>IF(SUMIFS(Selections!$T$6:$T$26,Selections!$C$6:$C$26,"Premier League")=0,"n.a.",SUMIFS(Selections!$O$6:$O$26,Selections!$C$6:$C$26,"Premier League")/SUMIFS(Selections!$T$6:$T$26,Selections!$C$6:$C$26,"Premier League"))</f>
        <v>0.6550299989350173</v>
      </c>
      <c r="M10" s="20">
        <f>IF(SUMIFS(Selections!$T$6:$T$26,Selections!$C$6:$C$26,"Premier League")=0,"n.a.",SUMIFS(Selections!$S$6:$S$26,Selections!$C$6:$C$26,"Premier League")/SUMIFS(Selections!$T$6:$T$26,Selections!$C$6:$C$26,"Premier League"))</f>
        <v>0.8084589103334122</v>
      </c>
      <c r="N10" s="20">
        <f>IF(SUMIFS(Selections!$T$6:$T$26,Selections!$C$6:$C$26,"Premier League")=0,"n.a.",(SUMIFS(Selections!$L$6:$L$26,Selections!$C$6:$C$26,"Premier League",Selections!$T$6:$T$26,1))/SUMIFS(Selections!$T$6:$T$26,Selections!$C$6:$C$26,"Premier League"))</f>
        <v>0.0</v>
      </c>
      <c r="O10" s="20">
        <f>IF(SUMIFS(Selections!$T$6:$T$26,Selections!$C$6:$C$26,"Premier League")=0,"n.a.",(SUMIFS(Selections!$S$6:$S$26,Selections!$C$6:$C$26,"Premier League")-(SUMIFS(Selections!$L$6:$L$26,Selections!$C$6:$C$26,"Premier League",Selections!$T$6:$T$26,1)))/SUMIFS(Selections!$T$6:$T$26,Selections!$C$6:$C$26,"Premier League"))</f>
        <v>0.8084589103334122</v>
      </c>
      <c r="P10" s="19">
        <f>SUMIFS(Selections!$T$6:$T$26,Selections!$C$6:$C$26,"Premier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COUNTIFS(Selections!$C$6:$C$26,"Serie A")</f>
        <v>3</v>
      </c>
      <c r="D11" s="19">
        <f>(COUNTIFS(Selections!$C$6:$C$26,"Serie A",Selections!$K$6:$K$26,"WON")+COUNTIFS(Selections!$C$6:$C$26,"Serie A",Selections!$K$6:$K$26,"LOST"))</f>
        <v>2</v>
      </c>
      <c r="E11" s="19">
        <f>COUNTIFS(Selections!$C$6:$C$26,"Serie A",Selections!$K$6:$K$26,"WON")</f>
        <v>2</v>
      </c>
      <c r="F11" s="19">
        <f>COUNTIFS(Selections!$C$6:$C$26,"Serie A",Selections!$K$6:$K$26,"LOST")</f>
        <v>0</v>
      </c>
      <c r="G11" s="19">
        <f>COUNTIFS(Selections!$C$6:$C$26,"Serie A")-(COUNTIFS(Selections!$C$6:$C$26,"Serie A",Selections!$K$6:$K$26,"WON")+COUNTIFS(Selections!$C$6:$C$26,"Serie A",Selections!$K$6:$K$26,"LOST"))</f>
        <v>1</v>
      </c>
      <c r="H11" s="20">
        <f>IF((COUNTIFS(Selections!$C$6:$C$26,"Serie A",Selections!$K$6:$K$26,"WON")+COUNTIFS(Selections!$C$6:$C$26,"Serie A",Selections!$K$6:$K$26,"LOST"))=0,"n.a.",COUNTIFS(Selections!$C$6:$C$26,"Serie A",Selections!$K$6:$K$26,"WON")/(COUNTIFS(Selections!$C$6:$C$26,"Serie A",Selections!$K$6:$K$26,"WON")+COUNTIFS(Selections!$C$6:$C$26,"Serie A",Selections!$K$6:$K$26,"LOST")))</f>
        <v>1.0</v>
      </c>
      <c r="I11" s="22">
        <f>SUMIFS(Selections!$M$6:$M$26,Selections!$C$6:$C$26,"Serie A")</f>
        <v>2</v>
      </c>
      <c r="J11" s="22">
        <f>SUMIFS(Selections!$N$6:$N$26,Selections!$C$6:$C$26,"Serie A")</f>
        <v>0.9099999999999999</v>
      </c>
      <c r="K11" s="20">
        <f>IF(SUMIFS(Selections!$M$6:$M$26,Selections!$C$6:$C$26,"Serie A")=0,"n.a.",SUMIFS(Selections!$N$6:$N$26,Selections!$C$6:$C$26,"Serie A")/SUMIFS(Selections!$M$6:$M$26,Selections!$C$6:$C$26,"Serie A"))</f>
        <v>0.45499999999999996</v>
      </c>
      <c r="L11" s="21">
        <f>IF(SUMIFS(Selections!$T$6:$T$26,Selections!$C$6:$C$26,"Serie A")=0,"n.a.",SUMIFS(Selections!$O$6:$O$26,Selections!$C$6:$C$26,"Serie A")/SUMIFS(Selections!$T$6:$T$26,Selections!$C$6:$C$26,"Serie A"))</f>
        <v>0.07119335473368883</v>
      </c>
      <c r="M11" s="20">
        <f>IF(SUMIFS(Selections!$T$6:$T$26,Selections!$C$6:$C$26,"Serie A")=0,"n.a.",SUMIFS(Selections!$S$6:$S$26,Selections!$C$6:$C$26,"Serie A")/SUMIFS(Selections!$T$6:$T$26,Selections!$C$6:$C$26,"Serie A"))</f>
        <v>0.7393540862546915</v>
      </c>
      <c r="N11" s="20">
        <f>IF(SUMIFS(Selections!$T$6:$T$26,Selections!$C$6:$C$26,"Serie A")=0,"n.a.",(SUMIFS(Selections!$L$6:$L$26,Selections!$C$6:$C$26,"Serie A",Selections!$T$6:$T$26,1))/SUMIFS(Selections!$T$6:$T$26,Selections!$C$6:$C$26,"Serie A"))</f>
        <v>1.0</v>
      </c>
      <c r="O11" s="20">
        <f>IF(SUMIFS(Selections!$T$6:$T$26,Selections!$C$6:$C$26,"Serie A")=0,"n.a.",(SUMIFS(Selections!$S$6:$S$26,Selections!$C$6:$C$26,"Serie A")-(SUMIFS(Selections!$L$6:$L$26,Selections!$C$6:$C$26,"Serie A",Selections!$T$6:$T$26,1)))/SUMIFS(Selections!$T$6:$T$26,Selections!$C$6:$C$26,"Serie A"))</f>
        <v>-0.26064591374530854</v>
      </c>
      <c r="P11" s="19">
        <f>SUMIFS(Selections!$T$6:$T$26,Selections!$C$6:$C$26,"Serie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COUNTIFS(Selections!$C$6:$C$26,"UEFA Champions League")</f>
        <v>5</v>
      </c>
      <c r="D12" s="19">
        <f>(COUNTIFS(Selections!$C$6:$C$26,"UEFA Champions League",Selections!$K$6:$K$26,"WON")+COUNTIFS(Selections!$C$6:$C$26,"UEFA Champions League",Selections!$K$6:$K$26,"LOST"))</f>
        <v>2</v>
      </c>
      <c r="E12" s="19">
        <f>COUNTIFS(Selections!$C$6:$C$26,"UEFA Champions League",Selections!$K$6:$K$26,"WON")</f>
        <v>2</v>
      </c>
      <c r="F12" s="19">
        <f>COUNTIFS(Selections!$C$6:$C$26,"UEFA Champions League",Selections!$K$6:$K$26,"LOST")</f>
        <v>0</v>
      </c>
      <c r="G12" s="19">
        <f>COUNTIFS(Selections!$C$6:$C$26,"UEFA Champions League")-(COUNTIFS(Selections!$C$6:$C$26,"UEFA Champions League",Selections!$K$6:$K$26,"WON")+COUNTIFS(Selections!$C$6:$C$26,"UEFA Champions League",Selections!$K$6:$K$26,"LOST"))</f>
        <v>3</v>
      </c>
      <c r="H12" s="20">
        <f>IF((COUNTIFS(Selections!$C$6:$C$26,"UEFA Champions League",Selections!$K$6:$K$26,"WON")+COUNTIFS(Selections!$C$6:$C$26,"UEFA Champions League",Selections!$K$6:$K$26,"LOST"))=0,"n.a.",COUNTIFS(Selections!$C$6:$C$26,"UEFA Champions League",Selections!$K$6:$K$26,"WON")/(COUNTIFS(Selections!$C$6:$C$26,"UEFA Champions League",Selections!$K$6:$K$26,"WON")+COUNTIFS(Selections!$C$6:$C$26,"UEFA Champions League",Selections!$K$6:$K$26,"LOST")))</f>
        <v>1.0</v>
      </c>
      <c r="I12" s="22">
        <f>SUMIFS(Selections!$M$6:$M$26,Selections!$C$6:$C$26,"UEFA Champions League")</f>
        <v>2</v>
      </c>
      <c r="J12" s="22">
        <f>SUMIFS(Selections!$N$6:$N$26,Selections!$C$6:$C$26,"UEFA Champions League")</f>
        <v>0.6399999999999999</v>
      </c>
      <c r="K12" s="20">
        <f>IF(SUMIFS(Selections!$M$6:$M$26,Selections!$C$6:$C$26,"UEFA Champions League")=0,"n.a.",SUMIFS(Selections!$N$6:$N$26,Selections!$C$6:$C$26,"UEFA Champions League")/SUMIFS(Selections!$M$6:$M$26,Selections!$C$6:$C$26,"UEFA Champions League"))</f>
        <v>0.31999999999999995</v>
      </c>
      <c r="L12" s="21">
        <f>IF(SUMIFS(Selections!$T$6:$T$26,Selections!$C$6:$C$26,"UEFA Champions League")=0,"n.a.",SUMIFS(Selections!$O$6:$O$26,Selections!$C$6:$C$26,"UEFA Champions League")/SUMIFS(Selections!$T$6:$T$26,Selections!$C$6:$C$26,"UEFA Champions League"))</f>
        <v>0.044846252190532905</v>
      </c>
      <c r="M12" s="20">
        <f>IF(SUMIFS(Selections!$T$6:$T$26,Selections!$C$6:$C$26,"UEFA Champions League")=0,"n.a.",SUMIFS(Selections!$S$6:$S$26,Selections!$C$6:$C$26,"UEFA Champions League")/SUMIFS(Selections!$T$6:$T$26,Selections!$C$6:$C$26,"UEFA Champions League"))</f>
        <v>0.8251595146393822</v>
      </c>
      <c r="N12" s="20">
        <f>IF(SUMIFS(Selections!$T$6:$T$26,Selections!$C$6:$C$26,"UEFA Champions League")=0,"n.a.",(SUMIFS(Selections!$L$6:$L$26,Selections!$C$6:$C$26,"UEFA Champions League",Selections!$T$6:$T$26,1))/SUMIFS(Selections!$T$6:$T$26,Selections!$C$6:$C$26,"UEFA Champions League"))</f>
        <v>1.0</v>
      </c>
      <c r="O12" s="20">
        <f>IF(SUMIFS(Selections!$T$6:$T$26,Selections!$C$6:$C$26,"UEFA Champions League")=0,"n.a.",(SUMIFS(Selections!$S$6:$S$26,Selections!$C$6:$C$26,"UEFA Champions League")-(SUMIFS(Selections!$L$6:$L$26,Selections!$C$6:$C$26,"UEFA Champions League",Selections!$T$6:$T$26,1)))/SUMIFS(Selections!$T$6:$T$26,Selections!$C$6:$C$26,"UEFA Champions League"))</f>
        <v>-0.1748404853606178</v>
      </c>
      <c r="P12" s="19">
        <f>SUMIFS(Selections!$T$6:$T$26,Selections!$C$6:$C$26,"UEFA Champions League")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Market</t>
        </is>
      </c>
      <c r="B13" s="18" t="inlineStr">
        <is>
          <t>Away win</t>
        </is>
      </c>
      <c r="C13" s="19">
        <f>COUNTIFS(Selections!$E$6:$E$26,"Away win")</f>
        <v>1</v>
      </c>
      <c r="D13" s="19">
        <f>(COUNTIFS(Selections!$E$6:$E$26,"Away win",Selections!$K$6:$K$26,"WON")+COUNTIFS(Selections!$E$6:$E$26,"Away win",Selections!$K$6:$K$26,"LOST"))</f>
        <v>0</v>
      </c>
      <c r="E13" s="19">
        <f>COUNTIFS(Selections!$E$6:$E$26,"Away win",Selections!$K$6:$K$26,"WON")</f>
        <v>0</v>
      </c>
      <c r="F13" s="19">
        <f>COUNTIFS(Selections!$E$6:$E$26,"Away win",Selections!$K$6:$K$26,"LOST")</f>
        <v>0</v>
      </c>
      <c r="G13" s="19">
        <f>COUNTIFS(Selections!$E$6:$E$26,"Away win")-(COUNTIFS(Selections!$E$6:$E$26,"Away win",Selections!$K$6:$K$26,"WON")+COUNTIFS(Selections!$E$6:$E$26,"Away win",Selections!$K$6:$K$26,"LOST"))</f>
        <v>1</v>
      </c>
      <c r="H13" s="20" t="str">
        <f>IF((COUNTIFS(Selections!$E$6:$E$26,"Away win",Selections!$K$6:$K$26,"WON")+COUNTIFS(Selections!$E$6:$E$26,"Away win",Selections!$K$6:$K$26,"LOST"))=0,"n.a.",COUNTIFS(Selections!$E$6:$E$26,"Away win",Selections!$K$6:$K$26,"WON")/(COUNTIFS(Selections!$E$6:$E$26,"Away win",Selections!$K$6:$K$26,"WON")+COUNTIFS(Selections!$E$6:$E$26,"Away win",Selections!$K$6:$K$26,"LOST")))</f>
        <v>n.a.</v>
      </c>
      <c r="I13" s="22">
        <f>SUMIFS(Selections!$M$6:$M$26,Selections!$E$6:$E$26,"Away win")</f>
        <v>0</v>
      </c>
      <c r="J13" s="22">
        <f>SUMIFS(Selections!$N$6:$N$26,Selections!$E$6:$E$26,"Away win")</f>
        <v>0</v>
      </c>
      <c r="K13" s="20" t="str">
        <f>IF(SUMIFS(Selections!$M$6:$M$26,Selections!$E$6:$E$26,"Away win")=0,"n.a.",SUMIFS(Selections!$N$6:$N$26,Selections!$E$6:$E$26,"Away win")/SUMIFS(Selections!$M$6:$M$26,Selections!$E$6:$E$26,"Away win"))</f>
        <v>n.a.</v>
      </c>
      <c r="L13" s="21" t="str">
        <f>IF(SUMIFS(Selections!$T$6:$T$26,Selections!$E$6:$E$26,"Away win")=0,"n.a.",SUMIFS(Selections!$O$6:$O$26,Selections!$E$6:$E$26,"Away win")/SUMIFS(Selections!$T$6:$T$26,Selections!$E$6:$E$26,"Away win"))</f>
        <v>n.a.</v>
      </c>
      <c r="M13" s="20" t="str">
        <f>IF(SUMIFS(Selections!$T$6:$T$26,Selections!$E$6:$E$26,"Away win")=0,"n.a.",SUMIFS(Selections!$S$6:$S$26,Selections!$E$6:$E$26,"Away win")/SUMIFS(Selections!$T$6:$T$26,Selections!$E$6:$E$26,"Away win"))</f>
        <v>n.a.</v>
      </c>
      <c r="N13" s="20" t="str">
        <f>IF(SUMIFS(Selections!$T$6:$T$26,Selections!$E$6:$E$26,"Away win")=0,"n.a.",(SUMIFS(Selections!$L$6:$L$26,Selections!$E$6:$E$26,"Away win",Selections!$T$6:$T$26,1))/SUMIFS(Selections!$T$6:$T$26,Selections!$E$6:$E$26,"Away win"))</f>
        <v>n.a.</v>
      </c>
      <c r="O13" s="20" t="str">
        <f>IF(SUMIFS(Selections!$T$6:$T$26,Selections!$E$6:$E$26,"Away win")=0,"n.a.",(SUMIFS(Selections!$S$6:$S$26,Selections!$E$6:$E$26,"Away win")-(SUMIFS(Selections!$L$6:$L$26,Selections!$E$6:$E$26,"Away win",Selections!$T$6:$T$26,1)))/SUMIFS(Selections!$T$6:$T$26,Selections!$E$6:$E$26,"Away win"))</f>
        <v>n.a.</v>
      </c>
      <c r="P13" s="19">
        <f>SUMIFS(Selections!$T$6:$T$26,Selections!$E$6:$E$26,"Away win")</f>
        <v>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8"/>
    </row>
    <row r="14" ht="36" customHeight="1">
      <c r="A14" s="18" t="inlineStr">
        <is>
          <t>Market</t>
        </is>
      </c>
      <c r="B14" s="18" t="inlineStr">
        <is>
          <t>Both Teams to Score - Yes</t>
        </is>
      </c>
      <c r="C14" s="19">
        <f>COUNTIFS(Selections!$E$6:$E$26,"Both Teams to Score - Yes")</f>
        <v>1</v>
      </c>
      <c r="D14" s="19">
        <f>(COUNTIFS(Selections!$E$6:$E$26,"Both Teams to Score - Yes",Selections!$K$6:$K$26,"WON")+COUNTIFS(Selections!$E$6:$E$26,"Both Teams to Score - Yes",Selections!$K$6:$K$26,"LOST"))</f>
        <v>1</v>
      </c>
      <c r="E14" s="19">
        <f>COUNTIFS(Selections!$E$6:$E$26,"Both Teams to Score - Yes",Selections!$K$6:$K$26,"WON")</f>
        <v>1</v>
      </c>
      <c r="F14" s="19">
        <f>COUNTIFS(Selections!$E$6:$E$26,"Both Teams to Score - Yes",Selections!$K$6:$K$26,"LOST")</f>
        <v>0</v>
      </c>
      <c r="G14" s="19">
        <f>COUNTIFS(Selections!$E$6:$E$26,"Both Teams to Score - Yes")-(COUNTIFS(Selections!$E$6:$E$26,"Both Teams to Score - Yes",Selections!$K$6:$K$26,"WON")+COUNTIFS(Selections!$E$6:$E$26,"Both Teams to Score - Yes",Selections!$K$6:$K$26,"LOST"))</f>
        <v>0</v>
      </c>
      <c r="H14" s="20">
        <f>IF((COUNTIFS(Selections!$E$6:$E$26,"Both Teams to Score - Yes",Selections!$K$6:$K$26,"WON")+COUNTIFS(Selections!$E$6:$E$26,"Both Teams to Score - Yes",Selections!$K$6:$K$26,"LOST"))=0,"n.a.",COUNTIFS(Selections!$E$6:$E$26,"Both Teams to Score - Yes",Selections!$K$6:$K$26,"WON")/(COUNTIFS(Selections!$E$6:$E$26,"Both Teams to Score - Yes",Selections!$K$6:$K$26,"WON")+COUNTIFS(Selections!$E$6:$E$26,"Both Teams to Score - Yes",Selections!$K$6:$K$26,"LOST")))</f>
        <v>1.0</v>
      </c>
      <c r="I14" s="22">
        <f>SUMIFS(Selections!$M$6:$M$26,Selections!$E$6:$E$26,"Both Teams to Score - Yes")</f>
        <v>1</v>
      </c>
      <c r="J14" s="22">
        <f>SUMIFS(Selections!$N$6:$N$26,Selections!$E$6:$E$26,"Both Teams to Score - Yes")</f>
        <v>0.49</v>
      </c>
      <c r="K14" s="20">
        <f>IF(SUMIFS(Selections!$M$6:$M$26,Selections!$E$6:$E$26,"Both Teams to Score - Yes")=0,"n.a.",SUMIFS(Selections!$N$6:$N$26,Selections!$E$6:$E$26,"Both Teams to Score - Yes")/SUMIFS(Selections!$M$6:$M$26,Selections!$E$6:$E$26,"Both Teams to Score - Yes"))</f>
        <v>0.49</v>
      </c>
      <c r="L14" s="21">
        <f>IF(SUMIFS(Selections!$T$6:$T$26,Selections!$E$6:$E$26,"Both Teams to Score - Yes")=0,"n.a.",SUMIFS(Selections!$O$6:$O$26,Selections!$E$6:$E$26,"Both Teams to Score - Yes")/SUMIFS(Selections!$T$6:$T$26,Selections!$E$6:$E$26,"Both Teams to Score - Yes"))</f>
        <v>0.08662845606019748</v>
      </c>
      <c r="M14" s="20">
        <f>IF(SUMIFS(Selections!$T$6:$T$26,Selections!$E$6:$E$26,"Both Teams to Score - Yes")=0,"n.a.",SUMIFS(Selections!$S$6:$S$26,Selections!$E$6:$E$26,"Both Teams to Score - Yes")/SUMIFS(Selections!$T$6:$T$26,Selections!$E$6:$E$26,"Both Teams to Score - Yes"))</f>
        <v>0.7056728757654207</v>
      </c>
      <c r="N14" s="20">
        <f>IF(SUMIFS(Selections!$T$6:$T$26,Selections!$E$6:$E$26,"Both Teams to Score - Yes")=0,"n.a.",(SUMIFS(Selections!$L$6:$L$26,Selections!$E$6:$E$26,"Both Teams to Score - Yes",Selections!$T$6:$T$26,1))/SUMIFS(Selections!$T$6:$T$26,Selections!$E$6:$E$26,"Both Teams to Score - Yes"))</f>
        <v>1.0</v>
      </c>
      <c r="O14" s="20">
        <f>IF(SUMIFS(Selections!$T$6:$T$26,Selections!$E$6:$E$26,"Both Teams to Score - Yes")=0,"n.a.",(SUMIFS(Selections!$S$6:$S$26,Selections!$E$6:$E$26,"Both Teams to Score - Yes")-(SUMIFS(Selections!$L$6:$L$26,Selections!$E$6:$E$26,"Both Teams to Score - Yes",Selections!$T$6:$T$26,1)))/SUMIFS(Selections!$T$6:$T$26,Selections!$E$6:$E$26,"Both Teams to Score - Yes"))</f>
        <v>-0.2943271242345793</v>
      </c>
      <c r="P14" s="19">
        <f>SUMIFS(Selections!$T$6:$T$26,Selections!$E$6:$E$26,"Both Teams to Score - Yes")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Home win</t>
        </is>
      </c>
      <c r="C15" s="19">
        <f>COUNTIFS(Selections!$E$6:$E$26,"Home win")</f>
        <v>4</v>
      </c>
      <c r="D15" s="19">
        <f>(COUNTIFS(Selections!$E$6:$E$26,"Home win",Selections!$K$6:$K$26,"WON")+COUNTIFS(Selections!$E$6:$E$26,"Home win",Selections!$K$6:$K$26,"LOST"))</f>
        <v>1</v>
      </c>
      <c r="E15" s="19">
        <f>COUNTIFS(Selections!$E$6:$E$26,"Home win",Selections!$K$6:$K$26,"WON")</f>
        <v>1</v>
      </c>
      <c r="F15" s="19">
        <f>COUNTIFS(Selections!$E$6:$E$26,"Home win",Selections!$K$6:$K$26,"LOST")</f>
        <v>0</v>
      </c>
      <c r="G15" s="19">
        <f>COUNTIFS(Selections!$E$6:$E$26,"Home win")-(COUNTIFS(Selections!$E$6:$E$26,"Home win",Selections!$K$6:$K$26,"WON")+COUNTIFS(Selections!$E$6:$E$26,"Home win",Selections!$K$6:$K$26,"LOST"))</f>
        <v>3</v>
      </c>
      <c r="H15" s="20">
        <f>IF((COUNTIFS(Selections!$E$6:$E$26,"Home win",Selections!$K$6:$K$26,"WON")+COUNTIFS(Selections!$E$6:$E$26,"Home win",Selections!$K$6:$K$26,"LOST"))=0,"n.a.",COUNTIFS(Selections!$E$6:$E$26,"Home win",Selections!$K$6:$K$26,"WON")/(COUNTIFS(Selections!$E$6:$E$26,"Home win",Selections!$K$6:$K$26,"WON")+COUNTIFS(Selections!$E$6:$E$26,"Home win",Selections!$K$6:$K$26,"LOST")))</f>
        <v>1.0</v>
      </c>
      <c r="I15" s="22">
        <f>SUMIFS(Selections!$M$6:$M$26,Selections!$E$6:$E$26,"Home win")</f>
        <v>1</v>
      </c>
      <c r="J15" s="22">
        <f>SUMIFS(Selections!$N$6:$N$26,Selections!$E$6:$E$26,"Home win")</f>
        <v>0.6299999999999999</v>
      </c>
      <c r="K15" s="20">
        <f>IF(SUMIFS(Selections!$M$6:$M$26,Selections!$E$6:$E$26,"Home win")=0,"n.a.",SUMIFS(Selections!$N$6:$N$26,Selections!$E$6:$E$26,"Home win")/SUMIFS(Selections!$M$6:$M$26,Selections!$E$6:$E$26,"Home win"))</f>
        <v>0.6299999999999999</v>
      </c>
      <c r="L15" s="21">
        <f>IF(SUMIFS(Selections!$T$6:$T$26,Selections!$E$6:$E$26,"Home win")=0,"n.a.",SUMIFS(Selections!$O$6:$O$26,Selections!$E$6:$E$26,"Home win")/SUMIFS(Selections!$T$6:$T$26,Selections!$E$6:$E$26,"Home win"))</f>
        <v>0.10094383319457502</v>
      </c>
      <c r="M15" s="20">
        <f>IF(SUMIFS(Selections!$T$6:$T$26,Selections!$E$6:$E$26,"Home win")=0,"n.a.",SUMIFS(Selections!$S$6:$S$26,Selections!$E$6:$E$26,"Home win")/SUMIFS(Selections!$T$6:$T$26,Selections!$E$6:$E$26,"Home win"))</f>
        <v>0.6822834074295536</v>
      </c>
      <c r="N15" s="20">
        <f>IF(SUMIFS(Selections!$T$6:$T$26,Selections!$E$6:$E$26,"Home win")=0,"n.a.",(SUMIFS(Selections!$L$6:$L$26,Selections!$E$6:$E$26,"Home win",Selections!$T$6:$T$26,1))/SUMIFS(Selections!$T$6:$T$26,Selections!$E$6:$E$26,"Home win"))</f>
        <v>1.0</v>
      </c>
      <c r="O15" s="20">
        <f>IF(SUMIFS(Selections!$T$6:$T$26,Selections!$E$6:$E$26,"Home win")=0,"n.a.",(SUMIFS(Selections!$S$6:$S$26,Selections!$E$6:$E$26,"Home win")-(SUMIFS(Selections!$L$6:$L$26,Selections!$E$6:$E$26,"Home win",Selections!$T$6:$T$26,1)))/SUMIFS(Selections!$T$6:$T$26,Selections!$E$6:$E$26,"Home win"))</f>
        <v>-0.3177165925704464</v>
      </c>
      <c r="P15" s="19">
        <f>SUMIFS(Selections!$T$6:$T$26,Selections!$E$6:$E$26,"Home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Over 1.5</t>
        </is>
      </c>
      <c r="C16" s="19">
        <f>COUNTIFS(Selections!$E$6:$E$26,"Over 1.5")</f>
        <v>9</v>
      </c>
      <c r="D16" s="19">
        <f>(COUNTIFS(Selections!$E$6:$E$26,"Over 1.5",Selections!$K$6:$K$26,"WON")+COUNTIFS(Selections!$E$6:$E$26,"Over 1.5",Selections!$K$6:$K$26,"LOST"))</f>
        <v>3</v>
      </c>
      <c r="E16" s="19">
        <f>COUNTIFS(Selections!$E$6:$E$26,"Over 1.5",Selections!$K$6:$K$26,"WON")</f>
        <v>3</v>
      </c>
      <c r="F16" s="19">
        <f>COUNTIFS(Selections!$E$6:$E$26,"Over 1.5",Selections!$K$6:$K$26,"LOST")</f>
        <v>0</v>
      </c>
      <c r="G16" s="19">
        <f>COUNTIFS(Selections!$E$6:$E$26,"Over 1.5")-(COUNTIFS(Selections!$E$6:$E$26,"Over 1.5",Selections!$K$6:$K$26,"WON")+COUNTIFS(Selections!$E$6:$E$26,"Over 1.5",Selections!$K$6:$K$26,"LOST"))</f>
        <v>6</v>
      </c>
      <c r="H16" s="20">
        <f>IF((COUNTIFS(Selections!$E$6:$E$26,"Over 1.5",Selections!$K$6:$K$26,"WON")+COUNTIFS(Selections!$E$6:$E$26,"Over 1.5",Selections!$K$6:$K$26,"LOST"))=0,"n.a.",COUNTIFS(Selections!$E$6:$E$26,"Over 1.5",Selections!$K$6:$K$26,"WON")/(COUNTIFS(Selections!$E$6:$E$26,"Over 1.5",Selections!$K$6:$K$26,"WON")+COUNTIFS(Selections!$E$6:$E$26,"Over 1.5",Selections!$K$6:$K$26,"LOST")))</f>
        <v>1.0</v>
      </c>
      <c r="I16" s="22">
        <f>SUMIFS(Selections!$M$6:$M$26,Selections!$E$6:$E$26,"Over 1.5")</f>
        <v>3</v>
      </c>
      <c r="J16" s="22">
        <f>SUMIFS(Selections!$N$6:$N$26,Selections!$E$6:$E$26,"Over 1.5")</f>
        <v>0.73</v>
      </c>
      <c r="K16" s="20">
        <f>IF(SUMIFS(Selections!$M$6:$M$26,Selections!$E$6:$E$26,"Over 1.5")=0,"n.a.",SUMIFS(Selections!$N$6:$N$26,Selections!$E$6:$E$26,"Over 1.5")/SUMIFS(Selections!$M$6:$M$26,Selections!$E$6:$E$26,"Over 1.5"))</f>
        <v>0.24333333333333332</v>
      </c>
      <c r="L16" s="21">
        <f>IF(SUMIFS(Selections!$T$6:$T$26,Selections!$E$6:$E$26,"Over 1.5")=0,"n.a.",SUMIFS(Selections!$O$6:$O$26,Selections!$E$6:$E$26,"Over 1.5")/SUMIFS(Selections!$T$6:$T$26,Selections!$E$6:$E$26,"Over 1.5"))</f>
        <v>0.020227084911165257</v>
      </c>
      <c r="M16" s="20">
        <f>IF(SUMIFS(Selections!$T$6:$T$26,Selections!$E$6:$E$26,"Over 1.5")=0,"n.a.",SUMIFS(Selections!$S$6:$S$26,Selections!$E$6:$E$26,"Over 1.5")/SUMIFS(Selections!$T$6:$T$26,Selections!$E$6:$E$26,"Over 1.5"))</f>
        <v>0.8753960821368366</v>
      </c>
      <c r="N16" s="20">
        <f>IF(SUMIFS(Selections!$T$6:$T$26,Selections!$E$6:$E$26,"Over 1.5")=0,"n.a.",(SUMIFS(Selections!$L$6:$L$26,Selections!$E$6:$E$26,"Over 1.5",Selections!$T$6:$T$26,1))/SUMIFS(Selections!$T$6:$T$26,Selections!$E$6:$E$26,"Over 1.5"))</f>
        <v>1.0</v>
      </c>
      <c r="O16" s="20">
        <f>IF(SUMIFS(Selections!$T$6:$T$26,Selections!$E$6:$E$26,"Over 1.5")=0,"n.a.",(SUMIFS(Selections!$S$6:$S$26,Selections!$E$6:$E$26,"Over 1.5")-(SUMIFS(Selections!$L$6:$L$26,Selections!$E$6:$E$26,"Over 1.5",Selections!$T$6:$T$26,1)))/SUMIFS(Selections!$T$6:$T$26,Selections!$E$6:$E$26,"Over 1.5"))</f>
        <v>-0.12460391786316338</v>
      </c>
      <c r="P16" s="19">
        <f>SUMIFS(Selections!$T$6:$T$26,Selections!$E$6:$E$26,"Over 1.5")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Under 3.5</t>
        </is>
      </c>
      <c r="C17" s="19">
        <f>COUNTIFS(Selections!$E$6:$E$26,"Under 3.5")</f>
        <v>6</v>
      </c>
      <c r="D17" s="19">
        <f>(COUNTIFS(Selections!$E$6:$E$26,"Under 3.5",Selections!$K$6:$K$26,"WON")+COUNTIFS(Selections!$E$6:$E$26,"Under 3.5",Selections!$K$6:$K$26,"LOST"))</f>
        <v>4</v>
      </c>
      <c r="E17" s="19">
        <f>COUNTIFS(Selections!$E$6:$E$26,"Under 3.5",Selections!$K$6:$K$26,"WON")</f>
        <v>1</v>
      </c>
      <c r="F17" s="19">
        <f>COUNTIFS(Selections!$E$6:$E$26,"Under 3.5",Selections!$K$6:$K$26,"LOST")</f>
        <v>3</v>
      </c>
      <c r="G17" s="19">
        <f>COUNTIFS(Selections!$E$6:$E$26,"Under 3.5")-(COUNTIFS(Selections!$E$6:$E$26,"Under 3.5",Selections!$K$6:$K$26,"WON")+COUNTIFS(Selections!$E$6:$E$26,"Under 3.5",Selections!$K$6:$K$26,"LOST"))</f>
        <v>2</v>
      </c>
      <c r="H17" s="20">
        <f>IF((COUNTIFS(Selections!$E$6:$E$26,"Under 3.5",Selections!$K$6:$K$26,"WON")+COUNTIFS(Selections!$E$6:$E$26,"Under 3.5",Selections!$K$6:$K$26,"LOST"))=0,"n.a.",COUNTIFS(Selections!$E$6:$E$26,"Under 3.5",Selections!$K$6:$K$26,"WON")/(COUNTIFS(Selections!$E$6:$E$26,"Under 3.5",Selections!$K$6:$K$26,"WON")+COUNTIFS(Selections!$E$6:$E$26,"Under 3.5",Selections!$K$6:$K$26,"LOST")))</f>
        <v>0.25</v>
      </c>
      <c r="I17" s="22">
        <f>SUMIFS(Selections!$M$6:$M$26,Selections!$E$6:$E$26,"Under 3.5")</f>
        <v>4</v>
      </c>
      <c r="J17" s="22">
        <f>SUMIFS(Selections!$N$6:$N$26,Selections!$E$6:$E$26,"Under 3.5")</f>
        <v>-2.7199999999999998</v>
      </c>
      <c r="K17" s="20">
        <f>IF(SUMIFS(Selections!$M$6:$M$26,Selections!$E$6:$E$26,"Under 3.5")=0,"n.a.",SUMIFS(Selections!$N$6:$N$26,Selections!$E$6:$E$26,"Under 3.5")/SUMIFS(Selections!$M$6:$M$26,Selections!$E$6:$E$26,"Under 3.5"))</f>
        <v>-0.6799999999999999</v>
      </c>
      <c r="L17" s="21">
        <f>IF(SUMIFS(Selections!$T$6:$T$26,Selections!$E$6:$E$26,"Under 3.5")=0,"n.a.",SUMIFS(Selections!$O$6:$O$26,Selections!$E$6:$E$26,"Under 3.5")/SUMIFS(Selections!$T$6:$T$26,Selections!$E$6:$E$26,"Under 3.5"))</f>
        <v>0.5016332182694637</v>
      </c>
      <c r="M17" s="20">
        <f>IF(SUMIFS(Selections!$T$6:$T$26,Selections!$E$6:$E$26,"Under 3.5")=0,"n.a.",SUMIFS(Selections!$S$6:$S$26,Selections!$E$6:$E$26,"Under 3.5")/SUMIFS(Selections!$T$6:$T$26,Selections!$E$6:$E$26,"Under 3.5"))</f>
        <v>0.8054503740200165</v>
      </c>
      <c r="N17" s="20">
        <f>IF(SUMIFS(Selections!$T$6:$T$26,Selections!$E$6:$E$26,"Under 3.5")=0,"n.a.",(SUMIFS(Selections!$L$6:$L$26,Selections!$E$6:$E$26,"Under 3.5",Selections!$T$6:$T$26,1))/SUMIFS(Selections!$T$6:$T$26,Selections!$E$6:$E$26,"Under 3.5"))</f>
        <v>0.25</v>
      </c>
      <c r="O17" s="20">
        <f>IF(SUMIFS(Selections!$T$6:$T$26,Selections!$E$6:$E$26,"Under 3.5")=0,"n.a.",(SUMIFS(Selections!$S$6:$S$26,Selections!$E$6:$E$26,"Under 3.5")-(SUMIFS(Selections!$L$6:$L$26,Selections!$E$6:$E$26,"Under 3.5",Selections!$T$6:$T$26,1)))/SUMIFS(Selections!$T$6:$T$26,Selections!$E$6:$E$26,"Under 3.5"))</f>
        <v>0.5554503740200165</v>
      </c>
      <c r="P17" s="19">
        <f>SUMIFS(Selections!$T$6:$T$26,Selections!$E$6:$E$26,"Under 3.5")</f>
        <v>4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8"/>
    </row>
    <row r="18" ht="36" customHeight="1">
      <c r="A18" s="18" t="inlineStr">
        <is>
          <t>Policy</t>
        </is>
      </c>
      <c r="B18" s="18" t="inlineStr">
        <is>
          <t>72h-all-markets-net-ev15-execution-v7</t>
        </is>
      </c>
      <c r="C18" s="19">
        <f>COUNTIFS(Selections!$G$6:$G$26,"72h-all-markets-net-ev15-execution-v7")</f>
        <v>2</v>
      </c>
      <c r="D18" s="19">
        <f>(COUNTIFS(Selections!$G$6:$G$26,"72h-all-markets-net-ev15-execution-v7",Selections!$K$6:$K$26,"WON")+COUNTIFS(Selections!$G$6:$G$26,"72h-all-markets-net-ev15-execution-v7",Selections!$K$6:$K$26,"LOST"))</f>
        <v>0</v>
      </c>
      <c r="E18" s="19">
        <f>COUNTIFS(Selections!$G$6:$G$26,"72h-all-markets-net-ev15-execution-v7",Selections!$K$6:$K$26,"WON")</f>
        <v>0</v>
      </c>
      <c r="F18" s="19">
        <f>COUNTIFS(Selections!$G$6:$G$26,"72h-all-markets-net-ev15-execution-v7",Selections!$K$6:$K$26,"LOST")</f>
        <v>0</v>
      </c>
      <c r="G18" s="19">
        <f>COUNTIFS(Selections!$G$6:$G$26,"72h-all-markets-net-ev15-execution-v7")-(COUNTIFS(Selections!$G$6:$G$26,"72h-all-markets-net-ev15-execution-v7",Selections!$K$6:$K$26,"WON")+COUNTIFS(Selections!$G$6:$G$26,"72h-all-markets-net-ev15-execution-v7",Selections!$K$6:$K$26,"LOST"))</f>
        <v>2</v>
      </c>
      <c r="H18" s="20" t="str">
        <f>IF((COUNTIFS(Selections!$G$6:$G$26,"72h-all-markets-net-ev15-execution-v7",Selections!$K$6:$K$26,"WON")+COUNTIFS(Selections!$G$6:$G$26,"72h-all-markets-net-ev15-execution-v7",Selections!$K$6:$K$26,"LOST"))=0,"n.a.",COUNTIFS(Selections!$G$6:$G$26,"72h-all-markets-net-ev15-execution-v7",Selections!$K$6:$K$26,"WON")/(COUNTIFS(Selections!$G$6:$G$26,"72h-all-markets-net-ev15-execution-v7",Selections!$K$6:$K$26,"WON")+COUNTIFS(Selections!$G$6:$G$26,"72h-all-markets-net-ev15-execution-v7",Selections!$K$6:$K$26,"LOST")))</f>
        <v>n.a.</v>
      </c>
      <c r="I18" s="22">
        <f>SUMIFS(Selections!$M$6:$M$26,Selections!$G$6:$G$26,"72h-all-markets-net-ev15-execution-v7")</f>
        <v>0</v>
      </c>
      <c r="J18" s="22">
        <f>SUMIFS(Selections!$N$6:$N$26,Selections!$G$6:$G$26,"72h-all-markets-net-ev15-execution-v7")</f>
        <v>0</v>
      </c>
      <c r="K18" s="20" t="str">
        <f>IF(SUMIFS(Selections!$M$6:$M$26,Selections!$G$6:$G$26,"72h-all-markets-net-ev15-execution-v7")=0,"n.a.",SUMIFS(Selections!$N$6:$N$26,Selections!$G$6:$G$26,"72h-all-markets-net-ev15-execution-v7")/SUMIFS(Selections!$M$6:$M$26,Selections!$G$6:$G$26,"72h-all-markets-net-ev15-execution-v7"))</f>
        <v>n.a.</v>
      </c>
      <c r="L18" s="21" t="str">
        <f>IF(SUMIFS(Selections!$T$6:$T$26,Selections!$G$6:$G$26,"72h-all-markets-net-ev15-execution-v7")=0,"n.a.",SUMIFS(Selections!$O$6:$O$26,Selections!$G$6:$G$26,"72h-all-markets-net-ev15-execution-v7")/SUMIFS(Selections!$T$6:$T$26,Selections!$G$6:$G$26,"72h-all-markets-net-ev15-execution-v7"))</f>
        <v>n.a.</v>
      </c>
      <c r="M18" s="20" t="str">
        <f>IF(SUMIFS(Selections!$T$6:$T$26,Selections!$G$6:$G$26,"72h-all-markets-net-ev15-execution-v7")=0,"n.a.",SUMIFS(Selections!$S$6:$S$26,Selections!$G$6:$G$26,"72h-all-markets-net-ev15-execution-v7")/SUMIFS(Selections!$T$6:$T$26,Selections!$G$6:$G$26,"72h-all-markets-net-ev15-execution-v7"))</f>
        <v>n.a.</v>
      </c>
      <c r="N18" s="20" t="str">
        <f>IF(SUMIFS(Selections!$T$6:$T$26,Selections!$G$6:$G$26,"72h-all-markets-net-ev15-execution-v7")=0,"n.a.",(SUMIFS(Selections!$L$6:$L$26,Selections!$G$6:$G$26,"72h-all-markets-net-ev15-execution-v7",Selections!$T$6:$T$26,1))/SUMIFS(Selections!$T$6:$T$26,Selections!$G$6:$G$26,"72h-all-markets-net-ev15-execution-v7"))</f>
        <v>n.a.</v>
      </c>
      <c r="O18" s="20" t="str">
        <f>IF(SUMIFS(Selections!$T$6:$T$26,Selections!$G$6:$G$26,"72h-all-markets-net-ev15-execution-v7")=0,"n.a.",(SUMIFS(Selections!$S$6:$S$26,Selections!$G$6:$G$26,"72h-all-markets-net-ev15-execution-v7")-(SUMIFS(Selections!$L$6:$L$26,Selections!$G$6:$G$26,"72h-all-markets-net-ev15-execution-v7",Selections!$T$6:$T$26,1)))/SUMIFS(Selections!$T$6:$T$26,Selections!$G$6:$G$26,"72h-all-markets-net-ev15-execution-v7"))</f>
        <v>n.a.</v>
      </c>
      <c r="P18" s="19">
        <f>SUMIFS(Selections!$T$6:$T$26,Selections!$G$6:$G$26,"72h-all-markets-net-ev15-execution-v7")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Policy</t>
        </is>
      </c>
      <c r="B19" s="18" t="inlineStr">
        <is>
          <t>72h-ucl-v3</t>
        </is>
      </c>
      <c r="C19" s="19">
        <f>COUNTIFS(Selections!$G$6:$G$26,"72h-ucl-v3")</f>
        <v>8</v>
      </c>
      <c r="D19" s="19">
        <f>(COUNTIFS(Selections!$G$6:$G$26,"72h-ucl-v3",Selections!$K$6:$K$26,"WON")+COUNTIFS(Selections!$G$6:$G$26,"72h-ucl-v3",Selections!$K$6:$K$26,"LOST"))</f>
        <v>4</v>
      </c>
      <c r="E19" s="19">
        <f>COUNTIFS(Selections!$G$6:$G$26,"72h-ucl-v3",Selections!$K$6:$K$26,"WON")</f>
        <v>3</v>
      </c>
      <c r="F19" s="19">
        <f>COUNTIFS(Selections!$G$6:$G$26,"72h-ucl-v3",Selections!$K$6:$K$26,"LOST")</f>
        <v>1</v>
      </c>
      <c r="G19" s="19">
        <f>COUNTIFS(Selections!$G$6:$G$26,"72h-ucl-v3")-(COUNTIFS(Selections!$G$6:$G$26,"72h-ucl-v3",Selections!$K$6:$K$26,"WON")+COUNTIFS(Selections!$G$6:$G$26,"72h-ucl-v3",Selections!$K$6:$K$26,"LOST"))</f>
        <v>4</v>
      </c>
      <c r="H19" s="20">
        <f>IF((COUNTIFS(Selections!$G$6:$G$26,"72h-ucl-v3",Selections!$K$6:$K$26,"WON")+COUNTIFS(Selections!$G$6:$G$26,"72h-ucl-v3",Selections!$K$6:$K$26,"LOST"))=0,"n.a.",COUNTIFS(Selections!$G$6:$G$26,"72h-ucl-v3",Selections!$K$6:$K$26,"WON")/(COUNTIFS(Selections!$G$6:$G$26,"72h-ucl-v3",Selections!$K$6:$K$26,"WON")+COUNTIFS(Selections!$G$6:$G$26,"72h-ucl-v3",Selections!$K$6:$K$26,"LOST")))</f>
        <v>0.75</v>
      </c>
      <c r="I19" s="22">
        <f>SUMIFS(Selections!$M$6:$M$26,Selections!$G$6:$G$26,"72h-ucl-v3")</f>
        <v>4</v>
      </c>
      <c r="J19" s="22">
        <f>SUMIFS(Selections!$N$6:$N$26,Selections!$G$6:$G$26,"72h-ucl-v3")</f>
        <v>-0.020000000000000018</v>
      </c>
      <c r="K19" s="20">
        <f>IF(SUMIFS(Selections!$M$6:$M$26,Selections!$G$6:$G$26,"72h-ucl-v3")=0,"n.a.",SUMIFS(Selections!$N$6:$N$26,Selections!$G$6:$G$26,"72h-ucl-v3")/SUMIFS(Selections!$M$6:$M$26,Selections!$G$6:$G$26,"72h-ucl-v3"))</f>
        <v>-0.0050000000000000044</v>
      </c>
      <c r="L19" s="21">
        <f>IF(SUMIFS(Selections!$T$6:$T$26,Selections!$G$6:$G$26,"72h-ucl-v3")=0,"n.a.",SUMIFS(Selections!$O$6:$O$26,Selections!$G$6:$G$26,"72h-ucl-v3")/SUMIFS(Selections!$T$6:$T$26,Selections!$G$6:$G$26,"72h-ucl-v3"))</f>
        <v>0.17685702320972962</v>
      </c>
      <c r="M19" s="20">
        <f>IF(SUMIFS(Selections!$T$6:$T$26,Selections!$G$6:$G$26,"72h-ucl-v3")=0,"n.a.",SUMIFS(Selections!$S$6:$S$26,Selections!$G$6:$G$26,"72h-ucl-v3")/SUMIFS(Selections!$T$6:$T$26,Selections!$G$6:$G$26,"72h-ucl-v3"))</f>
        <v>0.7968587073827849</v>
      </c>
      <c r="N19" s="20">
        <f>IF(SUMIFS(Selections!$T$6:$T$26,Selections!$G$6:$G$26,"72h-ucl-v3")=0,"n.a.",(SUMIFS(Selections!$L$6:$L$26,Selections!$G$6:$G$26,"72h-ucl-v3",Selections!$T$6:$T$26,1))/SUMIFS(Selections!$T$6:$T$26,Selections!$G$6:$G$26,"72h-ucl-v3"))</f>
        <v>0.75</v>
      </c>
      <c r="O19" s="20">
        <f>IF(SUMIFS(Selections!$T$6:$T$26,Selections!$G$6:$G$26,"72h-ucl-v3")=0,"n.a.",(SUMIFS(Selections!$S$6:$S$26,Selections!$G$6:$G$26,"72h-ucl-v3")-(SUMIFS(Selections!$L$6:$L$26,Selections!$G$6:$G$26,"72h-ucl-v3",Selections!$T$6:$T$26,1)))/SUMIFS(Selections!$T$6:$T$26,Selections!$G$6:$G$26,"72h-ucl-v3"))</f>
        <v>0.04685870738278486</v>
      </c>
      <c r="P19" s="19">
        <f>SUMIFS(Selections!$T$6:$T$26,Selections!$G$6:$G$26,"72h-ucl-v3")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legacy/unspecified</t>
        </is>
      </c>
      <c r="C20" s="19">
        <f>COUNTIFS(Selections!$G$6:$G$26,"legacy/unspecified")</f>
        <v>11</v>
      </c>
      <c r="D20" s="19">
        <f>(COUNTIFS(Selections!$G$6:$G$26,"legacy/unspecified",Selections!$K$6:$K$26,"WON")+COUNTIFS(Selections!$G$6:$G$26,"legacy/unspecified",Selections!$K$6:$K$26,"LOST"))</f>
        <v>5</v>
      </c>
      <c r="E20" s="19">
        <f>COUNTIFS(Selections!$G$6:$G$26,"legacy/unspecified",Selections!$K$6:$K$26,"WON")</f>
        <v>3</v>
      </c>
      <c r="F20" s="19">
        <f>COUNTIFS(Selections!$G$6:$G$26,"legacy/unspecified",Selections!$K$6:$K$26,"LOST")</f>
        <v>2</v>
      </c>
      <c r="G20" s="19">
        <f>COUNTIFS(Selections!$G$6:$G$26,"legacy/unspecified")-(COUNTIFS(Selections!$G$6:$G$26,"legacy/unspecified",Selections!$K$6:$K$26,"WON")+COUNTIFS(Selections!$G$6:$G$26,"legacy/unspecified",Selections!$K$6:$K$26,"LOST"))</f>
        <v>6</v>
      </c>
      <c r="H20" s="20">
        <f>IF((COUNTIFS(Selections!$G$6:$G$26,"legacy/unspecified",Selections!$K$6:$K$26,"WON")+COUNTIFS(Selections!$G$6:$G$26,"legacy/unspecified",Selections!$K$6:$K$26,"LOST"))=0,"n.a.",COUNTIFS(Selections!$G$6:$G$26,"legacy/unspecified",Selections!$K$6:$K$26,"WON")/(COUNTIFS(Selections!$G$6:$G$26,"legacy/unspecified",Selections!$K$6:$K$26,"WON")+COUNTIFS(Selections!$G$6:$G$26,"legacy/unspecified",Selections!$K$6:$K$26,"LOST")))</f>
        <v>0.6</v>
      </c>
      <c r="I20" s="22">
        <f>SUMIFS(Selections!$M$6:$M$26,Selections!$G$6:$G$26,"legacy/unspecified")</f>
        <v>5</v>
      </c>
      <c r="J20" s="22">
        <f>SUMIFS(Selections!$N$6:$N$26,Selections!$G$6:$G$26,"legacy/unspecified")</f>
        <v>-0.8500000000000001</v>
      </c>
      <c r="K20" s="20">
        <f>IF(SUMIFS(Selections!$M$6:$M$26,Selections!$G$6:$G$26,"legacy/unspecified")=0,"n.a.",SUMIFS(Selections!$N$6:$N$26,Selections!$G$6:$G$26,"legacy/unspecified")/SUMIFS(Selections!$M$6:$M$26,Selections!$G$6:$G$26,"legacy/unspecified"))</f>
        <v>-0.17</v>
      </c>
      <c r="L20" s="21">
        <f>IF(SUMIFS(Selections!$T$6:$T$26,Selections!$G$6:$G$26,"legacy/unspecified")=0,"n.a.",SUMIFS(Selections!$O$6:$O$26,Selections!$G$6:$G$26,"legacy/unspecified")/SUMIFS(Selections!$T$6:$T$26,Selections!$G$6:$G$26,"legacy/unspecified"))</f>
        <v>0.30947166484544086</v>
      </c>
      <c r="M20" s="20">
        <f>IF(SUMIFS(Selections!$T$6:$T$26,Selections!$G$6:$G$26,"legacy/unspecified")=0,"n.a.",SUMIFS(Selections!$S$6:$S$26,Selections!$G$6:$G$26,"legacy/unspecified")/SUMIFS(Selections!$T$6:$T$26,Selections!$G$6:$G$26,"legacy/unspecified"))</f>
        <v>0.8097022392308822</v>
      </c>
      <c r="N20" s="20">
        <f>IF(SUMIFS(Selections!$T$6:$T$26,Selections!$G$6:$G$26,"legacy/unspecified")=0,"n.a.",(SUMIFS(Selections!$L$6:$L$26,Selections!$G$6:$G$26,"legacy/unspecified",Selections!$T$6:$T$26,1))/SUMIFS(Selections!$T$6:$T$26,Selections!$G$6:$G$26,"legacy/unspecified"))</f>
        <v>0.6</v>
      </c>
      <c r="O20" s="20">
        <f>IF(SUMIFS(Selections!$T$6:$T$26,Selections!$G$6:$G$26,"legacy/unspecified")=0,"n.a.",(SUMIFS(Selections!$S$6:$S$26,Selections!$G$6:$G$26,"legacy/unspecified")-(SUMIFS(Selections!$L$6:$L$26,Selections!$G$6:$G$26,"legacy/unspecified",Selections!$T$6:$T$26,1)))/SUMIFS(Selections!$T$6:$T$26,Selections!$G$6:$G$26,"legacy/unspecified"))</f>
        <v>0.20970223923088227</v>
      </c>
      <c r="P20" s="19">
        <f>SUMIFS(Selections!$T$6:$T$26,Selections!$G$6:$G$26,"legacy/unspecified")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Week</t>
        </is>
      </c>
      <c r="B21" s="18" t="inlineStr">
        <is>
          <t>2026-W41</t>
        </is>
      </c>
      <c r="C21" s="19">
        <f>COUNTIFS(Selections!$P$6:$P$26,"2026-W41")</f>
        <v>5</v>
      </c>
      <c r="D21" s="19">
        <f>(COUNTIFS(Selections!$P$6:$P$26,"2026-W41",Selections!$K$6:$K$26,"WON")+COUNTIFS(Selections!$P$6:$P$26,"2026-W41",Selections!$K$6:$K$26,"LOST"))</f>
        <v>4</v>
      </c>
      <c r="E21" s="19">
        <f>COUNTIFS(Selections!$P$6:$P$26,"2026-W41",Selections!$K$6:$K$26,"WON")</f>
        <v>2</v>
      </c>
      <c r="F21" s="19">
        <f>COUNTIFS(Selections!$P$6:$P$26,"2026-W41",Selections!$K$6:$K$26,"LOST")</f>
        <v>2</v>
      </c>
      <c r="G21" s="19">
        <f>COUNTIFS(Selections!$P$6:$P$26,"2026-W41")-(COUNTIFS(Selections!$P$6:$P$26,"2026-W41",Selections!$K$6:$K$26,"WON")+COUNTIFS(Selections!$P$6:$P$26,"2026-W41",Selections!$K$6:$K$26,"LOST"))</f>
        <v>1</v>
      </c>
      <c r="H21" s="20">
        <f>IF((COUNTIFS(Selections!$P$6:$P$26,"2026-W41",Selections!$K$6:$K$26,"WON")+COUNTIFS(Selections!$P$6:$P$26,"2026-W41",Selections!$K$6:$K$26,"LOST"))=0,"n.a.",COUNTIFS(Selections!$P$6:$P$26,"2026-W41",Selections!$K$6:$K$26,"WON")/(COUNTIFS(Selections!$P$6:$P$26,"2026-W41",Selections!$K$6:$K$26,"WON")+COUNTIFS(Selections!$P$6:$P$26,"2026-W41",Selections!$K$6:$K$26,"LOST")))</f>
        <v>0.5</v>
      </c>
      <c r="I21" s="22">
        <f>SUMIFS(Selections!$M$6:$M$26,Selections!$P$6:$P$26,"2026-W41")</f>
        <v>4</v>
      </c>
      <c r="J21" s="22">
        <f>SUMIFS(Selections!$N$6:$N$26,Selections!$P$6:$P$26,"2026-W41")</f>
        <v>-1.48</v>
      </c>
      <c r="K21" s="20">
        <f>IF(SUMIFS(Selections!$M$6:$M$26,Selections!$P$6:$P$26,"2026-W41")=0,"n.a.",SUMIFS(Selections!$N$6:$N$26,Selections!$P$6:$P$26,"2026-W41")/SUMIFS(Selections!$M$6:$M$26,Selections!$P$6:$P$26,"2026-W41"))</f>
        <v>-0.37</v>
      </c>
      <c r="L21" s="21">
        <f>IF(SUMIFS(Selections!$T$6:$T$26,Selections!$P$6:$P$26,"2026-W41")=0,"n.a.",SUMIFS(Selections!$O$6:$O$26,Selections!$P$6:$P$26,"2026-W41")/SUMIFS(Selections!$T$6:$T$26,Selections!$P$6:$P$26,"2026-W41"))</f>
        <v>0.32911599206243786</v>
      </c>
      <c r="M21" s="20">
        <f>IF(SUMIFS(Selections!$T$6:$T$26,Selections!$P$6:$P$26,"2026-W41")=0,"n.a.",SUMIFS(Selections!$S$6:$S$26,Selections!$P$6:$P$26,"2026-W41")/SUMIFS(Selections!$T$6:$T$26,Selections!$P$6:$P$26,"2026-W41"))</f>
        <v>0.8211485691621172</v>
      </c>
      <c r="N21" s="20">
        <f>IF(SUMIFS(Selections!$T$6:$T$26,Selections!$P$6:$P$26,"2026-W41")=0,"n.a.",(SUMIFS(Selections!$L$6:$L$26,Selections!$P$6:$P$26,"2026-W41",Selections!$T$6:$T$26,1))/SUMIFS(Selections!$T$6:$T$26,Selections!$P$6:$P$26,"2026-W41"))</f>
        <v>0.5</v>
      </c>
      <c r="O21" s="20">
        <f>IF(SUMIFS(Selections!$T$6:$T$26,Selections!$P$6:$P$26,"2026-W41")=0,"n.a.",(SUMIFS(Selections!$S$6:$S$26,Selections!$P$6:$P$26,"2026-W41")-(SUMIFS(Selections!$L$6:$L$26,Selections!$P$6:$P$26,"2026-W41",Selections!$T$6:$T$26,1)))/SUMIFS(Selections!$T$6:$T$26,Selections!$P$6:$P$26,"2026-W41"))</f>
        <v>0.3211485691621172</v>
      </c>
      <c r="P21" s="19">
        <f>SUMIFS(Selections!$T$6:$T$26,Selections!$P$6:$P$26,"2026-W41")</f>
        <v>4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(n=4).</v>
      </c>
      <c r="R21" s="18"/>
    </row>
    <row r="22" ht="36" customHeight="1">
      <c r="A22" s="18" t="inlineStr">
        <is>
          <t>Week</t>
        </is>
      </c>
      <c r="B22" s="18" t="inlineStr">
        <is>
          <t>2026-W42</t>
        </is>
      </c>
      <c r="C22" s="19">
        <f>COUNTIFS(Selections!$P$6:$P$26,"2026-W42")</f>
        <v>15</v>
      </c>
      <c r="D22" s="19">
        <f>(COUNTIFS(Selections!$P$6:$P$26,"2026-W42",Selections!$K$6:$K$26,"WON")+COUNTIFS(Selections!$P$6:$P$26,"2026-W42",Selections!$K$6:$K$26,"LOST"))</f>
        <v>5</v>
      </c>
      <c r="E22" s="19">
        <f>COUNTIFS(Selections!$P$6:$P$26,"2026-W42",Selections!$K$6:$K$26,"WON")</f>
        <v>4</v>
      </c>
      <c r="F22" s="19">
        <f>COUNTIFS(Selections!$P$6:$P$26,"2026-W42",Selections!$K$6:$K$26,"LOST")</f>
        <v>1</v>
      </c>
      <c r="G22" s="19">
        <f>COUNTIFS(Selections!$P$6:$P$26,"2026-W42")-(COUNTIFS(Selections!$P$6:$P$26,"2026-W42",Selections!$K$6:$K$26,"WON")+COUNTIFS(Selections!$P$6:$P$26,"2026-W42",Selections!$K$6:$K$26,"LOST"))</f>
        <v>10</v>
      </c>
      <c r="H22" s="20">
        <f>IF((COUNTIFS(Selections!$P$6:$P$26,"2026-W42",Selections!$K$6:$K$26,"WON")+COUNTIFS(Selections!$P$6:$P$26,"2026-W42",Selections!$K$6:$K$26,"LOST"))=0,"n.a.",COUNTIFS(Selections!$P$6:$P$26,"2026-W42",Selections!$K$6:$K$26,"WON")/(COUNTIFS(Selections!$P$6:$P$26,"2026-W42",Selections!$K$6:$K$26,"WON")+COUNTIFS(Selections!$P$6:$P$26,"2026-W42",Selections!$K$6:$K$26,"LOST")))</f>
        <v>0.8</v>
      </c>
      <c r="I22" s="22">
        <f>SUMIFS(Selections!$M$6:$M$26,Selections!$P$6:$P$26,"2026-W42")</f>
        <v>5</v>
      </c>
      <c r="J22" s="22">
        <f>SUMIFS(Selections!$N$6:$N$26,Selections!$P$6:$P$26,"2026-W42")</f>
        <v>0.6099999999999999</v>
      </c>
      <c r="K22" s="20">
        <f>IF(SUMIFS(Selections!$M$6:$M$26,Selections!$P$6:$P$26,"2026-W42")=0,"n.a.",SUMIFS(Selections!$N$6:$N$26,Selections!$P$6:$P$26,"2026-W42")/SUMIFS(Selections!$M$6:$M$26,Selections!$P$6:$P$26,"2026-W42"))</f>
        <v>0.12199999999999997</v>
      </c>
      <c r="L22" s="21">
        <f>IF(SUMIFS(Selections!$T$6:$T$26,Selections!$P$6:$P$26,"2026-W42")=0,"n.a.",SUMIFS(Selections!$O$6:$O$26,Selections!$P$6:$P$26,"2026-W42")/SUMIFS(Selections!$T$6:$T$26,Selections!$P$6:$P$26,"2026-W42"))</f>
        <v>0.18766448976327427</v>
      </c>
      <c r="M22" s="20">
        <f>IF(SUMIFS(Selections!$T$6:$T$26,Selections!$P$6:$P$26,"2026-W42")=0,"n.a.",SUMIFS(Selections!$S$6:$S$26,Selections!$P$6:$P$26,"2026-W42")/SUMIFS(Selections!$T$6:$T$26,Selections!$P$6:$P$26,"2026-W42"))</f>
        <v>0.7902703498074164</v>
      </c>
      <c r="N22" s="20">
        <f>IF(SUMIFS(Selections!$T$6:$T$26,Selections!$P$6:$P$26,"2026-W42")=0,"n.a.",(SUMIFS(Selections!$L$6:$L$26,Selections!$P$6:$P$26,"2026-W42",Selections!$T$6:$T$26,1))/SUMIFS(Selections!$T$6:$T$26,Selections!$P$6:$P$26,"2026-W42"))</f>
        <v>0.8</v>
      </c>
      <c r="O22" s="20">
        <f>IF(SUMIFS(Selections!$T$6:$T$26,Selections!$P$6:$P$26,"2026-W42")=0,"n.a.",(SUMIFS(Selections!$S$6:$S$26,Selections!$P$6:$P$26,"2026-W42")-(SUMIFS(Selections!$L$6:$L$26,Selections!$P$6:$P$26,"2026-W42",Selections!$T$6:$T$26,1)))/SUMIFS(Selections!$T$6:$T$26,Selections!$P$6:$P$26,"2026-W42"))</f>
        <v>-0.00972965019258365</v>
      </c>
      <c r="P22" s="19">
        <f>SUMIFS(Selections!$T$6:$T$26,Selections!$P$6:$P$26,"2026-W42")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Week</t>
        </is>
      </c>
      <c r="B23" s="18" t="inlineStr">
        <is>
          <t>2026-W43</t>
        </is>
      </c>
      <c r="C23" s="19">
        <f>COUNTIFS(Selections!$P$6:$P$26,"2026-W43")</f>
        <v>1</v>
      </c>
      <c r="D23" s="19">
        <f>(COUNTIFS(Selections!$P$6:$P$26,"2026-W43",Selections!$K$6:$K$26,"WON")+COUNTIFS(Selections!$P$6:$P$26,"2026-W43",Selections!$K$6:$K$26,"LOST"))</f>
        <v>0</v>
      </c>
      <c r="E23" s="19">
        <f>COUNTIFS(Selections!$P$6:$P$26,"2026-W43",Selections!$K$6:$K$26,"WON")</f>
        <v>0</v>
      </c>
      <c r="F23" s="19">
        <f>COUNTIFS(Selections!$P$6:$P$26,"2026-W43",Selections!$K$6:$K$26,"LOST")</f>
        <v>0</v>
      </c>
      <c r="G23" s="19">
        <f>COUNTIFS(Selections!$P$6:$P$26,"2026-W43")-(COUNTIFS(Selections!$P$6:$P$26,"2026-W43",Selections!$K$6:$K$26,"WON")+COUNTIFS(Selections!$P$6:$P$26,"2026-W43",Selections!$K$6:$K$26,"LOST"))</f>
        <v>1</v>
      </c>
      <c r="H23" s="20" t="str">
        <f>IF((COUNTIFS(Selections!$P$6:$P$26,"2026-W43",Selections!$K$6:$K$26,"WON")+COUNTIFS(Selections!$P$6:$P$26,"2026-W43",Selections!$K$6:$K$26,"LOST"))=0,"n.a.",COUNTIFS(Selections!$P$6:$P$26,"2026-W43",Selections!$K$6:$K$26,"WON")/(COUNTIFS(Selections!$P$6:$P$26,"2026-W43",Selections!$K$6:$K$26,"WON")+COUNTIFS(Selections!$P$6:$P$26,"2026-W43",Selections!$K$6:$K$26,"LOST")))</f>
        <v>n.a.</v>
      </c>
      <c r="I23" s="22">
        <f>SUMIFS(Selections!$M$6:$M$26,Selections!$P$6:$P$26,"2026-W43")</f>
        <v>0</v>
      </c>
      <c r="J23" s="22">
        <f>SUMIFS(Selections!$N$6:$N$26,Selections!$P$6:$P$26,"2026-W43")</f>
        <v>0</v>
      </c>
      <c r="K23" s="20" t="str">
        <f>IF(SUMIFS(Selections!$M$6:$M$26,Selections!$P$6:$P$26,"2026-W43")=0,"n.a.",SUMIFS(Selections!$N$6:$N$26,Selections!$P$6:$P$26,"2026-W43")/SUMIFS(Selections!$M$6:$M$26,Selections!$P$6:$P$26,"2026-W43"))</f>
        <v>n.a.</v>
      </c>
      <c r="L23" s="21" t="str">
        <f>IF(SUMIFS(Selections!$T$6:$T$26,Selections!$P$6:$P$26,"2026-W43")=0,"n.a.",SUMIFS(Selections!$O$6:$O$26,Selections!$P$6:$P$26,"2026-W43")/SUMIFS(Selections!$T$6:$T$26,Selections!$P$6:$P$26,"2026-W43"))</f>
        <v>n.a.</v>
      </c>
      <c r="M23" s="20" t="str">
        <f>IF(SUMIFS(Selections!$T$6:$T$26,Selections!$P$6:$P$26,"2026-W43")=0,"n.a.",SUMIFS(Selections!$S$6:$S$26,Selections!$P$6:$P$26,"2026-W43")/SUMIFS(Selections!$T$6:$T$26,Selections!$P$6:$P$26,"2026-W43"))</f>
        <v>n.a.</v>
      </c>
      <c r="N23" s="20" t="str">
        <f>IF(SUMIFS(Selections!$T$6:$T$26,Selections!$P$6:$P$26,"2026-W43")=0,"n.a.",(SUMIFS(Selections!$L$6:$L$26,Selections!$P$6:$P$26,"2026-W43",Selections!$T$6:$T$26,1))/SUMIFS(Selections!$T$6:$T$26,Selections!$P$6:$P$26,"2026-W43"))</f>
        <v>n.a.</v>
      </c>
      <c r="O23" s="20" t="str">
        <f>IF(SUMIFS(Selections!$T$6:$T$26,Selections!$P$6:$P$26,"2026-W43")=0,"n.a.",(SUMIFS(Selections!$S$6:$S$26,Selections!$P$6:$P$26,"2026-W43")-(SUMIFS(Selections!$L$6:$L$26,Selections!$P$6:$P$26,"2026-W43",Selections!$T$6:$T$26,1)))/SUMIFS(Selections!$T$6:$T$26,Selections!$P$6:$P$26,"2026-W43"))</f>
        <v>n.a.</v>
      </c>
      <c r="P23" s="19">
        <f>SUMIFS(Selections!$T$6:$T$26,Selections!$P$6:$P$26,"2026-W43")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</sheetData>
  <mergeCells count="2">
    <mergeCell ref="A2:Q2"/>
    <mergeCell ref="A4:Q4"/>
  </mergeCells>
  <conditionalFormatting sqref="K6:K2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COUNTIFS(Selections!$S$6:$S$26,"&gt;="&amp;B6,Selections!$S$6:$S$26,"&lt;"&amp;C6,Selections!$T$6:$T$26,1)</f>
        <v>0</v>
      </c>
      <c r="E6" s="20" t="str">
        <f>IF(D6=0,"n.a.",SUMIFS(Selections!$S$6:$S$26,Selections!$S$6:$S$26,"&gt;="&amp;B6,Selections!$S$6:$S$26,"&lt;"&amp;C6,Selections!$T$6:$T$26,1)/D6)</f>
        <v>n.a.</v>
      </c>
      <c r="F6" s="20" t="str">
        <f>IF(D6=0,"n.a.",SUMIFS(Selections!$L$6:$L$26,Selections!$S$6:$S$26,"&gt;="&amp;B6,Selections!$S$6:$S$26,"&lt;"&amp;C6,Selections!$T$6:$T$26,1)/D6)</f>
        <v>n.a.</v>
      </c>
      <c r="G6" s="20" t="str">
        <f>IF(D6=0,"n.a.",E6-F6)</f>
        <v>n.a.</v>
      </c>
      <c r="H6" s="21" t="str">
        <f>IF(D6=0,"n.a.",SUMIFS(Selections!$O$6:$O$26,Selections!$S$6:$S$26,"&gt;="&amp;B6,Selections!$S$6:$S$26,"&lt;"&amp;C6,Selections!$T$6:$T$26,1)/D6)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COUNTIFS(Selections!$S$6:$S$26,"&gt;="&amp;B7,Selections!$S$6:$S$26,"&lt;"&amp;C7,Selections!$T$6:$T$26,1)</f>
        <v>0</v>
      </c>
      <c r="E7" s="20" t="str">
        <f>IF(D7=0,"n.a.",SUMIFS(Selections!$S$6:$S$26,Selections!$S$6:$S$26,"&gt;="&amp;B7,Selections!$S$6:$S$26,"&lt;"&amp;C7,Selections!$T$6:$T$26,1)/D7)</f>
        <v>n.a.</v>
      </c>
      <c r="F7" s="20" t="str">
        <f>IF(D7=0,"n.a.",SUMIFS(Selections!$L$6:$L$26,Selections!$S$6:$S$26,"&gt;="&amp;B7,Selections!$S$6:$S$26,"&lt;"&amp;C7,Selections!$T$6:$T$26,1)/D7)</f>
        <v>n.a.</v>
      </c>
      <c r="G7" s="20" t="str">
        <f>IF(D7=0,"n.a.",E7-F7)</f>
        <v>n.a.</v>
      </c>
      <c r="H7" s="21" t="str">
        <f>IF(D7=0,"n.a.",SUMIFS(Selections!$O$6:$O$26,Selections!$S$6:$S$26,"&gt;="&amp;B7,Selections!$S$6:$S$26,"&lt;"&amp;C7,Selections!$T$6:$T$26,1)/D7)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COUNTIFS(Selections!$S$6:$S$26,"&gt;="&amp;B8,Selections!$S$6:$S$26,"&lt;"&amp;C8,Selections!$T$6:$T$26,1)</f>
        <v>1</v>
      </c>
      <c r="E8" s="20">
        <f>IF(D8=0,"n.a.",SUMIFS(Selections!$S$6:$S$26,Selections!$S$6:$S$26,"&gt;="&amp;B8,Selections!$S$6:$S$26,"&lt;"&amp;C8,Selections!$T$6:$T$26,1)/D8)</f>
        <v>0.6822834074295536</v>
      </c>
      <c r="F8" s="20">
        <f>IF(D8=0,"n.a.",SUMIFS(Selections!$L$6:$L$26,Selections!$S$6:$S$26,"&gt;="&amp;B8,Selections!$S$6:$S$26,"&lt;"&amp;C8,Selections!$T$6:$T$26,1)/D8)</f>
        <v>1.0</v>
      </c>
      <c r="G8" s="20">
        <f>IF(D8=0,"n.a.",E8-F8)</f>
        <v>-0.3177165925704464</v>
      </c>
      <c r="H8" s="21">
        <f>IF(D8=0,"n.a.",SUMIFS(Selections!$O$6:$O$26,Selections!$S$6:$S$26,"&gt;="&amp;B8,Selections!$S$6:$S$26,"&lt;"&amp;C8,Selections!$T$6:$T$26,1)/D8)</f>
        <v>0.10094383319457502</v>
      </c>
      <c r="I8" s="18" t="inlineStr">
        <is>
          <t>Collect more scored forecasts (n=1).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COUNTIFS(Selections!$S$6:$S$26,"&gt;="&amp;B9,Selections!$S$6:$S$26,"&lt;"&amp;C9,Selections!$T$6:$T$26,1)</f>
        <v>4</v>
      </c>
      <c r="E9" s="20">
        <f>IF(D9=0,"n.a.",SUMIFS(Selections!$S$6:$S$26,Selections!$S$6:$S$26,"&gt;="&amp;B9,Selections!$S$6:$S$26,"&lt;"&amp;C9,Selections!$T$6:$T$26,1)/D9)</f>
        <v>0.7598033602744063</v>
      </c>
      <c r="F9" s="20">
        <f>IF(D9=0,"n.a.",SUMIFS(Selections!$L$6:$L$26,Selections!$S$6:$S$26,"&gt;="&amp;B9,Selections!$S$6:$S$26,"&lt;"&amp;C9,Selections!$T$6:$T$26,1)/D9)</f>
        <v>0.75</v>
      </c>
      <c r="G9" s="20">
        <f>IF(D9=0,"n.a.",E9-F9)</f>
        <v>0.009803360274406314</v>
      </c>
      <c r="H9" s="21">
        <f>IF(D9=0,"n.a.",SUMIFS(Selections!$O$6:$O$26,Selections!$S$6:$S$26,"&gt;="&amp;B9,Selections!$S$6:$S$26,"&lt;"&amp;C9,Selections!$T$6:$T$26,1)/D9)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COUNTIFS(Selections!$S$6:$S$26,"&gt;="&amp;B10,Selections!$S$6:$S$26,"&lt;"&amp;C10,Selections!$T$6:$T$26,1)</f>
        <v>3</v>
      </c>
      <c r="E10" s="20">
        <f>IF(D10=0,"n.a.",SUMIFS(Selections!$S$6:$S$26,Selections!$S$6:$S$26,"&gt;="&amp;B10,Selections!$S$6:$S$26,"&lt;"&amp;C10,Selections!$T$6:$T$26,1)/D10)</f>
        <v>0.8566010078816761</v>
      </c>
      <c r="F10" s="20">
        <f>IF(D10=0,"n.a.",SUMIFS(Selections!$L$6:$L$26,Selections!$S$6:$S$26,"&gt;="&amp;B10,Selections!$S$6:$S$26,"&lt;"&amp;C10,Selections!$T$6:$T$26,1)/D10)</f>
        <v>0.3333333333333333</v>
      </c>
      <c r="G10" s="20">
        <f>IF(D10=0,"n.a.",E10-F10)</f>
        <v>0.5232676745483429</v>
      </c>
      <c r="H10" s="21">
        <f>IF(D10=0,"n.a.",SUMIFS(Selections!$O$6:$O$26,Selections!$S$6:$S$26,"&gt;="&amp;B10,Selections!$S$6:$S$26,"&lt;"&amp;C10,Selections!$T$6:$T$26,1)/D10)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COUNTIFS(Selections!$S$6:$S$26,"&gt;="&amp;B11,Selections!$S$6:$S$26,"&lt;"&amp;C11,Selections!$T$6:$T$26,1)</f>
        <v>1</v>
      </c>
      <c r="E11" s="20">
        <f>IF(D11=0,"n.a.",SUMIFS(Selections!$S$6:$S$26,Selections!$S$6:$S$26,"&gt;="&amp;B11,Selections!$S$6:$S$26,"&lt;"&amp;C11,Selections!$T$6:$T$26,1)/D11)</f>
        <v>0.9446461535133436</v>
      </c>
      <c r="F11" s="20">
        <f>IF(D11=0,"n.a.",SUMIFS(Selections!$L$6:$L$26,Selections!$S$6:$S$26,"&gt;="&amp;B11,Selections!$S$6:$S$26,"&lt;"&amp;C11,Selections!$T$6:$T$26,1)/D11)</f>
        <v>1.0</v>
      </c>
      <c r="G11" s="20">
        <f>IF(D11=0,"n.a.",E11-F11)</f>
        <v>-0.05535384648665642</v>
      </c>
      <c r="H11" s="21">
        <f>IF(D11=0,"n.a.",SUMIFS(Selections!$O$6:$O$26,Selections!$S$6:$S$26,"&gt;="&amp;B11,Selections!$S$6:$S$26,"&lt;"&amp;C11,Selections!$T$6:$T$26,1)/D11)</f>
        <v>0.0030640483208683256</v>
      </c>
      <c r="I11" s="18" t="inlineStr">
        <is>
          <t>Collect more scored forecasts (n=1).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/>
      <c r="K17" s="18" t="inlineStr">
        <is>
          <t>PENDING_KICKOFF_OR_FINAL_SCORE</t>
        </is>
      </c>
      <c r="L17" s="18"/>
      <c r="M17" s="22" t="str">
        <f>IF(AND(ISNUMBER(L17),ISNUMBER(I17),I17&gt;1),'ROI Plan'!$B$5,"")</f>
        <v/>
      </c>
      <c r="N17" s="22" t="str">
        <f>IF(ISNUMBER(M17),M17*(I17*L17-1-U17),"")</f>
        <v/>
      </c>
      <c r="O17" s="21">
        <f>IF(AND(ISNUMBER(L17),ISNUMBER(H17)),(H17-L17)^2,"")</f>
      </c>
      <c r="P17" s="18" t="inlineStr">
        <is>
          <t>2026-W42</t>
        </is>
      </c>
      <c r="Q17" s="18" t="inlineStr">
        <is>
          <t>4f7af2f470a0b5cdb7b8ae974c859f87b0236fc4</t>
        </is>
      </c>
      <c r="R17" s="18"/>
      <c r="S17" s="20">
        <f>IF(AND(ISNUMBER(L17),ISNUMBER(H17)),H17,"")</f>
      </c>
      <c r="T17" s="19">
        <f>IF(AND(ISNUMBER(L17),ISNUMBER(H17)),1,0)</f>
        <v>0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/>
      <c r="K18" s="18" t="inlineStr">
        <is>
          <t>PENDING_KICKOFF_OR_FINAL_SCORE</t>
        </is>
      </c>
      <c r="L18" s="18"/>
      <c r="M18" s="22" t="str">
        <f>IF(AND(ISNUMBER(L18),ISNUMBER(I18),I18&gt;1),'ROI Plan'!$B$5,"")</f>
        <v/>
      </c>
      <c r="N18" s="22" t="str">
        <f>IF(ISNUMBER(M18),M18*(I18*L18-1-U18),"")</f>
        <v/>
      </c>
      <c r="O18" s="21">
        <f>IF(AND(ISNUMBER(L18),ISNUMBER(H18)),(H18-L18)^2,"")</f>
      </c>
      <c r="P18" s="18" t="inlineStr">
        <is>
          <t>2026-W42</t>
        </is>
      </c>
      <c r="Q18" s="18" t="inlineStr">
        <is>
          <t>4f7af2f470a0b5cdb7b8ae974c859f87b0236fc4</t>
        </is>
      </c>
      <c r="R18" s="18"/>
      <c r="S18" s="20">
        <f>IF(AND(ISNUMBER(L18),ISNUMBER(H18)),H18,"")</f>
      </c>
      <c r="T18" s="19">
        <f>IF(AND(ISNUMBER(L18),ISNUMBER(H18)),1,0)</f>
        <v>0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League|fulham|hull city|2026-10-17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Fulham vs Hull City</t>
        </is>
      </c>
      <c r="E21" s="18" t="inlineStr">
        <is>
          <t>Under 3.5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0.8021994552742411</v>
      </c>
      <c r="I21" s="22">
        <v>1.42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League|man city|ipswich town|2026-10-17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Manchester City vs Ipswich Town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0.9163621198072895</v>
      </c>
      <c r="I22" s="22">
        <v>1.11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Liga|ca osasuna|real racing santander|2026-10-18</t>
        </is>
      </c>
      <c r="B23" s="23">
        <v>46313.5</v>
      </c>
      <c r="C23" s="18" t="inlineStr">
        <is>
          <t>La Liga</t>
        </is>
      </c>
      <c r="D23" s="18" t="inlineStr">
        <is>
          <t>CA Osasuna vs Real Racing Club de Santander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0.9202632648998413</v>
      </c>
      <c r="I23" s="22">
        <v>1.22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Liga|malaga|real sociedad|2026-10-18</t>
        </is>
      </c>
      <c r="B24" s="23">
        <v>46313.6875</v>
      </c>
      <c r="C24" s="18" t="inlineStr">
        <is>
          <t>La Liga</t>
        </is>
      </c>
      <c r="D24" s="18" t="inlineStr">
        <is>
          <t>Málaga vs Real Sociedad</t>
        </is>
      </c>
      <c r="E24" s="18" t="inlineStr">
        <is>
          <t>Under 3.5</t>
        </is>
      </c>
      <c r="F24" s="18" t="inlineStr">
        <is>
          <t>STRICT</t>
        </is>
      </c>
      <c r="G24" s="18" t="inlineStr">
        <is>
          <t>legacy/unspecified</t>
        </is>
      </c>
      <c r="H24" s="20">
        <v>0.8261247842244344</v>
      </c>
      <c r="I24" s="22">
        <v>1.41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Liga|real madrid|sevilla|2026-10-18</t>
        </is>
      </c>
      <c r="B25" s="23">
        <v>46313.791666666664</v>
      </c>
      <c r="C25" s="18" t="inlineStr">
        <is>
          <t>La Liga</t>
        </is>
      </c>
      <c r="D25" s="18" t="inlineStr">
        <is>
          <t>Real Madrid vs Sevilla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0.78842217536022</v>
      </c>
      <c r="I25" s="22">
        <v>1.3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Premier League|tottenham|coventry city|2026-10-19</t>
        </is>
      </c>
      <c r="B26" s="23">
        <v>46314.791666666664</v>
      </c>
      <c r="C26" s="18" t="inlineStr">
        <is>
          <t>Premier League</t>
        </is>
      </c>
      <c r="D26" s="18" t="inlineStr">
        <is>
          <t>Tottenham Hotspur vs Coventry City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0.6624411929150106</v>
      </c>
      <c r="I26" s="22">
        <v>1.54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2026-W43</t>
        </is>
      </c>
      <c r="Q26" s="18" t="inlineStr">
        <is>
          <t>b9c15c09504aaf57de5ad0957adb91c0e9b37243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</sheetData>
  <mergeCells count="2">
    <mergeCell ref="B2:U2"/>
    <mergeCell ref="B4:U4"/>
  </mergeCells>
  <conditionalFormatting sqref="K6:K2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PENDING_KICKOFF_OR_FINAL_SCORE</t>
        </is>
      </c>
      <c r="G38" s="18"/>
      <c r="H38" s="18"/>
      <c r="I38" s="21"/>
      <c r="J38" s="18"/>
      <c r="K38" s="18"/>
      <c r="L38" s="18"/>
      <c r="M38" s="18"/>
      <c r="N38" s="18" t="inlineStr">
        <is>
          <t>2026-W42</t>
        </is>
      </c>
      <c r="O38" s="18" t="inlineStr">
        <is>
          <t>2fd31d33722311d8e0155bb5eca6b3a310ac938b</t>
        </is>
      </c>
      <c r="P38" s="18"/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PENDING_KICKOFF_OR_FINAL_SCORE</t>
        </is>
      </c>
      <c r="G39" s="18"/>
      <c r="H39" s="18"/>
      <c r="I39" s="21"/>
      <c r="J39" s="18"/>
      <c r="K39" s="18"/>
      <c r="L39" s="18"/>
      <c r="M39" s="18"/>
      <c r="N39" s="18" t="inlineStr">
        <is>
          <t>2026-W42</t>
        </is>
      </c>
      <c r="O39" s="18" t="inlineStr">
        <is>
          <t>2fd31d33722311d8e0155bb5eca6b3a310ac938b</t>
        </is>
      </c>
      <c r="P39" s="18"/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PENDING_KICKOFF_OR_FINAL_SCORE</t>
        </is>
      </c>
      <c r="G40" s="18"/>
      <c r="H40" s="18"/>
      <c r="I40" s="21"/>
      <c r="J40" s="18"/>
      <c r="K40" s="18"/>
      <c r="L40" s="18"/>
      <c r="M40" s="18"/>
      <c r="N40" s="18" t="inlineStr">
        <is>
          <t>2026-W42</t>
        </is>
      </c>
      <c r="O40" s="18" t="inlineStr">
        <is>
          <t>2fd31d33722311d8e0155bb5eca6b3a310ac938b</t>
        </is>
      </c>
      <c r="P40" s="18"/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PENDING_KICKOFF_OR_FINAL_SCORE</t>
        </is>
      </c>
      <c r="G41" s="18"/>
      <c r="H41" s="18"/>
      <c r="I41" s="21"/>
      <c r="J41" s="18"/>
      <c r="K41" s="18"/>
      <c r="L41" s="18"/>
      <c r="M41" s="18"/>
      <c r="N41" s="18" t="inlineStr">
        <is>
          <t>2026-W42</t>
        </is>
      </c>
      <c r="O41" s="18" t="inlineStr">
        <is>
          <t>2fd31d33722311d8e0155bb5eca6b3a310ac938b</t>
        </is>
      </c>
      <c r="P41" s="18"/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PENDING_KICKOFF_OR_FINAL_SCORE</t>
        </is>
      </c>
      <c r="G42" s="18"/>
      <c r="H42" s="18"/>
      <c r="I42" s="21"/>
      <c r="J42" s="18"/>
      <c r="K42" s="18"/>
      <c r="L42" s="18"/>
      <c r="M42" s="18"/>
      <c r="N42" s="18" t="inlineStr">
        <is>
          <t>2026-W42</t>
        </is>
      </c>
      <c r="O42" s="18" t="inlineStr">
        <is>
          <t>2fd31d33722311d8e0155bb5eca6b3a310ac938b</t>
        </is>
      </c>
      <c r="P42" s="18"/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PENDING_KICKOFF_OR_FINAL_SCORE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PENDING_KICKOFF_OR_FINAL_SCORE</t>
        </is>
      </c>
      <c r="G44" s="18"/>
      <c r="H44" s="18"/>
      <c r="I44" s="21"/>
      <c r="J44" s="18"/>
      <c r="K44" s="18"/>
      <c r="L44" s="18"/>
      <c r="M44" s="18"/>
      <c r="N44" s="18" t="inlineStr">
        <is>
          <t>2026-W42</t>
        </is>
      </c>
      <c r="O44" s="18" t="inlineStr">
        <is>
          <t>2fd31d33722311d8e0155bb5eca6b3a310ac938b</t>
        </is>
      </c>
      <c r="P44" s="18"/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League|sabah fk|borussia dortmund|2026-10-20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Sabah FK vs Borussia Dortmund</t>
        </is>
      </c>
      <c r="E94" s="18" t="inlineStr">
        <is>
          <t>72h-all-markets-net-ev15-execution-v7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a98524037f736c1c589800f3bd4b329ab00983f7</t>
        </is>
      </c>
      <c r="P94" s="18"/>
      <c r="Q94" s="18"/>
      <c r="R94" s="18"/>
    </row>
    <row r="95" ht="36" customHeight="1">
      <c r="A95" s="18" t="inlineStr">
        <is>
          <t>UEFA Champions League|as roma|sk slovan bratislava|2026-10-20</t>
        </is>
      </c>
      <c r="B95" s="23">
        <v>46315.791666666664</v>
      </c>
      <c r="C95" s="18" t="inlineStr">
        <is>
          <t>UEFA Champions League</t>
        </is>
      </c>
      <c r="D95" s="18" t="inlineStr">
        <is>
          <t>AS Roma vs ŠK Slovan Bratislava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League|liverpool|villarreal|2026-10-20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Liverpool FC vs Villarreal CF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League|man city|pae aek|2026-10-20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Manchester City FC vs PAE AEK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League|paris sg|barcelona|2026-10-20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Paris Saint-Germain FC vs FC Barcelona</t>
        </is>
      </c>
      <c r="E98" s="18" t="inlineStr">
        <is>
          <t>72h-all-markets-net-ev15-execution-v7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a98524037f736c1c589800f3bd4b329ab00983f7</t>
        </is>
      </c>
      <c r="P98" s="18"/>
      <c r="Q98" s="18"/>
      <c r="R98" s="18"/>
    </row>
    <row r="99" ht="36" customHeight="1">
      <c r="A99" s="18" t="inlineStr">
        <is>
          <t>UEFA Champions League|porto|psv|2026-10-20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FC Porto vs PSV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League|ssc napoli|fk 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SSC Napoli vs FK Bodø/Glimt</t>
        </is>
      </c>
      <c r="E100" s="18" t="inlineStr">
        <is>
          <t>72h-all-markets-net-ev15-execution-v7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a98524037f736c1c589800f3bd4b329ab00983f7</t>
        </is>
      </c>
      <c r="P100" s="18"/>
      <c r="Q100" s="18"/>
      <c r="R100" s="18"/>
    </row>
    <row r="101" ht="36" customHeight="1">
      <c r="A101" s="18" t="inlineStr">
        <is>
          <t>UEFA Champions League|vfb stuttgart|ath madrid|2026-10-20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VfB Stuttgart vs Club Atlético de Madrid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League|como 1907|man united|2026-10-21</t>
        </is>
      </c>
      <c r="B102" s="23">
        <v>46316.697916666664</v>
      </c>
      <c r="C102" s="18" t="inlineStr">
        <is>
          <t>UEFA Champions League</t>
        </is>
      </c>
      <c r="D102" s="18" t="inlineStr">
        <is>
          <t>Como 1907 vs Manchester United FC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League|lille osc|galatasaray sk|2026-10-21</t>
        </is>
      </c>
      <c r="B103" s="23">
        <v>46316.697916666664</v>
      </c>
      <c r="C103" s="18" t="inlineStr">
        <is>
          <t>UEFA Champions League</t>
        </is>
      </c>
      <c r="D103" s="18" t="inlineStr">
        <is>
          <t>Lille OSC vs Galatasaray SK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La Liga|levante|ath bilbao|2026-10-21</t>
        </is>
      </c>
      <c r="B104" s="23">
        <v>46316.75</v>
      </c>
      <c r="C104" s="18" t="inlineStr">
        <is>
          <t>La Liga</t>
        </is>
      </c>
      <c r="D104" s="18" t="inlineStr">
        <is>
          <t>Levante vs Athletic Bilbao</t>
        </is>
      </c>
      <c r="E104" s="18" t="inlineStr">
        <is>
          <t>72h-ucl-v3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4f7af2f470a0b5cdb7b8ae974c859f87b0236fc4</t>
        </is>
      </c>
      <c r="P104" s="18"/>
      <c r="Q104" s="18"/>
      <c r="R104" s="18"/>
    </row>
    <row r="105" ht="36" customHeight="1">
      <c r="A105" s="18" t="inlineStr">
        <is>
          <t>UEFA Champions League|aston villa|viking fk|2026-10-21</t>
        </is>
      </c>
      <c r="B105" s="23">
        <v>46316.791666666664</v>
      </c>
      <c r="C105" s="18" t="inlineStr">
        <is>
          <t>UEFA Champions League</t>
        </is>
      </c>
      <c r="D105" s="18" t="inlineStr">
        <is>
          <t>Aston Villa FC vs Viking FK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League|bayern munich|arsenal|2026-10-21</t>
        </is>
      </c>
      <c r="B106" s="23">
        <v>46316.791666666664</v>
      </c>
      <c r="C106" s="18" t="inlineStr">
        <is>
          <t>UEFA Champions League</t>
        </is>
      </c>
      <c r="D106" s="18" t="inlineStr">
        <is>
          <t>FC Bayern München vs Arsenal FC</t>
        </is>
      </c>
      <c r="E106" s="18" t="inlineStr">
        <is>
          <t>72h-all-markets-net-ev15-execution-v7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a98524037f736c1c589800f3bd4b329ab00983f7</t>
        </is>
      </c>
      <c r="P106" s="18"/>
      <c r="Q106" s="18"/>
      <c r="R106" s="18"/>
    </row>
    <row r="107" ht="36" customHeight="1">
      <c r="A107" s="18" t="inlineStr">
        <is>
          <t>UEFA Champions League|brugge kv|racing lens|2026-10-21</t>
        </is>
      </c>
      <c r="B107" s="23">
        <v>46316.791666666664</v>
      </c>
      <c r="C107" s="18" t="inlineStr">
        <is>
          <t>UEFA Champions League</t>
        </is>
      </c>
      <c r="D107" s="18" t="inlineStr">
        <is>
          <t>Club Brugge KV vs Racing Club de Lens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League|inter|fk shakhtar donetsk|2026-10-21</t>
        </is>
      </c>
      <c r="B108" s="23">
        <v>46316.791666666664</v>
      </c>
      <c r="C108" s="18" t="inlineStr">
        <is>
          <t>UEFA Champions League</t>
        </is>
      </c>
      <c r="D108" s="18" t="inlineStr">
        <is>
          <t>FC Internazionale Milano vs FK Shakhtar Donetsk</t>
        </is>
      </c>
      <c r="E108" s="18" t="inlineStr">
        <is>
          <t>72h-all-markets-net-ev15-execution-v7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a98524037f736c1c589800f3bd4b329ab00983f7</t>
        </is>
      </c>
      <c r="P108" s="18"/>
      <c r="Q108" s="18"/>
      <c r="R108" s="18"/>
    </row>
    <row r="109" ht="36" customHeight="1">
      <c r="A109" s="18" t="inlineStr">
        <is>
          <t>UEFA Champions League|real betis balompie|feyenoord|2026-10-21</t>
        </is>
      </c>
      <c r="B109" s="23">
        <v>46316.791666666664</v>
      </c>
      <c r="C109" s="18" t="inlineStr">
        <is>
          <t>UEFA Champions League</t>
        </is>
      </c>
      <c r="D109" s="18" t="inlineStr">
        <is>
          <t>Real Betis Balompié vs Feyenoord Rotterdam</t>
        </is>
      </c>
      <c r="E109" s="18" t="inlineStr">
        <is>
          <t>72h-all-markets-net-ev15-execution-v7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a98524037f736c1c589800f3bd4b329ab00983f7</t>
        </is>
      </c>
      <c r="P109" s="18"/>
      <c r="Q109" s="18"/>
      <c r="R109" s="18"/>
    </row>
    <row r="110" ht="36" customHeight="1">
      <c r="A110" s="18" t="inlineStr">
        <is>
          <t>UEFA Champions League|real madrid|rb leipzig|2026-10-21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Real Madrid CF vs RB Leipzig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League|sporting cp|lask linz|2026-10-21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Sporting Clube de Portugal vs LASK Linz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Bundesliga|vfb stuttgart|m gladbach|2026-10-23</t>
        </is>
      </c>
      <c r="B112" s="23">
        <v>46318.770833333336</v>
      </c>
      <c r="C112" s="18" t="inlineStr">
        <is>
          <t>Bundesliga</t>
        </is>
      </c>
      <c r="D112" s="18" t="inlineStr">
        <is>
          <t>VfB Stuttgart vs Borussia Monchengladbach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d3f12df5a2a20809c3ac84f9a31766ba965813e3</t>
        </is>
      </c>
      <c r="P112" s="18"/>
      <c r="Q112" s="18"/>
      <c r="R112" s="18"/>
    </row>
    <row r="113" ht="36" customHeight="1">
      <c r="A113" s="18" t="inlineStr">
        <is>
          <t>Ligue 1|brest|nice|2026-10-23</t>
        </is>
      </c>
      <c r="B113" s="23">
        <v>46318.78125</v>
      </c>
      <c r="C113" s="18" t="inlineStr">
        <is>
          <t>Ligue 1</t>
        </is>
      </c>
      <c r="D113" s="18" t="inlineStr">
        <is>
          <t>Brest vs Nice</t>
        </is>
      </c>
      <c r="E113" s="18" t="inlineStr">
        <is>
          <t>72h-all-markets-net-ev15-execution-v7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d3f12df5a2a20809c3ac84f9a31766ba965813e3</t>
        </is>
      </c>
      <c r="P113" s="18"/>
      <c r="Q113" s="18"/>
      <c r="R113" s="18"/>
    </row>
    <row r="114" ht="36" customHeight="1">
      <c r="A114" s="18" t="inlineStr">
        <is>
          <t>Serie A|torino|monza|2026-10-23</t>
        </is>
      </c>
      <c r="B114" s="23">
        <v>46318.78125</v>
      </c>
      <c r="C114" s="18" t="inlineStr">
        <is>
          <t>Serie A</t>
        </is>
      </c>
      <c r="D114" s="18" t="inlineStr">
        <is>
          <t>Torino vs Monza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d3f12df5a2a20809c3ac84f9a31766ba965813e3</t>
        </is>
      </c>
      <c r="P114" s="18"/>
      <c r="Q114" s="18"/>
      <c r="R114" s="18"/>
    </row>
    <row r="115" ht="36" customHeight="1">
      <c r="A115" s="18" t="inlineStr">
        <is>
          <t>La Liga|alaves|malaga|2026-10-23</t>
        </is>
      </c>
      <c r="B115" s="23">
        <v>46318.791666666664</v>
      </c>
      <c r="C115" s="18" t="inlineStr">
        <is>
          <t>La Liga</t>
        </is>
      </c>
      <c r="D115" s="18" t="inlineStr">
        <is>
          <t>Alavés vs Málaga</t>
        </is>
      </c>
      <c r="E115" s="18" t="inlineStr">
        <is>
          <t>72h-all-markets-net-ev15-execution-v7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d3f12df5a2a20809c3ac84f9a31766ba965813e3</t>
        </is>
      </c>
      <c r="P115" s="18"/>
      <c r="Q115" s="18"/>
      <c r="R115" s="18"/>
    </row>
    <row r="116" ht="36" customHeight="1">
      <c r="A116" s="18" t="inlineStr">
        <is>
          <t>Premier League|ipswich town|nott m forest|2026-10-23</t>
        </is>
      </c>
      <c r="B116" s="23">
        <v>46318.791666666664</v>
      </c>
      <c r="C116" s="18" t="inlineStr">
        <is>
          <t>Premier League</t>
        </is>
      </c>
      <c r="D116" s="18" t="inlineStr">
        <is>
          <t>Ipswich Town vs Nottingham Forest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d3f12df5a2a20809c3ac84f9a31766ba965813e3</t>
        </is>
      </c>
      <c r="P116" s="18"/>
      <c r="Q116" s="18"/>
      <c r="R116" s="18"/>
    </row>
    <row r="117" ht="36" customHeight="1">
      <c r="A117" s="18" t="inlineStr">
        <is>
          <t>Premier League|aston villa|man city|2026-10-24</t>
        </is>
      </c>
      <c r="B117" s="23">
        <v>46319.479166666664</v>
      </c>
      <c r="C117" s="18" t="inlineStr">
        <is>
          <t>Premier League</t>
        </is>
      </c>
      <c r="D117" s="18" t="inlineStr">
        <is>
          <t>Aston Villa vs Manchester City</t>
        </is>
      </c>
      <c r="E117" s="18" t="inlineStr">
        <is>
          <t>72h-all-markets-net-ev15-execution-v7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54bb8a2c2c957dda77ef247b3e042f6a945bda8f</t>
        </is>
      </c>
      <c r="P117" s="18"/>
      <c r="Q117" s="18"/>
      <c r="R117" s="18"/>
    </row>
    <row r="118" ht="36" customHeight="1">
      <c r="A118" s="18" t="inlineStr">
        <is>
          <t>La Liga|rayo vallecano|elche|2026-10-24</t>
        </is>
      </c>
      <c r="B118" s="23">
        <v>46319.5</v>
      </c>
      <c r="C118" s="18" t="inlineStr">
        <is>
          <t>La Liga</t>
        </is>
      </c>
      <c r="D118" s="18" t="inlineStr">
        <is>
          <t>Rayo Vallecano vs Elche CF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54bb8a2c2c957dda77ef247b3e042f6a945bda8f</t>
        </is>
      </c>
      <c r="P118" s="18"/>
      <c r="Q118" s="18"/>
      <c r="R118" s="18"/>
    </row>
    <row r="119" ht="36" customHeight="1">
      <c r="A119" s="18" t="inlineStr">
        <is>
          <t>Serie A|cagliari|bologna|2026-10-24</t>
        </is>
      </c>
      <c r="B119" s="23">
        <v>46319.541666666664</v>
      </c>
      <c r="C119" s="18" t="inlineStr">
        <is>
          <t>Serie A</t>
        </is>
      </c>
      <c r="D119" s="18" t="inlineStr">
        <is>
          <t>Cagliari vs Bologna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54bb8a2c2c957dda77ef247b3e042f6a945bda8f</t>
        </is>
      </c>
      <c r="P119" s="18"/>
      <c r="Q119" s="18"/>
      <c r="R119" s="18"/>
    </row>
    <row r="120" ht="36" customHeight="1">
      <c r="A120" s="18" t="inlineStr">
        <is>
          <t>Serie A|como|sassuolo|2026-10-24</t>
        </is>
      </c>
      <c r="B120" s="23">
        <v>46319.541666666664</v>
      </c>
      <c r="C120" s="18" t="inlineStr">
        <is>
          <t>Serie A</t>
        </is>
      </c>
      <c r="D120" s="18" t="inlineStr">
        <is>
          <t>Como vs Sassuolo</t>
        </is>
      </c>
      <c r="E120" s="18" t="inlineStr">
        <is>
          <t>72h-all-markets-net-ev15-execution-v7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54bb8a2c2c957dda77ef247b3e042f6a945bda8f</t>
        </is>
      </c>
      <c r="P120" s="18"/>
      <c r="Q120" s="18"/>
      <c r="R120" s="18"/>
    </row>
    <row r="121" ht="36" customHeight="1">
      <c r="A121" s="18" t="inlineStr">
        <is>
          <t>Bundesliga|1 koln|schalke|2026-10-24</t>
        </is>
      </c>
      <c r="B121" s="23">
        <v>46319.5625</v>
      </c>
      <c r="C121" s="18" t="inlineStr">
        <is>
          <t>Bundesliga</t>
        </is>
      </c>
      <c r="D121" s="18" t="inlineStr">
        <is>
          <t>1. FC Köln vs FC Schalke 04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54bb8a2c2c957dda77ef247b3e042f6a945bda8f</t>
        </is>
      </c>
      <c r="P121" s="18"/>
      <c r="Q121" s="18"/>
      <c r="R121" s="18"/>
    </row>
    <row r="122" ht="36" customHeight="1">
      <c r="A122" s="18" t="inlineStr">
        <is>
          <t>Bundesliga|augsburg|union berlin|2026-10-24</t>
        </is>
      </c>
      <c r="B122" s="23">
        <v>46319.5625</v>
      </c>
      <c r="C122" s="18" t="inlineStr">
        <is>
          <t>Bundesliga</t>
        </is>
      </c>
      <c r="D122" s="18" t="inlineStr">
        <is>
          <t>Augsburg vs Union Berlin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54bb8a2c2c957dda77ef247b3e042f6a945bda8f</t>
        </is>
      </c>
      <c r="P122" s="18"/>
      <c r="Q122" s="18"/>
      <c r="R122" s="18"/>
    </row>
    <row r="123" ht="36" customHeight="1">
      <c r="A123" s="18" t="inlineStr">
        <is>
          <t>Bundesliga|fsv mainz|werder bremen|2026-10-24</t>
        </is>
      </c>
      <c r="B123" s="23">
        <v>46319.5625</v>
      </c>
      <c r="C123" s="18" t="inlineStr">
        <is>
          <t>Bundesliga</t>
        </is>
      </c>
      <c r="D123" s="18" t="inlineStr">
        <is>
          <t>FSV Mainz 05 vs Werder Bremen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54bb8a2c2c957dda77ef247b3e042f6a945bda8f</t>
        </is>
      </c>
      <c r="P123" s="18"/>
      <c r="Q123" s="18"/>
      <c r="R123" s="18"/>
    </row>
    <row r="124" ht="36" customHeight="1">
      <c r="A124" s="18" t="inlineStr">
        <is>
          <t>Bundesliga|paderborn|hamburger|2026-10-24</t>
        </is>
      </c>
      <c r="B124" s="23">
        <v>46319.5625</v>
      </c>
      <c r="C124" s="18" t="inlineStr">
        <is>
          <t>Bundesliga</t>
        </is>
      </c>
      <c r="D124" s="18" t="inlineStr">
        <is>
          <t>SC Paderborn vs Hamburger SV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54bb8a2c2c957dda77ef247b3e042f6a945bda8f</t>
        </is>
      </c>
      <c r="P124" s="18"/>
      <c r="Q124" s="18"/>
      <c r="R124" s="18"/>
    </row>
    <row r="125" ht="36" customHeight="1">
      <c r="A125" s="18" t="inlineStr">
        <is>
          <t>Bundesliga|rb leipzig|elversberg|2026-10-24</t>
        </is>
      </c>
      <c r="B125" s="23">
        <v>46319.5625</v>
      </c>
      <c r="C125" s="18" t="inlineStr">
        <is>
          <t>Bundesliga</t>
        </is>
      </c>
      <c r="D125" s="18" t="inlineStr">
        <is>
          <t>RB Leipzig vs Elversberg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54bb8a2c2c957dda77ef247b3e042f6a945bda8f</t>
        </is>
      </c>
      <c r="P125" s="18"/>
      <c r="Q125" s="18"/>
      <c r="R125" s="18"/>
    </row>
    <row r="126" ht="36" customHeight="1">
      <c r="A126" s="18" t="inlineStr">
        <is>
          <t>Premier League|arsenal|everton|2026-10-24</t>
        </is>
      </c>
      <c r="B126" s="23">
        <v>46319.583333333336</v>
      </c>
      <c r="C126" s="18" t="inlineStr">
        <is>
          <t>Premier League</t>
        </is>
      </c>
      <c r="D126" s="18" t="inlineStr">
        <is>
          <t>Arsenal vs Everton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Premier League|coventry city|fulham|2026-10-24</t>
        </is>
      </c>
      <c r="B127" s="23">
        <v>46319.583333333336</v>
      </c>
      <c r="C127" s="18" t="inlineStr">
        <is>
          <t>Premier League</t>
        </is>
      </c>
      <c r="D127" s="18" t="inlineStr">
        <is>
          <t>Coventry City vs Fulham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La Liga|real racing santander|espanyol|2026-10-24</t>
        </is>
      </c>
      <c r="B128" s="23">
        <v>46319.59375</v>
      </c>
      <c r="C128" s="18" t="inlineStr">
        <is>
          <t>La Liga</t>
        </is>
      </c>
      <c r="D128" s="18" t="inlineStr">
        <is>
          <t>Real Racing Club de Santander vs Espanyol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Ligue 1|toulouse|troyes|2026-10-24</t>
        </is>
      </c>
      <c r="B129" s="23">
        <v>46319.635416666664</v>
      </c>
      <c r="C129" s="18" t="inlineStr">
        <is>
          <t>Ligue 1</t>
        </is>
      </c>
      <c r="D129" s="18" t="inlineStr">
        <is>
          <t>Toulouse vs Troyes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Serie A|napoli|as roma|2026-10-24</t>
        </is>
      </c>
      <c r="B130" s="23">
        <v>46319.666666666664</v>
      </c>
      <c r="C130" s="18" t="inlineStr">
        <is>
          <t>Serie A</t>
        </is>
      </c>
      <c r="D130" s="18" t="inlineStr">
        <is>
          <t>Napoli vs AS Roma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Bundesliga|borussia dortmund|eintracht frankfurt|2026-10-24</t>
        </is>
      </c>
      <c r="B131" s="23">
        <v>46319.6875</v>
      </c>
      <c r="C131" s="18" t="inlineStr">
        <is>
          <t>Bundesliga</t>
        </is>
      </c>
      <c r="D131" s="18" t="inlineStr">
        <is>
          <t>Borussia Dortmund vs Eintracht Frankfurt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La Liga|valencia|villarreal|2026-10-24</t>
        </is>
      </c>
      <c r="B132" s="23">
        <v>46319.6875</v>
      </c>
      <c r="C132" s="18" t="inlineStr">
        <is>
          <t>La Liga</t>
        </is>
      </c>
      <c r="D132" s="18" t="inlineStr">
        <is>
          <t>Valencia vs Villarreal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Premier League|chelsea|tottenham|2026-10-24</t>
        </is>
      </c>
      <c r="B133" s="23">
        <v>46319.6875</v>
      </c>
      <c r="C133" s="18" t="inlineStr">
        <is>
          <t>Premier League</t>
        </is>
      </c>
      <c r="D133" s="18" t="inlineStr">
        <is>
          <t>Chelsea vs Tottenham Hotspur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Ligue 1|rc lens|paris|2026-10-24</t>
        </is>
      </c>
      <c r="B134" s="23">
        <v>46319.78125</v>
      </c>
      <c r="C134" s="18" t="inlineStr">
        <is>
          <t>Ligue 1</t>
        </is>
      </c>
      <c r="D134" s="18" t="inlineStr">
        <is>
          <t>RC Lens vs Paris FC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a98524037f736c1c589800f3bd4b329ab00983f7</t>
        </is>
      </c>
      <c r="P134" s="18"/>
      <c r="Q134" s="18"/>
      <c r="R134" s="18"/>
    </row>
    <row r="135" ht="36" customHeight="1">
      <c r="A135" s="18" t="inlineStr">
        <is>
          <t>Serie A|lazio|parma|2026-10-24</t>
        </is>
      </c>
      <c r="B135" s="23">
        <v>46319.78125</v>
      </c>
      <c r="C135" s="18" t="inlineStr">
        <is>
          <t>Serie A</t>
        </is>
      </c>
      <c r="D135" s="18" t="inlineStr">
        <is>
          <t>Lazio vs Parma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a98524037f736c1c589800f3bd4b329ab00983f7</t>
        </is>
      </c>
      <c r="P135" s="18"/>
      <c r="Q135" s="18"/>
      <c r="R135" s="18"/>
    </row>
    <row r="136" ht="36" customHeight="1">
      <c r="A136" s="18" t="inlineStr">
        <is>
          <t>La Liga|ath madrid|deportivo la coruna|2026-10-24</t>
        </is>
      </c>
      <c r="B136" s="23">
        <v>46319.791666666664</v>
      </c>
      <c r="C136" s="18" t="inlineStr">
        <is>
          <t>La Liga</t>
        </is>
      </c>
      <c r="D136" s="18" t="inlineStr">
        <is>
          <t>Atlético Madrid vs Deportivo La Coruña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a98524037f736c1c589800f3bd4b329ab00983f7</t>
        </is>
      </c>
      <c r="P136" s="18"/>
      <c r="Q136" s="18"/>
      <c r="R13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30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20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10 more observations; 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12 more observations; 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1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29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unavailable; Rejected snapshots need review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unavailable; Rejected snapshots need review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unavailable; Rejected snapshots need review</t>
        </is>
      </c>
      <c r="J13" s="18" t="inlineStr">
        <is>
          <t>No clear promotion evidence</t>
        </is>
      </c>
    </row>
    <row r="15">
      <c r="A15" s="27" t="inlineStr">
        <is>
          <t>The original four sidecars count observations, not necessarily independent fixtures. Do not add their sample counts together.</t>
        </is>
      </c>
    </row>
    <row r="16">
      <c r="A16" s="27" t="inlineStr">
        <is>
          <t>Coverage and time gates must also pass. Reaching a sample count alone does not make a candidate ready.</t>
        </is>
      </c>
    </row>
    <row r="18">
      <c r="A18" s="31" t="inlineStr">
        <is>
          <t>Back to dashboard</t>
        </is>
      </c>
    </row>
  </sheetData>
  <autoFilter ref="A5:J13"/>
  <mergeCells count="4">
    <mergeCell ref="A2:J2"/>
    <mergeCell ref="A4:J4"/>
    <mergeCell ref="A15:J15"/>
    <mergeCell ref="A16:J16"/>
  </mergeCells>
  <conditionalFormatting sqref="B6:B13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8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Breakdowns!B21</f>
        <v>2026-W41</v>
      </c>
      <c r="B6" s="19">
        <f>Breakdowns!D21</f>
        <v>4.0</v>
      </c>
      <c r="C6" s="19">
        <f>COUNTIFS(Selections!$P$6:$P$26,A6,Selections!$M$6:$M$26,"&gt;0")</f>
        <v>4.0</v>
      </c>
      <c r="D6" s="22">
        <f>IF(C6=0,"n.a.",Breakdowns!J21)</f>
        <v>-1.48</v>
      </c>
      <c r="E6" s="22">
        <f>IF(SUM($C$6:C6)=0,"n.a.",SUM($D$6:D6))</f>
        <v>-1.48</v>
      </c>
      <c r="F6" s="20">
        <f>Breakdowns!H21</f>
        <v>0.5</v>
      </c>
    </row>
    <row r="7" ht="26" customHeight="1">
      <c r="A7" s="18" t="str">
        <f>Breakdowns!B22</f>
        <v>2026-W42</v>
      </c>
      <c r="B7" s="19">
        <f>Breakdowns!D22</f>
        <v>5.0</v>
      </c>
      <c r="C7" s="19">
        <f>COUNTIFS(Selections!$P$6:$P$26,A7,Selections!$M$6:$M$26,"&gt;0")</f>
        <v>5.0</v>
      </c>
      <c r="D7" s="22">
        <f>IF(C7=0,"n.a.",Breakdowns!J22)</f>
        <v>0.6099999999999999</v>
      </c>
      <c r="E7" s="22">
        <f>IF(SUM($C$6:C7)=0,"n.a.",SUM($D$6:D7))</f>
        <v>-0.8700000000000001</v>
      </c>
      <c r="F7" s="20">
        <f>Breakdowns!H22</f>
        <v>0.8</v>
      </c>
    </row>
    <row r="8" ht="26" customHeight="1">
      <c r="A8" s="18" t="str">
        <f>Breakdowns!B23</f>
        <v>2026-W43</v>
      </c>
      <c r="B8" s="19">
        <f>Breakdowns!D23</f>
        <v>0.0</v>
      </c>
      <c r="C8" s="19">
        <f>COUNTIFS(Selections!$P$6:$P$26,A8,Selections!$M$6:$M$26,"&gt;0")</f>
        <v>0</v>
      </c>
      <c r="D8" s="22" t="str">
        <f>IF(C8=0,"n.a.",Breakdowns!J23)</f>
        <v>n.a.</v>
      </c>
      <c r="E8" s="22">
        <f>IF(SUM($C$6:C8)=0,"n.a.",SUM($D$6:D8))</f>
        <v>-0.8700000000000001</v>
      </c>
      <c r="F8" s="20" t="str">
        <f>Breakdowns!H23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2026-10-14T19:19:04.140995+00:00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532</v>
      </c>
      <c r="D14" s="19">
        <v>0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8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8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3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3</v>
      </c>
    </row>
    <row r="32" ht="44" customHeight="1">
      <c r="A32" s="18" t="inlineStr">
        <is>
          <t>Bookmakers: 1xBet</t>
        </is>
      </c>
      <c r="B32" s="19">
        <v>3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10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10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6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5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3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3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24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24</v>
      </c>
    </row>
    <row r="55">
      <c r="A55" s="26" t="inlineStr">
        <is>
          <t>EV sensitivity results</t>
        </is>
      </c>
    </row>
    <row r="56" ht="34" customHeight="1">
      <c r="A56" s="24" t="inlineStr">
        <is>
          <t>EV floor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Simulated ROI</t>
        </is>
      </c>
      <c r="F56" s="24" t="inlineStr">
        <is>
          <t>Drawdown (units)</t>
        </is>
      </c>
    </row>
    <row r="57" ht="44" customHeight="1">
      <c r="A57" s="20">
        <v>0.015</v>
      </c>
      <c r="B57" s="18" t="inlineStr">
        <is>
          <t>ALL</t>
        </is>
      </c>
      <c r="C57" s="19">
        <v>7</v>
      </c>
      <c r="D57" s="19">
        <v>1</v>
      </c>
      <c r="E57" s="20">
        <v>0.17999999999999994</v>
      </c>
      <c r="F57" s="22">
        <v>0.0</v>
      </c>
    </row>
    <row r="58" ht="44" customHeight="1">
      <c r="A58" s="20">
        <v>0.015</v>
      </c>
      <c r="B58" s="18" t="inlineStr">
        <is>
          <t>STRICT</t>
        </is>
      </c>
      <c r="C58" s="19">
        <v>6</v>
      </c>
      <c r="D58" s="19">
        <v>1</v>
      </c>
      <c r="E58" s="20">
        <v>0.17999999999999994</v>
      </c>
      <c r="F58" s="22">
        <v>0.0</v>
      </c>
    </row>
    <row r="59" ht="44" customHeight="1">
      <c r="A59" s="20">
        <v>0.015</v>
      </c>
      <c r="B59" s="18" t="inlineStr">
        <is>
          <t>PROVISIONAL</t>
        </is>
      </c>
      <c r="C59" s="19">
        <v>1</v>
      </c>
      <c r="D59" s="19">
        <v>0</v>
      </c>
      <c r="E59" s="20"/>
      <c r="F59" s="22"/>
    </row>
    <row r="60" ht="44" customHeight="1">
      <c r="A60" s="20">
        <v>0.03</v>
      </c>
      <c r="B60" s="18" t="inlineStr">
        <is>
          <t>ALL</t>
        </is>
      </c>
      <c r="C60" s="19">
        <v>7</v>
      </c>
      <c r="D60" s="19">
        <v>1</v>
      </c>
      <c r="E60" s="20">
        <v>0.17999999999999994</v>
      </c>
      <c r="F60" s="22">
        <v>0.0</v>
      </c>
    </row>
    <row r="61" ht="44" customHeight="1">
      <c r="A61" s="20">
        <v>0.03</v>
      </c>
      <c r="B61" s="18" t="inlineStr">
        <is>
          <t>STRICT</t>
        </is>
      </c>
      <c r="C61" s="19">
        <v>6</v>
      </c>
      <c r="D61" s="19">
        <v>1</v>
      </c>
      <c r="E61" s="20">
        <v>0.17999999999999994</v>
      </c>
      <c r="F61" s="22">
        <v>0.0</v>
      </c>
    </row>
    <row r="62" ht="44" customHeight="1">
      <c r="A62" s="20">
        <v>0.03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0.05</v>
      </c>
      <c r="B63" s="18" t="inlineStr">
        <is>
          <t>ALL</t>
        </is>
      </c>
      <c r="C63" s="19">
        <v>6</v>
      </c>
      <c r="D63" s="19">
        <v>1</v>
      </c>
      <c r="E63" s="20">
        <v>0.17999999999999994</v>
      </c>
      <c r="F63" s="22">
        <v>0.0</v>
      </c>
    </row>
    <row r="64" ht="44" customHeight="1">
      <c r="A64" s="20">
        <v>0.05</v>
      </c>
      <c r="B64" s="18" t="inlineStr">
        <is>
          <t>STRICT</t>
        </is>
      </c>
      <c r="C64" s="19">
        <v>5</v>
      </c>
      <c r="D64" s="19">
        <v>1</v>
      </c>
      <c r="E64" s="20">
        <v>0.17999999999999994</v>
      </c>
      <c r="F64" s="22">
        <v>0.0</v>
      </c>
    </row>
    <row r="65" ht="44" customHeight="1">
      <c r="A65" s="20">
        <v>0.05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8">
      <c r="A68" s="26" t="inlineStr">
        <is>
          <t>Daily review observations</t>
        </is>
      </c>
    </row>
    <row r="69" ht="34" customHeight="1">
      <c r="A69" s="24" t="inlineStr">
        <is>
          <t>Review date</t>
        </is>
      </c>
      <c r="B69" s="24" t="inlineStr">
        <is>
          <t>Graded</t>
        </is>
      </c>
      <c r="C69" s="24" t="inlineStr">
        <is>
          <t>Win rate</t>
        </is>
      </c>
      <c r="D69" s="24" t="inlineStr">
        <is>
          <t>Simulated ROI</t>
        </is>
      </c>
      <c r="E69" s="24" t="inlineStr">
        <is>
          <t>Brier</t>
        </is>
      </c>
    </row>
    <row r="70" ht="44" customHeight="1">
      <c r="A70" s="18" t="inlineStr">
        <is>
          <t>2026-10-13</t>
        </is>
      </c>
      <c r="B70" s="19">
        <v>9</v>
      </c>
      <c r="C70" s="20">
        <v>0.666667</v>
      </c>
      <c r="D70" s="20">
        <v>-0.096667</v>
      </c>
      <c r="E70" s="21">
        <v>0.250532</v>
      </c>
    </row>
    <row r="71" ht="44" customHeight="1">
      <c r="A71" s="18" t="inlineStr">
        <is>
          <t>2026-10-14</t>
        </is>
      </c>
      <c r="B71" s="19">
        <v>9</v>
      </c>
      <c r="C71" s="20">
        <v>0.666667</v>
      </c>
      <c r="D71" s="20">
        <v>-0.096667</v>
      </c>
      <c r="E71" s="21">
        <v>0.250532</v>
      </c>
    </row>
    <row r="74">
      <c r="A74" s="26" t="inlineStr">
        <is>
          <t>Dependency versions</t>
        </is>
      </c>
    </row>
    <row r="75" ht="34" customHeight="1">
      <c r="A75" s="24" t="inlineStr">
        <is>
          <t>Dependency</t>
        </is>
      </c>
      <c r="B75" s="24" t="inlineStr">
        <is>
          <t>Version</t>
        </is>
      </c>
    </row>
    <row r="76" ht="44" customHeight="1">
      <c r="A76" s="18" t="inlineStr">
        <is>
          <t>python</t>
        </is>
      </c>
      <c r="B76" s="18" t="inlineStr">
        <is>
          <t>3.12.15</t>
        </is>
      </c>
    </row>
    <row r="77" ht="44" customHeight="1">
      <c r="A77" s="18" t="inlineStr">
        <is>
          <t>numpy</t>
        </is>
      </c>
      <c r="B77" s="18" t="inlineStr">
        <is>
          <t>2.5.4</t>
        </is>
      </c>
    </row>
    <row r="78" ht="44" customHeight="1">
      <c r="A78" s="18" t="inlineStr">
        <is>
          <t>pandas</t>
        </is>
      </c>
      <c r="B78" s="18" t="inlineStr">
        <is>
          <t>3.0.6</t>
        </is>
      </c>
    </row>
    <row r="79" ht="44" customHeight="1">
      <c r="A79" s="18" t="inlineStr">
        <is>
          <t>scipy</t>
        </is>
      </c>
      <c r="B79" s="18" t="inlineStr">
        <is>
          <t>1.18.1</t>
        </is>
      </c>
    </row>
    <row r="80" ht="44" customHeight="1">
      <c r="A80" s="18" t="inlineStr">
        <is>
          <t>requests</t>
        </is>
      </c>
      <c r="B80" s="18" t="inlineStr">
        <is>
          <t>2.34.2</t>
        </is>
      </c>
    </row>
    <row r="81" ht="44" customHeight="1">
      <c r="A81" s="18" t="inlineStr">
        <is>
          <t>python-dotenv</t>
        </is>
      </c>
      <c r="B81" s="18" t="inlineStr">
        <is>
          <t>1.2.4</t>
        </is>
      </c>
    </row>
    <row r="82" ht="44" customHeight="1">
      <c r="A82" s="18" t="inlineStr">
        <is>
          <t>coverage</t>
        </is>
      </c>
      <c r="B82" s="18" t="inlineStr">
        <is>
          <t>7.16.2</t>
        </is>
      </c>
    </row>
    <row r="83" ht="44" customHeight="1">
      <c r="A83" s="18" t="inlineStr">
        <is>
          <t>PyYAML</t>
        </is>
      </c>
      <c r="B83" s="18" t="inlineStr">
        <is>
          <t>6.0.3</t>
        </is>
      </c>
    </row>
    <row r="86">
      <c r="A86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5:F55"/>
    <mergeCell ref="A68:F68"/>
    <mergeCell ref="A74:F74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hyperlinks>
    <hyperlink ref="A86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</row>
  </sheetData>
  <autoFilter ref="A5:H29"/>
  <mergeCells count="2">
    <mergeCell ref="A2:H2"/>
    <mergeCell ref="A4:H4"/>
  </mergeCells>
</worksheet>
</file>