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6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IF(COUNT(Predictions!H6:H260)=0,"n.a.",AVERAGE(Predictions!H6:H260))</f>
        <v>0.5697674418604651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IF(COUNT(Predictions!I6:I260)=0,"n.a.",AVERAGE(Predictions!I6:I260))</f>
        <v>0.5707128201162791</v>
      </c>
      <c r="C17" s="18"/>
      <c r="D17" s="18" t="inlineStr">
        <is>
          <t>Over 1.5</t>
        </is>
      </c>
      <c r="E17" s="18">
        <f>COUNT(Predictions!J6:J260)</f>
        <v>172</v>
      </c>
      <c r="F17" s="20">
        <f>IF(E17=0,"n.a.",AVERAGE(Predictions!J6:J260))</f>
        <v>0.8023255813953488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COUNT(Predictions!K6:K260)</f>
        <v>172</v>
      </c>
      <c r="F18" s="20">
        <f>IF(E18=0,"n.a.",AVERAGE(Predictions!K6:K260))</f>
        <v>0.622093023255814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COUNT(Predictions!L6:L260)</f>
        <v>172</v>
      </c>
      <c r="F19" s="20">
        <f>IF(E19=0,"n.a.",AVERAGE(Predictions!L6:L260))</f>
        <v>0.5697674418604651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COUNT(Predictions!M6:M260)</f>
        <v>172</v>
      </c>
      <c r="F20" s="20">
        <f>IF(E20=0,"n.a.",AVERAGE(Predictions!M6:M260))</f>
        <v>0.5697674418604651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2026-10-28T21:13:39.496730+00:00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17:36:15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0.8317277154135483</v>
      </c>
      <c r="I79" s="22">
        <v>1.33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fd052ff5e9f0163b18958342eaa037bbf5f0e16e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2026-10-28T16:16:05.061508+00:00</t>
        </is>
      </c>
      <c r="W79" t="inlineStr" s="18">
        <is>
          <t>2026-10-28T17:36:15Z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Bundesliga|bayern munich|borussia dortmund|2026-10-31</t>
        </is>
      </c>
      <c r="B239" s="23">
        <v>46326.729166666664</v>
      </c>
      <c r="C239" s="18" t="inlineStr">
        <is>
          <t>Bundesliga</t>
        </is>
      </c>
      <c r="D239" s="18" t="inlineStr">
        <is>
          <t>Bayern Munich vs Borussia Dortmund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La Liga|real betis|malaga|2026-10-31</t>
        </is>
      </c>
      <c r="B240" s="23">
        <v>46326.729166666664</v>
      </c>
      <c r="C240" s="18" t="inlineStr">
        <is>
          <t>La Liga</t>
        </is>
      </c>
      <c r="D240" s="18" t="inlineStr">
        <is>
          <t>Real Betis vs Málaga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Premier League|tottenham|crystal palace|2026-10-31</t>
        </is>
      </c>
      <c r="B241" s="23">
        <v>46326.729166666664</v>
      </c>
      <c r="C241" s="18" t="inlineStr">
        <is>
          <t>Premier League</t>
        </is>
      </c>
      <c r="D241" s="18" t="inlineStr">
        <is>
          <t>Tottenham Hotspur vs Crystal Palace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Eredivisie|heerenveen|nec|2026-10-31</t>
        </is>
      </c>
      <c r="B242" s="23">
        <v>46326.739583333336</v>
      </c>
      <c r="C242" s="18" t="inlineStr">
        <is>
          <t>Eredivisie</t>
        </is>
      </c>
      <c r="D242" s="18" t="inlineStr">
        <is>
          <t>SC Heerenveen vs NEC</t>
        </is>
      </c>
      <c r="E242" s="18" t="inlineStr">
        <is>
          <t>48h-zero-tolerance-ev05-no-loss75-corners-v26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04e55dde9bbe885fb80dc3c1a84f550621a793c2</t>
        </is>
      </c>
      <c r="P242" s="18"/>
      <c r="Q242" s="18"/>
      <c r="R242" s="18"/>
    </row>
    <row r="243" ht="36" customHeight="1">
      <c r="A243" s="18" t="inlineStr">
        <is>
          <t>Eredivisie|psv|willem ii tilburg|2026-10-31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PSV vs Willem II Tilburg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Ligue 1|lorient|brest|2026-10-31</t>
        </is>
      </c>
      <c r="B244" s="23">
        <v>46326.822916666664</v>
      </c>
      <c r="C244" s="18" t="inlineStr">
        <is>
          <t>Ligue 1</t>
        </is>
      </c>
      <c r="D244" s="18" t="inlineStr">
        <is>
          <t>Lorient vs Brest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0117b0e0fe09a0266deb28e532f2ad9e4f4da47a</t>
        </is>
      </c>
      <c r="P244" s="18"/>
      <c r="Q244" s="18"/>
      <c r="R244" s="18"/>
    </row>
    <row r="245" ht="36" customHeight="1">
      <c r="A245" s="18" t="inlineStr">
        <is>
          <t>Ligue 1|lyon|angers|2026-10-31</t>
        </is>
      </c>
      <c r="B245" s="23">
        <v>46326.822916666664</v>
      </c>
      <c r="C245" s="18" t="inlineStr">
        <is>
          <t>Ligue 1</t>
        </is>
      </c>
      <c r="D245" s="18" t="inlineStr">
        <is>
          <t>Lyon vs Angers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Ligue 1|troyes|le mans|2026-10-31</t>
        </is>
      </c>
      <c r="B246" s="23">
        <v>46326.822916666664</v>
      </c>
      <c r="C246" s="18" t="inlineStr">
        <is>
          <t>Ligue 1</t>
        </is>
      </c>
      <c r="D246" s="18" t="inlineStr">
        <is>
          <t>Troyes vs Le Mans FC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Eredivisie|ajax|az|2026-10-31</t>
        </is>
      </c>
      <c r="B247" s="23">
        <v>46326.833333333336</v>
      </c>
      <c r="C247" s="18" t="inlineStr">
        <is>
          <t>Eredivisie</t>
        </is>
      </c>
      <c r="D247" s="18" t="inlineStr">
        <is>
          <t>AFC Ajax vs AZ</t>
        </is>
      </c>
      <c r="E247" s="18" t="inlineStr">
        <is>
          <t>48h-zero-tolerance-ev05-no-loss75-corners-v26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04e55dde9bbe885fb80dc3c1a84f550621a793c2</t>
        </is>
      </c>
      <c r="P247" s="18"/>
      <c r="Q247" s="18"/>
      <c r="R247" s="18"/>
    </row>
    <row r="248" ht="36" customHeight="1">
      <c r="A248" s="18" t="inlineStr">
        <is>
          <t>Eredivisie|cambuur leeuwarden|go ahead eagles|2026-10-31</t>
        </is>
      </c>
      <c r="B248" s="23">
        <v>46326.833333333336</v>
      </c>
      <c r="C248" s="18" t="inlineStr">
        <is>
          <t>Eredivisie</t>
        </is>
      </c>
      <c r="D248" s="18" t="inlineStr">
        <is>
          <t>SC Cambuur-Leeuwarden vs Go Ahead Eagles</t>
        </is>
      </c>
      <c r="E248" s="18" t="inlineStr">
        <is>
          <t>48h-zero-tolerance-ev05-no-loss75-corners-v26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04e55dde9bbe885fb80dc3c1a84f550621a793c2</t>
        </is>
      </c>
      <c r="P248" s="18"/>
      <c r="Q248" s="18"/>
      <c r="R248" s="18"/>
    </row>
    <row r="249" ht="36" customHeight="1">
      <c r="A249" s="18" t="inlineStr">
        <is>
          <t>La Liga|barcelona|alaves|2026-10-31</t>
        </is>
      </c>
      <c r="B249" s="23">
        <v>46326.833333333336</v>
      </c>
      <c r="C249" s="18" t="inlineStr">
        <is>
          <t>La Liga</t>
        </is>
      </c>
      <c r="D249" s="18" t="inlineStr">
        <is>
          <t>Barcelona vs Alavés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Premier League|aston villa|fulham|2026-10-31</t>
        </is>
      </c>
      <c r="B250" s="23">
        <v>46326.833333333336</v>
      </c>
      <c r="C250" s="18" t="inlineStr">
        <is>
          <t>Premier League</t>
        </is>
      </c>
      <c r="D250" s="18" t="inlineStr">
        <is>
          <t>Aston Villa vs Fulham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0117b0e0fe09a0266deb28e532f2ad9e4f4da47a</t>
        </is>
      </c>
      <c r="P250" s="18"/>
      <c r="Q250" s="18"/>
      <c r="R250" s="18"/>
    </row>
    <row r="251" ht="36" customHeight="1">
      <c r="A251" s="18" t="inlineStr">
        <is>
          <t>La Liga|getafe|sevilla|2026-11-01</t>
        </is>
      </c>
      <c r="B251" s="23">
        <v>46327.541666666664</v>
      </c>
      <c r="C251" s="18" t="inlineStr">
        <is>
          <t>La Liga</t>
        </is>
      </c>
      <c r="D251" s="18" t="inlineStr">
        <is>
          <t>Getafe vs Sevilla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0117b0e0fe09a0266deb28e532f2ad9e4f4da47a</t>
        </is>
      </c>
      <c r="P251" s="18"/>
      <c r="Q251" s="18"/>
      <c r="R251" s="18"/>
    </row>
    <row r="252" ht="36" customHeight="1">
      <c r="A252" s="18" t="inlineStr">
        <is>
          <t>Ligue 1|strasbourg|auxerre|2026-11-01</t>
        </is>
      </c>
      <c r="B252" s="23">
        <v>46327.583333333336</v>
      </c>
      <c r="C252" s="18" t="inlineStr">
        <is>
          <t>Ligue 1</t>
        </is>
      </c>
      <c r="D252" s="18" t="inlineStr">
        <is>
          <t>Strasbourg vs Auxerre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0117b0e0fe09a0266deb28e532f2ad9e4f4da47a</t>
        </is>
      </c>
      <c r="P252" s="18"/>
      <c r="Q252" s="18"/>
      <c r="R252" s="18"/>
    </row>
    <row r="253" ht="36" customHeight="1">
      <c r="A253" s="18" t="inlineStr">
        <is>
          <t>Bundesliga|union berlin|1 koln|2026-11-01</t>
        </is>
      </c>
      <c r="B253" s="23">
        <v>46327.604166666664</v>
      </c>
      <c r="C253" s="18" t="inlineStr">
        <is>
          <t>Bundesliga</t>
        </is>
      </c>
      <c r="D253" s="18" t="inlineStr">
        <is>
          <t>Union Berlin vs 1. FC Köln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0117b0e0fe09a0266deb28e532f2ad9e4f4da47a</t>
        </is>
      </c>
      <c r="P253" s="18"/>
      <c r="Q253" s="18"/>
      <c r="R253" s="18"/>
    </row>
    <row r="254" ht="36" customHeight="1">
      <c r="A254" s="18" t="inlineStr">
        <is>
          <t>La Liga|real racing santander|real madrid|2026-11-01</t>
        </is>
      </c>
      <c r="B254" s="23">
        <v>46327.635416666664</v>
      </c>
      <c r="C254" s="18" t="inlineStr">
        <is>
          <t>La Liga</t>
        </is>
      </c>
      <c r="D254" s="18" t="inlineStr">
        <is>
          <t>Real Racing Club de Santander vs Real Madrid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1|paris|as monaco|2026-11-01</t>
        </is>
      </c>
      <c r="B255" s="23">
        <v>46327.677083333336</v>
      </c>
      <c r="C255" s="18" t="inlineStr">
        <is>
          <t>Ligue 1</t>
        </is>
      </c>
      <c r="D255" s="18" t="inlineStr">
        <is>
          <t>Paris FC vs AS Monaco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Bundesliga|eintracht frankfurt|hamburger|2026-11-01</t>
        </is>
      </c>
      <c r="B256" s="23">
        <v>46327.6875</v>
      </c>
      <c r="C256" s="18" t="inlineStr">
        <is>
          <t>Bundesliga</t>
        </is>
      </c>
      <c r="D256" s="18" t="inlineStr">
        <is>
          <t>Eintracht Frankfurt vs Hamburger SV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  <row r="257" ht="36" customHeight="1">
      <c r="A257" s="18" t="inlineStr">
        <is>
          <t>Premier League|liverpool|arsenal|2026-11-01</t>
        </is>
      </c>
      <c r="B257" s="23">
        <v>46327.6875</v>
      </c>
      <c r="C257" s="18" t="inlineStr">
        <is>
          <t>Premier League</t>
        </is>
      </c>
      <c r="D257" s="18" t="inlineStr">
        <is>
          <t>Liverpool vs Arsenal</t>
        </is>
      </c>
      <c r="E257" s="18" t="inlineStr">
        <is>
          <t>48h-zero-tolerance-ev1-common-no-loss75-v22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10a7df008090a45923c14f3c84ec260b147ea047</t>
        </is>
      </c>
      <c r="P257" s="18"/>
      <c r="Q257" s="18"/>
      <c r="R257" s="18"/>
    </row>
    <row r="258" ht="36" customHeight="1">
      <c r="A258" s="18" t="inlineStr">
        <is>
          <t>La Liga|elche|valencia|2026-11-01</t>
        </is>
      </c>
      <c r="B258" s="23">
        <v>46327.729166666664</v>
      </c>
      <c r="C258" s="18" t="inlineStr">
        <is>
          <t>La Liga</t>
        </is>
      </c>
      <c r="D258" s="18" t="inlineStr">
        <is>
          <t>Elche CF vs Valencia</t>
        </is>
      </c>
      <c r="E258" s="18" t="inlineStr">
        <is>
          <t>48h-zero-tolerance-ev1-common-no-loss75-v22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10a7df008090a45923c14f3c84ec260b147ea047</t>
        </is>
      </c>
      <c r="P258" s="18"/>
      <c r="Q258" s="18"/>
      <c r="R258" s="18"/>
    </row>
    <row r="259" ht="36" customHeight="1">
      <c r="A259" s="18" t="inlineStr">
        <is>
          <t>Ligue 1|marseille|toulouse|2026-11-01</t>
        </is>
      </c>
      <c r="B259" s="23">
        <v>46327.822916666664</v>
      </c>
      <c r="C259" s="18" t="inlineStr">
        <is>
          <t>Ligue 1</t>
        </is>
      </c>
      <c r="D259" s="18" t="inlineStr">
        <is>
          <t>Marseille vs Toulouse</t>
        </is>
      </c>
      <c r="E259" s="18" t="inlineStr">
        <is>
          <t>48h-zero-tolerance-ev1-common-no-loss75-v22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10a7df008090a45923c14f3c84ec260b147ea047</t>
        </is>
      </c>
      <c r="P259" s="18"/>
      <c r="Q259" s="18"/>
      <c r="R259" s="18"/>
    </row>
    <row r="260" ht="36" customHeight="1">
      <c r="A260" s="18" t="inlineStr">
        <is>
          <t>La Liga|ath bilbao|real sociedad|2026-11-01</t>
        </is>
      </c>
      <c r="B260" s="23">
        <v>46327.833333333336</v>
      </c>
      <c r="C260" s="18" t="inlineStr">
        <is>
          <t>La Liga</t>
        </is>
      </c>
      <c r="D260" s="18" t="inlineStr">
        <is>
          <t>Athletic Bilbao vs Real Sociedad</t>
        </is>
      </c>
      <c r="E260" s="18" t="inlineStr">
        <is>
          <t>48h-zero-tolerance-ev1-common-no-loss75-v22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10a7df008090a45923c14f3c84ec260b147ea047</t>
        </is>
      </c>
      <c r="P260" s="18"/>
      <c r="Q260" s="18"/>
      <c r="R26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88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0.9777777777777777</v>
      </c>
      <c r="H10" s="18" t="inlineStr">
        <is>
          <t>Approval review</t>
        </is>
      </c>
      <c r="I10" s="18" t="inlineStr">
        <is>
          <t>212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0.13333333333333333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88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0.9777777777777777</v>
      </c>
      <c r="H12" s="18" t="inlineStr">
        <is>
          <t>Approval review</t>
        </is>
      </c>
      <c r="I12" s="18" t="inlineStr">
        <is>
          <t>212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0.9222222222222223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61">
      <c r="A6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2026-10-28T21:13:39.496730+00:00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43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43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39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15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36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36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57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57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15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15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8">
      <c r="A118" s="26" t="inlineStr">
        <is>
          <t>Dependency versions</t>
        </is>
      </c>
    </row>
    <row r="119" ht="34" customHeight="1">
      <c r="A119" s="24" t="inlineStr">
        <is>
          <t>Dependency</t>
        </is>
      </c>
      <c r="B119" s="24" t="inlineStr">
        <is>
          <t>Version</t>
        </is>
      </c>
    </row>
    <row r="120" ht="44" customHeight="1">
      <c r="A120" s="18" t="inlineStr">
        <is>
          <t>python</t>
        </is>
      </c>
      <c r="B120" s="18" t="inlineStr">
        <is>
          <t>3.12.15</t>
        </is>
      </c>
    </row>
    <row r="121" ht="44" customHeight="1">
      <c r="A121" s="18" t="inlineStr">
        <is>
          <t>numpy</t>
        </is>
      </c>
      <c r="B121" s="18" t="inlineStr">
        <is>
          <t>2.5.4</t>
        </is>
      </c>
    </row>
    <row r="122" ht="44" customHeight="1">
      <c r="A122" s="18" t="inlineStr">
        <is>
          <t>pandas</t>
        </is>
      </c>
      <c r="B122" s="18" t="inlineStr">
        <is>
          <t>3.1.0</t>
        </is>
      </c>
    </row>
    <row r="123" ht="44" customHeight="1">
      <c r="A123" s="18" t="inlineStr">
        <is>
          <t>scipy</t>
        </is>
      </c>
      <c r="B123" s="18" t="inlineStr">
        <is>
          <t>1.18.1</t>
        </is>
      </c>
    </row>
    <row r="124" ht="44" customHeight="1">
      <c r="A124" s="18" t="inlineStr">
        <is>
          <t>requests</t>
        </is>
      </c>
      <c r="B124" s="18" t="inlineStr">
        <is>
          <t>2.34.2</t>
        </is>
      </c>
    </row>
    <row r="125" ht="44" customHeight="1">
      <c r="A125" s="18" t="inlineStr">
        <is>
          <t>rapidfuzz</t>
        </is>
      </c>
      <c r="B125" s="18" t="inlineStr">
        <is>
          <t>3.14.6</t>
        </is>
      </c>
    </row>
    <row r="126" ht="44" customHeight="1">
      <c r="A126" s="18" t="inlineStr">
        <is>
          <t>python-dotenv</t>
        </is>
      </c>
      <c r="B126" s="18" t="inlineStr">
        <is>
          <t>1.2.4</t>
        </is>
      </c>
    </row>
    <row r="127" ht="44" customHeight="1">
      <c r="A127" s="18" t="inlineStr">
        <is>
          <t>coverage</t>
        </is>
      </c>
      <c r="B127" s="18" t="inlineStr">
        <is>
          <t>NOT_INSTALLED</t>
        </is>
      </c>
    </row>
    <row r="128" ht="44" customHeight="1">
      <c r="A128" s="18" t="inlineStr">
        <is>
          <t>PyYAML</t>
        </is>
      </c>
      <c r="B128" s="18" t="inlineStr">
        <is>
          <t>NOT_INSTALLED</t>
        </is>
      </c>
    </row>
    <row r="131">
      <c r="A13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8:F11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</sheetData>
  <autoFilter ref="A5:H62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2026-10-28T21:13:39.496730+00:00; 1468 candidates on 141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1468</v>
      </c>
      <c r="D9" s="19">
        <v>141</v>
      </c>
      <c r="E9" s="20">
        <v>-0.03256003728109431</v>
      </c>
      <c r="F9" s="20">
        <v>0.28133514986376024</v>
      </c>
      <c r="G9" s="22">
        <v>-12.184678837163982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887</v>
      </c>
      <c r="D11" s="19">
        <v>135</v>
      </c>
      <c r="E11" s="20">
        <v>0.008019271112234478</v>
      </c>
      <c r="F11" s="20">
        <v>0.5287485907553551</v>
      </c>
      <c r="G11" s="22">
        <v>3.094519614086412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141</v>
      </c>
      <c r="D15" s="18"/>
      <c r="E15" s="21">
        <v>-0.08533465674812053</v>
      </c>
      <c r="F15" s="20">
        <v>0.6170212765957447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-0.03938739634815749</v>
      </c>
      <c r="F20" s="20">
        <v>0.25609756097560976</v>
      </c>
      <c r="G20" s="22">
        <v>-18.08696512755699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261</v>
      </c>
      <c r="D21" s="19">
        <v>107</v>
      </c>
      <c r="E21" s="20">
        <v>-0.022431692990782792</v>
      </c>
      <c r="F21" s="20">
        <v>0.41379310344827586</v>
      </c>
      <c r="G21" s="22">
        <v>-5.969485952086429</v>
      </c>
      <c r="H21" s="20">
        <v>0.030458159183724687</v>
      </c>
      <c r="I21" s="19">
        <v>199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239</v>
      </c>
      <c r="D22" s="19">
        <v>98</v>
      </c>
      <c r="E22" s="20">
        <v>-0.03962369718145825</v>
      </c>
      <c r="F22" s="20">
        <v>0.28870292887029286</v>
      </c>
      <c r="G22" s="22">
        <v>-9.161664563375497</v>
      </c>
      <c r="H22" s="20">
        <v>0.0003506101164706041</v>
      </c>
      <c r="I22" s="19">
        <v>239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229</v>
      </c>
      <c r="D23" s="19">
        <v>87</v>
      </c>
      <c r="E23" s="20">
        <v>-0.030994034117515834</v>
      </c>
      <c r="F23" s="20">
        <v>0.13537117903930132</v>
      </c>
      <c r="G23" s="22">
        <v>-14.414139448214879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-7.098251283479871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734</v>
      </c>
      <c r="D48" s="19">
        <v>109</v>
      </c>
      <c r="E48" s="20">
        <v>-0.03680210298894767</v>
      </c>
      <c r="F48" s="20">
        <v>0.23841961852861035</v>
      </c>
      <c r="G48" s="22">
        <v>-16.3743196753729</v>
      </c>
      <c r="H48" s="20">
        <v>0.005932602436400771</v>
      </c>
      <c r="I48" s="19">
        <v>468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-0.03449967761608733</v>
      </c>
      <c r="F49" s="20">
        <v>0.24858757062146894</v>
      </c>
      <c r="G49" s="22">
        <v>-9.338060496116443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316</v>
      </c>
      <c r="D50" s="19">
        <v>89</v>
      </c>
      <c r="E50" s="20">
        <v>-0.019658337963236603</v>
      </c>
      <c r="F50" s="20">
        <v>0.4208860759493671</v>
      </c>
      <c r="G50" s="22">
        <v>-2.5000961599013936</v>
      </c>
      <c r="H50" s="20">
        <v>0.02309666771051209</v>
      </c>
      <c r="I50" s="19">
        <v>164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1404</v>
      </c>
      <c r="D56" s="19">
        <v>141</v>
      </c>
      <c r="E56" s="20">
        <v>-0.0327638315983186</v>
      </c>
      <c r="F56" s="20">
        <v>0.28347578347578345</v>
      </c>
      <c r="G56" s="22">
        <v>-11.690683932509396</v>
      </c>
      <c r="H56" s="20">
        <v>0.008239551460897965</v>
      </c>
      <c r="I56" s="19">
        <v>836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285</v>
      </c>
      <c r="D63" s="19">
        <v>25</v>
      </c>
      <c r="E63" s="20">
        <v>-0.02773684796979569</v>
      </c>
      <c r="F63" s="20">
        <v>0.3192982456140351</v>
      </c>
      <c r="G63" s="22">
        <v>-4.109374292536526</v>
      </c>
      <c r="H63" s="20">
        <v>0.012073137180452094</v>
      </c>
      <c r="I63" s="19">
        <v>189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