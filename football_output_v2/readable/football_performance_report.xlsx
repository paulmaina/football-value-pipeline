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1.0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0.8235294117647058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5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34</v>
      </c>
      <c r="F7" s="20">
        <f>Breakdowns!H7</f>
        <v>0.8235294117647058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0.7540983606557377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0.06360655737704916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61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0.1514546029633793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IF(COUNT(Predictions!H6:H256)=0,"n.a.",AVERAGE(Predictions!H6:H256))</f>
        <v>0.5739644970414202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IF(COUNT(Predictions!I6:I256)=0,"n.a.",AVERAGE(Predictions!I6:I256))</f>
        <v>0.5699782327810651</v>
      </c>
      <c r="C17" s="18"/>
      <c r="D17" s="18" t="inlineStr">
        <is>
          <t>Over 1.5</t>
        </is>
      </c>
      <c r="E17" s="18">
        <f>COUNT(Predictions!J6:J256)</f>
        <v>169</v>
      </c>
      <c r="F17" s="20">
        <f>IF(E17=0,"n.a.",AVERAGE(Predictions!J6:J256))</f>
        <v>0.8047337278106509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0.6331533709421812</v>
      </c>
      <c r="C18" s="18"/>
      <c r="D18" s="18" t="inlineStr">
        <is>
          <t>Under 3.5</t>
        </is>
      </c>
      <c r="E18" s="18">
        <f>COUNT(Predictions!K6:K256)</f>
        <v>169</v>
      </c>
      <c r="F18" s="20">
        <f>IF(E18=0,"n.a.",AVERAGE(Predictions!K6:K256))</f>
        <v>0.621301775147929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0.8449347700043716</v>
      </c>
      <c r="C19" s="18"/>
      <c r="D19" s="18" t="inlineStr">
        <is>
          <t>BTTS Yes</t>
        </is>
      </c>
      <c r="E19" s="18">
        <f>COUNT(Predictions!L6:L256)</f>
        <v>169</v>
      </c>
      <c r="F19" s="20">
        <f>IF(E19=0,"n.a.",AVERAGE(Predictions!L6:L256))</f>
        <v>0.5621301775147929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COUNT(Predictions!M6:M256)</f>
        <v>169</v>
      </c>
      <c r="F20" s="20">
        <f>IF(E20=0,"n.a.",AVERAGE(Predictions!M6:M256))</f>
        <v>0.5621301775147929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2026-10-28T14:15:28.025096+00:00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138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2026-10-28 12:13:49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PENDING_KICKOFF_OR_FINAL_SCORE</t>
        </is>
      </c>
      <c r="D83" s="22" t="str">
        <f>IF(ISNUMBER(Selections!M79),Selections!M79,"")</f>
        <v/>
      </c>
      <c r="E83" s="22" t="str">
        <f>IF(ISNUMBER(Selections!N79),Selections!N79,"")</f>
        <v/>
      </c>
      <c r="F83" s="22">
        <f>SUM($E$10:E83)</f>
        <v>3.8799999999999994</v>
      </c>
      <c r="G83" s="22">
        <f>$B$4+F83</f>
        <v>103.88</v>
      </c>
      <c r="H83" s="22">
        <f>MAX($B$4,$G$10:G83)</f>
        <v>104.12</v>
      </c>
      <c r="I83" s="22">
        <f>H83-G83</f>
        <v>0.2400000000000091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61</v>
      </c>
      <c r="E6" s="19">
        <f>(COUNTIFS(Selections!$K$6:$K$79,"WON")+COUNTIFS(Selections!$K$6:$K$79,"HALF_WON"))</f>
        <v>46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13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0.7540983606557377</v>
      </c>
      <c r="I6" s="22">
        <f>SUM(Selections!$M$6:$M$79)</f>
        <v>61</v>
      </c>
      <c r="J6" s="22">
        <f>SUM(Selections!$N$6:$N$79)</f>
        <v>3.879999999999999</v>
      </c>
      <c r="K6" s="20">
        <f>IF(SUM(Selections!$M$6:$M$79)=0,"n.a.",SUM(Selections!$N$6:$N$79)/SUM(Selections!$M$6:$M$79))</f>
        <v>0.06360655737704916</v>
      </c>
      <c r="L6" s="21">
        <f>IF(SUM(Selections!$T$6:$T$79)=0,"n.a.",SUM(Selections!$O$6:$O$79)/SUM(Selections!$T$6:$T$79))</f>
        <v>0.1514546029633793</v>
      </c>
      <c r="M6" s="20">
        <f>IF(SUM(Selections!$T$6:$T$79)=0,"n.a.",SUM(Selections!$S$6:$S$79)/SUM(Selections!$T$6:$T$79))</f>
        <v>0.7471701633791901</v>
      </c>
      <c r="N6" s="20">
        <f>IF(SUM(Selections!$T$6:$T$79)=0,"n.a.",(SUMIFS(Selections!$L$6:$L$79,Selections!$T$6:$T$79,1))/SUM(Selections!$T$6:$T$79))</f>
        <v>0.7704918032786885</v>
      </c>
      <c r="O6" s="20">
        <f>IF(SUM(Selections!$T$6:$T$79)=0,"n.a.",(SUM(Selections!$S$6:$S$79)-(SUMIFS(Selections!$L$6:$L$79,Selections!$T$6:$T$79,1)))/SUM(Selections!$T$6:$T$79))</f>
        <v>-0.023321639899498425</v>
      </c>
      <c r="P6" s="19">
        <f>SUM(Selections!$T$6:$T$79)</f>
        <v>61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34</v>
      </c>
      <c r="E7" s="19">
        <f>(COUNTIFS(Selections!$F$6:$F$79,"STRICT",Selections!$K$6:$K$79,"WON")+COUNTIFS(Selections!$F$6:$F$79,"STRICT",Selections!$K$6:$K$79,"HALF_WON"))</f>
        <v>28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11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0.8235294117647058</v>
      </c>
      <c r="I7" s="22">
        <f>SUMIFS(Selections!$M$6:$M$79,Selections!$F$6:$F$79,"STRICT")</f>
        <v>34</v>
      </c>
      <c r="J7" s="22">
        <f>SUMIFS(Selections!$N$6:$N$79,Selections!$F$6:$F$79,"STRICT")</f>
        <v>6.77</v>
      </c>
      <c r="K7" s="20">
        <f>IF(SUMIFS(Selections!$M$6:$M$79,Selections!$F$6:$F$79,"STRICT")=0,"n.a.",SUMIFS(Selections!$N$6:$N$79,Selections!$F$6:$F$79,"STRICT")/SUMIFS(Selections!$M$6:$M$79,Selections!$F$6:$F$79,"STRICT"))</f>
        <v>0.1991176470588235</v>
      </c>
      <c r="L7" s="21">
        <f>IF(SUMIFS(Selections!$T$6:$T$79,Selections!$F$6:$F$79,"STRICT")=0,"n.a.",SUMIFS(Selections!$O$6:$O$79,Selections!$F$6:$F$79,"STRICT")/SUMIFS(Selections!$T$6:$T$79,Selections!$F$6:$F$79,"STRICT"))</f>
        <v>0.10511102590058027</v>
      </c>
      <c r="M7" s="20">
        <f>IF(SUMIFS(Selections!$T$6:$T$79,Selections!$F$6:$F$79,"STRICT")=0,"n.a.",SUMIFS(Selections!$S$6:$S$79,Selections!$F$6:$F$79,"STRICT")/SUMIFS(Selections!$T$6:$T$79,Selections!$F$6:$F$79,"STRICT"))</f>
        <v>0.7371029186088693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0.8529411764705882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-0.11583825786171886</v>
      </c>
      <c r="P7" s="19">
        <f>SUMIFS(Selections!$T$6:$T$79,Selections!$F$6:$F$79,"STRICT")</f>
        <v>34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13</v>
      </c>
      <c r="E15" s="19">
        <f>(COUNTIFS(Selections!$C$6:$C$79,"Serie A",Selections!$K$6:$K$79,"WON")+COUNTIFS(Selections!$C$6:$C$79,"Serie A",Selections!$K$6:$K$79,"HALF_WON"))</f>
        <v>8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2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0.6153846153846154</v>
      </c>
      <c r="I15" s="22">
        <f>SUMIFS(Selections!$M$6:$M$79,Selections!$C$6:$C$79,"Serie A")</f>
        <v>13</v>
      </c>
      <c r="J15" s="22">
        <f>SUMIFS(Selections!$N$6:$N$79,Selections!$C$6:$C$79,"Serie A")</f>
        <v>-0.9499999999999998</v>
      </c>
      <c r="K15" s="20">
        <f>IF(SUMIFS(Selections!$M$6:$M$79,Selections!$C$6:$C$79,"Serie A")=0,"n.a.",SUMIFS(Selections!$N$6:$N$79,Selections!$C$6:$C$79,"Serie A")/SUMIFS(Selections!$M$6:$M$79,Selections!$C$6:$C$79,"Serie A"))</f>
        <v>-0.07307692307692307</v>
      </c>
      <c r="L15" s="21">
        <f>IF(SUMIFS(Selections!$T$6:$T$79,Selections!$C$6:$C$79,"Serie A")=0,"n.a.",SUMIFS(Selections!$O$6:$O$79,Selections!$C$6:$C$79,"Serie A")/SUMIFS(Selections!$T$6:$T$79,Selections!$C$6:$C$79,"Serie A"))</f>
        <v>0.16064971066314016</v>
      </c>
      <c r="M15" s="20">
        <f>IF(SUMIFS(Selections!$T$6:$T$79,Selections!$C$6:$C$79,"Serie A")=0,"n.a.",SUMIFS(Selections!$S$6:$S$79,Selections!$C$6:$C$79,"Serie A")/SUMIFS(Selections!$T$6:$T$79,Selections!$C$6:$C$79,"Serie A"))</f>
        <v>0.7185948616364346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0.6923076923076923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0.02628716932874231</v>
      </c>
      <c r="P15" s="19">
        <f>SUMIFS(Selections!$T$6:$T$79,Selections!$C$6:$C$79,"Serie A")</f>
        <v>13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(n=13).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1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E17" s="19">
        <f>(COUNTIFS(Selections!$E$6:$E$79,"Asian Handicap Away +1.00",Selections!$K$6:$K$79,"WON")+COUNTIFS(Selections!$E$6:$E$79,"Asian Handicap Away +1.00",Selections!$K$6:$K$79,"HALF_WON"))</f>
        <v>1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0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1</v>
      </c>
      <c r="J17" s="22">
        <f>SUMIFS(Selections!$N$6:$N$79,Selections!$E$6:$E$79,"Asian Handicap Away +1.00")</f>
        <v>0.58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0.58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0.061763712158882544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0.7514769383761689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-0.2485230616238311</v>
      </c>
      <c r="P17" s="19">
        <f>SUMIFS(Selections!$T$6:$T$79,Selections!$E$6:$E$79,"Asian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2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0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0.0</v>
      </c>
      <c r="I38" s="22">
        <f>SUMIFS(Selections!$M$6:$M$79,Selections!$G$6:$G$79,"48h-zero-tolerance-ev05-no-loss75-corners-v26")</f>
        <v>1</v>
      </c>
      <c r="J38" s="22">
        <f>SUMIFS(Selections!$N$6:$N$79,Selections!$G$6:$G$79,"48h-zero-tolerance-ev05-no-loss75-corners-v26")</f>
        <v>0.0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0.0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0.04930986683311443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0.777941749009152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-0.22205825099084797</v>
      </c>
      <c r="P38" s="19">
        <f>SUMIFS(Selections!$T$6:$T$79,Selections!$G$6:$G$79,"48h-zero-tolerance-ev05-no-loss75-corners-v26")</f>
        <v>1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1</v>
      </c>
      <c r="E49" s="19">
        <f>(COUNTIFS(Selections!$P$6:$P$79,"2026-W44",Selections!$K$6:$K$79,"WON")+COUNTIFS(Selections!$P$6:$P$79,"2026-W44",Selections!$K$6:$K$79,"HALF_WON"))</f>
        <v>0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3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0.0</v>
      </c>
      <c r="I49" s="22">
        <f>SUMIFS(Selections!$M$6:$M$79,Selections!$P$6:$P$79,"2026-W44")</f>
        <v>1</v>
      </c>
      <c r="J49" s="22">
        <f>SUMIFS(Selections!$N$6:$N$79,Selections!$P$6:$P$79,"2026-W44")</f>
        <v>0.0</v>
      </c>
      <c r="K49" s="20">
        <f>IF(SUMIFS(Selections!$M$6:$M$79,Selections!$P$6:$P$79,"2026-W44")=0,"n.a.",SUMIFS(Selections!$N$6:$N$79,Selections!$P$6:$P$79,"2026-W44")/SUMIFS(Selections!$M$6:$M$79,Selections!$P$6:$P$79,"2026-W44"))</f>
        <v>0.0</v>
      </c>
      <c r="L49" s="21">
        <f>IF(SUMIFS(Selections!$T$6:$T$79,Selections!$P$6:$P$79,"2026-W44")=0,"n.a.",SUMIFS(Selections!$O$6:$O$79,Selections!$P$6:$P$79,"2026-W44")/SUMIFS(Selections!$T$6:$T$79,Selections!$P$6:$P$79,"2026-W44"))</f>
        <v>0.04930986683311443</v>
      </c>
      <c r="M49" s="20">
        <f>IF(SUMIFS(Selections!$T$6:$T$79,Selections!$P$6:$P$79,"2026-W44")=0,"n.a.",SUMIFS(Selections!$S$6:$S$79,Selections!$P$6:$P$79,"2026-W44")/SUMIFS(Selections!$T$6:$T$79,Selections!$P$6:$P$79,"2026-W44"))</f>
        <v>0.777941749009152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-0.22205825099084797</v>
      </c>
      <c r="P49" s="19">
        <f>SUMIFS(Selections!$T$6:$T$79,Selections!$P$6:$P$79,"2026-W44")</f>
        <v>1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(n=1).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19</v>
      </c>
      <c r="E10" s="20">
        <f>IF(D10=0,"n.a.",SUMIFS(Selections!$S$6:$S$79,Selections!$S$6:$S$79,"&gt;="&amp;B10,Selections!$S$6:$S$79,"&lt;"&amp;C10,Selections!$T$6:$T$79,1)/D10)</f>
        <v>0.8395330613191175</v>
      </c>
      <c r="F10" s="20">
        <f>IF(D10=0,"n.a.",SUMIFS(Selections!$L$6:$L$79,Selections!$S$6:$S$79,"&gt;="&amp;B10,Selections!$S$6:$S$79,"&lt;"&amp;C10,Selections!$T$6:$T$79,1)/D10)</f>
        <v>0.8947368421052632</v>
      </c>
      <c r="G10" s="20">
        <f>IF(D10=0,"n.a.",E10-F10)</f>
        <v>-0.05520378078614563</v>
      </c>
      <c r="H10" s="21">
        <f>IF(D10=0,"n.a.",SUMIFS(Selections!$O$6:$O$79,Selections!$S$6:$S$79,"&gt;="&amp;B10,Selections!$S$6:$S$79,"&lt;"&amp;C10,Selections!$T$6:$T$79,1)/D10)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+1.25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0.8282668415839534</v>
      </c>
      <c r="I79" s="22">
        <v>1.29</v>
      </c>
      <c r="J79" s="18"/>
      <c r="K79" s="18" t="inlineStr">
        <is>
          <t>PENDING_KICKOFF_OR_FINAL_SCORE</t>
        </is>
      </c>
      <c r="L79" s="18"/>
      <c r="M79" s="22" t="str">
        <f>IF(AND(ISNUMBER(L79),ISNUMBER(I79),I79&gt;1),'ROI Plan'!$B$5,"")</f>
        <v/>
      </c>
      <c r="N79" s="22" t="str">
        <f>IF(ISNUMBER(M79),M79*IF(K79="HALF_WON",(I79-1)/2-U79,IF(K79="HALF_LOST",-0.5-U79,IF(K79="REFUNDED",-U79,I79*L79-1-U79))),"")</f>
        <v/>
      </c>
      <c r="O79" s="21">
        <f>IF(AND(ISNUMBER(L79),ISNUMBER(H79)),(H79-L79)^2,"")</f>
      </c>
      <c r="P79" s="18" t="inlineStr">
        <is>
          <t>2026-W44</t>
        </is>
      </c>
      <c r="Q79" s="18" t="inlineStr">
        <is>
          <t>04e55dde9bbe885fb80dc3c1a84f550621a793c2</t>
        </is>
      </c>
      <c r="R79" s="18"/>
      <c r="S79" s="20">
        <f>IF(AND(ISNUMBER(L79),ISNUMBER(H79)),H79,"")</f>
      </c>
      <c r="T79" s="19">
        <f>IF(AND(ISNUMBER(L79),ISNUMBER(H79)),1,0)</f>
        <v>0</v>
      </c>
      <c r="U79" s="22">
        <v>0.0</v>
      </c>
      <c r="V79" t="inlineStr" s="18">
        <is>
          <t>2026-10-28T12:13:37.819395+00:00</t>
        </is>
      </c>
      <c r="W79" t="inlineStr" s="18">
        <is>
          <t>2026-10-28T12:13:49Z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Bundesliga|augsburg|freiburg|2026-10-31</t>
        </is>
      </c>
      <c r="B222" s="23">
        <v>46326.604166666664</v>
      </c>
      <c r="C222" s="18" t="inlineStr">
        <is>
          <t>Bundesliga</t>
        </is>
      </c>
      <c r="D222" s="18" t="inlineStr">
        <is>
          <t>Augsburg vs SC Freiburg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Bundesliga|bayer leverkusen|vfb stuttgart|2026-10-31</t>
        </is>
      </c>
      <c r="B223" s="23">
        <v>46326.604166666664</v>
      </c>
      <c r="C223" s="18" t="inlineStr">
        <is>
          <t>Bundesliga</t>
        </is>
      </c>
      <c r="D223" s="18" t="inlineStr">
        <is>
          <t>Bayer Leverkusen vs VfB Stuttgart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Bundesliga|m gladbach|paderborn|2026-10-31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Borussia Monchengladbach vs SC Paderborn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Bundesliga|schalke|rb leipzig|2026-10-31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FC Schalke 04 vs RB Leipzig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Bundesliga|werder bremen|tsg hoffenheim|2026-10-31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Werder Bremen vs TSG Hoffenheim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Premier League|bournemouth|leeds|2026-10-31</t>
        </is>
      </c>
      <c r="B227" s="23">
        <v>46326.625</v>
      </c>
      <c r="C227" s="18" t="inlineStr">
        <is>
          <t>Premier League</t>
        </is>
      </c>
      <c r="D227" s="18" t="inlineStr">
        <is>
          <t>Bournemouth vs Leeds United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Premier League|brentford|nott m forest|2026-10-31</t>
        </is>
      </c>
      <c r="B228" s="23">
        <v>46326.625</v>
      </c>
      <c r="C228" s="18" t="inlineStr">
        <is>
          <t>Premier League</t>
        </is>
      </c>
      <c r="D228" s="18" t="inlineStr">
        <is>
          <t>Brentford vs Nottingham Forest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League|coventry city|sunderland|2026-10-31</t>
        </is>
      </c>
      <c r="B229" s="23">
        <v>46326.625</v>
      </c>
      <c r="C229" s="18" t="inlineStr">
        <is>
          <t>Premier League</t>
        </is>
      </c>
      <c r="D229" s="18" t="inlineStr">
        <is>
          <t>Coventry City vs Sunderland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League|hull city|ipswich town|2026-10-31</t>
        </is>
      </c>
      <c r="B230" s="23">
        <v>46326.625</v>
      </c>
      <c r="C230" s="18" t="inlineStr">
        <is>
          <t>Premier League</t>
        </is>
      </c>
      <c r="D230" s="18" t="inlineStr">
        <is>
          <t>Hull City vs Ipswich Town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League|man city|brighton|2026-10-31</t>
        </is>
      </c>
      <c r="B231" s="23">
        <v>46326.625</v>
      </c>
      <c r="C231" s="18" t="inlineStr">
        <is>
          <t>Premier League</t>
        </is>
      </c>
      <c r="D231" s="18" t="inlineStr">
        <is>
          <t>Manchester City vs Brighton and Hove Albion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La Liga|rayo vallecano|celta vigo|2026-10-31</t>
        </is>
      </c>
      <c r="B232" s="23">
        <v>46326.635416666664</v>
      </c>
      <c r="C232" s="18" t="inlineStr">
        <is>
          <t>La Liga</t>
        </is>
      </c>
      <c r="D232" s="18" t="inlineStr">
        <is>
          <t>Rayo Vallecano vs Celta Vigo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Eredivisie|feyenoord|fortuna sittard|2026-10-31</t>
        </is>
      </c>
      <c r="B233" s="23">
        <v>46326.645833333336</v>
      </c>
      <c r="C233" s="18" t="inlineStr">
        <is>
          <t>Eredivisie</t>
        </is>
      </c>
      <c r="D233" s="18" t="inlineStr">
        <is>
          <t>Feyenoord Rotterdam vs Fortuna Sittard</t>
        </is>
      </c>
      <c r="E233" s="18" t="inlineStr">
        <is>
          <t>48h-zero-tolerance-ev05-no-loss75-corners-v26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04e55dde9bbe885fb80dc3c1a84f550621a793c2</t>
        </is>
      </c>
      <c r="P233" s="18"/>
      <c r="Q233" s="18"/>
      <c r="R233" s="18"/>
    </row>
    <row r="234" ht="36" customHeight="1">
      <c r="A234" s="18" t="inlineStr">
        <is>
          <t>Ligue 1|nice|rennes|2026-10-31</t>
        </is>
      </c>
      <c r="B234" s="23">
        <v>46326.677083333336</v>
      </c>
      <c r="C234" s="18" t="inlineStr">
        <is>
          <t>Ligue 1</t>
        </is>
      </c>
      <c r="D234" s="18" t="inlineStr">
        <is>
          <t>Nice vs Rennes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Bundesliga|bayern munich|borussia dortmund|2026-10-31</t>
        </is>
      </c>
      <c r="B235" s="23">
        <v>46326.729166666664</v>
      </c>
      <c r="C235" s="18" t="inlineStr">
        <is>
          <t>Bundesliga</t>
        </is>
      </c>
      <c r="D235" s="18" t="inlineStr">
        <is>
          <t>Bayern Munich vs Borussia Dortmund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La Liga|real betis|malaga|2026-10-31</t>
        </is>
      </c>
      <c r="B236" s="23">
        <v>46326.729166666664</v>
      </c>
      <c r="C236" s="18" t="inlineStr">
        <is>
          <t>La Liga</t>
        </is>
      </c>
      <c r="D236" s="18" t="inlineStr">
        <is>
          <t>Real Betis vs Málaga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Premier League|tottenham|crystal palace|2026-10-31</t>
        </is>
      </c>
      <c r="B237" s="23">
        <v>46326.729166666664</v>
      </c>
      <c r="C237" s="18" t="inlineStr">
        <is>
          <t>Premier League</t>
        </is>
      </c>
      <c r="D237" s="18" t="inlineStr">
        <is>
          <t>Tottenham Hotspur vs Crystal Palace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Eredivisie|heerenveen|nec|2026-10-31</t>
        </is>
      </c>
      <c r="B238" s="23">
        <v>46326.739583333336</v>
      </c>
      <c r="C238" s="18" t="inlineStr">
        <is>
          <t>Eredivisie</t>
        </is>
      </c>
      <c r="D238" s="18" t="inlineStr">
        <is>
          <t>SC Heerenveen vs NEC</t>
        </is>
      </c>
      <c r="E238" s="18" t="inlineStr">
        <is>
          <t>48h-zero-tolerance-ev05-no-loss75-corners-v26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04e55dde9bbe885fb80dc3c1a84f550621a793c2</t>
        </is>
      </c>
      <c r="P238" s="18"/>
      <c r="Q238" s="18"/>
      <c r="R238" s="18"/>
    </row>
    <row r="239" ht="36" customHeight="1">
      <c r="A239" s="18" t="inlineStr">
        <is>
          <t>Eredivisie|psv|willem ii tilburg|2026-10-31</t>
        </is>
      </c>
      <c r="B239" s="23">
        <v>46326.739583333336</v>
      </c>
      <c r="C239" s="18" t="inlineStr">
        <is>
          <t>Eredivisie</t>
        </is>
      </c>
      <c r="D239" s="18" t="inlineStr">
        <is>
          <t>PSV vs Willem II Tilburg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04e55dde9bbe885fb80dc3c1a84f550621a793c2</t>
        </is>
      </c>
      <c r="P239" s="18"/>
      <c r="Q239" s="18"/>
      <c r="R239" s="18"/>
    </row>
    <row r="240" ht="36" customHeight="1">
      <c r="A240" s="18" t="inlineStr">
        <is>
          <t>Ligue 1|lorient|brest|2026-10-31</t>
        </is>
      </c>
      <c r="B240" s="23">
        <v>46326.822916666664</v>
      </c>
      <c r="C240" s="18" t="inlineStr">
        <is>
          <t>Ligue 1</t>
        </is>
      </c>
      <c r="D240" s="18" t="inlineStr">
        <is>
          <t>Lorient vs Brest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Ligue 1|lyon|angers|2026-10-31</t>
        </is>
      </c>
      <c r="B241" s="23">
        <v>46326.822916666664</v>
      </c>
      <c r="C241" s="18" t="inlineStr">
        <is>
          <t>Ligue 1</t>
        </is>
      </c>
      <c r="D241" s="18" t="inlineStr">
        <is>
          <t>Lyon vs Angers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Ligue 1|troyes|le mans|2026-10-31</t>
        </is>
      </c>
      <c r="B242" s="23">
        <v>46326.822916666664</v>
      </c>
      <c r="C242" s="18" t="inlineStr">
        <is>
          <t>Ligue 1</t>
        </is>
      </c>
      <c r="D242" s="18" t="inlineStr">
        <is>
          <t>Troyes vs Le Mans FC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Eredivisie|ajax|az|2026-10-31</t>
        </is>
      </c>
      <c r="B243" s="23">
        <v>46326.833333333336</v>
      </c>
      <c r="C243" s="18" t="inlineStr">
        <is>
          <t>Eredivisie</t>
        </is>
      </c>
      <c r="D243" s="18" t="inlineStr">
        <is>
          <t>AFC Ajax vs AZ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04e55dde9bbe885fb80dc3c1a84f550621a793c2</t>
        </is>
      </c>
      <c r="P243" s="18"/>
      <c r="Q243" s="18"/>
      <c r="R243" s="18"/>
    </row>
    <row r="244" ht="36" customHeight="1">
      <c r="A244" s="18" t="inlineStr">
        <is>
          <t>Eredivisie|cambuur leeuwarden|go ahead eagles|2026-10-31</t>
        </is>
      </c>
      <c r="B244" s="23">
        <v>46326.833333333336</v>
      </c>
      <c r="C244" s="18" t="inlineStr">
        <is>
          <t>Eredivisie</t>
        </is>
      </c>
      <c r="D244" s="18" t="inlineStr">
        <is>
          <t>SC Cambuur-Leeuwarden vs Go Ahead Eagles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La Liga|barcelona|alaves|2026-10-31</t>
        </is>
      </c>
      <c r="B245" s="23">
        <v>46326.833333333336</v>
      </c>
      <c r="C245" s="18" t="inlineStr">
        <is>
          <t>La Liga</t>
        </is>
      </c>
      <c r="D245" s="18" t="inlineStr">
        <is>
          <t>Barcelona vs Alavés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0117b0e0fe09a0266deb28e532f2ad9e4f4da47a</t>
        </is>
      </c>
      <c r="P245" s="18"/>
      <c r="Q245" s="18"/>
      <c r="R245" s="18"/>
    </row>
    <row r="246" ht="36" customHeight="1">
      <c r="A246" s="18" t="inlineStr">
        <is>
          <t>Premier League|aston villa|fulham|2026-10-31</t>
        </is>
      </c>
      <c r="B246" s="23">
        <v>46326.833333333336</v>
      </c>
      <c r="C246" s="18" t="inlineStr">
        <is>
          <t>Premier League</t>
        </is>
      </c>
      <c r="D246" s="18" t="inlineStr">
        <is>
          <t>Aston Villa vs Fulham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0117b0e0fe09a0266deb28e532f2ad9e4f4da47a</t>
        </is>
      </c>
      <c r="P246" s="18"/>
      <c r="Q246" s="18"/>
      <c r="R246" s="18"/>
    </row>
    <row r="247" ht="36" customHeight="1">
      <c r="A247" s="18" t="inlineStr">
        <is>
          <t>La Liga|getafe|sevilla|2026-11-01</t>
        </is>
      </c>
      <c r="B247" s="23">
        <v>46327.541666666664</v>
      </c>
      <c r="C247" s="18" t="inlineStr">
        <is>
          <t>La Liga</t>
        </is>
      </c>
      <c r="D247" s="18" t="inlineStr">
        <is>
          <t>Getafe vs Sevilla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1|strasbourg|auxerre|2026-11-01</t>
        </is>
      </c>
      <c r="B248" s="23">
        <v>46327.583333333336</v>
      </c>
      <c r="C248" s="18" t="inlineStr">
        <is>
          <t>Ligue 1</t>
        </is>
      </c>
      <c r="D248" s="18" t="inlineStr">
        <is>
          <t>Strasbourg vs Auxerre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Bundesliga|union berlin|1 koln|2026-11-01</t>
        </is>
      </c>
      <c r="B249" s="23">
        <v>46327.604166666664</v>
      </c>
      <c r="C249" s="18" t="inlineStr">
        <is>
          <t>Bundesliga</t>
        </is>
      </c>
      <c r="D249" s="18" t="inlineStr">
        <is>
          <t>Union Berlin vs 1. FC Köln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La Liga|real racing santander|real madrid|2026-11-01</t>
        </is>
      </c>
      <c r="B250" s="23">
        <v>46327.635416666664</v>
      </c>
      <c r="C250" s="18" t="inlineStr">
        <is>
          <t>La Liga</t>
        </is>
      </c>
      <c r="D250" s="18" t="inlineStr">
        <is>
          <t>Real Racing Club de Santander vs Real Madrid</t>
        </is>
      </c>
      <c r="E250" s="18" t="inlineStr">
        <is>
          <t>48h-zero-tolerance-ev1-common-no-loss75-v22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10a7df008090a45923c14f3c84ec260b147ea047</t>
        </is>
      </c>
      <c r="P250" s="18"/>
      <c r="Q250" s="18"/>
      <c r="R250" s="18"/>
    </row>
    <row r="251" ht="36" customHeight="1">
      <c r="A251" s="18" t="inlineStr">
        <is>
          <t>Ligue 1|paris|as monaco|2026-11-01</t>
        </is>
      </c>
      <c r="B251" s="23">
        <v>46327.677083333336</v>
      </c>
      <c r="C251" s="18" t="inlineStr">
        <is>
          <t>Ligue 1</t>
        </is>
      </c>
      <c r="D251" s="18" t="inlineStr">
        <is>
          <t>Paris FC vs AS Monaco</t>
        </is>
      </c>
      <c r="E251" s="18" t="inlineStr">
        <is>
          <t>48h-zero-tolerance-ev1-common-no-loss75-v22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10a7df008090a45923c14f3c84ec260b147ea047</t>
        </is>
      </c>
      <c r="P251" s="18"/>
      <c r="Q251" s="18"/>
      <c r="R251" s="18"/>
    </row>
    <row r="252" ht="36" customHeight="1">
      <c r="A252" s="18" t="inlineStr">
        <is>
          <t>Bundesliga|eintracht frankfurt|hamburger|2026-11-01</t>
        </is>
      </c>
      <c r="B252" s="23">
        <v>46327.6875</v>
      </c>
      <c r="C252" s="18" t="inlineStr">
        <is>
          <t>Bundesliga</t>
        </is>
      </c>
      <c r="D252" s="18" t="inlineStr">
        <is>
          <t>Eintracht Frankfurt vs Hamburger SV</t>
        </is>
      </c>
      <c r="E252" s="18" t="inlineStr">
        <is>
          <t>48h-zero-tolerance-ev1-common-no-loss75-v22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10a7df008090a45923c14f3c84ec260b147ea047</t>
        </is>
      </c>
      <c r="P252" s="18"/>
      <c r="Q252" s="18"/>
      <c r="R252" s="18"/>
    </row>
    <row r="253" ht="36" customHeight="1">
      <c r="A253" s="18" t="inlineStr">
        <is>
          <t>Premier League|liverpool|arsenal|2026-11-01</t>
        </is>
      </c>
      <c r="B253" s="23">
        <v>46327.6875</v>
      </c>
      <c r="C253" s="18" t="inlineStr">
        <is>
          <t>Premier League</t>
        </is>
      </c>
      <c r="D253" s="18" t="inlineStr">
        <is>
          <t>Liverpool vs Arsenal</t>
        </is>
      </c>
      <c r="E253" s="18" t="inlineStr">
        <is>
          <t>48h-zero-tolerance-ev1-common-no-loss75-v22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10a7df008090a45923c14f3c84ec260b147ea047</t>
        </is>
      </c>
      <c r="P253" s="18"/>
      <c r="Q253" s="18"/>
      <c r="R253" s="18"/>
    </row>
    <row r="254" ht="36" customHeight="1">
      <c r="A254" s="18" t="inlineStr">
        <is>
          <t>La Liga|elche|valencia|2026-11-01</t>
        </is>
      </c>
      <c r="B254" s="23">
        <v>46327.729166666664</v>
      </c>
      <c r="C254" s="18" t="inlineStr">
        <is>
          <t>La Liga</t>
        </is>
      </c>
      <c r="D254" s="18" t="inlineStr">
        <is>
          <t>Elche CF vs Valencia</t>
        </is>
      </c>
      <c r="E254" s="18" t="inlineStr">
        <is>
          <t>48h-zero-tolerance-ev1-common-no-loss75-v22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10a7df008090a45923c14f3c84ec260b147ea047</t>
        </is>
      </c>
      <c r="P254" s="18"/>
      <c r="Q254" s="18"/>
      <c r="R254" s="18"/>
    </row>
    <row r="255" ht="36" customHeight="1">
      <c r="A255" s="18" t="inlineStr">
        <is>
          <t>Ligue 1|marseille|toulouse|2026-11-01</t>
        </is>
      </c>
      <c r="B255" s="23">
        <v>46327.822916666664</v>
      </c>
      <c r="C255" s="18" t="inlineStr">
        <is>
          <t>Ligue 1</t>
        </is>
      </c>
      <c r="D255" s="18" t="inlineStr">
        <is>
          <t>Marseille vs Toulouse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10a7df008090a45923c14f3c84ec260b147ea047</t>
        </is>
      </c>
      <c r="P255" s="18"/>
      <c r="Q255" s="18"/>
      <c r="R255" s="18"/>
    </row>
    <row r="256" ht="36" customHeight="1">
      <c r="A256" s="18" t="inlineStr">
        <is>
          <t>La Liga|ath bilbao|real sociedad|2026-11-01</t>
        </is>
      </c>
      <c r="B256" s="23">
        <v>46327.833333333336</v>
      </c>
      <c r="C256" s="18" t="inlineStr">
        <is>
          <t>La Liga</t>
        </is>
      </c>
      <c r="D256" s="18" t="inlineStr">
        <is>
          <t>Athletic Bilbao vs Real Sociedad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10a7df008090a45923c14f3c84ec260b147ea047</t>
        </is>
      </c>
      <c r="P256" s="18"/>
      <c r="Q256" s="18"/>
      <c r="R25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0.9770114942528736</v>
      </c>
      <c r="H10" s="18" t="inlineStr">
        <is>
          <t>Approval review</t>
        </is>
      </c>
      <c r="I10" s="18" t="inlineStr">
        <is>
          <t>215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0.13793103448275862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0.9770114942528736</v>
      </c>
      <c r="H12" s="18" t="inlineStr">
        <is>
          <t>Approval review</t>
        </is>
      </c>
      <c r="I12" s="18" t="inlineStr">
        <is>
          <t>215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0.9540229885057471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1.0</v>
      </c>
      <c r="C9" s="19">
        <f>COUNTIFS(Selections!$P$6:$P$79,A9,Selections!$M$6:$M$79,"&gt;0")</f>
        <v>1.0</v>
      </c>
      <c r="D9" s="22">
        <f>IF(C9=0,"n.a.",Breakdowns!J49)</f>
        <v>0.0</v>
      </c>
      <c r="E9" s="22">
        <f>IF(SUM($C$6:C9)=0,"n.a.",SUM($D$6:D9))</f>
        <v>3.8799999999999986</v>
      </c>
      <c r="F9" s="20">
        <f>Breakdowns!H49</f>
        <v>0.0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61</v>
      </c>
      <c r="C8" s="19">
        <v>46</v>
      </c>
      <c r="D8" s="19">
        <v>14</v>
      </c>
      <c r="E8" s="19">
        <v>13</v>
      </c>
      <c r="F8" s="20">
        <v>0.754098</v>
      </c>
      <c r="G8" s="20">
        <v>0.063607</v>
      </c>
      <c r="H8" s="19">
        <v>3.88</v>
      </c>
      <c r="I8" s="19">
        <v>46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0</v>
      </c>
      <c r="E57" s="19">
        <v>0</v>
      </c>
      <c r="F57" s="20"/>
      <c r="G57" s="20"/>
      <c r="H57" s="18"/>
      <c r="I57" s="19">
        <v>1</v>
      </c>
    </row>
    <row r="60">
      <c r="A60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2026-10-28T14:15:28.025096+00:00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2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2026-10-27</t>
        </is>
      </c>
      <c r="C15" s="19">
        <v>1983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2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7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6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51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151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82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107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131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36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39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73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47</v>
      </c>
      <c r="C39" s="19">
        <v>26</v>
      </c>
      <c r="D39" s="19">
        <v>1</v>
      </c>
      <c r="E39" s="20">
        <v>-0.030666655948099794</v>
      </c>
      <c r="F39" s="20">
        <v>0.029113893915454298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1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1</v>
      </c>
    </row>
    <row r="51" ht="44" customHeight="1">
      <c r="A51" s="18" t="inlineStr">
        <is>
          <t>Bookmakers: Pinnacle</t>
        </is>
      </c>
      <c r="B51" s="19">
        <v>1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1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42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42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38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14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35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35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56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56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14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14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8">
      <c r="A118" s="26" t="inlineStr">
        <is>
          <t>Dependency versions</t>
        </is>
      </c>
    </row>
    <row r="119" ht="34" customHeight="1">
      <c r="A119" s="24" t="inlineStr">
        <is>
          <t>Dependency</t>
        </is>
      </c>
      <c r="B119" s="24" t="inlineStr">
        <is>
          <t>Version</t>
        </is>
      </c>
    </row>
    <row r="120" ht="44" customHeight="1">
      <c r="A120" s="18" t="inlineStr">
        <is>
          <t>python</t>
        </is>
      </c>
      <c r="B120" s="18" t="inlineStr">
        <is>
          <t>3.12.15</t>
        </is>
      </c>
    </row>
    <row r="121" ht="44" customHeight="1">
      <c r="A121" s="18" t="inlineStr">
        <is>
          <t>numpy</t>
        </is>
      </c>
      <c r="B121" s="18" t="inlineStr">
        <is>
          <t>2.5.4</t>
        </is>
      </c>
    </row>
    <row r="122" ht="44" customHeight="1">
      <c r="A122" s="18" t="inlineStr">
        <is>
          <t>pandas</t>
        </is>
      </c>
      <c r="B122" s="18" t="inlineStr">
        <is>
          <t>3.1.0</t>
        </is>
      </c>
    </row>
    <row r="123" ht="44" customHeight="1">
      <c r="A123" s="18" t="inlineStr">
        <is>
          <t>scipy</t>
        </is>
      </c>
      <c r="B123" s="18" t="inlineStr">
        <is>
          <t>1.18.1</t>
        </is>
      </c>
    </row>
    <row r="124" ht="44" customHeight="1">
      <c r="A124" s="18" t="inlineStr">
        <is>
          <t>requests</t>
        </is>
      </c>
      <c r="B124" s="18" t="inlineStr">
        <is>
          <t>2.34.2</t>
        </is>
      </c>
    </row>
    <row r="125" ht="44" customHeight="1">
      <c r="A125" s="18" t="inlineStr">
        <is>
          <t>rapidfuzz</t>
        </is>
      </c>
      <c r="B125" s="18" t="inlineStr">
        <is>
          <t>3.14.6</t>
        </is>
      </c>
    </row>
    <row r="126" ht="44" customHeight="1">
      <c r="A126" s="18" t="inlineStr">
        <is>
          <t>python-dotenv</t>
        </is>
      </c>
      <c r="B126" s="18" t="inlineStr">
        <is>
          <t>1.2.4</t>
        </is>
      </c>
    </row>
    <row r="127" ht="44" customHeight="1">
      <c r="A127" s="18" t="inlineStr">
        <is>
          <t>coverage</t>
        </is>
      </c>
      <c r="B127" s="18" t="inlineStr">
        <is>
          <t>7.17.0</t>
        </is>
      </c>
    </row>
    <row r="128" ht="44" customHeight="1">
      <c r="A128" s="18" t="inlineStr">
        <is>
          <t>PyYAML</t>
        </is>
      </c>
      <c r="B128" s="18" t="inlineStr">
        <is>
          <t>6.0.3</t>
        </is>
      </c>
    </row>
    <row r="131">
      <c r="A131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18:F11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</sheetData>
  <autoFilter ref="A5:H6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2026-10-28T14:15:28.025096+00:00; 1423 candidates on 136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1423</v>
      </c>
      <c r="D9" s="19">
        <v>136</v>
      </c>
      <c r="E9" s="20">
        <v>-0.03255403577692877</v>
      </c>
      <c r="F9" s="20">
        <v>0.27898805340829236</v>
      </c>
      <c r="G9" s="22">
        <v>-11.904459359835858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857</v>
      </c>
      <c r="D11" s="19">
        <v>130</v>
      </c>
      <c r="E11" s="20">
        <v>0.007629260563868786</v>
      </c>
      <c r="F11" s="20">
        <v>0.5262543757292882</v>
      </c>
      <c r="G11" s="22">
        <v>2.9455452109620124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136</v>
      </c>
      <c r="D15" s="18"/>
      <c r="E15" s="21">
        <v>-0.09566069162638342</v>
      </c>
      <c r="F15" s="20">
        <v>0.6102941176470589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328</v>
      </c>
      <c r="D20" s="19">
        <v>18</v>
      </c>
      <c r="E20" s="20">
        <v>-0.03938739634815749</v>
      </c>
      <c r="F20" s="20">
        <v>0.25609756097560976</v>
      </c>
      <c r="G20" s="22">
        <v>-18.08696512755699</v>
      </c>
      <c r="H20" s="20">
        <v>0.00040504496400254724</v>
      </c>
      <c r="I20" s="19">
        <v>328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246</v>
      </c>
      <c r="D21" s="19">
        <v>102</v>
      </c>
      <c r="E21" s="20">
        <v>-0.02259718434546991</v>
      </c>
      <c r="F21" s="20">
        <v>0.4105691056910569</v>
      </c>
      <c r="G21" s="22">
        <v>-5.863391037354201</v>
      </c>
      <c r="H21" s="20">
        <v>0.029647209394258814</v>
      </c>
      <c r="I21" s="19">
        <v>184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224</v>
      </c>
      <c r="D22" s="19">
        <v>93</v>
      </c>
      <c r="E22" s="20">
        <v>-0.03954523517568332</v>
      </c>
      <c r="F22" s="20">
        <v>0.28125</v>
      </c>
      <c r="G22" s="22">
        <v>-8.754140014942328</v>
      </c>
      <c r="H22" s="20">
        <v>0.0005136865782930036</v>
      </c>
      <c r="I22" s="19">
        <v>224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214</v>
      </c>
      <c r="D23" s="19">
        <v>82</v>
      </c>
      <c r="E23" s="20">
        <v>-0.030521436745133145</v>
      </c>
      <c r="F23" s="20">
        <v>0.1308411214953271</v>
      </c>
      <c r="G23" s="22">
        <v>-13.377902772715554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82</v>
      </c>
      <c r="D25" s="19">
        <v>17</v>
      </c>
      <c r="E25" s="20">
        <v>-0.05628574959703182</v>
      </c>
      <c r="F25" s="20">
        <v>0.2682926829268293</v>
      </c>
      <c r="G25" s="22">
        <v>-7.098251283479871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709</v>
      </c>
      <c r="D48" s="19">
        <v>104</v>
      </c>
      <c r="E48" s="20">
        <v>-0.03660433598426338</v>
      </c>
      <c r="F48" s="20">
        <v>0.23695345557122707</v>
      </c>
      <c r="G48" s="22">
        <v>-15.731553725252917</v>
      </c>
      <c r="H48" s="20">
        <v>0.006383617369563249</v>
      </c>
      <c r="I48" s="19">
        <v>458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354</v>
      </c>
      <c r="D49" s="19">
        <v>41</v>
      </c>
      <c r="E49" s="20">
        <v>-0.03449967761608733</v>
      </c>
      <c r="F49" s="20">
        <v>0.24858757062146894</v>
      </c>
      <c r="G49" s="22">
        <v>-9.338060496116443</v>
      </c>
      <c r="H49" s="20">
        <v>0.006375166040511836</v>
      </c>
      <c r="I49" s="19">
        <v>235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296</v>
      </c>
      <c r="D50" s="19">
        <v>84</v>
      </c>
      <c r="E50" s="20">
        <v>-0.019589737700509514</v>
      </c>
      <c r="F50" s="20">
        <v>0.4189189189189189</v>
      </c>
      <c r="G50" s="22">
        <v>-2.3651546677680675</v>
      </c>
      <c r="H50" s="20">
        <v>0.0212902605290496</v>
      </c>
      <c r="I50" s="19">
        <v>144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1359</v>
      </c>
      <c r="D56" s="19">
        <v>136</v>
      </c>
      <c r="E56" s="20">
        <v>-0.0327642956188098</v>
      </c>
      <c r="F56" s="20">
        <v>0.28108903605592345</v>
      </c>
      <c r="G56" s="22">
        <v>-11.40766174465681</v>
      </c>
      <c r="H56" s="20">
        <v>0.007833061846146731</v>
      </c>
      <c r="I56" s="19">
        <v>806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240</v>
      </c>
      <c r="D63" s="19">
        <v>20</v>
      </c>
      <c r="E63" s="20">
        <v>-0.02679691605547903</v>
      </c>
      <c r="F63" s="20">
        <v>0.3125</v>
      </c>
      <c r="G63" s="22">
        <v>-3.427849051091672</v>
      </c>
      <c r="H63" s="20">
        <v>0.010735885243956054</v>
      </c>
      <c r="I63" s="19">
        <v>159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-6.282940875927583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-0.03330555571298487</v>
      </c>
      <c r="F66" s="20">
        <v>0.22167487684729065</v>
      </c>
      <c r="G66" s="22">
        <v>-4.176009689355321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