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1">
                  <c:v>0.5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</c:v>
                </c:pt>
                <c:pt idx="2">
                  <c:v>-2</c:v>
                </c:pt>
                <c:pt idx="3">
                  <c:v>-1.72</c:v>
                </c:pt>
                <c:pt idx="4">
                  <c:v>-1.48</c:v>
                </c:pt>
                <c:pt idx="5">
                  <c:v>-1.48</c:v>
                </c:pt>
                <c:pt idx="6">
                  <c:v>-1.48</c:v>
                </c:pt>
                <c:pt idx="7">
                  <c:v>-1.48</c:v>
                </c:pt>
                <c:pt idx="8">
                  <c:v>-1.48</c:v>
                </c:pt>
                <c:pt idx="9">
                  <c:v>-1.48</c:v>
                </c:pt>
                <c:pt idx="10">
                  <c:v>-1.48</c:v>
                </c:pt>
                <c:pt idx="11">
                  <c:v>-1.48</c:v>
                </c:pt>
                <c:pt idx="12">
                  <c:v>-1.48</c:v>
                </c:pt>
                <c:pt idx="13">
                  <c:v>-1.48</c:v>
                </c:pt>
                <c:pt idx="14">
                  <c:v>-1.48</c:v>
                </c:pt>
                <c:pt idx="15">
                  <c:v>-1.48</c:v>
                </c:pt>
                <c:pt idx="16">
                  <c:v>-1.48</c:v>
                </c:pt>
                <c:pt idx="17">
                  <c:v>-1.48</c:v>
                </c:pt>
                <c:pt idx="18">
                  <c:v>-1.48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3">
                  <c:v>0.7757732927381257</c:v>
                </c:pt>
                <c:pt idx="4">
                  <c:v>0.8665238455861087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3">
                  <c:v>0.5</c:v>
                </c:pt>
                <c:pt idx="4">
                  <c:v>0.5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0</v>
      </c>
      <c r="F7" s="13" t="str">
        <f>Breakdowns!H7</f>
        <v>n.a.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4</v>
      </c>
      <c r="C8" s="1"/>
      <c r="D8" s="1" t="str">
        <v>PROVISIONAL</v>
      </c>
      <c r="E8" s="12">
        <f>Breakdowns!D8</f>
        <v>4</v>
      </c>
      <c r="F8" s="13">
        <f>Breakdowns!H8</f>
        <v>0.5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2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2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15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-0.37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-1.48</v>
      </c>
      <c r="C14" s="1"/>
      <c r="D14" s="1" t="inlineStr">
        <is>
          <t>4 settled; 15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0.32911599206243786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0.6428571428571429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0.531392365</v>
      </c>
      <c r="C17" s="1"/>
      <c r="D17" s="1" t="inlineStr">
        <is>
          <t>Over 1.5</t>
        </is>
      </c>
      <c r="E17" s="1">
        <f>COUNT(Predictions!J6:J93)</f>
        <v>14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0.15003570882017148</v>
      </c>
      <c r="C18" s="1"/>
      <c r="D18" s="1" t="inlineStr">
        <is>
          <t>Under 3.5</t>
        </is>
      </c>
      <c r="E18" s="1">
        <f>COUNT(Predictions!K6:K93)</f>
        <v>14</v>
      </c>
      <c r="F18" s="9">
        <f>IF(E18=0,"n.a.",AVERAGE(Predictions!K6:K93))</f>
        <v>0.6428571428571429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0.8499642911798285</v>
      </c>
      <c r="C19" s="1"/>
      <c r="D19" s="1" t="inlineStr">
        <is>
          <t>BTTS Yes</t>
        </is>
      </c>
      <c r="E19" s="1">
        <f>COUNT(Predictions!L6:L93)</f>
        <v>14</v>
      </c>
      <c r="F19" s="9">
        <f>IF(E19=0,"n.a.",AVERAGE(Predictions!L6:L93))</f>
        <v>0.5714285714285714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14</v>
      </c>
      <c r="F20" s="9">
        <f>IF(E20=0,"n.a.",AVERAGE(Predictions!M6:M93))</f>
        <v>0.5714285714285714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2 wins from 4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2026-10-12T16:51:44Z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</v>
      </c>
      <c r="F11" s="10">
        <f>SUM($E$10:E11)</f>
        <v>-1</v>
      </c>
      <c r="G11" s="10">
        <f>$B$4+F11</f>
        <v>99</v>
      </c>
      <c r="H11" s="10">
        <f>MAX($B$4,$G$10:G11)</f>
        <v>100</v>
      </c>
      <c r="I11" s="10">
        <f>H11-G11</f>
        <v>1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</v>
      </c>
      <c r="F12" s="10">
        <f>SUM($E$10:E12)</f>
        <v>-2</v>
      </c>
      <c r="G12" s="10">
        <f>$B$4+F12</f>
        <v>98</v>
      </c>
      <c r="H12" s="10">
        <f>MAX($B$4,$G$10:G12)</f>
        <v>100</v>
      </c>
      <c r="I12" s="10">
        <f>H12-G12</f>
        <v>2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PENDING_KICKOFF_OR_FINAL_SCORE</t>
        </is>
      </c>
      <c r="D15" s="10" t="str">
        <f>IF(ISNUMBER(Selections!M11),Selections!M11,"")</f>
        <v/>
      </c>
      <c r="E15" s="10" t="str">
        <f>IF(ISNUMBER(Selections!N11),Selections!N11,"")</f>
        <v/>
      </c>
      <c r="F15" s="10">
        <f>SUM($E$10:E15)</f>
        <v>-1.48</v>
      </c>
      <c r="G15" s="10">
        <f>$B$4+F15</f>
        <v>98.52</v>
      </c>
      <c r="H15" s="10">
        <f>MAX($B$4,$G$10:G15)</f>
        <v>100</v>
      </c>
      <c r="I15" s="10">
        <f>H15-G15</f>
        <v>1.480000000000004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PENDING_KICKOFF_OR_FINAL_SCORE</t>
        </is>
      </c>
      <c r="D16" s="10" t="str">
        <f>IF(ISNUMBER(Selections!M12),Selections!M12,"")</f>
        <v/>
      </c>
      <c r="E16" s="10" t="str">
        <f>IF(ISNUMBER(Selections!N12),Selections!N12,"")</f>
        <v/>
      </c>
      <c r="F16" s="10">
        <f>SUM($E$10:E16)</f>
        <v>-1.48</v>
      </c>
      <c r="G16" s="10">
        <f>$B$4+F16</f>
        <v>98.52</v>
      </c>
      <c r="H16" s="10">
        <f>MAX($B$4,$G$10:G16)</f>
        <v>100</v>
      </c>
      <c r="I16" s="10">
        <f>H16-G16</f>
        <v>1.480000000000004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PENDING_KICKOFF_OR_FINAL_SCORE</t>
        </is>
      </c>
      <c r="D17" s="10" t="str">
        <f>IF(ISNUMBER(Selections!M13),Selections!M13,"")</f>
        <v/>
      </c>
      <c r="E17" s="10" t="str">
        <f>IF(ISNUMBER(Selections!N13),Selections!N13,"")</f>
        <v/>
      </c>
      <c r="F17" s="10">
        <f>SUM($E$10:E17)</f>
        <v>-1.48</v>
      </c>
      <c r="G17" s="10">
        <f>$B$4+F17</f>
        <v>98.52</v>
      </c>
      <c r="H17" s="10">
        <f>MAX($B$4,$G$10:G17)</f>
        <v>100</v>
      </c>
      <c r="I17" s="10">
        <f>H17-G17</f>
        <v>1.480000000000004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-1.48</v>
      </c>
      <c r="G18" s="10">
        <f>$B$4+F18</f>
        <v>98.52</v>
      </c>
      <c r="H18" s="10">
        <f>MAX($B$4,$G$10:G18)</f>
        <v>100</v>
      </c>
      <c r="I18" s="10">
        <f>H18-G18</f>
        <v>1.480000000000004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-1.48</v>
      </c>
      <c r="G19" s="10">
        <f>$B$4+F19</f>
        <v>98.52</v>
      </c>
      <c r="H19" s="10">
        <f>MAX($B$4,$G$10:G19)</f>
        <v>100</v>
      </c>
      <c r="I19" s="10">
        <f>H19-G19</f>
        <v>1.480000000000004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-1.48</v>
      </c>
      <c r="G20" s="10">
        <f>$B$4+F20</f>
        <v>98.52</v>
      </c>
      <c r="H20" s="10">
        <f>MAX($B$4,$G$10:G20)</f>
        <v>100</v>
      </c>
      <c r="I20" s="10">
        <f>H20-G20</f>
        <v>1.480000000000004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-1.48</v>
      </c>
      <c r="G21" s="10">
        <f>$B$4+F21</f>
        <v>98.52</v>
      </c>
      <c r="H21" s="10">
        <f>MAX($B$4,$G$10:G21)</f>
        <v>100</v>
      </c>
      <c r="I21" s="10">
        <f>H21-G21</f>
        <v>1.480000000000004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-1.48</v>
      </c>
      <c r="G22" s="10">
        <f>$B$4+F22</f>
        <v>98.52</v>
      </c>
      <c r="H22" s="10">
        <f>MAX($B$4,$G$10:G22)</f>
        <v>100</v>
      </c>
      <c r="I22" s="10">
        <f>H22-G22</f>
        <v>1.480000000000004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-1.48</v>
      </c>
      <c r="G23" s="10">
        <f>$B$4+F23</f>
        <v>98.52</v>
      </c>
      <c r="H23" s="10">
        <f>MAX($B$4,$G$10:G23)</f>
        <v>100</v>
      </c>
      <c r="I23" s="10">
        <f>H23-G23</f>
        <v>1.480000000000004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-1.48</v>
      </c>
      <c r="G24" s="10">
        <f>$B$4+F24</f>
        <v>98.52</v>
      </c>
      <c r="H24" s="10">
        <f>MAX($B$4,$G$10:G24)</f>
        <v>100</v>
      </c>
      <c r="I24" s="10">
        <f>H24-G24</f>
        <v>1.480000000000004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-1.48</v>
      </c>
      <c r="G25" s="10">
        <f>$B$4+F25</f>
        <v>98.52</v>
      </c>
      <c r="H25" s="10">
        <f>MAX($B$4,$G$10:G25)</f>
        <v>100</v>
      </c>
      <c r="I25" s="10">
        <f>H25-G25</f>
        <v>1.480000000000004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-1.48</v>
      </c>
      <c r="G26" s="10">
        <f>$B$4+F26</f>
        <v>98.52</v>
      </c>
      <c r="H26" s="10">
        <f>MAX($B$4,$G$10:G26)</f>
        <v>100</v>
      </c>
      <c r="I26" s="10">
        <f>H26-G26</f>
        <v>1.480000000000004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-1.48</v>
      </c>
      <c r="G27" s="10">
        <f>$B$4+F27</f>
        <v>98.52</v>
      </c>
      <c r="H27" s="10">
        <f>MAX($B$4,$G$10:G27)</f>
        <v>100</v>
      </c>
      <c r="I27" s="10">
        <f>H27-G27</f>
        <v>1.480000000000004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-1.48</v>
      </c>
      <c r="G28" s="10">
        <f>$B$4+F28</f>
        <v>98.52</v>
      </c>
      <c r="H28" s="10">
        <f>MAX($B$4,$G$10:G28)</f>
        <v>100</v>
      </c>
      <c r="I28" s="10">
        <f>H28-G28</f>
        <v>1.480000000000004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4</v>
      </c>
      <c r="E6" s="12">
        <f>COUNTIFS(Selections!$K$6:$K$24,"WON")</f>
        <v>2</v>
      </c>
      <c r="F6" s="12">
        <f>COUNTIFS(Selections!$K$6:$K$24,"LOST")</f>
        <v>2</v>
      </c>
      <c r="G6" s="12">
        <f>COUNTA(Selections!$A$6:$A$24)-(COUNTIFS(Selections!$K$6:$K$24,"WON")+COUNTIFS(Selections!$K$6:$K$24,"LOST"))</f>
        <v>15</v>
      </c>
      <c r="H6" s="13">
        <f>IF((COUNTIFS(Selections!$K$6:$K$24,"WON")+COUNTIFS(Selections!$K$6:$K$24,"LOST"))=0,"n.a.",COUNTIFS(Selections!$K$6:$K$24,"WON")/(COUNTIFS(Selections!$K$6:$K$24,"WON")+COUNTIFS(Selections!$K$6:$K$24,"LOST")))</f>
        <v>0.5</v>
      </c>
      <c r="I6" s="15">
        <f>SUM(Selections!$M$6:$M$24)</f>
        <v>4</v>
      </c>
      <c r="J6" s="15">
        <f>SUM(Selections!$N$6:$N$24)</f>
        <v>-1.48</v>
      </c>
      <c r="K6" s="13">
        <f>IF(SUM(Selections!$M$6:$M$24)=0,"n.a.",SUM(Selections!$N$6:$N$24)/SUM(Selections!$M$6:$M$24))</f>
        <v>-0.37</v>
      </c>
      <c r="L6" s="14">
        <f>IF(SUM(Selections!$T$6:$T$24)=0,"n.a.",SUM(Selections!$O$6:$O$24)/SUM(Selections!$T$6:$T$24))</f>
        <v>0.32911599206243786</v>
      </c>
      <c r="M6" s="13">
        <f>IF(SUM(Selections!$T$6:$T$24)=0,"n.a.",SUM(Selections!$S$6:$S$24)/SUM(Selections!$T$6:$T$24))</f>
        <v>0.8211485691621172</v>
      </c>
      <c r="N6" s="13">
        <f>IF(SUM(Selections!$T$6:$T$24)=0,"n.a.",(SUMIFS(Selections!$L$6:$L$24,Selections!$T$6:$T$24,1))/SUM(Selections!$T$6:$T$24))</f>
        <v>0.5</v>
      </c>
      <c r="O6" s="13">
        <f>IF(SUM(Selections!$T$6:$T$24)=0,"n.a.",(SUM(Selections!$S$6:$S$24)-(SUMIFS(Selections!$L$6:$L$24,Selections!$T$6:$T$24,1)))/SUM(Selections!$T$6:$T$24))</f>
        <v>0.3211485691621172</v>
      </c>
      <c r="P6" s="12">
        <f>SUM(Selections!$T$6:$T$24)</f>
        <v>4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(n=4).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0</v>
      </c>
      <c r="E7" s="12">
        <f>COUNTIFS(Selections!$F$6:$F$24,"STRICT",Selections!$K$6:$K$24,"WON")</f>
        <v>0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9</v>
      </c>
      <c r="H7" s="13" t="str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n.a.</v>
      </c>
      <c r="I7" s="15">
        <f>SUMIFS(Selections!$M$6:$M$24,Selections!$F$6:$F$24,"STRICT")</f>
        <v>0</v>
      </c>
      <c r="J7" s="15">
        <f>SUMIFS(Selections!$N$6:$N$24,Selections!$F$6:$F$24,"STRICT")</f>
        <v>0</v>
      </c>
      <c r="K7" s="13" t="str">
        <f>IF(SUMIFS(Selections!$M$6:$M$24,Selections!$F$6:$F$24,"STRICT")=0,"n.a.",SUMIFS(Selections!$N$6:$N$24,Selections!$F$6:$F$24,"STRICT")/SUMIFS(Selections!$M$6:$M$24,Selections!$F$6:$F$24,"STRICT"))</f>
        <v>n.a.</v>
      </c>
      <c r="L7" s="14" t="str">
        <f>IF(SUMIFS(Selections!$T$6:$T$24,Selections!$F$6:$F$24,"STRICT")=0,"n.a.",SUMIFS(Selections!$O$6:$O$24,Selections!$F$6:$F$24,"STRICT")/SUMIFS(Selections!$T$6:$T$24,Selections!$F$6:$F$24,"STRICT"))</f>
        <v>n.a.</v>
      </c>
      <c r="M7" s="13" t="str">
        <f>IF(SUMIFS(Selections!$T$6:$T$24,Selections!$F$6:$F$24,"STRICT")=0,"n.a.",SUMIFS(Selections!$S$6:$S$24,Selections!$F$6:$F$24,"STRICT")/SUMIFS(Selections!$T$6:$T$24,Selections!$F$6:$F$24,"STRICT"))</f>
        <v>n.a.</v>
      </c>
      <c r="N7" s="13" t="str">
        <f>IF(SUMIFS(Selections!$T$6:$T$24,Selections!$F$6:$F$24,"STRICT")=0,"n.a.",(SUMIFS(Selections!$L$6:$L$24,Selections!$F$6:$F$24,"STRICT",Selections!$T$6:$T$24,1))/SUMIFS(Selections!$T$6:$T$24,Selections!$F$6:$F$24,"STRICT"))</f>
        <v>n.a.</v>
      </c>
      <c r="O7" s="13" t="str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n.a.</v>
      </c>
      <c r="P7" s="12">
        <f>SUMIFS(Selections!$T$6:$T$24,Selections!$F$6:$F$24,"STRICT")</f>
        <v>0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(n=0).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4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2</v>
      </c>
      <c r="G8" s="12">
        <f>COUNTIFS(Selections!$F$6:$F$24,"PROVISIONAL")-(COUNTIFS(Selections!$F$6:$F$24,"PROVISIONAL",Selections!$K$6:$K$24,"WON")+COUNTIFS(Selections!$F$6:$F$24,"PROVISIONAL",Selections!$K$6:$K$24,"LOST"))</f>
        <v>6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0.5</v>
      </c>
      <c r="I8" s="15">
        <f>SUMIFS(Selections!$M$6:$M$24,Selections!$F$6:$F$24,"PROVISIONAL")</f>
        <v>4</v>
      </c>
      <c r="J8" s="15">
        <f>SUMIFS(Selections!$N$6:$N$24,Selections!$F$6:$F$24,"PROVISIONAL")</f>
        <v>-1.48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-0.37</v>
      </c>
      <c r="L8" s="14">
        <f>IF(SUMIFS(Selections!$T$6:$T$24,Selections!$F$6:$F$24,"PROVISIONAL")=0,"n.a.",SUMIFS(Selections!$O$6:$O$24,Selections!$F$6:$F$24,"PROVISIONAL")/SUMIFS(Selections!$T$6:$T$24,Selections!$F$6:$F$24,"PROVISIONAL"))</f>
        <v>0.32911599206243786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0.8211485691621172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0.5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0.3211485691621172</v>
      </c>
      <c r="P8" s="12">
        <f>SUMIFS(Selections!$T$6:$T$24,Selections!$F$6:$F$24,"PROVISIONAL")</f>
        <v>4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(n=4).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1</v>
      </c>
      <c r="E9" s="12">
        <f>COUNTIFS(Selections!$C$6:$C$24,"La Liga",Selections!$K$6:$K$24,"WON")</f>
        <v>1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5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1</v>
      </c>
      <c r="J9" s="15">
        <f>SUMIFS(Selections!$N$6:$N$24,Selections!$C$6:$C$24,"La Liga")</f>
        <v>0.24</v>
      </c>
      <c r="K9" s="13">
        <f>IF(SUMIFS(Selections!$M$6:$M$24,Selections!$C$6:$C$24,"La Liga")=0,"n.a.",SUMIFS(Selections!$N$6:$N$24,Selections!$C$6:$C$24,"La Liga")/SUMIFS(Selections!$M$6:$M$24,Selections!$C$6:$C$24,"La Liga"))</f>
        <v>0.24</v>
      </c>
      <c r="L9" s="14">
        <f>IF(SUMIFS(Selections!$T$6:$T$24,Selections!$C$6:$C$24,"La Liga")=0,"n.a.",SUMIFS(Selections!$O$6:$O$24,Selections!$C$6:$C$24,"La Liga")/SUMIFS(Selections!$T$6:$T$24,Selections!$C$6:$C$24,"La Liga"))</f>
        <v>0.010090581593580863</v>
      </c>
      <c r="M9" s="13">
        <f>IF(SUMIFS(Selections!$T$6:$T$24,Selections!$C$6:$C$24,"La Liga")=0,"n.a.",SUMIFS(Selections!$S$6:$S$24,Selections!$C$6:$C$24,"La Liga")/SUMIFS(Selections!$T$6:$T$24,Selections!$C$6:$C$24,"La Liga"))</f>
        <v>0.8995481130412133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-0.1004518869587867</v>
      </c>
      <c r="P9" s="12">
        <f>SUMIFS(Selections!$T$6:$T$24,Selections!$C$6:$C$24,"La Liga")</f>
        <v>1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2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2</v>
      </c>
      <c r="G10" s="12">
        <f>COUNTIFS(Selections!$C$6:$C$24,"Premier League")-(COUNTIFS(Selections!$C$6:$C$24,"Premier League",Selections!$K$6:$K$24,"WON")+COUNTIFS(Selections!$C$6:$C$24,"Premier League",Selections!$K$6:$K$24,"LOST"))</f>
        <v>4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2</v>
      </c>
      <c r="J10" s="15">
        <f>SUMIFS(Selections!$N$6:$N$24,Selections!$C$6:$C$24,"Premier League")</f>
        <v>-2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0.6324652551916841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0.794310699263713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0.794310699263713</v>
      </c>
      <c r="P10" s="12">
        <f>SUMIFS(Selections!$T$6:$T$24,Selections!$C$6:$C$24,"Premier League")</f>
        <v>2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1</v>
      </c>
      <c r="E11" s="12">
        <f>COUNTIFS(Selections!$C$6:$C$24,"Serie A",Selections!$K$6:$K$24,"WON")</f>
        <v>1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1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1</v>
      </c>
      <c r="J11" s="15">
        <f>SUMIFS(Selections!$N$6:$N$24,Selections!$C$6:$C$24,"Serie A")</f>
        <v>0.28</v>
      </c>
      <c r="K11" s="13">
        <f>IF(SUMIFS(Selections!$M$6:$M$24,Selections!$C$6:$C$24,"Serie A")=0,"n.a.",SUMIFS(Selections!$N$6:$N$24,Selections!$C$6:$C$24,"Serie A")/SUMIFS(Selections!$M$6:$M$24,Selections!$C$6:$C$24,"Serie A"))</f>
        <v>0.28</v>
      </c>
      <c r="L11" s="14">
        <f>IF(SUMIFS(Selections!$T$6:$T$24,Selections!$C$6:$C$24,"Serie A")=0,"n.a.",SUMIFS(Selections!$O$6:$O$24,Selections!$C$6:$C$24,"Serie A")/SUMIFS(Selections!$T$6:$T$24,Selections!$C$6:$C$24,"Serie A"))</f>
        <v>0.041442876272802645</v>
      </c>
      <c r="M11" s="13">
        <f>IF(SUMIFS(Selections!$T$6:$T$24,Selections!$C$6:$C$24,"Serie A")=0,"n.a.",SUMIFS(Selections!$S$6:$S$24,Selections!$C$6:$C$24,"Serie A")/SUMIFS(Selections!$T$6:$T$24,Selections!$C$6:$C$24,"Serie A"))</f>
        <v>0.7964247650798294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-0.2035752349201706</v>
      </c>
      <c r="P11" s="12">
        <f>SUMIFS(Selections!$T$6:$T$24,Selections!$C$6:$C$24,"Serie A")</f>
        <v>1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0</v>
      </c>
      <c r="E14" s="12">
        <f>COUNTIFS(Selections!$E$6:$E$24,"Home win",Selections!$K$6:$K$24,"WON")</f>
        <v>0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4</v>
      </c>
      <c r="H14" s="13" t="str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n.a.</v>
      </c>
      <c r="I14" s="15">
        <f>SUMIFS(Selections!$M$6:$M$24,Selections!$E$6:$E$24,"Home win")</f>
        <v>0</v>
      </c>
      <c r="J14" s="15">
        <f>SUMIFS(Selections!$N$6:$N$24,Selections!$E$6:$E$24,"Home win")</f>
        <v>0</v>
      </c>
      <c r="K14" s="13" t="str">
        <f>IF(SUMIFS(Selections!$M$6:$M$24,Selections!$E$6:$E$24,"Home win")=0,"n.a.",SUMIFS(Selections!$N$6:$N$24,Selections!$E$6:$E$24,"Home win")/SUMIFS(Selections!$M$6:$M$24,Selections!$E$6:$E$24,"Home win"))</f>
        <v>n.a.</v>
      </c>
      <c r="L14" s="14" t="str">
        <f>IF(SUMIFS(Selections!$T$6:$T$24,Selections!$E$6:$E$24,"Home win")=0,"n.a.",SUMIFS(Selections!$O$6:$O$24,Selections!$E$6:$E$24,"Home win")/SUMIFS(Selections!$T$6:$T$24,Selections!$E$6:$E$24,"Home win"))</f>
        <v>n.a.</v>
      </c>
      <c r="M14" s="13" t="str">
        <f>IF(SUMIFS(Selections!$T$6:$T$24,Selections!$E$6:$E$24,"Home win")=0,"n.a.",SUMIFS(Selections!$S$6:$S$24,Selections!$E$6:$E$24,"Home win")/SUMIFS(Selections!$T$6:$T$24,Selections!$E$6:$E$24,"Home win"))</f>
        <v>n.a.</v>
      </c>
      <c r="N14" s="13" t="str">
        <f>IF(SUMIFS(Selections!$T$6:$T$24,Selections!$E$6:$E$24,"Home win")=0,"n.a.",(SUMIFS(Selections!$L$6:$L$24,Selections!$E$6:$E$24,"Home win",Selections!$T$6:$T$24,1))/SUMIFS(Selections!$T$6:$T$24,Selections!$E$6:$E$24,"Home win"))</f>
        <v>n.a.</v>
      </c>
      <c r="O14" s="13" t="str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n.a.</v>
      </c>
      <c r="P14" s="12">
        <f>SUMIFS(Selections!$T$6:$T$24,Selections!$E$6:$E$24,"Home win")</f>
        <v>0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1</v>
      </c>
      <c r="E15" s="12">
        <f>COUNTIFS(Selections!$E$6:$E$24,"Over 1.5",Selections!$K$6:$K$24,"WON")</f>
        <v>1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7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1</v>
      </c>
      <c r="J15" s="15">
        <f>SUMIFS(Selections!$N$6:$N$24,Selections!$E$6:$E$24,"Over 1.5")</f>
        <v>0.24</v>
      </c>
      <c r="K15" s="13">
        <f>IF(SUMIFS(Selections!$M$6:$M$24,Selections!$E$6:$E$24,"Over 1.5")=0,"n.a.",SUMIFS(Selections!$N$6:$N$24,Selections!$E$6:$E$24,"Over 1.5")/SUMIFS(Selections!$M$6:$M$24,Selections!$E$6:$E$24,"Over 1.5"))</f>
        <v>0.24</v>
      </c>
      <c r="L15" s="14">
        <f>IF(SUMIFS(Selections!$T$6:$T$24,Selections!$E$6:$E$24,"Over 1.5")=0,"n.a.",SUMIFS(Selections!$O$6:$O$24,Selections!$E$6:$E$24,"Over 1.5")/SUMIFS(Selections!$T$6:$T$24,Selections!$E$6:$E$24,"Over 1.5"))</f>
        <v>0.010090581593580863</v>
      </c>
      <c r="M15" s="13">
        <f>IF(SUMIFS(Selections!$T$6:$T$24,Selections!$E$6:$E$24,"Over 1.5")=0,"n.a.",SUMIFS(Selections!$S$6:$S$24,Selections!$E$6:$E$24,"Over 1.5")/SUMIFS(Selections!$T$6:$T$24,Selections!$E$6:$E$24,"Over 1.5"))</f>
        <v>0.8995481130412133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-0.1004518869587867</v>
      </c>
      <c r="P15" s="12">
        <f>SUMIFS(Selections!$T$6:$T$24,Selections!$E$6:$E$24,"Over 1.5")</f>
        <v>1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3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2</v>
      </c>
      <c r="G16" s="12">
        <f>COUNTIFS(Selections!$E$6:$E$24,"Under 3.5")-(COUNTIFS(Selections!$E$6:$E$24,"Under 3.5",Selections!$K$6:$K$24,"WON")+COUNTIFS(Selections!$E$6:$E$24,"Under 3.5",Selections!$K$6:$K$24,"LOST"))</f>
        <v>3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0.3333333333333333</v>
      </c>
      <c r="I16" s="15">
        <f>SUMIFS(Selections!$M$6:$M$24,Selections!$E$6:$E$24,"Under 3.5")</f>
        <v>3</v>
      </c>
      <c r="J16" s="15">
        <f>SUMIFS(Selections!$N$6:$N$24,Selections!$E$6:$E$24,"Under 3.5")</f>
        <v>-1.72</v>
      </c>
      <c r="K16" s="13">
        <f>IF(SUMIFS(Selections!$M$6:$M$24,Selections!$E$6:$E$24,"Under 3.5")=0,"n.a.",SUMIFS(Selections!$N$6:$N$24,Selections!$E$6:$E$24,"Under 3.5")/SUMIFS(Selections!$M$6:$M$24,Selections!$E$6:$E$24,"Under 3.5"))</f>
        <v>-0.5733333333333334</v>
      </c>
      <c r="L16" s="14">
        <f>IF(SUMIFS(Selections!$T$6:$T$24,Selections!$E$6:$E$24,"Under 3.5")=0,"n.a.",SUMIFS(Selections!$O$6:$O$24,Selections!$E$6:$E$24,"Under 3.5")/SUMIFS(Selections!$T$6:$T$24,Selections!$E$6:$E$24,"Under 3.5"))</f>
        <v>0.4354577955520569</v>
      </c>
      <c r="M16" s="13">
        <f>IF(SUMIFS(Selections!$T$6:$T$24,Selections!$E$6:$E$24,"Under 3.5")=0,"n.a.",SUMIFS(Selections!$S$6:$S$24,Selections!$E$6:$E$24,"Under 3.5")/SUMIFS(Selections!$T$6:$T$24,Selections!$E$6:$E$24,"Under 3.5"))</f>
        <v>0.7950153878690852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0.3333333333333333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0.4616820545357519</v>
      </c>
      <c r="P16" s="12">
        <f>SUMIFS(Selections!$T$6:$T$24,Selections!$E$6:$E$24,"Under 3.5")</f>
        <v>3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1</v>
      </c>
      <c r="E17" s="12">
        <f>COUNTIFS(Selections!$G$6:$G$24,"72h-ucl-v3",Selections!$K$6:$K$24,"WON")</f>
        <v>0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7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0.0</v>
      </c>
      <c r="I17" s="15">
        <f>SUMIFS(Selections!$M$6:$M$24,Selections!$G$6:$G$24,"72h-ucl-v3")</f>
        <v>1</v>
      </c>
      <c r="J17" s="15">
        <f>SUMIFS(Selections!$N$6:$N$24,Selections!$G$6:$G$24,"72h-ucl-v3")</f>
        <v>-1</v>
      </c>
      <c r="K17" s="13">
        <f>IF(SUMIFS(Selections!$M$6:$M$24,Selections!$G$6:$G$24,"72h-ucl-v3")=0,"n.a.",SUMIFS(Selections!$N$6:$N$24,Selections!$G$6:$G$24,"72h-ucl-v3")/SUMIFS(Selections!$M$6:$M$24,Selections!$G$6:$G$24,"72h-ucl-v3"))</f>
        <v>-1.0</v>
      </c>
      <c r="L17" s="14">
        <f>IF(SUMIFS(Selections!$T$6:$T$24,Selections!$G$6:$G$24,"72h-ucl-v3")=0,"n.a.",SUMIFS(Selections!$O$6:$O$24,Selections!$G$6:$G$24,"72h-ucl-v3")/SUMIFS(Selections!$T$6:$T$24,Selections!$G$6:$G$24,"72h-ucl-v3"))</f>
        <v>0.5702089636388061</v>
      </c>
      <c r="M17" s="13">
        <f>IF(SUMIFS(Selections!$T$6:$T$24,Selections!$G$6:$G$24,"72h-ucl-v3")=0,"n.a.",SUMIFS(Selections!$S$6:$S$24,Selections!$G$6:$G$24,"72h-ucl-v3")/SUMIFS(Selections!$T$6:$T$24,Selections!$G$6:$G$24,"72h-ucl-v3"))</f>
        <v>0.755121820396422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0.0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0.755121820396422</v>
      </c>
      <c r="P17" s="12">
        <f>SUMIFS(Selections!$T$6:$T$24,Selections!$G$6:$G$24,"72h-ucl-v3")</f>
        <v>1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3</v>
      </c>
      <c r="E18" s="12">
        <f>COUNTIFS(Selections!$G$6:$G$24,"legacy/unspecified",Selections!$K$6:$K$24,"WON")</f>
        <v>2</v>
      </c>
      <c r="F18" s="12">
        <f>COUNTIFS(Selections!$G$6:$G$24,"legacy/unspecified",Selections!$K$6:$K$24,"LOST")</f>
        <v>1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8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0.6666666666666666</v>
      </c>
      <c r="I18" s="15">
        <f>SUMIFS(Selections!$M$6:$M$24,Selections!$G$6:$G$24,"legacy/unspecified")</f>
        <v>3</v>
      </c>
      <c r="J18" s="15">
        <f>SUMIFS(Selections!$N$6:$N$24,Selections!$G$6:$G$24,"legacy/unspecified")</f>
        <v>-0.48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-0.16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0.24875166820364847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0.843157485417349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0.6666666666666666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0.1764908187506824</v>
      </c>
      <c r="P18" s="12">
        <f>SUMIFS(Selections!$T$6:$T$24,Selections!$G$6:$G$24,"legacy/unspecified")</f>
        <v>3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(n=3).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0</v>
      </c>
      <c r="E20" s="12">
        <f>COUNTIFS(Selections!$P$6:$P$24,"2026-W42",Selections!$K$6:$K$24,"WON")</f>
        <v>0</v>
      </c>
      <c r="F20" s="12">
        <f>COUNTIFS(Selections!$P$6:$P$24,"2026-W42",Selections!$K$6:$K$24,"LOST")</f>
        <v>0</v>
      </c>
      <c r="G20" s="12">
        <f>COUNTIFS(Selections!$P$6:$P$24,"2026-W42")-(COUNTIFS(Selections!$P$6:$P$24,"2026-W42",Selections!$K$6:$K$24,"WON")+COUNTIFS(Selections!$P$6:$P$24,"2026-W42",Selections!$K$6:$K$24,"LOST"))</f>
        <v>13</v>
      </c>
      <c r="H20" s="13" t="str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n.a.</v>
      </c>
      <c r="I20" s="15">
        <f>SUMIFS(Selections!$M$6:$M$24,Selections!$P$6:$P$24,"2026-W42")</f>
        <v>0</v>
      </c>
      <c r="J20" s="15">
        <f>SUMIFS(Selections!$N$6:$N$24,Selections!$P$6:$P$24,"2026-W42")</f>
        <v>0</v>
      </c>
      <c r="K20" s="13" t="str">
        <f>IF(SUMIFS(Selections!$M$6:$M$24,Selections!$P$6:$P$24,"2026-W42")=0,"n.a.",SUMIFS(Selections!$N$6:$N$24,Selections!$P$6:$P$24,"2026-W42")/SUMIFS(Selections!$M$6:$M$24,Selections!$P$6:$P$24,"2026-W42"))</f>
        <v>n.a.</v>
      </c>
      <c r="L20" s="14" t="str">
        <f>IF(SUMIFS(Selections!$T$6:$T$24,Selections!$P$6:$P$24,"2026-W42")=0,"n.a.",SUMIFS(Selections!$O$6:$O$24,Selections!$P$6:$P$24,"2026-W42")/SUMIFS(Selections!$T$6:$T$24,Selections!$P$6:$P$24,"2026-W42"))</f>
        <v>n.a.</v>
      </c>
      <c r="M20" s="13" t="str">
        <f>IF(SUMIFS(Selections!$T$6:$T$24,Selections!$P$6:$P$24,"2026-W42")=0,"n.a.",SUMIFS(Selections!$S$6:$S$24,Selections!$P$6:$P$24,"2026-W42")/SUMIFS(Selections!$T$6:$T$24,Selections!$P$6:$P$24,"2026-W42"))</f>
        <v>n.a.</v>
      </c>
      <c r="N20" s="13" t="str">
        <f>IF(SUMIFS(Selections!$T$6:$T$24,Selections!$P$6:$P$24,"2026-W42")=0,"n.a.",(SUMIFS(Selections!$L$6:$L$24,Selections!$P$6:$P$24,"2026-W42",Selections!$T$6:$T$24,1))/SUMIFS(Selections!$T$6:$T$24,Selections!$P$6:$P$24,"2026-W42"))</f>
        <v>n.a.</v>
      </c>
      <c r="O20" s="13" t="str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n.a.</v>
      </c>
      <c r="P20" s="12">
        <f>SUMIFS(Selections!$T$6:$T$24,Selections!$P$6:$P$24,"2026-W42")</f>
        <v>0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0</v>
      </c>
      <c r="E8" s="13" t="str">
        <f>IF(D8=0,"n.a.",SUMIFS(Selections!$S$6:$S$24,Selections!$S$6:$S$24,"&gt;="&amp;B8,Selections!$S$6:$S$24,"&lt;"&amp;C8,Selections!$T$6:$T$24,1)/D8)</f>
        <v>n.a.</v>
      </c>
      <c r="F8" s="13" t="str">
        <f>IF(D8=0,"n.a.",SUMIFS(Selections!$L$6:$L$24,Selections!$S$6:$S$24,"&gt;="&amp;B8,Selections!$S$6:$S$24,"&lt;"&amp;C8,Selections!$T$6:$T$24,1)/D8)</f>
        <v>n.a.</v>
      </c>
      <c r="G8" s="13" t="str">
        <f>IF(D8=0,"n.a.",E8-F8)</f>
        <v>n.a.</v>
      </c>
      <c r="H8" s="14" t="str">
        <f>IF(D8=0,"n.a.",SUMIFS(Selections!$O$6:$O$24,Selections!$S$6:$S$24,"&gt;="&amp;B8,Selections!$S$6:$S$24,"&lt;"&amp;C8,Selections!$T$6:$T$24,1)/D8)</f>
        <v>n.a.</v>
      </c>
      <c r="I8" s="1" t="inlineStr">
        <is>
          <t>Collect more scored forecasts (n=0).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2</v>
      </c>
      <c r="E9" s="13">
        <f>IF(D9=0,"n.a.",SUMIFS(Selections!$S$6:$S$24,Selections!$S$6:$S$24,"&gt;="&amp;B9,Selections!$S$6:$S$24,"&lt;"&amp;C9,Selections!$T$6:$T$24,1)/D9)</f>
        <v>0.7757732927381257</v>
      </c>
      <c r="F9" s="13">
        <f>IF(D9=0,"n.a.",SUMIFS(Selections!$L$6:$L$24,Selections!$S$6:$S$24,"&gt;="&amp;B9,Selections!$S$6:$S$24,"&lt;"&amp;C9,Selections!$T$6:$T$24,1)/D9)</f>
        <v>0.5</v>
      </c>
      <c r="G9" s="13">
        <f>IF(D9=0,"n.a.",E9-F9)</f>
        <v>0.2757732927381257</v>
      </c>
      <c r="H9" s="14">
        <f>IF(D9=0,"n.a.",SUMIFS(Selections!$O$6:$O$24,Selections!$S$6:$S$24,"&gt;="&amp;B9,Selections!$S$6:$S$24,"&lt;"&amp;C9,Selections!$T$6:$T$24,1)/D9)</f>
        <v>0.3058259199558044</v>
      </c>
      <c r="I9" s="1" t="inlineStr">
        <is>
          <t>Collect more scored forecasts (n=2).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2</v>
      </c>
      <c r="E10" s="13">
        <f>IF(D10=0,"n.a.",SUMIFS(Selections!$S$6:$S$24,Selections!$S$6:$S$24,"&gt;="&amp;B10,Selections!$S$6:$S$24,"&lt;"&amp;C10,Selections!$T$6:$T$24,1)/D10)</f>
        <v>0.8665238455861087</v>
      </c>
      <c r="F10" s="13">
        <f>IF(D10=0,"n.a.",SUMIFS(Selections!$L$6:$L$24,Selections!$S$6:$S$24,"&gt;="&amp;B10,Selections!$S$6:$S$24,"&lt;"&amp;C10,Selections!$T$6:$T$24,1)/D10)</f>
        <v>0.5</v>
      </c>
      <c r="G10" s="13">
        <f>IF(D10=0,"n.a.",E10-F10)</f>
        <v>0.36652384558610873</v>
      </c>
      <c r="H10" s="14">
        <f>IF(D10=0,"n.a.",SUMIFS(Selections!$O$6:$O$24,Selections!$S$6:$S$24,"&gt;="&amp;B10,Selections!$S$6:$S$24,"&lt;"&amp;C10,Selections!$T$6:$T$24,1)/D10)</f>
        <v>0.3524060641690714</v>
      </c>
      <c r="I10" s="1" t="inlineStr">
        <is>
          <t>Collect more scored forecasts (n=2).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IF(ISNUMBER(M7),M7*(I7*L7-1),"")</f>
        <v>-1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IF(ISNUMBER(M8),M8*(I8*L8-1),"")</f>
        <v>-1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/>
      <c r="K11" s="1" t="inlineStr">
        <is>
          <t>PENDING_KICKOFF_OR_FINAL_SCORE</t>
        </is>
      </c>
      <c r="L11" s="1"/>
      <c r="M11" s="10" t="str">
        <f>IF(AND(ISNUMBER(L11),ISNUMBER(I11),I11&gt;1),'ROI Plan'!$B$5,"")</f>
        <v/>
      </c>
      <c r="N11" s="10" t="str">
        <f>IF(ISNUMBER(M11),M11*(I11*L11-1),"")</f>
        <v/>
      </c>
      <c r="O11" s="11">
        <f>IF(AND(ISNUMBER(L11),ISNUMBER(H11)),(H11-L11)^2,"")</f>
      </c>
      <c r="P11" s="1" t="inlineStr">
        <is>
          <t>2026-W42</t>
        </is>
      </c>
      <c r="Q11" s="1" t="inlineStr">
        <is>
          <t>bdc690a8c70643c93f1595d53c067b7d91325270</t>
        </is>
      </c>
      <c r="R11" s="1"/>
      <c r="S11" s="9">
        <f>IF(AND(ISNUMBER(L11),ISNUMBER(H11)),H11,"")</f>
      </c>
      <c r="T11" s="1">
        <f>IF(AND(ISNUMBER(L11),ISNUMBER(H11)),1,0)</f>
        <v>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/>
      <c r="K12" s="1" t="inlineStr">
        <is>
          <t>PENDING_KICKOFF_OR_FINAL_SCORE</t>
        </is>
      </c>
      <c r="L12" s="1"/>
      <c r="M12" s="10" t="str">
        <f>IF(AND(ISNUMBER(L12),ISNUMBER(I12),I12&gt;1),'ROI Plan'!$B$5,"")</f>
        <v/>
      </c>
      <c r="N12" s="10" t="str">
        <f>IF(ISNUMBER(M12),M12*(I12*L12-1),"")</f>
        <v/>
      </c>
      <c r="O12" s="11">
        <f>IF(AND(ISNUMBER(L12),ISNUMBER(H12)),(H12-L12)^2,"")</f>
      </c>
      <c r="P12" s="1" t="inlineStr">
        <is>
          <t>2026-W42</t>
        </is>
      </c>
      <c r="Q12" s="1" t="inlineStr">
        <is>
          <t>a2cdead106b513fd623cffd1e43a491685d68cc3</t>
        </is>
      </c>
      <c r="R12" s="1"/>
      <c r="S12" s="9">
        <f>IF(AND(ISNUMBER(L12),ISNUMBER(H12)),H12,"")</f>
      </c>
      <c r="T12" s="1">
        <f>IF(AND(ISNUMBER(L12),ISNUMBER(H12)),1,0)</f>
        <v>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/>
      <c r="K13" s="1" t="inlineStr">
        <is>
          <t>PENDING_KICKOFF_OR_FINAL_SCORE</t>
        </is>
      </c>
      <c r="L13" s="1"/>
      <c r="M13" s="10" t="str">
        <f>IF(AND(ISNUMBER(L13),ISNUMBER(I13),I13&gt;1),'ROI Plan'!$B$5,"")</f>
        <v/>
      </c>
      <c r="N13" s="10" t="str">
        <f>IF(ISNUMBER(M13),M13*(I13*L13-1),"")</f>
        <v/>
      </c>
      <c r="O13" s="11">
        <f>IF(AND(ISNUMBER(L13),ISNUMBER(H13)),(H13-L13)^2,"")</f>
      </c>
      <c r="P13" s="1" t="inlineStr">
        <is>
          <t>2026-W42</t>
        </is>
      </c>
      <c r="Q13" s="1" t="inlineStr">
        <is>
          <t>bdc690a8c70643c93f1595d53c067b7d91325270</t>
        </is>
      </c>
      <c r="R13" s="1"/>
      <c r="S13" s="9">
        <f>IF(AND(ISNUMBER(L13),ISNUMBER(H13)),H13,"")</f>
      </c>
      <c r="T13" s="1">
        <f>IF(AND(ISNUMBER(L13),ISNUMBER(H13)),1,0)</f>
        <v>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PENDING_KICKOFF_OR_FINAL_SCORE</t>
        </is>
      </c>
      <c r="G23" s="1"/>
      <c r="H23" s="1"/>
      <c r="I23" s="11"/>
      <c r="J23" s="1"/>
      <c r="K23" s="1"/>
      <c r="L23" s="1"/>
      <c r="M23" s="1"/>
      <c r="N23" s="1" t="inlineStr">
        <is>
          <t>2026-W42</t>
        </is>
      </c>
      <c r="O23" s="1" t="inlineStr">
        <is>
          <t>2fd31d33722311d8e0155bb5eca6b3a310ac938b</t>
        </is>
      </c>
      <c r="P23" s="1"/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PENDING_KICKOFF_OR_FINAL_SCORE</t>
        </is>
      </c>
      <c r="G24" s="1"/>
      <c r="H24" s="1"/>
      <c r="I24" s="11"/>
      <c r="J24" s="1"/>
      <c r="K24" s="1"/>
      <c r="L24" s="1"/>
      <c r="M24" s="1"/>
      <c r="N24" s="1" t="inlineStr">
        <is>
          <t>2026-W42</t>
        </is>
      </c>
      <c r="O24" s="1" t="inlineStr">
        <is>
          <t>2fd31d33722311d8e0155bb5eca6b3a310ac938b</t>
        </is>
      </c>
      <c r="P24" s="1"/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PENDING_KICKOFF_OR_FINAL_SCORE</t>
        </is>
      </c>
      <c r="G25" s="1"/>
      <c r="H25" s="1"/>
      <c r="I25" s="11"/>
      <c r="J25" s="1"/>
      <c r="K25" s="1"/>
      <c r="L25" s="1"/>
      <c r="M25" s="1"/>
      <c r="N25" s="1" t="inlineStr">
        <is>
          <t>2026-W42</t>
        </is>
      </c>
      <c r="O25" s="1" t="inlineStr">
        <is>
          <t>2fd31d33722311d8e0155bb5eca6b3a310ac938b</t>
        </is>
      </c>
      <c r="P25" s="1"/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PENDING_KICKOFF_OR_FINAL_SCORE</t>
        </is>
      </c>
      <c r="G26" s="1"/>
      <c r="H26" s="1"/>
      <c r="I26" s="11"/>
      <c r="J26" s="1"/>
      <c r="K26" s="1"/>
      <c r="L26" s="1"/>
      <c r="M26" s="1"/>
      <c r="N26" s="1" t="inlineStr">
        <is>
          <t>2026-W42</t>
        </is>
      </c>
      <c r="O26" s="1" t="inlineStr">
        <is>
          <t>2fd31d33722311d8e0155bb5eca6b3a310ac938b</t>
        </is>
      </c>
      <c r="P26" s="1"/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