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Plan'!$A$10:$A$53</c:f>
              <c:strCache>
                <c:ptCount val="4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</c:strCache>
            </c:strRef>
          </c:cat>
          <c:val>
            <c:numRef>
              <c:f>'ROI Plan'!$F$10:$F$53</c:f>
              <c:numCache>
                <c:formatCode>General</c:formatCode>
                <c:ptCount val="4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5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1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44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6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IF(COUNT(Predictions!H6:H215)=0,"n.a.",AVERAGE(Predictions!H6:H215))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IF(COUNT(Predictions!I6:I215)=0,"n.a.",AVERAGE(Predictions!I6:I215))</f>
        <v>0.5426386586138614</v>
      </c>
      <c r="C17" s="18"/>
      <c r="D17" s="18" t="inlineStr">
        <is>
          <t>Over 1.5</t>
        </is>
      </c>
      <c r="E17" s="18">
        <f>COUNT(Predictions!J6:J215)</f>
        <v>101</v>
      </c>
      <c r="F17" s="20">
        <f>IF(E17=0,"n.a.",AVERAGE(Predictions!J6:J215))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COUNT(Predictions!K6:K215)</f>
        <v>101</v>
      </c>
      <c r="F18" s="20">
        <f>IF(E18=0,"n.a.",AVERAGE(Predictions!K6:K215))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COUNT(Predictions!L6:L215)</f>
        <v>101</v>
      </c>
      <c r="F19" s="20">
        <f>IF(E19=0,"n.a.",AVERAGE(Predictions!L6:L215))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COUNT(Predictions!M6:M215)</f>
        <v>101</v>
      </c>
      <c r="F20" s="20">
        <f>IF(E20=0,"n.a.",AVERAGE(Predictions!M6:M215))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2026-10-22T10:59:48.540941+00:00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2026-10-22 10:58:33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</sheetData>
  <mergeCells count="1">
    <mergeCell ref="A2:J2"/>
  </mergeCells>
  <conditionalFormatting sqref="E10:E5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COUNTA(Selections!$A$6:$A$49)</f>
        <v>44</v>
      </c>
      <c r="D6" s="19">
        <f>((COUNTIFS(Selections!$K$6:$K$49,"WON")+COUNTIFS(Selections!$K$6:$K$49,"HALF_WON"))+(COUNTIFS(Selections!$K$6:$K$49,"LOST")+COUNTIFS(Selections!$K$6:$K$49,"HALF_LOST"))+COUNTIFS(Selections!$K$6:$K$49,"REFUNDED"))</f>
        <v>38</v>
      </c>
      <c r="E6" s="19">
        <f>(COUNTIFS(Selections!$K$6:$K$49,"WON")+COUNTIFS(Selections!$K$6:$K$49,"HALF_WON"))</f>
        <v>28</v>
      </c>
      <c r="F6" s="19">
        <f>(COUNTIFS(Selections!$K$6:$K$49,"LOST")+COUNTIFS(Selections!$K$6:$K$49,"HALF_LOST"))</f>
        <v>10</v>
      </c>
      <c r="G6" s="19">
        <f>COUNTA(Selections!$A$6:$A$49)-((COUNTIFS(Selections!$K$6:$K$49,"WON")+COUNTIFS(Selections!$K$6:$K$49,"HALF_WON"))+(COUNTIFS(Selections!$K$6:$K$49,"LOST")+COUNTIFS(Selections!$K$6:$K$49,"HALF_LOST"))+COUNTIFS(Selections!$K$6:$K$49,"REFUNDED"))</f>
        <v>6</v>
      </c>
      <c r="H6" s="20">
        <f>IF(((COUNTIFS(Selections!$K$6:$K$49,"WON")+COUNTIFS(Selections!$K$6:$K$49,"HALF_WON"))+(COUNTIFS(Selections!$K$6:$K$49,"LOST")+COUNTIFS(Selections!$K$6:$K$49,"HALF_LOST"))+COUNTIFS(Selections!$K$6:$K$49,"REFUNDED"))=0,"n.a.",(COUNTIFS(Selections!$K$6:$K$49,"WON")+COUNTIFS(Selections!$K$6:$K$49,"HALF_WON"))/((COUNTIFS(Selections!$K$6:$K$49,"WON")+COUNTIFS(Selections!$K$6:$K$49,"HALF_WON"))+(COUNTIFS(Selections!$K$6:$K$49,"LOST")+COUNTIFS(Selections!$K$6:$K$49,"HALF_LOST"))+COUNTIFS(Selections!$K$6:$K$49,"REFUNDED")))</f>
        <v>0.7368421052631579</v>
      </c>
      <c r="I6" s="22">
        <f>SUM(Selections!$M$6:$M$49)</f>
        <v>38</v>
      </c>
      <c r="J6" s="22">
        <f>SUM(Selections!$N$6:$N$49)</f>
        <v>0.42999999999999927</v>
      </c>
      <c r="K6" s="20">
        <f>IF(SUM(Selections!$M$6:$M$49)=0,"n.a.",SUM(Selections!$N$6:$N$49)/SUM(Selections!$M$6:$M$49))</f>
        <v>0.01131578947368419</v>
      </c>
      <c r="L6" s="21">
        <f>IF(SUM(Selections!$T$6:$T$49)=0,"n.a.",SUM(Selections!$O$6:$O$49)/SUM(Selections!$T$6:$T$49))</f>
        <v>0.17692556179750585</v>
      </c>
      <c r="M6" s="20">
        <f>IF(SUM(Selections!$T$6:$T$49)=0,"n.a.",SUM(Selections!$S$6:$S$49)/SUM(Selections!$T$6:$T$49))</f>
        <v>0.7584947647729421</v>
      </c>
      <c r="N6" s="20">
        <f>IF(SUM(Selections!$T$6:$T$49)=0,"n.a.",(SUMIFS(Selections!$L$6:$L$49,Selections!$T$6:$T$49,1))/SUM(Selections!$T$6:$T$49))</f>
        <v>0.7368421052631579</v>
      </c>
      <c r="O6" s="20">
        <f>IF(SUM(Selections!$T$6:$T$49)=0,"n.a.",(SUM(Selections!$S$6:$S$49)-(SUMIFS(Selections!$L$6:$L$49,Selections!$T$6:$T$49,1)))/SUM(Selections!$T$6:$T$49))</f>
        <v>0.021652659509784233</v>
      </c>
      <c r="P6" s="19">
        <f>SUM(Selections!$T$6:$T$49)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COUNTIFS(Selections!$F$6:$F$49,"STRICT")</f>
        <v>15</v>
      </c>
      <c r="D7" s="19">
        <f>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11</v>
      </c>
      <c r="E7" s="19">
        <f>(COUNTIFS(Selections!$F$6:$F$49,"STRICT",Selections!$K$6:$K$49,"WON")+COUNTIFS(Selections!$F$6:$F$49,"STRICT",Selections!$K$6:$K$49,"HALF_WON"))</f>
        <v>10</v>
      </c>
      <c r="F7" s="19">
        <f>(COUNTIFS(Selections!$F$6:$F$49,"STRICT",Selections!$K$6:$K$49,"LOST")+COUNTIFS(Selections!$F$6:$F$49,"STRICT",Selections!$K$6:$K$49,"HALF_LOST"))</f>
        <v>1</v>
      </c>
      <c r="G7" s="19">
        <f>COUNTIFS(Selections!$F$6:$F$49,"STRICT")-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4</v>
      </c>
      <c r="H7" s="20">
        <f>IF(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=0,"n.a.",(COUNTIFS(Selections!$F$6:$F$49,"STRICT",Selections!$K$6:$K$49,"WON")+COUNTIFS(Selections!$F$6:$F$49,"STRICT",Selections!$K$6:$K$49,"HALF_WON"))/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)</f>
        <v>0.9090909090909091</v>
      </c>
      <c r="I7" s="22">
        <f>SUMIFS(Selections!$M$6:$M$49,Selections!$F$6:$F$49,"STRICT")</f>
        <v>11</v>
      </c>
      <c r="J7" s="22">
        <f>SUMIFS(Selections!$N$6:$N$49,Selections!$F$6:$F$49,"STRICT")</f>
        <v>3.32</v>
      </c>
      <c r="K7" s="20">
        <f>IF(SUMIFS(Selections!$M$6:$M$49,Selections!$F$6:$F$49,"STRICT")=0,"n.a.",SUMIFS(Selections!$N$6:$N$49,Selections!$F$6:$F$49,"STRICT")/SUMIFS(Selections!$M$6:$M$49,Selections!$F$6:$F$49,"STRICT"))</f>
        <v>0.3018181818181818</v>
      </c>
      <c r="L7" s="21">
        <f>IF(SUMIFS(Selections!$T$6:$T$49,Selections!$F$6:$F$49,"STRICT")=0,"n.a.",SUMIFS(Selections!$O$6:$O$49,Selections!$F$6:$F$49,"STRICT")/SUMIFS(Selections!$T$6:$T$49,Selections!$F$6:$F$49,"STRICT"))</f>
        <v>0.09620140437807416</v>
      </c>
      <c r="M7" s="20">
        <f>IF(SUMIFS(Selections!$T$6:$T$49,Selections!$F$6:$F$49,"STRICT")=0,"n.a.",SUMIFS(Selections!$S$6:$S$49,Selections!$F$6:$F$49,"STRICT")/SUMIFS(Selections!$T$6:$T$49,Selections!$F$6:$F$49,"STRICT"))</f>
        <v>0.7551745752675235</v>
      </c>
      <c r="N7" s="20">
        <f>IF(SUMIFS(Selections!$T$6:$T$49,Selections!$F$6:$F$49,"STRICT")=0,"n.a.",(SUMIFS(Selections!$L$6:$L$49,Selections!$F$6:$F$49,"STRICT",Selections!$T$6:$T$49,1))/SUMIFS(Selections!$T$6:$T$49,Selections!$F$6:$F$49,"STRICT"))</f>
        <v>0.9090909090909091</v>
      </c>
      <c r="O7" s="20">
        <f>IF(SUMIFS(Selections!$T$6:$T$49,Selections!$F$6:$F$49,"STRICT")=0,"n.a.",(SUMIFS(Selections!$S$6:$S$49,Selections!$F$6:$F$49,"STRICT")-(SUMIFS(Selections!$L$6:$L$49,Selections!$F$6:$F$49,"STRICT",Selections!$T$6:$T$49,1)))/SUMIFS(Selections!$T$6:$T$49,Selections!$F$6:$F$49,"STRICT"))</f>
        <v>-0.15391633382338554</v>
      </c>
      <c r="P7" s="19">
        <f>SUMIFS(Selections!$T$6:$T$49,Selections!$F$6:$F$49,"STRICT")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COUNTIFS(Selections!$F$6:$F$49,"PROVISIONAL")</f>
        <v>29</v>
      </c>
      <c r="D8" s="19">
        <f>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27</v>
      </c>
      <c r="E8" s="19">
        <f>(COUNTIFS(Selections!$F$6:$F$49,"PROVISIONAL",Selections!$K$6:$K$49,"WON")+COUNTIFS(Selections!$F$6:$F$49,"PROVISIONAL",Selections!$K$6:$K$49,"HALF_WON"))</f>
        <v>18</v>
      </c>
      <c r="F8" s="19">
        <f>(COUNTIFS(Selections!$F$6:$F$49,"PROVISIONAL",Selections!$K$6:$K$49,"LOST")+COUNTIFS(Selections!$F$6:$F$49,"PROVISIONAL",Selections!$K$6:$K$49,"HALF_LOST"))</f>
        <v>9</v>
      </c>
      <c r="G8" s="19">
        <f>COUNTIFS(Selections!$F$6:$F$49,"PROVISIONAL")-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</v>
      </c>
      <c r="H8" s="20">
        <f>IF(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=0,"n.a.",(COUNTIFS(Selections!$F$6:$F$49,"PROVISIONAL",Selections!$K$6:$K$49,"WON")+COUNTIFS(Selections!$F$6:$F$49,"PROVISIONAL",Selections!$K$6:$K$49,"HALF_WON"))/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)</f>
        <v>0.6666666666666666</v>
      </c>
      <c r="I8" s="22">
        <f>SUMIFS(Selections!$M$6:$M$49,Selections!$F$6:$F$49,"PROVISIONAL")</f>
        <v>27</v>
      </c>
      <c r="J8" s="22">
        <f>SUMIFS(Selections!$N$6:$N$49,Selections!$F$6:$F$49,"PROVISIONAL")</f>
        <v>-2.8900000000000006</v>
      </c>
      <c r="K8" s="20">
        <f>IF(SUMIFS(Selections!$M$6:$M$49,Selections!$F$6:$F$49,"PROVISIONAL")=0,"n.a.",SUMIFS(Selections!$N$6:$N$49,Selections!$F$6:$F$49,"PROVISIONAL")/SUMIFS(Selections!$M$6:$M$49,Selections!$F$6:$F$49,"PROVISIONAL"))</f>
        <v>-0.10703703703703706</v>
      </c>
      <c r="L8" s="21">
        <f>IF(SUMIFS(Selections!$T$6:$T$49,Selections!$F$6:$F$49,"PROVISIONAL")=0,"n.a.",SUMIFS(Selections!$O$6:$O$49,Selections!$F$6:$F$49,"PROVISIONAL")/SUMIFS(Selections!$T$6:$T$49,Selections!$F$6:$F$49,"PROVISIONAL"))</f>
        <v>0.20981318148690395</v>
      </c>
      <c r="M8" s="20">
        <f>IF(SUMIFS(Selections!$T$6:$T$49,Selections!$F$6:$F$49,"PROVISIONAL")=0,"n.a.",SUMIFS(Selections!$S$6:$S$49,Selections!$F$6:$F$49,"PROVISIONAL")/SUMIFS(Selections!$T$6:$T$49,Selections!$F$6:$F$49,"PROVISIONAL"))</f>
        <v>0.7598474345714459</v>
      </c>
      <c r="N8" s="20">
        <f>IF(SUMIFS(Selections!$T$6:$T$49,Selections!$F$6:$F$49,"PROVISIONAL")=0,"n.a.",(SUMIFS(Selections!$L$6:$L$49,Selections!$F$6:$F$49,"PROVISIONAL",Selections!$T$6:$T$49,1))/SUMIFS(Selections!$T$6:$T$49,Selections!$F$6:$F$49,"PROVISIONAL"))</f>
        <v>0.6666666666666666</v>
      </c>
      <c r="O8" s="20">
        <f>IF(SUMIFS(Selections!$T$6:$T$49,Selections!$F$6:$F$49,"PROVISIONAL")=0,"n.a.",(SUMIFS(Selections!$S$6:$S$49,Selections!$F$6:$F$49,"PROVISIONAL")-(SUMIFS(Selections!$L$6:$L$49,Selections!$F$6:$F$49,"PROVISIONAL",Selections!$T$6:$T$49,1)))/SUMIFS(Selections!$T$6:$T$49,Selections!$F$6:$F$49,"PROVISIONAL"))</f>
        <v>0.09318076790477925</v>
      </c>
      <c r="P8" s="19">
        <f>SUMIFS(Selections!$T$6:$T$49,Selections!$F$6:$F$49,"PROVISIONAL")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COUNTIFS(Selections!$C$6:$C$49,"Bundesliga")</f>
        <v>4</v>
      </c>
      <c r="D9" s="19">
        <f>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3</v>
      </c>
      <c r="E9" s="19">
        <f>(COUNTIFS(Selections!$C$6:$C$49,"Bundesliga",Selections!$K$6:$K$49,"WON")+COUNTIFS(Selections!$C$6:$C$49,"Bundesliga",Selections!$K$6:$K$49,"HALF_WON"))</f>
        <v>3</v>
      </c>
      <c r="F9" s="19">
        <f>(COUNTIFS(Selections!$C$6:$C$49,"Bundesliga",Selections!$K$6:$K$49,"LOST")+COUNTIFS(Selections!$C$6:$C$49,"Bundesliga",Selections!$K$6:$K$49,"HALF_LOST"))</f>
        <v>0</v>
      </c>
      <c r="G9" s="19">
        <f>COUNTIFS(Selections!$C$6:$C$49,"Bundesliga")-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1</v>
      </c>
      <c r="H9" s="20">
        <f>IF(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=0,"n.a.",(COUNTIFS(Selections!$C$6:$C$49,"Bundesliga",Selections!$K$6:$K$49,"WON")+COUNTIFS(Selections!$C$6:$C$49,"Bundesliga",Selections!$K$6:$K$49,"HALF_WON"))/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)</f>
        <v>1.0</v>
      </c>
      <c r="I9" s="22">
        <f>SUMIFS(Selections!$M$6:$M$49,Selections!$C$6:$C$49,"Bundesliga")</f>
        <v>3</v>
      </c>
      <c r="J9" s="22">
        <f>SUMIFS(Selections!$N$6:$N$49,Selections!$C$6:$C$49,"Bundesliga")</f>
        <v>0.74</v>
      </c>
      <c r="K9" s="20">
        <f>IF(SUMIFS(Selections!$M$6:$M$49,Selections!$C$6:$C$49,"Bundesliga")=0,"n.a.",SUMIFS(Selections!$N$6:$N$49,Selections!$C$6:$C$49,"Bundesliga")/SUMIFS(Selections!$M$6:$M$49,Selections!$C$6:$C$49,"Bundesliga"))</f>
        <v>0.24666666666666667</v>
      </c>
      <c r="L9" s="21">
        <f>IF(SUMIFS(Selections!$T$6:$T$49,Selections!$C$6:$C$49,"Bundesliga")=0,"n.a.",SUMIFS(Selections!$O$6:$O$49,Selections!$C$6:$C$49,"Bundesliga")/SUMIFS(Selections!$T$6:$T$49,Selections!$C$6:$C$49,"Bundesliga"))</f>
        <v>0.03973352985046064</v>
      </c>
      <c r="M9" s="20">
        <f>IF(SUMIFS(Selections!$T$6:$T$49,Selections!$C$6:$C$49,"Bundesliga")=0,"n.a.",SUMIFS(Selections!$S$6:$S$49,Selections!$C$6:$C$49,"Bundesliga")/SUMIFS(Selections!$T$6:$T$49,Selections!$C$6:$C$49,"Bundesliga"))</f>
        <v>0.8037750849699149</v>
      </c>
      <c r="N9" s="20">
        <f>IF(SUMIFS(Selections!$T$6:$T$49,Selections!$C$6:$C$49,"Bundesliga")=0,"n.a.",(SUMIFS(Selections!$L$6:$L$49,Selections!$C$6:$C$49,"Bundesliga",Selections!$T$6:$T$49,1))/SUMIFS(Selections!$T$6:$T$49,Selections!$C$6:$C$49,"Bundesliga"))</f>
        <v>1.0</v>
      </c>
      <c r="O9" s="20">
        <f>IF(SUMIFS(Selections!$T$6:$T$49,Selections!$C$6:$C$49,"Bundesliga")=0,"n.a.",(SUMIFS(Selections!$S$6:$S$49,Selections!$C$6:$C$49,"Bundesliga")-(SUMIFS(Selections!$L$6:$L$49,Selections!$C$6:$C$49,"Bundesliga",Selections!$T$6:$T$49,1)))/SUMIFS(Selections!$T$6:$T$49,Selections!$C$6:$C$49,"Bundesliga"))</f>
        <v>-0.1962249150300851</v>
      </c>
      <c r="P9" s="19">
        <f>SUMIFS(Selections!$T$6:$T$49,Selections!$C$6:$C$49,"Bundesliga")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COUNTIFS(Selections!$C$6:$C$49,"La Liga")</f>
        <v>9</v>
      </c>
      <c r="D10" s="19">
        <f>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7</v>
      </c>
      <c r="E10" s="19">
        <f>(COUNTIFS(Selections!$C$6:$C$49,"La Liga",Selections!$K$6:$K$49,"WON")+COUNTIFS(Selections!$C$6:$C$49,"La Liga",Selections!$K$6:$K$49,"HALF_WON"))</f>
        <v>7</v>
      </c>
      <c r="F10" s="19">
        <f>(COUNTIFS(Selections!$C$6:$C$49,"La Liga",Selections!$K$6:$K$49,"LOST")+COUNTIFS(Selections!$C$6:$C$49,"La Liga",Selections!$K$6:$K$49,"HALF_LOST"))</f>
        <v>0</v>
      </c>
      <c r="G10" s="19">
        <f>COUNTIFS(Selections!$C$6:$C$49,"La Liga")-((COUNTIFS(Selections!$C$6:$C$49,"La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2</v>
      </c>
      <c r="H10" s="20">
        <f>IF(((COUNTIFS(Selections!$C$6:$C$49,"La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Liga",Selections!$K$6:$K$49,"REFUNDED"))=0,"n.a.",(COUNTIFS(Selections!$C$6:$C$49,"La Liga",Selections!$K$6:$K$49,"WON")+COUNTIFS(Selections!$C$6:$C$49,"La Liga",Selections!$K$6:$K$49,"HALF_WON"))/((COUNTIFS(Selections!$C$6:$C$49,"La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Liga",Selections!$K$6:$K$49,"REFUNDED")))</f>
        <v>1.0</v>
      </c>
      <c r="I10" s="22">
        <f>SUMIFS(Selections!$M$6:$M$49,Selections!$C$6:$C$49,"La Liga")</f>
        <v>7</v>
      </c>
      <c r="J10" s="22">
        <f>SUMIFS(Selections!$N$6:$N$49,Selections!$C$6:$C$49,"La Liga")</f>
        <v>2.3499999999999996</v>
      </c>
      <c r="K10" s="20">
        <f>IF(SUMIFS(Selections!$M$6:$M$49,Selections!$C$6:$C$49,"La Liga")=0,"n.a.",SUMIFS(Selections!$N$6:$N$49,Selections!$C$6:$C$49,"La Liga")/SUMIFS(Selections!$M$6:$M$49,Selections!$C$6:$C$49,"La Liga"))</f>
        <v>0.3357142857142857</v>
      </c>
      <c r="L10" s="21">
        <f>IF(SUMIFS(Selections!$T$6:$T$49,Selections!$C$6:$C$49,"La Liga")=0,"n.a.",SUMIFS(Selections!$O$6:$O$49,Selections!$C$6:$C$49,"La Liga")/SUMIFS(Selections!$T$6:$T$49,Selections!$C$6:$C$49,"La Liga"))</f>
        <v>0.04472528948252668</v>
      </c>
      <c r="M10" s="20">
        <f>IF(SUMIFS(Selections!$T$6:$T$49,Selections!$C$6:$C$49,"La Liga")=0,"n.a.",SUMIFS(Selections!$S$6:$S$49,Selections!$C$6:$C$49,"La Liga")/SUMIFS(Selections!$T$6:$T$49,Selections!$C$6:$C$49,"La Liga"))</f>
        <v>0.8050495168898368</v>
      </c>
      <c r="N10" s="20">
        <f>IF(SUMIFS(Selections!$T$6:$T$49,Selections!$C$6:$C$49,"La Liga")=0,"n.a.",(SUMIFS(Selections!$L$6:$L$49,Selections!$C$6:$C$49,"La Liga",Selections!$T$6:$T$49,1))/SUMIFS(Selections!$T$6:$T$49,Selections!$C$6:$C$49,"La Liga"))</f>
        <v>1.0</v>
      </c>
      <c r="O10" s="20">
        <f>IF(SUMIFS(Selections!$T$6:$T$49,Selections!$C$6:$C$49,"La Liga")=0,"n.a.",(SUMIFS(Selections!$S$6:$S$49,Selections!$C$6:$C$49,"La Liga")-(SUMIFS(Selections!$L$6:$L$49,Selections!$C$6:$C$49,"La Liga",Selections!$T$6:$T$49,1)))/SUMIFS(Selections!$T$6:$T$49,Selections!$C$6:$C$49,"La Liga"))</f>
        <v>-0.19495048311016316</v>
      </c>
      <c r="P10" s="19">
        <f>SUMIFS(Selections!$T$6:$T$49,Selections!$C$6:$C$49,"La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COUNTIFS(Selections!$C$6:$C$49,"Ligue 1")</f>
        <v>3</v>
      </c>
      <c r="D11" s="19">
        <f>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2</v>
      </c>
      <c r="E11" s="19">
        <f>(COUNTIFS(Selections!$C$6:$C$49,"Ligue 1",Selections!$K$6:$K$49,"WON")+COUNTIFS(Selections!$C$6:$C$49,"Ligue 1",Selections!$K$6:$K$49,"HALF_WON"))</f>
        <v>1</v>
      </c>
      <c r="F11" s="19">
        <f>(COUNTIFS(Selections!$C$6:$C$49,"Ligue 1",Selections!$K$6:$K$49,"LOST")+COUNTIFS(Selections!$C$6:$C$49,"Ligue 1",Selections!$K$6:$K$49,"HALF_LOST"))</f>
        <v>1</v>
      </c>
      <c r="G11" s="19">
        <f>COUNTIFS(Selections!$C$6:$C$49,"Ligue 1")-((COUNTIFS(Selections!$C$6:$C$49,"Ligue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1</v>
      </c>
      <c r="H11" s="20">
        <f>IF(((COUNTIFS(Selections!$C$6:$C$49,"Ligue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1",Selections!$K$6:$K$49,"REFUNDED"))=0,"n.a.",(COUNTIFS(Selections!$C$6:$C$49,"Ligue 1",Selections!$K$6:$K$49,"WON")+COUNTIFS(Selections!$C$6:$C$49,"Ligue 1",Selections!$K$6:$K$49,"HALF_WON"))/((COUNTIFS(Selections!$C$6:$C$49,"Ligue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1",Selections!$K$6:$K$49,"REFUNDED")))</f>
        <v>0.5</v>
      </c>
      <c r="I11" s="22">
        <f>SUMIFS(Selections!$M$6:$M$49,Selections!$C$6:$C$49,"Ligue 1")</f>
        <v>2</v>
      </c>
      <c r="J11" s="22">
        <f>SUMIFS(Selections!$N$6:$N$49,Selections!$C$6:$C$49,"Ligue 1")</f>
        <v>-0.33000000000000007</v>
      </c>
      <c r="K11" s="20">
        <f>IF(SUMIFS(Selections!$M$6:$M$49,Selections!$C$6:$C$49,"Ligue 1")=0,"n.a.",SUMIFS(Selections!$N$6:$N$49,Selections!$C$6:$C$49,"Ligue 1")/SUMIFS(Selections!$M$6:$M$49,Selections!$C$6:$C$49,"Ligue 1"))</f>
        <v>-0.16500000000000004</v>
      </c>
      <c r="L11" s="21">
        <f>IF(SUMIFS(Selections!$T$6:$T$49,Selections!$C$6:$C$49,"Ligue 1")=0,"n.a.",SUMIFS(Selections!$O$6:$O$49,Selections!$C$6:$C$49,"Ligue 1")/SUMIFS(Selections!$T$6:$T$49,Selections!$C$6:$C$49,"Ligue 1"))</f>
        <v>0.37925018842161284</v>
      </c>
      <c r="M11" s="20">
        <f>IF(SUMIFS(Selections!$T$6:$T$49,Selections!$C$6:$C$49,"Ligue 1")=0,"n.a.",SUMIFS(Selections!$S$6:$S$49,Selections!$C$6:$C$49,"Ligue 1")/SUMIFS(Selections!$T$6:$T$49,Selections!$C$6:$C$49,"Ligue 1"))</f>
        <v>0.6960953243674277</v>
      </c>
      <c r="N11" s="20">
        <f>IF(SUMIFS(Selections!$T$6:$T$49,Selections!$C$6:$C$49,"Ligue 1")=0,"n.a.",(SUMIFS(Selections!$L$6:$L$49,Selections!$C$6:$C$49,"Ligue 1",Selections!$T$6:$T$49,1))/SUMIFS(Selections!$T$6:$T$49,Selections!$C$6:$C$49,"Ligue 1"))</f>
        <v>0.5</v>
      </c>
      <c r="O11" s="20">
        <f>IF(SUMIFS(Selections!$T$6:$T$49,Selections!$C$6:$C$49,"Ligue 1")=0,"n.a.",(SUMIFS(Selections!$S$6:$S$49,Selections!$C$6:$C$49,"Ligue 1")-(SUMIFS(Selections!$L$6:$L$49,Selections!$C$6:$C$49,"Ligue 1",Selections!$T$6:$T$49,1)))/SUMIFS(Selections!$T$6:$T$49,Selections!$C$6:$C$49,"Ligue 1"))</f>
        <v>0.19609532436742771</v>
      </c>
      <c r="P11" s="19">
        <f>SUMIFS(Selections!$T$6:$T$49,Selections!$C$6:$C$49,"Ligue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COUNTIFS(Selections!$C$6:$C$49,"Premier League")</f>
        <v>7</v>
      </c>
      <c r="D12" s="19">
        <f>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7</v>
      </c>
      <c r="E12" s="19">
        <f>(COUNTIFS(Selections!$C$6:$C$49,"Premier League",Selections!$K$6:$K$49,"WON")+COUNTIFS(Selections!$C$6:$C$49,"Premier League",Selections!$K$6:$K$49,"HALF_WON"))</f>
        <v>3</v>
      </c>
      <c r="F12" s="19">
        <f>(COUNTIFS(Selections!$C$6:$C$49,"Premier League",Selections!$K$6:$K$49,"LOST")+COUNTIFS(Selections!$C$6:$C$49,"Premier League",Selections!$K$6:$K$49,"HALF_LOST"))</f>
        <v>4</v>
      </c>
      <c r="G12" s="19">
        <f>COUNTIFS(Selections!$C$6:$C$49,"Premier League")-((COUNTIFS(Selections!$C$6:$C$49,"Premier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0</v>
      </c>
      <c r="H12" s="20">
        <f>IF(((COUNTIFS(Selections!$C$6:$C$49,"Premier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League",Selections!$K$6:$K$49,"REFUNDED"))=0,"n.a.",(COUNTIFS(Selections!$C$6:$C$49,"Premier League",Selections!$K$6:$K$49,"WON")+COUNTIFS(Selections!$C$6:$C$49,"Premier League",Selections!$K$6:$K$49,"HALF_WON"))/((COUNTIFS(Selections!$C$6:$C$49,"Premier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League",Selections!$K$6:$K$49,"REFUNDED")))</f>
        <v>0.42857142857142855</v>
      </c>
      <c r="I12" s="22">
        <f>SUMIFS(Selections!$M$6:$M$49,Selections!$C$6:$C$49,"Premier League")</f>
        <v>7</v>
      </c>
      <c r="J12" s="22">
        <f>SUMIFS(Selections!$N$6:$N$49,Selections!$C$6:$C$49,"Premier League")</f>
        <v>-3.14</v>
      </c>
      <c r="K12" s="20">
        <f>IF(SUMIFS(Selections!$M$6:$M$49,Selections!$C$6:$C$49,"Premier League")=0,"n.a.",SUMIFS(Selections!$N$6:$N$49,Selections!$C$6:$C$49,"Premier League")/SUMIFS(Selections!$M$6:$M$49,Selections!$C$6:$C$49,"Premier League"))</f>
        <v>-0.44857142857142857</v>
      </c>
      <c r="L12" s="21">
        <f>IF(SUMIFS(Selections!$T$6:$T$49,Selections!$C$6:$C$49,"Premier League")=0,"n.a.",SUMIFS(Selections!$O$6:$O$49,Selections!$C$6:$C$49,"Premier League")/SUMIFS(Selections!$T$6:$T$49,Selections!$C$6:$C$49,"Premier League"))</f>
        <v>0.3247119097385153</v>
      </c>
      <c r="M12" s="20">
        <f>IF(SUMIFS(Selections!$T$6:$T$49,Selections!$C$6:$C$49,"Premier League")=0,"n.a.",SUMIFS(Selections!$S$6:$S$49,Selections!$C$6:$C$49,"Premier League")/SUMIFS(Selections!$T$6:$T$49,Selections!$C$6:$C$49,"Premier League"))</f>
        <v>0.7617010574917773</v>
      </c>
      <c r="N12" s="20">
        <f>IF(SUMIFS(Selections!$T$6:$T$49,Selections!$C$6:$C$49,"Premier League")=0,"n.a.",(SUMIFS(Selections!$L$6:$L$49,Selections!$C$6:$C$49,"Premier League",Selections!$T$6:$T$49,1))/SUMIFS(Selections!$T$6:$T$49,Selections!$C$6:$C$49,"Premier League"))</f>
        <v>0.42857142857142855</v>
      </c>
      <c r="O12" s="20">
        <f>IF(SUMIFS(Selections!$T$6:$T$49,Selections!$C$6:$C$49,"Premier League")=0,"n.a.",(SUMIFS(Selections!$S$6:$S$49,Selections!$C$6:$C$49,"Premier League")-(SUMIFS(Selections!$L$6:$L$49,Selections!$C$6:$C$49,"Premier League",Selections!$T$6:$T$49,1)))/SUMIFS(Selections!$T$6:$T$49,Selections!$C$6:$C$49,"Premier League"))</f>
        <v>0.33312962892034875</v>
      </c>
      <c r="P12" s="19">
        <f>SUMIFS(Selections!$T$6:$T$49,Selections!$C$6:$C$49,"Premier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COUNTIFS(Selections!$C$6:$C$49,"Serie A")</f>
        <v>7</v>
      </c>
      <c r="D13" s="19">
        <f>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7</v>
      </c>
      <c r="E13" s="19">
        <f>(COUNTIFS(Selections!$C$6:$C$49,"Serie A",Selections!$K$6:$K$49,"WON")+COUNTIFS(Selections!$C$6:$C$49,"Serie A",Selections!$K$6:$K$49,"HALF_WON"))</f>
        <v>4</v>
      </c>
      <c r="F13" s="19">
        <f>(COUNTIFS(Selections!$C$6:$C$49,"Serie A",Selections!$K$6:$K$49,"LOST")+COUNTIFS(Selections!$C$6:$C$49,"Serie A",Selections!$K$6:$K$49,"HALF_LOST"))</f>
        <v>3</v>
      </c>
      <c r="G13" s="19">
        <f>COUNTIFS(Selections!$C$6:$C$49,"Serie A")-((COUNTIFS(Selections!$C$6:$C$49,"Serie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0</v>
      </c>
      <c r="H13" s="20">
        <f>IF(((COUNTIFS(Selections!$C$6:$C$49,"Serie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A",Selections!$K$6:$K$49,"REFUNDED"))=0,"n.a.",(COUNTIFS(Selections!$C$6:$C$49,"Serie A",Selections!$K$6:$K$49,"WON")+COUNTIFS(Selections!$C$6:$C$49,"Serie A",Selections!$K$6:$K$49,"HALF_WON"))/((COUNTIFS(Selections!$C$6:$C$49,"Serie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A",Selections!$K$6:$K$49,"REFUNDED")))</f>
        <v>0.5714285714285714</v>
      </c>
      <c r="I13" s="22">
        <f>SUMIFS(Selections!$M$6:$M$49,Selections!$C$6:$C$49,"Serie A")</f>
        <v>7</v>
      </c>
      <c r="J13" s="22">
        <f>SUMIFS(Selections!$N$6:$N$49,Selections!$C$6:$C$49,"Serie A")</f>
        <v>-1.2</v>
      </c>
      <c r="K13" s="20">
        <f>IF(SUMIFS(Selections!$M$6:$M$49,Selections!$C$6:$C$49,"Serie A")=0,"n.a.",SUMIFS(Selections!$N$6:$N$49,Selections!$C$6:$C$49,"Serie A")/SUMIFS(Selections!$M$6:$M$49,Selections!$C$6:$C$49,"Serie A"))</f>
        <v>-0.17142857142857143</v>
      </c>
      <c r="L13" s="21">
        <f>IF(SUMIFS(Selections!$T$6:$T$49,Selections!$C$6:$C$49,"Serie A")=0,"n.a.",SUMIFS(Selections!$O$6:$O$49,Selections!$C$6:$C$49,"Serie A")/SUMIFS(Selections!$T$6:$T$49,Selections!$C$6:$C$49,"Serie A"))</f>
        <v>0.21823672177191275</v>
      </c>
      <c r="M13" s="20">
        <f>IF(SUMIFS(Selections!$T$6:$T$49,Selections!$C$6:$C$49,"Serie A")=0,"n.a.",SUMIFS(Selections!$S$6:$S$49,Selections!$C$6:$C$49,"Serie A")/SUMIFS(Selections!$T$6:$T$49,Selections!$C$6:$C$49,"Serie A"))</f>
        <v>0.6825380697167371</v>
      </c>
      <c r="N13" s="20">
        <f>IF(SUMIFS(Selections!$T$6:$T$49,Selections!$C$6:$C$49,"Serie A")=0,"n.a.",(SUMIFS(Selections!$L$6:$L$49,Selections!$C$6:$C$49,"Serie A",Selections!$T$6:$T$49,1))/SUMIFS(Selections!$T$6:$T$49,Selections!$C$6:$C$49,"Serie A"))</f>
        <v>0.5714285714285714</v>
      </c>
      <c r="O13" s="20">
        <f>IF(SUMIFS(Selections!$T$6:$T$49,Selections!$C$6:$C$49,"Serie A")=0,"n.a.",(SUMIFS(Selections!$S$6:$S$49,Selections!$C$6:$C$49,"Serie A")-(SUMIFS(Selections!$L$6:$L$49,Selections!$C$6:$C$49,"Serie A",Selections!$T$6:$T$49,1)))/SUMIFS(Selections!$T$6:$T$49,Selections!$C$6:$C$49,"Serie A"))</f>
        <v>0.11110949828816574</v>
      </c>
      <c r="P13" s="19">
        <f>SUMIFS(Selections!$T$6:$T$49,Selections!$C$6:$C$49,"Serie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COUNTIFS(Selections!$C$6:$C$49,"UEFA Champions League")</f>
        <v>14</v>
      </c>
      <c r="D14" s="19">
        <f>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12</v>
      </c>
      <c r="E14" s="19">
        <f>(COUNTIFS(Selections!$C$6:$C$49,"UEFA Champions League",Selections!$K$6:$K$49,"WON")+COUNTIFS(Selections!$C$6:$C$49,"UEFA Champions League",Selections!$K$6:$K$49,"HALF_WON"))</f>
        <v>10</v>
      </c>
      <c r="F14" s="19">
        <f>(COUNTIFS(Selections!$C$6:$C$49,"UEFA Champions League",Selections!$K$6:$K$49,"LOST")+COUNTIFS(Selections!$C$6:$C$49,"UEFA Champions League",Selections!$K$6:$K$49,"HALF_LOST"))</f>
        <v>2</v>
      </c>
      <c r="G14" s="19">
        <f>COUNTIFS(Selections!$C$6:$C$49,"UEFA Champions League")-((COUNTIFS(Selections!$C$6:$C$49,"UEFA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2</v>
      </c>
      <c r="H14" s="20">
        <f>IF(((COUNTIFS(Selections!$C$6:$C$49,"UEFA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League",Selections!$K$6:$K$49,"REFUNDED"))=0,"n.a.",(COUNTIFS(Selections!$C$6:$C$49,"UEFA Champions League",Selections!$K$6:$K$49,"WON")+COUNTIFS(Selections!$C$6:$C$49,"UEFA Champions League",Selections!$K$6:$K$49,"HALF_WON"))/((COUNTIFS(Selections!$C$6:$C$49,"UEFA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League",Selections!$K$6:$K$49,"REFUNDED")))</f>
        <v>0.8333333333333334</v>
      </c>
      <c r="I14" s="22">
        <f>SUMIFS(Selections!$M$6:$M$49,Selections!$C$6:$C$49,"UEFA Champions League")</f>
        <v>12</v>
      </c>
      <c r="J14" s="22">
        <f>SUMIFS(Selections!$N$6:$N$49,Selections!$C$6:$C$49,"UEFA Champions League")</f>
        <v>2.01</v>
      </c>
      <c r="K14" s="20">
        <f>IF(SUMIFS(Selections!$M$6:$M$49,Selections!$C$6:$C$49,"UEFA Champions League")=0,"n.a.",SUMIFS(Selections!$N$6:$N$49,Selections!$C$6:$C$49,"UEFA Champions League")/SUMIFS(Selections!$M$6:$M$49,Selections!$C$6:$C$49,"UEFA Champions League"))</f>
        <v>0.16749999999999998</v>
      </c>
      <c r="L14" s="21">
        <f>IF(SUMIFS(Selections!$T$6:$T$49,Selections!$C$6:$C$49,"UEFA Champions League")=0,"n.a.",SUMIFS(Selections!$O$6:$O$49,Selections!$C$6:$C$49,"UEFA Champions League")/SUMIFS(Selections!$T$6:$T$49,Selections!$C$6:$C$49,"UEFA Champions League"))</f>
        <v>0.14431274457999424</v>
      </c>
      <c r="M14" s="20">
        <f>IF(SUMIFS(Selections!$T$6:$T$49,Selections!$C$6:$C$49,"UEFA Champions League")=0,"n.a.",SUMIFS(Selections!$S$6:$S$49,Selections!$C$6:$C$49,"UEFA Champions League")/SUMIFS(Selections!$T$6:$T$49,Selections!$C$6:$C$49,"UEFA Champions League"))</f>
        <v>0.7728553874198951</v>
      </c>
      <c r="N14" s="20">
        <f>IF(SUMIFS(Selections!$T$6:$T$49,Selections!$C$6:$C$49,"UEFA Champions League")=0,"n.a.",(SUMIFS(Selections!$L$6:$L$49,Selections!$C$6:$C$49,"UEFA Champions League",Selections!$T$6:$T$49,1))/SUMIFS(Selections!$T$6:$T$49,Selections!$C$6:$C$49,"UEFA Champions League"))</f>
        <v>0.8333333333333334</v>
      </c>
      <c r="O14" s="20">
        <f>IF(SUMIFS(Selections!$T$6:$T$49,Selections!$C$6:$C$49,"UEFA Champions League")=0,"n.a.",(SUMIFS(Selections!$S$6:$S$49,Selections!$C$6:$C$49,"UEFA Champions League")-(SUMIFS(Selections!$L$6:$L$49,Selections!$C$6:$C$49,"UEFA Champions League",Selections!$T$6:$T$49,1)))/SUMIFS(Selections!$T$6:$T$49,Selections!$C$6:$C$49,"UEFA Champions League"))</f>
        <v>-0.06047794591343825</v>
      </c>
      <c r="P14" s="19">
        <f>SUMIFS(Selections!$T$6:$T$49,Selections!$C$6:$C$49,"UEFA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+2.00</t>
        </is>
      </c>
      <c r="C15" s="19">
        <f>COUNTIFS(Selections!$E$6:$E$49,"Asian Handicap Away +2.00")</f>
        <v>1</v>
      </c>
      <c r="D15" s="19">
        <f>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0</v>
      </c>
      <c r="E15" s="19">
        <f>(COUNTIFS(Selections!$E$6:$E$49,"Asian Handicap Away +2.00",Selections!$K$6:$K$49,"WON")+COUNTIFS(Selections!$E$6:$E$49,"Asian Handicap Away +2.00",Selections!$K$6:$K$49,"HALF_WON"))</f>
        <v>0</v>
      </c>
      <c r="F15" s="19">
        <f>(COUNTIFS(Selections!$E$6:$E$49,"Asian Handicap Away +2.00",Selections!$K$6:$K$49,"LOST")+COUNTIFS(Selections!$E$6:$E$49,"Asian Handicap Away +2.00",Selections!$K$6:$K$49,"HALF_LOST"))</f>
        <v>0</v>
      </c>
      <c r="G15" s="19">
        <f>COUNTIFS(Selections!$E$6:$E$49,"Asian Handicap Away +2.00")-((COUNTIFS(Selections!$E$6:$E$49,"Asian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1</v>
      </c>
      <c r="H15" s="20" t="str">
        <f>IF(((COUNTIFS(Selections!$E$6:$E$49,"Asian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+2.00",Selections!$K$6:$K$49,"REFUNDED"))=0,"n.a.",(COUNTIFS(Selections!$E$6:$E$49,"Asian Handicap Away +2.00",Selections!$K$6:$K$49,"WON")+COUNTIFS(Selections!$E$6:$E$49,"Asian Handicap Away +2.00",Selections!$K$6:$K$49,"HALF_WON"))/((COUNTIFS(Selections!$E$6:$E$49,"Asian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+2.00",Selections!$K$6:$K$49,"REFUNDED")))</f>
        <v>n.a.</v>
      </c>
      <c r="I15" s="22">
        <f>SUMIFS(Selections!$M$6:$M$49,Selections!$E$6:$E$49,"Asian Handicap Away +2.00")</f>
        <v>0</v>
      </c>
      <c r="J15" s="22">
        <f>SUMIFS(Selections!$N$6:$N$49,Selections!$E$6:$E$49,"Asian Handicap Away +2.00")</f>
        <v>0</v>
      </c>
      <c r="K15" s="20" t="str">
        <f>IF(SUMIFS(Selections!$M$6:$M$49,Selections!$E$6:$E$49,"Asian Handicap Away +2.00")=0,"n.a.",SUMIFS(Selections!$N$6:$N$49,Selections!$E$6:$E$49,"Asian Handicap Away +2.00")/SUMIFS(Selections!$M$6:$M$49,Selections!$E$6:$E$49,"Asian Handicap Away +2.00"))</f>
        <v>n.a.</v>
      </c>
      <c r="L15" s="21" t="str">
        <f>IF(SUMIFS(Selections!$T$6:$T$49,Selections!$E$6:$E$49,"Asian Handicap Away +2.00")=0,"n.a.",SUMIFS(Selections!$O$6:$O$49,Selections!$E$6:$E$49,"Asian Handicap Away +2.00")/SUMIFS(Selections!$T$6:$T$49,Selections!$E$6:$E$49,"Asian Handicap Away +2.00"))</f>
        <v>n.a.</v>
      </c>
      <c r="M15" s="20" t="str">
        <f>IF(SUMIFS(Selections!$T$6:$T$49,Selections!$E$6:$E$49,"Asian Handicap Away +2.00")=0,"n.a.",SUMIFS(Selections!$S$6:$S$49,Selections!$E$6:$E$49,"Asian Handicap Away +2.00")/SUMIFS(Selections!$T$6:$T$49,Selections!$E$6:$E$49,"Asian Handicap Away +2.00"))</f>
        <v>n.a.</v>
      </c>
      <c r="N15" s="20" t="str">
        <f>IF(SUMIFS(Selections!$T$6:$T$49,Selections!$E$6:$E$49,"Asian Handicap Away +2.00")=0,"n.a.",(SUMIFS(Selections!$L$6:$L$49,Selections!$E$6:$E$49,"Asian Handicap Away +2.00",Selections!$T$6:$T$49,1))/SUMIFS(Selections!$T$6:$T$49,Selections!$E$6:$E$49,"Asian Handicap Away +2.00"))</f>
        <v>n.a.</v>
      </c>
      <c r="O15" s="20" t="str">
        <f>IF(SUMIFS(Selections!$T$6:$T$49,Selections!$E$6:$E$49,"Asian Handicap Away +2.00")=0,"n.a.",(SUMIFS(Selections!$S$6:$S$49,Selections!$E$6:$E$49,"Asian Handicap Away +2.00")-(SUMIFS(Selections!$L$6:$L$49,Selections!$E$6:$E$49,"Asian Handicap Away +2.00",Selections!$T$6:$T$49,1)))/SUMIFS(Selections!$T$6:$T$49,Selections!$E$6:$E$49,"Asian Handicap Away +2.00"))</f>
        <v>n.a.</v>
      </c>
      <c r="P15" s="19">
        <f>SUMIFS(Selections!$T$6:$T$49,Selections!$E$6:$E$49,"Asian Handicap Away +2.00")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Away win</t>
        </is>
      </c>
      <c r="C16" s="19">
        <f>COUNTIFS(Selections!$E$6:$E$49,"Away win")</f>
        <v>1</v>
      </c>
      <c r="D16" s="19">
        <f>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1</v>
      </c>
      <c r="E16" s="19">
        <f>(COUNTIFS(Selections!$E$6:$E$49,"Away win",Selections!$K$6:$K$49,"WON")+COUNTIFS(Selections!$E$6:$E$49,"Away win",Selections!$K$6:$K$49,"HALF_WON"))</f>
        <v>0</v>
      </c>
      <c r="F16" s="19">
        <f>(COUNTIFS(Selections!$E$6:$E$49,"Away win",Selections!$K$6:$K$49,"LOST")+COUNTIFS(Selections!$E$6:$E$49,"Away win",Selections!$K$6:$K$49,"HALF_LOST"))</f>
        <v>1</v>
      </c>
      <c r="G16" s="19">
        <f>COUNTIFS(Selections!$E$6:$E$49,"Away win")-((COUNTIFS(Selections!$E$6:$E$49,"Away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0</v>
      </c>
      <c r="H16" s="20">
        <f>IF(((COUNTIFS(Selections!$E$6:$E$49,"Away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win",Selections!$K$6:$K$49,"REFUNDED"))=0,"n.a.",(COUNTIFS(Selections!$E$6:$E$49,"Away win",Selections!$K$6:$K$49,"WON")+COUNTIFS(Selections!$E$6:$E$49,"Away win",Selections!$K$6:$K$49,"HALF_WON"))/((COUNTIFS(Selections!$E$6:$E$49,"Away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win",Selections!$K$6:$K$49,"REFUNDED")))</f>
        <v>0.0</v>
      </c>
      <c r="I16" s="22">
        <f>SUMIFS(Selections!$M$6:$M$49,Selections!$E$6:$E$49,"Away win")</f>
        <v>1</v>
      </c>
      <c r="J16" s="22">
        <f>SUMIFS(Selections!$N$6:$N$49,Selections!$E$6:$E$49,"Away win")</f>
        <v>-1.0</v>
      </c>
      <c r="K16" s="20">
        <f>IF(SUMIFS(Selections!$M$6:$M$49,Selections!$E$6:$E$49,"Away win")=0,"n.a.",SUMIFS(Selections!$N$6:$N$49,Selections!$E$6:$E$49,"Away win")/SUMIFS(Selections!$M$6:$M$49,Selections!$E$6:$E$49,"Away win"))</f>
        <v>-1.0</v>
      </c>
      <c r="L16" s="21">
        <f>IF(SUMIFS(Selections!$T$6:$T$49,Selections!$E$6:$E$49,"Away win")=0,"n.a.",SUMIFS(Selections!$O$6:$O$49,Selections!$E$6:$E$49,"Away win")/SUMIFS(Selections!$T$6:$T$49,Selections!$E$6:$E$49,"Away win"))</f>
        <v>0.4253283778022773</v>
      </c>
      <c r="M16" s="20">
        <f>IF(SUMIFS(Selections!$T$6:$T$49,Selections!$E$6:$E$49,"Away win")=0,"n.a.",SUMIFS(Selections!$S$6:$S$49,Selections!$E$6:$E$49,"Away win")/SUMIFS(Selections!$T$6:$T$49,Selections!$E$6:$E$49,"Away win"))</f>
        <v>0.6521720461674797</v>
      </c>
      <c r="N16" s="20">
        <f>IF(SUMIFS(Selections!$T$6:$T$49,Selections!$E$6:$E$49,"Away win")=0,"n.a.",(SUMIFS(Selections!$L$6:$L$49,Selections!$E$6:$E$49,"Away win",Selections!$T$6:$T$49,1))/SUMIFS(Selections!$T$6:$T$49,Selections!$E$6:$E$49,"Away win"))</f>
        <v>0.0</v>
      </c>
      <c r="O16" s="20">
        <f>IF(SUMIFS(Selections!$T$6:$T$49,Selections!$E$6:$E$49,"Away win")=0,"n.a.",(SUMIFS(Selections!$S$6:$S$49,Selections!$E$6:$E$49,"Away win")-(SUMIFS(Selections!$L$6:$L$49,Selections!$E$6:$E$49,"Away win",Selections!$T$6:$T$49,1)))/SUMIFS(Selections!$T$6:$T$49,Selections!$E$6:$E$49,"Away win"))</f>
        <v>0.6521720461674797</v>
      </c>
      <c r="P16" s="19">
        <f>SUMIFS(Selections!$T$6:$T$49,Selections!$E$6:$E$49,"Away win")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Both Teams to Score - Yes</t>
        </is>
      </c>
      <c r="C17" s="19">
        <f>COUNTIFS(Selections!$E$6:$E$49,"Both Teams to Score - Yes")</f>
        <v>3</v>
      </c>
      <c r="D17" s="19">
        <f>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3</v>
      </c>
      <c r="E17" s="19">
        <f>(COUNTIFS(Selections!$E$6:$E$49,"Both Teams to Score - Yes",Selections!$K$6:$K$49,"WON")+COUNTIFS(Selections!$E$6:$E$49,"Both Teams to Score - Yes",Selections!$K$6:$K$49,"HALF_WON"))</f>
        <v>2</v>
      </c>
      <c r="F17" s="19">
        <f>(COUNTIFS(Selections!$E$6:$E$49,"Both Teams to Score - Yes",Selections!$K$6:$K$49,"LOST")+COUNTIFS(Selections!$E$6:$E$49,"Both Teams to Score - Yes",Selections!$K$6:$K$49,"HALF_LOST"))</f>
        <v>1</v>
      </c>
      <c r="G17" s="19">
        <f>COUNTIFS(Selections!$E$6:$E$49,"Both Teams to Score - Yes")-((COUNTIFS(Selections!$E$6:$E$49,"Both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0</v>
      </c>
      <c r="H17" s="20">
        <f>IF(((COUNTIFS(Selections!$E$6:$E$49,"Both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Yes",Selections!$K$6:$K$49,"REFUNDED"))=0,"n.a.",(COUNTIFS(Selections!$E$6:$E$49,"Both Teams to Score - Yes",Selections!$K$6:$K$49,"WON")+COUNTIFS(Selections!$E$6:$E$49,"Both Teams to Score - Yes",Selections!$K$6:$K$49,"HALF_WON"))/((COUNTIFS(Selections!$E$6:$E$49,"Both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Yes",Selections!$K$6:$K$49,"REFUNDED")))</f>
        <v>0.6666666666666666</v>
      </c>
      <c r="I17" s="22">
        <f>SUMIFS(Selections!$M$6:$M$49,Selections!$E$6:$E$49,"Both Teams to Score - Yes")</f>
        <v>3</v>
      </c>
      <c r="J17" s="22">
        <f>SUMIFS(Selections!$N$6:$N$49,Selections!$E$6:$E$49,"Both Teams to Score - Yes")</f>
        <v>0.020000000000000018</v>
      </c>
      <c r="K17" s="20">
        <f>IF(SUMIFS(Selections!$M$6:$M$49,Selections!$E$6:$E$49,"Both Teams to Score - Yes")=0,"n.a.",SUMIFS(Selections!$N$6:$N$49,Selections!$E$6:$E$49,"Both Teams to Score - Yes")/SUMIFS(Selections!$M$6:$M$49,Selections!$E$6:$E$49,"Both Teams to Score - Yes"))</f>
        <v>0.006666666666666672</v>
      </c>
      <c r="L17" s="21">
        <f>IF(SUMIFS(Selections!$T$6:$T$49,Selections!$E$6:$E$49,"Both Teams to Score - Yes")=0,"n.a.",SUMIFS(Selections!$O$6:$O$49,Selections!$E$6:$E$49,"Both Teams to Score - Yes")/SUMIFS(Selections!$T$6:$T$49,Selections!$E$6:$E$49,"Both Teams to Score - Yes"))</f>
        <v>0.2227178753914428</v>
      </c>
      <c r="M17" s="20">
        <f>IF(SUMIFS(Selections!$T$6:$T$49,Selections!$E$6:$E$49,"Both Teams to Score - Yes")=0,"n.a.",SUMIFS(Selections!$S$6:$S$49,Selections!$E$6:$E$49,"Both Teams to Score - Yes")/SUMIFS(Selections!$T$6:$T$49,Selections!$E$6:$E$49,"Both Teams to Score - Yes"))</f>
        <v>0.7130523653970714</v>
      </c>
      <c r="N17" s="20">
        <f>IF(SUMIFS(Selections!$T$6:$T$49,Selections!$E$6:$E$49,"Both Teams to Score - Yes")=0,"n.a.",(SUMIFS(Selections!$L$6:$L$49,Selections!$E$6:$E$49,"Both Teams to Score - Yes",Selections!$T$6:$T$49,1))/SUMIFS(Selections!$T$6:$T$49,Selections!$E$6:$E$49,"Both Teams to Score - Yes"))</f>
        <v>0.6666666666666666</v>
      </c>
      <c r="O17" s="20">
        <f>IF(SUMIFS(Selections!$T$6:$T$49,Selections!$E$6:$E$49,"Both Teams to Score - Yes")=0,"n.a.",(SUMIFS(Selections!$S$6:$S$49,Selections!$E$6:$E$49,"Both Teams to Score - Yes")-(SUMIFS(Selections!$L$6:$L$49,Selections!$E$6:$E$49,"Both Teams to Score - Yes",Selections!$T$6:$T$49,1)))/SUMIFS(Selections!$T$6:$T$49,Selections!$E$6:$E$49,"Both Teams to Score - Yes"))</f>
        <v>0.04638569873040477</v>
      </c>
      <c r="P17" s="19">
        <f>SUMIFS(Selections!$T$6:$T$49,Selections!$E$6:$E$49,"Both Teams to Score - Yes")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Double Chance 12</t>
        </is>
      </c>
      <c r="C18" s="19">
        <f>COUNTIFS(Selections!$E$6:$E$49,"Double Chance 12")</f>
        <v>6</v>
      </c>
      <c r="D18" s="19">
        <f>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6</v>
      </c>
      <c r="E18" s="19">
        <f>(COUNTIFS(Selections!$E$6:$E$49,"Double Chance 12",Selections!$K$6:$K$49,"WON")+COUNTIFS(Selections!$E$6:$E$49,"Double Chance 12",Selections!$K$6:$K$49,"HALF_WON"))</f>
        <v>5</v>
      </c>
      <c r="F18" s="19">
        <f>(COUNTIFS(Selections!$E$6:$E$49,"Double Chance 12",Selections!$K$6:$K$49,"LOST")+COUNTIFS(Selections!$E$6:$E$49,"Double Chance 12",Selections!$K$6:$K$49,"HALF_LOST"))</f>
        <v>1</v>
      </c>
      <c r="G18" s="19">
        <f>COUNTIFS(Selections!$E$6:$E$49,"Double Chance 12")-((COUNTIFS(Selections!$E$6:$E$49,"Double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0</v>
      </c>
      <c r="H18" s="20">
        <f>IF(((COUNTIFS(Selections!$E$6:$E$49,"Double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12",Selections!$K$6:$K$49,"REFUNDED"))=0,"n.a.",(COUNTIFS(Selections!$E$6:$E$49,"Double Chance 12",Selections!$K$6:$K$49,"WON")+COUNTIFS(Selections!$E$6:$E$49,"Double Chance 12",Selections!$K$6:$K$49,"HALF_WON"))/((COUNTIFS(Selections!$E$6:$E$49,"Double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12",Selections!$K$6:$K$49,"REFUNDED")))</f>
        <v>0.8333333333333334</v>
      </c>
      <c r="I18" s="22">
        <f>SUMIFS(Selections!$M$6:$M$49,Selections!$E$6:$E$49,"Double Chance 12")</f>
        <v>6</v>
      </c>
      <c r="J18" s="22">
        <f>SUMIFS(Selections!$N$6:$N$49,Selections!$E$6:$E$49,"Double Chance 12")</f>
        <v>0.15999999999999992</v>
      </c>
      <c r="K18" s="20">
        <f>IF(SUMIFS(Selections!$M$6:$M$49,Selections!$E$6:$E$49,"Double Chance 12")=0,"n.a.",SUMIFS(Selections!$N$6:$N$49,Selections!$E$6:$E$49,"Double Chance 12")/SUMIFS(Selections!$M$6:$M$49,Selections!$E$6:$E$49,"Double Chance 12"))</f>
        <v>0.026666666666666655</v>
      </c>
      <c r="L18" s="21">
        <f>IF(SUMIFS(Selections!$T$6:$T$49,Selections!$E$6:$E$49,"Double Chance 12")=0,"n.a.",SUMIFS(Selections!$O$6:$O$49,Selections!$E$6:$E$49,"Double Chance 12")/SUMIFS(Selections!$T$6:$T$49,Selections!$E$6:$E$49,"Double Chance 12"))</f>
        <v>0.14009739195753312</v>
      </c>
      <c r="M18" s="20">
        <f>IF(SUMIFS(Selections!$T$6:$T$49,Selections!$E$6:$E$49,"Double Chance 12")=0,"n.a.",SUMIFS(Selections!$S$6:$S$49,Selections!$E$6:$E$49,"Double Chance 12")/SUMIFS(Selections!$T$6:$T$49,Selections!$E$6:$E$49,"Double Chance 12"))</f>
        <v>0.7831522470696245</v>
      </c>
      <c r="N18" s="20">
        <f>IF(SUMIFS(Selections!$T$6:$T$49,Selections!$E$6:$E$49,"Double Chance 12")=0,"n.a.",(SUMIFS(Selections!$L$6:$L$49,Selections!$E$6:$E$49,"Double Chance 12",Selections!$T$6:$T$49,1))/SUMIFS(Selections!$T$6:$T$49,Selections!$E$6:$E$49,"Double Chance 12"))</f>
        <v>0.8333333333333334</v>
      </c>
      <c r="O18" s="20">
        <f>IF(SUMIFS(Selections!$T$6:$T$49,Selections!$E$6:$E$49,"Double Chance 12")=0,"n.a.",(SUMIFS(Selections!$S$6:$S$49,Selections!$E$6:$E$49,"Double Chance 12")-(SUMIFS(Selections!$L$6:$L$49,Selections!$E$6:$E$49,"Double Chance 12",Selections!$T$6:$T$49,1)))/SUMIFS(Selections!$T$6:$T$49,Selections!$E$6:$E$49,"Double Chance 12"))</f>
        <v>-0.050181086263708874</v>
      </c>
      <c r="P18" s="19">
        <f>SUMIFS(Selections!$T$6:$T$49,Selections!$E$6:$E$49,"Double Chance 12")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Double Chance 1X</t>
        </is>
      </c>
      <c r="C19" s="19">
        <f>COUNTIFS(Selections!$E$6:$E$49,"Double Chance 1X")</f>
        <v>8</v>
      </c>
      <c r="D19" s="19">
        <f>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5</v>
      </c>
      <c r="E19" s="19">
        <f>(COUNTIFS(Selections!$E$6:$E$49,"Double Chance 1X",Selections!$K$6:$K$49,"WON")+COUNTIFS(Selections!$E$6:$E$49,"Double Chance 1X",Selections!$K$6:$K$49,"HALF_WON"))</f>
        <v>4</v>
      </c>
      <c r="F19" s="19">
        <f>(COUNTIFS(Selections!$E$6:$E$49,"Double Chance 1X",Selections!$K$6:$K$49,"LOST")+COUNTIFS(Selections!$E$6:$E$49,"Double Chance 1X",Selections!$K$6:$K$49,"HALF_LOST"))</f>
        <v>1</v>
      </c>
      <c r="G19" s="19">
        <f>COUNTIFS(Selections!$E$6:$E$49,"Double Chance 1X")-((COUNTIFS(Selections!$E$6:$E$49,"Double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3</v>
      </c>
      <c r="H19" s="20">
        <f>IF(((COUNTIFS(Selections!$E$6:$E$49,"Double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1X",Selections!$K$6:$K$49,"REFUNDED"))=0,"n.a.",(COUNTIFS(Selections!$E$6:$E$49,"Double Chance 1X",Selections!$K$6:$K$49,"WON")+COUNTIFS(Selections!$E$6:$E$49,"Double Chance 1X",Selections!$K$6:$K$49,"HALF_WON"))/((COUNTIFS(Selections!$E$6:$E$49,"Double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1X",Selections!$K$6:$K$49,"REFUNDED")))</f>
        <v>0.8</v>
      </c>
      <c r="I19" s="22">
        <f>SUMIFS(Selections!$M$6:$M$49,Selections!$E$6:$E$49,"Double Chance 1X")</f>
        <v>5</v>
      </c>
      <c r="J19" s="22">
        <f>SUMIFS(Selections!$N$6:$N$49,Selections!$E$6:$E$49,"Double Chance 1X")</f>
        <v>0.15999999999999992</v>
      </c>
      <c r="K19" s="20">
        <f>IF(SUMIFS(Selections!$M$6:$M$49,Selections!$E$6:$E$49,"Double Chance 1X")=0,"n.a.",SUMIFS(Selections!$N$6:$N$49,Selections!$E$6:$E$49,"Double Chance 1X")/SUMIFS(Selections!$M$6:$M$49,Selections!$E$6:$E$49,"Double Chance 1X"))</f>
        <v>0.03199999999999999</v>
      </c>
      <c r="L19" s="21">
        <f>IF(SUMIFS(Selections!$T$6:$T$49,Selections!$E$6:$E$49,"Double Chance 1X")=0,"n.a.",SUMIFS(Selections!$O$6:$O$49,Selections!$E$6:$E$49,"Double Chance 1X")/SUMIFS(Selections!$T$6:$T$49,Selections!$E$6:$E$49,"Double Chance 1X"))</f>
        <v>0.11188766858523982</v>
      </c>
      <c r="M19" s="20">
        <f>IF(SUMIFS(Selections!$T$6:$T$49,Selections!$E$6:$E$49,"Double Chance 1X")=0,"n.a.",SUMIFS(Selections!$S$6:$S$49,Selections!$E$6:$E$49,"Double Chance 1X")/SUMIFS(Selections!$T$6:$T$49,Selections!$E$6:$E$49,"Double Chance 1X"))</f>
        <v>0.7609681691910013</v>
      </c>
      <c r="N19" s="20">
        <f>IF(SUMIFS(Selections!$T$6:$T$49,Selections!$E$6:$E$49,"Double Chance 1X")=0,"n.a.",(SUMIFS(Selections!$L$6:$L$49,Selections!$E$6:$E$49,"Double Chance 1X",Selections!$T$6:$T$49,1))/SUMIFS(Selections!$T$6:$T$49,Selections!$E$6:$E$49,"Double Chance 1X"))</f>
        <v>0.8</v>
      </c>
      <c r="O19" s="20">
        <f>IF(SUMIFS(Selections!$T$6:$T$49,Selections!$E$6:$E$49,"Double Chance 1X")=0,"n.a.",(SUMIFS(Selections!$S$6:$S$49,Selections!$E$6:$E$49,"Double Chance 1X")-(SUMIFS(Selections!$L$6:$L$49,Selections!$E$6:$E$49,"Double Chance 1X",Selections!$T$6:$T$49,1)))/SUMIFS(Selections!$T$6:$T$49,Selections!$E$6:$E$49,"Double Chance 1X"))</f>
        <v>-0.039031830808998746</v>
      </c>
      <c r="P19" s="19">
        <f>SUMIFS(Selections!$T$6:$T$49,Selections!$E$6:$E$49,"Double Chance 1X")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Double Chance X2</t>
        </is>
      </c>
      <c r="C20" s="19">
        <f>COUNTIFS(Selections!$E$6:$E$49,"Double Chance X2")</f>
        <v>6</v>
      </c>
      <c r="D20" s="19">
        <f>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6</v>
      </c>
      <c r="E20" s="19">
        <f>(COUNTIFS(Selections!$E$6:$E$49,"Double Chance X2",Selections!$K$6:$K$49,"WON")+COUNTIFS(Selections!$E$6:$E$49,"Double Chance X2",Selections!$K$6:$K$49,"HALF_WON"))</f>
        <v>4</v>
      </c>
      <c r="F20" s="19">
        <f>(COUNTIFS(Selections!$E$6:$E$49,"Double Chance X2",Selections!$K$6:$K$49,"LOST")+COUNTIFS(Selections!$E$6:$E$49,"Double Chance X2",Selections!$K$6:$K$49,"HALF_LOST"))</f>
        <v>2</v>
      </c>
      <c r="G20" s="19">
        <f>COUNTIFS(Selections!$E$6:$E$49,"Double Chance X2")-((COUNTIFS(Selections!$E$6:$E$49,"Double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0</v>
      </c>
      <c r="H20" s="20">
        <f>IF(((COUNTIFS(Selections!$E$6:$E$49,"Double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X2",Selections!$K$6:$K$49,"REFUNDED"))=0,"n.a.",(COUNTIFS(Selections!$E$6:$E$49,"Double Chance X2",Selections!$K$6:$K$49,"WON")+COUNTIFS(Selections!$E$6:$E$49,"Double Chance X2",Selections!$K$6:$K$49,"HALF_WON"))/((COUNTIFS(Selections!$E$6:$E$49,"Double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X2",Selections!$K$6:$K$49,"REFUNDED")))</f>
        <v>0.6666666666666666</v>
      </c>
      <c r="I20" s="22">
        <f>SUMIFS(Selections!$M$6:$M$49,Selections!$E$6:$E$49,"Double Chance X2")</f>
        <v>6</v>
      </c>
      <c r="J20" s="22">
        <f>SUMIFS(Selections!$N$6:$N$49,Selections!$E$6:$E$49,"Double Chance X2")</f>
        <v>0.48999999999999955</v>
      </c>
      <c r="K20" s="20">
        <f>IF(SUMIFS(Selections!$M$6:$M$49,Selections!$E$6:$E$49,"Double Chance X2")=0,"n.a.",SUMIFS(Selections!$N$6:$N$49,Selections!$E$6:$E$49,"Double Chance X2")/SUMIFS(Selections!$M$6:$M$49,Selections!$E$6:$E$49,"Double Chance X2"))</f>
        <v>0.0816666666666666</v>
      </c>
      <c r="L20" s="21">
        <f>IF(SUMIFS(Selections!$T$6:$T$49,Selections!$E$6:$E$49,"Double Chance X2")=0,"n.a.",SUMIFS(Selections!$O$6:$O$49,Selections!$E$6:$E$49,"Double Chance X2")/SUMIFS(Selections!$T$6:$T$49,Selections!$E$6:$E$49,"Double Chance X2"))</f>
        <v>0.17653423559167636</v>
      </c>
      <c r="M20" s="20">
        <f>IF(SUMIFS(Selections!$T$6:$T$49,Selections!$E$6:$E$49,"Double Chance X2")=0,"n.a.",SUMIFS(Selections!$S$6:$S$49,Selections!$E$6:$E$49,"Double Chance X2")/SUMIFS(Selections!$T$6:$T$49,Selections!$E$6:$E$49,"Double Chance X2"))</f>
        <v>0.6361239193244564</v>
      </c>
      <c r="N20" s="20">
        <f>IF(SUMIFS(Selections!$T$6:$T$49,Selections!$E$6:$E$49,"Double Chance X2")=0,"n.a.",(SUMIFS(Selections!$L$6:$L$49,Selections!$E$6:$E$49,"Double Chance X2",Selections!$T$6:$T$49,1))/SUMIFS(Selections!$T$6:$T$49,Selections!$E$6:$E$49,"Double Chance X2"))</f>
        <v>0.6666666666666666</v>
      </c>
      <c r="O20" s="20">
        <f>IF(SUMIFS(Selections!$T$6:$T$49,Selections!$E$6:$E$49,"Double Chance X2")=0,"n.a.",(SUMIFS(Selections!$S$6:$S$49,Selections!$E$6:$E$49,"Double Chance X2")-(SUMIFS(Selections!$L$6:$L$49,Selections!$E$6:$E$49,"Double Chance X2",Selections!$T$6:$T$49,1)))/SUMIFS(Selections!$T$6:$T$49,Selections!$E$6:$E$49,"Double Chance X2"))</f>
        <v>-0.030542747342210186</v>
      </c>
      <c r="P20" s="19">
        <f>SUMIFS(Selections!$T$6:$T$49,Selections!$E$6:$E$49,"Double Chance X2")</f>
        <v>6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(n=6).</v>
      </c>
      <c r="R20" s="18"/>
    </row>
    <row r="21" ht="36" customHeight="1">
      <c r="A21" s="18" t="inlineStr">
        <is>
          <t>Market</t>
        </is>
      </c>
      <c r="B21" s="18" t="inlineStr">
        <is>
          <t>Home win</t>
        </is>
      </c>
      <c r="C21" s="19">
        <f>COUNTIFS(Selections!$E$6:$E$49,"Home win")</f>
        <v>5</v>
      </c>
      <c r="D21" s="19">
        <f>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5</v>
      </c>
      <c r="E21" s="19">
        <f>(COUNTIFS(Selections!$E$6:$E$49,"Home win",Selections!$K$6:$K$49,"WON")+COUNTIFS(Selections!$E$6:$E$49,"Home win",Selections!$K$6:$K$49,"HALF_WON"))</f>
        <v>5</v>
      </c>
      <c r="F21" s="19">
        <f>(COUNTIFS(Selections!$E$6:$E$49,"Home win",Selections!$K$6:$K$49,"LOST")+COUNTIFS(Selections!$E$6:$E$49,"Home win",Selections!$K$6:$K$49,"HALF_LOST"))</f>
        <v>0</v>
      </c>
      <c r="G21" s="19">
        <f>COUNTIFS(Selections!$E$6:$E$49,"Home win")-((COUNTIFS(Selections!$E$6:$E$49,"Home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0</v>
      </c>
      <c r="H21" s="20">
        <f>IF(((COUNTIFS(Selections!$E$6:$E$49,"Home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win",Selections!$K$6:$K$49,"REFUNDED"))=0,"n.a.",(COUNTIFS(Selections!$E$6:$E$49,"Home win",Selections!$K$6:$K$49,"WON")+COUNTIFS(Selections!$E$6:$E$49,"Home win",Selections!$K$6:$K$49,"HALF_WON"))/((COUNTIFS(Selections!$E$6:$E$49,"Home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win",Selections!$K$6:$K$49,"REFUNDED")))</f>
        <v>1.0</v>
      </c>
      <c r="I21" s="22">
        <f>SUMIFS(Selections!$M$6:$M$49,Selections!$E$6:$E$49,"Home win")</f>
        <v>5</v>
      </c>
      <c r="J21" s="22">
        <f>SUMIFS(Selections!$N$6:$N$49,Selections!$E$6:$E$49,"Home win")</f>
        <v>2.5300000000000002</v>
      </c>
      <c r="K21" s="20">
        <f>IF(SUMIFS(Selections!$M$6:$M$49,Selections!$E$6:$E$49,"Home win")=0,"n.a.",SUMIFS(Selections!$N$6:$N$49,Selections!$E$6:$E$49,"Home win")/SUMIFS(Selections!$M$6:$M$49,Selections!$E$6:$E$49,"Home win"))</f>
        <v>0.506</v>
      </c>
      <c r="L21" s="21">
        <f>IF(SUMIFS(Selections!$T$6:$T$49,Selections!$E$6:$E$49,"Home win")=0,"n.a.",SUMIFS(Selections!$O$6:$O$49,Selections!$E$6:$E$49,"Home win")/SUMIFS(Selections!$T$6:$T$49,Selections!$E$6:$E$49,"Home win"))</f>
        <v>0.08395111444229483</v>
      </c>
      <c r="M21" s="20">
        <f>IF(SUMIFS(Selections!$T$6:$T$49,Selections!$E$6:$E$49,"Home win")=0,"n.a.",SUMIFS(Selections!$S$6:$S$49,Selections!$E$6:$E$49,"Home win")/SUMIFS(Selections!$T$6:$T$49,Selections!$E$6:$E$49,"Home win"))</f>
        <v>0.717377401189973</v>
      </c>
      <c r="N21" s="20">
        <f>IF(SUMIFS(Selections!$T$6:$T$49,Selections!$E$6:$E$49,"Home win")=0,"n.a.",(SUMIFS(Selections!$L$6:$L$49,Selections!$E$6:$E$49,"Home win",Selections!$T$6:$T$49,1))/SUMIFS(Selections!$T$6:$T$49,Selections!$E$6:$E$49,"Home win"))</f>
        <v>1.0</v>
      </c>
      <c r="O21" s="20">
        <f>IF(SUMIFS(Selections!$T$6:$T$49,Selections!$E$6:$E$49,"Home win")=0,"n.a.",(SUMIFS(Selections!$S$6:$S$49,Selections!$E$6:$E$49,"Home win")-(SUMIFS(Selections!$L$6:$L$49,Selections!$E$6:$E$49,"Home win",Selections!$T$6:$T$49,1)))/SUMIFS(Selections!$T$6:$T$49,Selections!$E$6:$E$49,"Home win"))</f>
        <v>-0.28262259881002705</v>
      </c>
      <c r="P21" s="19">
        <f>SUMIFS(Selections!$T$6:$T$49,Selections!$E$6:$E$49,"Home win")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Market</t>
        </is>
      </c>
      <c r="B22" s="18" t="inlineStr">
        <is>
          <t>Over 1.5</t>
        </is>
      </c>
      <c r="C22" s="19">
        <f>COUNTIFS(Selections!$E$6:$E$49,"Over 1.5")</f>
        <v>9</v>
      </c>
      <c r="D22" s="19">
        <f>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7</v>
      </c>
      <c r="E22" s="19">
        <f>(COUNTIFS(Selections!$E$6:$E$49,"Over 1.5",Selections!$K$6:$K$49,"WON")+COUNTIFS(Selections!$E$6:$E$49,"Over 1.5",Selections!$K$6:$K$49,"HALF_WON"))</f>
        <v>6</v>
      </c>
      <c r="F22" s="19">
        <f>(COUNTIFS(Selections!$E$6:$E$49,"Over 1.5",Selections!$K$6:$K$49,"LOST")+COUNTIFS(Selections!$E$6:$E$49,"Over 1.5",Selections!$K$6:$K$49,"HALF_LOST"))</f>
        <v>1</v>
      </c>
      <c r="G22" s="19">
        <f>COUNTIFS(Selections!$E$6:$E$49,"Over 1.5")-((COUNTIFS(Selections!$E$6:$E$49,"Over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2</v>
      </c>
      <c r="H22" s="20">
        <f>IF(((COUNTIFS(Selections!$E$6:$E$49,"Over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1.5",Selections!$K$6:$K$49,"REFUNDED"))=0,"n.a.",(COUNTIFS(Selections!$E$6:$E$49,"Over 1.5",Selections!$K$6:$K$49,"WON")+COUNTIFS(Selections!$E$6:$E$49,"Over 1.5",Selections!$K$6:$K$49,"HALF_WON"))/((COUNTIFS(Selections!$E$6:$E$49,"Over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1.5",Selections!$K$6:$K$49,"REFUNDED")))</f>
        <v>0.8571428571428571</v>
      </c>
      <c r="I22" s="22">
        <f>SUMIFS(Selections!$M$6:$M$49,Selections!$E$6:$E$49,"Over 1.5")</f>
        <v>7</v>
      </c>
      <c r="J22" s="22">
        <f>SUMIFS(Selections!$N$6:$N$49,Selections!$E$6:$E$49,"Over 1.5")</f>
        <v>0.3699999999999999</v>
      </c>
      <c r="K22" s="20">
        <f>IF(SUMIFS(Selections!$M$6:$M$49,Selections!$E$6:$E$49,"Over 1.5")=0,"n.a.",SUMIFS(Selections!$N$6:$N$49,Selections!$E$6:$E$49,"Over 1.5")/SUMIFS(Selections!$M$6:$M$49,Selections!$E$6:$E$49,"Over 1.5"))</f>
        <v>0.05285714285714284</v>
      </c>
      <c r="L22" s="21">
        <f>IF(SUMIFS(Selections!$T$6:$T$49,Selections!$E$6:$E$49,"Over 1.5")=0,"n.a.",SUMIFS(Selections!$O$6:$O$49,Selections!$E$6:$E$49,"Over 1.5")/SUMIFS(Selections!$T$6:$T$49,Selections!$E$6:$E$49,"Over 1.5"))</f>
        <v>0.10055086387512366</v>
      </c>
      <c r="M22" s="20">
        <f>IF(SUMIFS(Selections!$T$6:$T$49,Selections!$E$6:$E$49,"Over 1.5")=0,"n.a.",SUMIFS(Selections!$S$6:$S$49,Selections!$E$6:$E$49,"Over 1.5")/SUMIFS(Selections!$T$6:$T$49,Selections!$E$6:$E$49,"Over 1.5"))</f>
        <v>0.8713387230316535</v>
      </c>
      <c r="N22" s="20">
        <f>IF(SUMIFS(Selections!$T$6:$T$49,Selections!$E$6:$E$49,"Over 1.5")=0,"n.a.",(SUMIFS(Selections!$L$6:$L$49,Selections!$E$6:$E$49,"Over 1.5",Selections!$T$6:$T$49,1))/SUMIFS(Selections!$T$6:$T$49,Selections!$E$6:$E$49,"Over 1.5"))</f>
        <v>0.8571428571428571</v>
      </c>
      <c r="O22" s="20">
        <f>IF(SUMIFS(Selections!$T$6:$T$49,Selections!$E$6:$E$49,"Over 1.5")=0,"n.a.",(SUMIFS(Selections!$S$6:$S$49,Selections!$E$6:$E$49,"Over 1.5")-(SUMIFS(Selections!$L$6:$L$49,Selections!$E$6:$E$49,"Over 1.5",Selections!$T$6:$T$49,1)))/SUMIFS(Selections!$T$6:$T$49,Selections!$E$6:$E$49,"Over 1.5"))</f>
        <v>0.0141958658887964</v>
      </c>
      <c r="P22" s="19">
        <f>SUMIFS(Selections!$T$6:$T$49,Selections!$E$6:$E$49,"Over 1.5")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Market</t>
        </is>
      </c>
      <c r="B23" s="18" t="inlineStr">
        <is>
          <t>Under 3.5</t>
        </is>
      </c>
      <c r="C23" s="19">
        <f>COUNTIFS(Selections!$E$6:$E$49,"Under 3.5")</f>
        <v>5</v>
      </c>
      <c r="D23" s="19">
        <f>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5</v>
      </c>
      <c r="E23" s="19">
        <f>(COUNTIFS(Selections!$E$6:$E$49,"Under 3.5",Selections!$K$6:$K$49,"WON")+COUNTIFS(Selections!$E$6:$E$49,"Under 3.5",Selections!$K$6:$K$49,"HALF_WON"))</f>
        <v>2</v>
      </c>
      <c r="F23" s="19">
        <f>(COUNTIFS(Selections!$E$6:$E$49,"Under 3.5",Selections!$K$6:$K$49,"LOST")+COUNTIFS(Selections!$E$6:$E$49,"Under 3.5",Selections!$K$6:$K$49,"HALF_LOST"))</f>
        <v>3</v>
      </c>
      <c r="G23" s="19">
        <f>COUNTIFS(Selections!$E$6:$E$49,"Under 3.5")-((COUNTIFS(Selections!$E$6:$E$49,"Under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0</v>
      </c>
      <c r="H23" s="20">
        <f>IF(((COUNTIFS(Selections!$E$6:$E$49,"Under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3.5",Selections!$K$6:$K$49,"REFUNDED"))=0,"n.a.",(COUNTIFS(Selections!$E$6:$E$49,"Under 3.5",Selections!$K$6:$K$49,"WON")+COUNTIFS(Selections!$E$6:$E$49,"Under 3.5",Selections!$K$6:$K$49,"HALF_WON"))/((COUNTIFS(Selections!$E$6:$E$49,"Under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3.5",Selections!$K$6:$K$49,"REFUNDED")))</f>
        <v>0.4</v>
      </c>
      <c r="I23" s="22">
        <f>SUMIFS(Selections!$M$6:$M$49,Selections!$E$6:$E$49,"Under 3.5")</f>
        <v>5</v>
      </c>
      <c r="J23" s="22">
        <f>SUMIFS(Selections!$N$6:$N$49,Selections!$E$6:$E$49,"Under 3.5")</f>
        <v>-2.3</v>
      </c>
      <c r="K23" s="20">
        <f>IF(SUMIFS(Selections!$M$6:$M$49,Selections!$E$6:$E$49,"Under 3.5")=0,"n.a.",SUMIFS(Selections!$N$6:$N$49,Selections!$E$6:$E$49,"Under 3.5")/SUMIFS(Selections!$M$6:$M$49,Selections!$E$6:$E$49,"Under 3.5"))</f>
        <v>-0.45999999999999996</v>
      </c>
      <c r="L23" s="21">
        <f>IF(SUMIFS(Selections!$T$6:$T$49,Selections!$E$6:$E$49,"Under 3.5")=0,"n.a.",SUMIFS(Selections!$O$6:$O$49,Selections!$E$6:$E$49,"Under 3.5")/SUMIFS(Selections!$T$6:$T$49,Selections!$E$6:$E$49,"Under 3.5"))</f>
        <v>0.4093699233539641</v>
      </c>
      <c r="M23" s="20">
        <f>IF(SUMIFS(Selections!$T$6:$T$49,Selections!$E$6:$E$49,"Under 3.5")=0,"n.a.",SUMIFS(Selections!$S$6:$S$49,Selections!$E$6:$E$49,"Under 3.5")/SUMIFS(Selections!$T$6:$T$49,Selections!$E$6:$E$49,"Under 3.5"))</f>
        <v>0.8049432015044351</v>
      </c>
      <c r="N23" s="20">
        <f>IF(SUMIFS(Selections!$T$6:$T$49,Selections!$E$6:$E$49,"Under 3.5")=0,"n.a.",(SUMIFS(Selections!$L$6:$L$49,Selections!$E$6:$E$49,"Under 3.5",Selections!$T$6:$T$49,1))/SUMIFS(Selections!$T$6:$T$49,Selections!$E$6:$E$49,"Under 3.5"))</f>
        <v>0.4</v>
      </c>
      <c r="O23" s="20">
        <f>IF(SUMIFS(Selections!$T$6:$T$49,Selections!$E$6:$E$49,"Under 3.5")=0,"n.a.",(SUMIFS(Selections!$S$6:$S$49,Selections!$E$6:$E$49,"Under 3.5")-(SUMIFS(Selections!$L$6:$L$49,Selections!$E$6:$E$49,"Under 3.5",Selections!$T$6:$T$49,1)))/SUMIFS(Selections!$T$6:$T$49,Selections!$E$6:$E$49,"Under 3.5"))</f>
        <v>0.4049432015044351</v>
      </c>
      <c r="P23" s="19">
        <f>SUMIFS(Selections!$T$6:$T$49,Selections!$E$6:$E$49,"Under 3.5")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Policy</t>
        </is>
      </c>
      <c r="B24" s="18" t="inlineStr">
        <is>
          <t>48h-top-ten-probability-ev-no-under35-v14</t>
        </is>
      </c>
      <c r="C24" s="19">
        <f>COUNTIFS(Selections!$G$6:$G$49,"48h-top-ten-probability-ev-no-under35-v14")</f>
        <v>9</v>
      </c>
      <c r="D24" s="19">
        <f>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8</v>
      </c>
      <c r="E24" s="19">
        <f>(COUNTIFS(Selections!$G$6:$G$49,"48h-top-ten-probability-ev-no-under35-v14",Selections!$K$6:$K$49,"WON")+COUNTIFS(Selections!$G$6:$G$49,"48h-top-ten-probability-ev-no-under35-v14",Selections!$K$6:$K$49,"HALF_WON"))</f>
        <v>6</v>
      </c>
      <c r="F24" s="19">
        <f>(COUNTIFS(Selections!$G$6:$G$49,"48h-top-ten-probability-ev-no-under35-v14",Selections!$K$6:$K$49,"LOST")+COUNTIFS(Selections!$G$6:$G$49,"48h-top-ten-probability-ev-no-under35-v14",Selections!$K$6:$K$49,"HALF_LOST"))</f>
        <v>2</v>
      </c>
      <c r="G24" s="19">
        <f>COUNTIFS(Selections!$G$6:$G$49,"48h-top-ten-probability-ev-no-under35-v14")-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1</v>
      </c>
      <c r="H24" s="20">
        <f>IF(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=0,"n.a.",(COUNTIFS(Selections!$G$6:$G$49,"48h-top-ten-probability-ev-no-under35-v14",Selections!$K$6:$K$49,"WON")+COUNTIFS(Selections!$G$6:$G$49,"48h-top-ten-probability-ev-no-under35-v14",Selections!$K$6:$K$49,"HALF_WON"))/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)</f>
        <v>0.75</v>
      </c>
      <c r="I24" s="22">
        <f>SUMIFS(Selections!$M$6:$M$49,Selections!$G$6:$G$49,"48h-top-ten-probability-ev-no-under35-v14")</f>
        <v>8</v>
      </c>
      <c r="J24" s="22">
        <f>SUMIFS(Selections!$N$6:$N$49,Selections!$G$6:$G$49,"48h-top-ten-probability-ev-no-under35-v14")</f>
        <v>0.04999999999999982</v>
      </c>
      <c r="K24" s="20">
        <f>IF(SUMIFS(Selections!$M$6:$M$49,Selections!$G$6:$G$49,"48h-top-ten-probability-ev-no-under35-v14")=0,"n.a.",SUMIFS(Selections!$N$6:$N$49,Selections!$G$6:$G$49,"48h-top-ten-probability-ev-no-under35-v14")/SUMIFS(Selections!$M$6:$M$49,Selections!$G$6:$G$49,"48h-top-ten-probability-ev-no-under35-v14"))</f>
        <v>0.006249999999999978</v>
      </c>
      <c r="L24" s="21">
        <f>IF(SUMIFS(Selections!$T$6:$T$49,Selections!$G$6:$G$49,"48h-top-ten-probability-ev-no-under35-v14")=0,"n.a.",SUMIFS(Selections!$O$6:$O$49,Selections!$G$6:$G$49,"48h-top-ten-probability-ev-no-under35-v14")/SUMIFS(Selections!$T$6:$T$49,Selections!$G$6:$G$49,"48h-top-ten-probability-ev-no-under35-v14"))</f>
        <v>0.17867353798981395</v>
      </c>
      <c r="M24" s="20">
        <f>IF(SUMIFS(Selections!$T$6:$T$49,Selections!$G$6:$G$49,"48h-top-ten-probability-ev-no-under35-v14")=0,"n.a.",SUMIFS(Selections!$S$6:$S$49,Selections!$G$6:$G$49,"48h-top-ten-probability-ev-no-under35-v14")/SUMIFS(Selections!$T$6:$T$49,Selections!$G$6:$G$49,"48h-top-ten-probability-ev-no-under35-v14"))</f>
        <v>0.7347857301737204</v>
      </c>
      <c r="N24" s="20">
        <f>IF(SUMIFS(Selections!$T$6:$T$49,Selections!$G$6:$G$49,"48h-top-ten-probability-ev-no-under35-v14")=0,"n.a.",(SUMIFS(Selections!$L$6:$L$49,Selections!$G$6:$G$49,"48h-top-ten-probability-ev-no-under35-v14",Selections!$T$6:$T$49,1))/SUMIFS(Selections!$T$6:$T$49,Selections!$G$6:$G$49,"48h-top-ten-probability-ev-no-under35-v14"))</f>
        <v>0.75</v>
      </c>
      <c r="O24" s="20">
        <f>IF(SUMIFS(Selections!$T$6:$T$49,Selections!$G$6:$G$49,"48h-top-ten-probability-ev-no-under35-v14")=0,"n.a.",(SUMIFS(Selections!$S$6:$S$49,Selections!$G$6:$G$49,"48h-top-ten-probability-ev-no-under35-v14")-(SUMIFS(Selections!$L$6:$L$49,Selections!$G$6:$G$49,"48h-top-ten-probability-ev-no-under35-v14",Selections!$T$6:$T$49,1)))/SUMIFS(Selections!$T$6:$T$49,Selections!$G$6:$G$49,"48h-top-ten-probability-ev-no-under35-v14"))</f>
        <v>-0.015214269826279603</v>
      </c>
      <c r="P24" s="19">
        <f>SUMIFS(Selections!$T$6:$T$49,Selections!$G$6:$G$49,"48h-top-ten-probability-ev-no-under35-v14")</f>
        <v>8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(n=8).</v>
      </c>
      <c r="R24" s="18"/>
    </row>
    <row r="25" ht="36" customHeight="1">
      <c r="A25" s="18" t="inlineStr">
        <is>
          <t>Policy</t>
        </is>
      </c>
      <c r="B25" s="18" t="inlineStr">
        <is>
          <t>48h-top-twelve-probability-ev-no-under35-v15</t>
        </is>
      </c>
      <c r="C25" s="19">
        <f>COUNTIFS(Selections!$G$6:$G$49,"48h-top-twelve-probability-ev-no-under35-v15")</f>
        <v>12</v>
      </c>
      <c r="D25" s="19">
        <f>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11</v>
      </c>
      <c r="E25" s="19">
        <f>(COUNTIFS(Selections!$G$6:$G$49,"48h-top-twelve-probability-ev-no-under35-v15",Selections!$K$6:$K$49,"WON")+COUNTIFS(Selections!$G$6:$G$49,"48h-top-twelve-probability-ev-no-under35-v15",Selections!$K$6:$K$49,"HALF_WON"))</f>
        <v>7</v>
      </c>
      <c r="F25" s="19">
        <f>(COUNTIFS(Selections!$G$6:$G$49,"48h-top-twelve-probability-ev-no-under35-v15",Selections!$K$6:$K$49,"LOST")+COUNTIFS(Selections!$G$6:$G$49,"48h-top-twelve-probability-ev-no-under35-v15",Selections!$K$6:$K$49,"HALF_LOST"))</f>
        <v>4</v>
      </c>
      <c r="G25" s="19">
        <f>COUNTIFS(Selections!$G$6:$G$49,"48h-top-twelve-probability-ev-no-under35-v15")-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</v>
      </c>
      <c r="H25" s="20">
        <f>IF(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=0,"n.a.",(COUNTIFS(Selections!$G$6:$G$49,"48h-top-twelve-probability-ev-no-under35-v15",Selections!$K$6:$K$49,"WON")+COUNTIFS(Selections!$G$6:$G$49,"48h-top-twelve-probability-ev-no-under35-v15",Selections!$K$6:$K$49,"HALF_WON"))/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)</f>
        <v>0.6363636363636364</v>
      </c>
      <c r="I25" s="22">
        <f>SUMIFS(Selections!$M$6:$M$49,Selections!$G$6:$G$49,"48h-top-twelve-probability-ev-no-under35-v15")</f>
        <v>11</v>
      </c>
      <c r="J25" s="22">
        <f>SUMIFS(Selections!$N$6:$N$49,Selections!$G$6:$G$49,"48h-top-twelve-probability-ev-no-under35-v15")</f>
        <v>-1.3800000000000003</v>
      </c>
      <c r="K25" s="20">
        <f>IF(SUMIFS(Selections!$M$6:$M$49,Selections!$G$6:$G$49,"48h-top-twelve-probability-ev-no-under35-v15")=0,"n.a.",SUMIFS(Selections!$N$6:$N$49,Selections!$G$6:$G$49,"48h-top-twelve-probability-ev-no-under35-v15")/SUMIFS(Selections!$M$6:$M$49,Selections!$G$6:$G$49,"48h-top-twelve-probability-ev-no-under35-v15"))</f>
        <v>-0.12545454545454549</v>
      </c>
      <c r="L25" s="21">
        <f>IF(SUMIFS(Selections!$T$6:$T$49,Selections!$G$6:$G$49,"48h-top-twelve-probability-ev-no-under35-v15")=0,"n.a.",SUMIFS(Selections!$O$6:$O$49,Selections!$G$6:$G$49,"48h-top-twelve-probability-ev-no-under35-v15")/SUMIFS(Selections!$T$6:$T$49,Selections!$G$6:$G$49,"48h-top-twelve-probability-ev-no-under35-v15"))</f>
        <v>0.19421744781096573</v>
      </c>
      <c r="M25" s="20">
        <f>IF(SUMIFS(Selections!$T$6:$T$49,Selections!$G$6:$G$49,"48h-top-twelve-probability-ev-no-under35-v15")=0,"n.a.",SUMIFS(Selections!$S$6:$S$49,Selections!$G$6:$G$49,"48h-top-twelve-probability-ev-no-under35-v15")/SUMIFS(Selections!$T$6:$T$49,Selections!$G$6:$G$49,"48h-top-twelve-probability-ev-no-under35-v15"))</f>
        <v>0.7256811914176179</v>
      </c>
      <c r="N25" s="20">
        <f>IF(SUMIFS(Selections!$T$6:$T$49,Selections!$G$6:$G$49,"48h-top-twelve-probability-ev-no-under35-v15")=0,"n.a.",(SUMIFS(Selections!$L$6:$L$49,Selections!$G$6:$G$49,"48h-top-twelve-probability-ev-no-under35-v15",Selections!$T$6:$T$49,1))/SUMIFS(Selections!$T$6:$T$49,Selections!$G$6:$G$49,"48h-top-twelve-probability-ev-no-under35-v15"))</f>
        <v>0.6363636363636364</v>
      </c>
      <c r="O25" s="20">
        <f>IF(SUMIFS(Selections!$T$6:$T$49,Selections!$G$6:$G$49,"48h-top-twelve-probability-ev-no-under35-v15")=0,"n.a.",(SUMIFS(Selections!$S$6:$S$49,Selections!$G$6:$G$49,"48h-top-twelve-probability-ev-no-under35-v15")-(SUMIFS(Selections!$L$6:$L$49,Selections!$G$6:$G$49,"48h-top-twelve-probability-ev-no-under35-v15",Selections!$T$6:$T$49,1)))/SUMIFS(Selections!$T$6:$T$49,Selections!$G$6:$G$49,"48h-top-twelve-probability-ev-no-under35-v15"))</f>
        <v>0.08931755505398153</v>
      </c>
      <c r="P25" s="19">
        <f>SUMIFS(Selections!$T$6:$T$49,Selections!$G$6:$G$49,"48h-top-twelve-probability-ev-no-under35-v15")</f>
        <v>11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(n=11).</v>
      </c>
      <c r="R25" s="18"/>
    </row>
    <row r="26" ht="36" customHeight="1">
      <c r="A26" s="18" t="inlineStr">
        <is>
          <t>Policy</t>
        </is>
      </c>
      <c r="B26" s="18" t="inlineStr">
        <is>
          <t>48h-zero-tolerance-ev1-common-no-loss75-v22</t>
        </is>
      </c>
      <c r="C26" s="19">
        <f>COUNTIFS(Selections!$G$6:$G$49,"48h-zero-tolerance-ev1-common-no-loss75-v22")</f>
        <v>2</v>
      </c>
      <c r="D26" s="19">
        <f>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0</v>
      </c>
      <c r="E26" s="19">
        <f>(COUNTIFS(Selections!$G$6:$G$49,"48h-zero-tolerance-ev1-common-no-loss75-v22",Selections!$K$6:$K$49,"WON")+COUNTIFS(Selections!$G$6:$G$49,"48h-zero-tolerance-ev1-common-no-loss75-v22",Selections!$K$6:$K$49,"HALF_WON"))</f>
        <v>0</v>
      </c>
      <c r="F26" s="19">
        <f>(COUNTIFS(Selections!$G$6:$G$49,"48h-zero-tolerance-ev1-common-no-loss75-v22",Selections!$K$6:$K$49,"LOST")+COUNTIFS(Selections!$G$6:$G$49,"48h-zero-tolerance-ev1-common-no-loss75-v22",Selections!$K$6:$K$49,"HALF_LOST"))</f>
        <v>0</v>
      </c>
      <c r="G26" s="19">
        <f>COUNTIFS(Selections!$G$6:$G$49,"48h-zero-tolerance-ev1-common-no-loss75-v22")-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2</v>
      </c>
      <c r="H26" s="20" t="str">
        <f>IF(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=0,"n.a.",(COUNTIFS(Selections!$G$6:$G$49,"48h-zero-tolerance-ev1-common-no-loss75-v22",Selections!$K$6:$K$49,"WON")+COUNTIFS(Selections!$G$6:$G$49,"48h-zero-tolerance-ev1-common-no-loss75-v22",Selections!$K$6:$K$49,"HALF_WON"))/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)</f>
        <v>n.a.</v>
      </c>
      <c r="I26" s="22">
        <f>SUMIFS(Selections!$M$6:$M$49,Selections!$G$6:$G$49,"48h-zero-tolerance-ev1-common-no-loss75-v22")</f>
        <v>0</v>
      </c>
      <c r="J26" s="22">
        <f>SUMIFS(Selections!$N$6:$N$49,Selections!$G$6:$G$49,"48h-zero-tolerance-ev1-common-no-loss75-v22")</f>
        <v>0</v>
      </c>
      <c r="K26" s="20" t="str">
        <f>IF(SUMIFS(Selections!$M$6:$M$49,Selections!$G$6:$G$49,"48h-zero-tolerance-ev1-common-no-loss75-v22")=0,"n.a.",SUMIFS(Selections!$N$6:$N$49,Selections!$G$6:$G$49,"48h-zero-tolerance-ev1-common-no-loss75-v22")/SUMIFS(Selections!$M$6:$M$49,Selections!$G$6:$G$49,"48h-zero-tolerance-ev1-common-no-loss75-v22"))</f>
        <v>n.a.</v>
      </c>
      <c r="L26" s="21" t="str">
        <f>IF(SUMIFS(Selections!$T$6:$T$49,Selections!$G$6:$G$49,"48h-zero-tolerance-ev1-common-no-loss75-v22")=0,"n.a.",SUMIFS(Selections!$O$6:$O$49,Selections!$G$6:$G$49,"48h-zero-tolerance-ev1-common-no-loss75-v22")/SUMIFS(Selections!$T$6:$T$49,Selections!$G$6:$G$49,"48h-zero-tolerance-ev1-common-no-loss75-v22"))</f>
        <v>n.a.</v>
      </c>
      <c r="M26" s="20" t="str">
        <f>IF(SUMIFS(Selections!$T$6:$T$49,Selections!$G$6:$G$49,"48h-zero-tolerance-ev1-common-no-loss75-v22")=0,"n.a.",SUMIFS(Selections!$S$6:$S$49,Selections!$G$6:$G$49,"48h-zero-tolerance-ev1-common-no-loss75-v22")/SUMIFS(Selections!$T$6:$T$49,Selections!$G$6:$G$49,"48h-zero-tolerance-ev1-common-no-loss75-v22"))</f>
        <v>n.a.</v>
      </c>
      <c r="N26" s="20" t="str">
        <f>IF(SUMIFS(Selections!$T$6:$T$49,Selections!$G$6:$G$49,"48h-zero-tolerance-ev1-common-no-loss75-v22")=0,"n.a.",(SUMIFS(Selections!$L$6:$L$49,Selections!$G$6:$G$49,"48h-zero-tolerance-ev1-common-no-loss75-v22",Selections!$T$6:$T$49,1))/SUMIFS(Selections!$T$6:$T$49,Selections!$G$6:$G$49,"48h-zero-tolerance-ev1-common-no-loss75-v22"))</f>
        <v>n.a.</v>
      </c>
      <c r="O26" s="20" t="str">
        <f>IF(SUMIFS(Selections!$T$6:$T$49,Selections!$G$6:$G$49,"48h-zero-tolerance-ev1-common-no-loss75-v22")=0,"n.a.",(SUMIFS(Selections!$S$6:$S$49,Selections!$G$6:$G$49,"48h-zero-tolerance-ev1-common-no-loss75-v22")-(SUMIFS(Selections!$L$6:$L$49,Selections!$G$6:$G$49,"48h-zero-tolerance-ev1-common-no-loss75-v22",Selections!$T$6:$T$49,1)))/SUMIFS(Selections!$T$6:$T$49,Selections!$G$6:$G$49,"48h-zero-tolerance-ev1-common-no-loss75-v22"))</f>
        <v>n.a.</v>
      </c>
      <c r="P26" s="19">
        <f>SUMIFS(Selections!$T$6:$T$49,Selections!$G$6:$G$49,"48h-zero-tolerance-ev1-common-no-loss75-v22")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Policy</t>
        </is>
      </c>
      <c r="B27" s="18" t="inlineStr">
        <is>
          <t>72h-all-markets-ev15-one-book-v6</t>
        </is>
      </c>
      <c r="C27" s="19">
        <f>COUNTIFS(Selections!$G$6:$G$49,"72h-all-markets-ev15-one-book-v6")</f>
        <v>1</v>
      </c>
      <c r="D27" s="19">
        <f>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1</v>
      </c>
      <c r="E27" s="19">
        <f>(COUNTIFS(Selections!$G$6:$G$49,"72h-all-markets-ev15-one-book-v6",Selections!$K$6:$K$49,"WON")+COUNTIFS(Selections!$G$6:$G$49,"72h-all-markets-ev15-one-book-v6",Selections!$K$6:$K$49,"HALF_WON"))</f>
        <v>1</v>
      </c>
      <c r="F27" s="19">
        <f>(COUNTIFS(Selections!$G$6:$G$49,"72h-all-markets-ev15-one-book-v6",Selections!$K$6:$K$49,"LOST")+COUNTIFS(Selections!$G$6:$G$49,"72h-all-markets-ev15-one-book-v6",Selections!$K$6:$K$49,"HALF_LOST"))</f>
        <v>0</v>
      </c>
      <c r="G27" s="19">
        <f>COUNTIFS(Selections!$G$6:$G$49,"72h-all-markets-ev15-one-book-v6")-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0</v>
      </c>
      <c r="H27" s="20">
        <f>IF(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=0,"n.a.",(COUNTIFS(Selections!$G$6:$G$49,"72h-all-markets-ev15-one-book-v6",Selections!$K$6:$K$49,"WON")+COUNTIFS(Selections!$G$6:$G$49,"72h-all-markets-ev15-one-book-v6",Selections!$K$6:$K$49,"HALF_WON"))/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)</f>
        <v>1.0</v>
      </c>
      <c r="I27" s="22">
        <f>SUMIFS(Selections!$M$6:$M$49,Selections!$G$6:$G$49,"72h-all-markets-ev15-one-book-v6")</f>
        <v>1</v>
      </c>
      <c r="J27" s="22">
        <f>SUMIFS(Selections!$N$6:$N$49,Selections!$G$6:$G$49,"72h-all-markets-ev15-one-book-v6")</f>
        <v>0.44999999999999996</v>
      </c>
      <c r="K27" s="20">
        <f>IF(SUMIFS(Selections!$M$6:$M$49,Selections!$G$6:$G$49,"72h-all-markets-ev15-one-book-v6")=0,"n.a.",SUMIFS(Selections!$N$6:$N$49,Selections!$G$6:$G$49,"72h-all-markets-ev15-one-book-v6")/SUMIFS(Selections!$M$6:$M$49,Selections!$G$6:$G$49,"72h-all-markets-ev15-one-book-v6"))</f>
        <v>0.44999999999999996</v>
      </c>
      <c r="L27" s="21">
        <f>IF(SUMIFS(Selections!$T$6:$T$49,Selections!$G$6:$G$49,"72h-all-markets-ev15-one-book-v6")=0,"n.a.",SUMIFS(Selections!$O$6:$O$49,Selections!$G$6:$G$49,"72h-all-markets-ev15-one-book-v6")/SUMIFS(Selections!$T$6:$T$49,Selections!$G$6:$G$49,"72h-all-markets-ev15-one-book-v6"))</f>
        <v>0.08610395019172555</v>
      </c>
      <c r="M27" s="20">
        <f>IF(SUMIFS(Selections!$T$6:$T$49,Selections!$G$6:$G$49,"72h-all-markets-ev15-one-book-v6")=0,"n.a.",SUMIFS(Selections!$S$6:$S$49,Selections!$G$6:$G$49,"72h-all-markets-ev15-one-book-v6")/SUMIFS(Selections!$T$6:$T$49,Selections!$G$6:$G$49,"72h-all-markets-ev15-one-book-v6"))</f>
        <v>0.706565253946085</v>
      </c>
      <c r="N27" s="20">
        <f>IF(SUMIFS(Selections!$T$6:$T$49,Selections!$G$6:$G$49,"72h-all-markets-ev15-one-book-v6")=0,"n.a.",(SUMIFS(Selections!$L$6:$L$49,Selections!$G$6:$G$49,"72h-all-markets-ev15-one-book-v6",Selections!$T$6:$T$49,1))/SUMIFS(Selections!$T$6:$T$49,Selections!$G$6:$G$49,"72h-all-markets-ev15-one-book-v6"))</f>
        <v>1.0</v>
      </c>
      <c r="O27" s="20">
        <f>IF(SUMIFS(Selections!$T$6:$T$49,Selections!$G$6:$G$49,"72h-all-markets-ev15-one-book-v6")=0,"n.a.",(SUMIFS(Selections!$S$6:$S$49,Selections!$G$6:$G$49,"72h-all-markets-ev15-one-book-v6")-(SUMIFS(Selections!$L$6:$L$49,Selections!$G$6:$G$49,"72h-all-markets-ev15-one-book-v6",Selections!$T$6:$T$49,1)))/SUMIFS(Selections!$T$6:$T$49,Selections!$G$6:$G$49,"72h-all-markets-ev15-one-book-v6"))</f>
        <v>-0.29343474605391495</v>
      </c>
      <c r="P27" s="19">
        <f>SUMIFS(Selections!$T$6:$T$49,Selections!$G$6:$G$49,"72h-all-markets-ev15-one-book-v6")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72h-all-markets-net-ev15-execution-v7</t>
        </is>
      </c>
      <c r="C28" s="19">
        <f>COUNTIFS(Selections!$G$6:$G$49,"72h-all-markets-net-ev15-execution-v7")</f>
        <v>5</v>
      </c>
      <c r="D28" s="19">
        <f>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4</v>
      </c>
      <c r="E28" s="19">
        <f>(COUNTIFS(Selections!$G$6:$G$49,"72h-all-markets-net-ev15-execution-v7",Selections!$K$6:$K$49,"WON")+COUNTIFS(Selections!$G$6:$G$49,"72h-all-markets-net-ev15-execution-v7",Selections!$K$6:$K$49,"HALF_WON"))</f>
        <v>4</v>
      </c>
      <c r="F28" s="19">
        <f>(COUNTIFS(Selections!$G$6:$G$49,"72h-all-markets-net-ev15-execution-v7",Selections!$K$6:$K$49,"LOST")+COUNTIFS(Selections!$G$6:$G$49,"72h-all-markets-net-ev15-execution-v7",Selections!$K$6:$K$49,"HALF_LOST"))</f>
        <v>0</v>
      </c>
      <c r="G28" s="19">
        <f>COUNTIFS(Selections!$G$6:$G$49,"72h-all-markets-net-ev15-execution-v7")-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1</v>
      </c>
      <c r="H28" s="20">
        <f>IF(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=0,"n.a.",(COUNTIFS(Selections!$G$6:$G$49,"72h-all-markets-net-ev15-execution-v7",Selections!$K$6:$K$49,"WON")+COUNTIFS(Selections!$G$6:$G$49,"72h-all-markets-net-ev15-execution-v7",Selections!$K$6:$K$49,"HALF_WON"))/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)</f>
        <v>1.0</v>
      </c>
      <c r="I28" s="22">
        <f>SUMIFS(Selections!$M$6:$M$49,Selections!$G$6:$G$49,"72h-all-markets-net-ev15-execution-v7")</f>
        <v>4</v>
      </c>
      <c r="J28" s="22">
        <f>SUMIFS(Selections!$N$6:$N$49,Selections!$G$6:$G$49,"72h-all-markets-net-ev15-execution-v7")</f>
        <v>1.74</v>
      </c>
      <c r="K28" s="20">
        <f>IF(SUMIFS(Selections!$M$6:$M$49,Selections!$G$6:$G$49,"72h-all-markets-net-ev15-execution-v7")=0,"n.a.",SUMIFS(Selections!$N$6:$N$49,Selections!$G$6:$G$49,"72h-all-markets-net-ev15-execution-v7")/SUMIFS(Selections!$M$6:$M$49,Selections!$G$6:$G$49,"72h-all-markets-net-ev15-execution-v7"))</f>
        <v>0.435</v>
      </c>
      <c r="L28" s="21">
        <f>IF(SUMIFS(Selections!$T$6:$T$49,Selections!$G$6:$G$49,"72h-all-markets-net-ev15-execution-v7")=0,"n.a.",SUMIFS(Selections!$O$6:$O$49,Selections!$G$6:$G$49,"72h-all-markets-net-ev15-execution-v7")/SUMIFS(Selections!$T$6:$T$49,Selections!$G$6:$G$49,"72h-all-markets-net-ev15-execution-v7"))</f>
        <v>0.05403053120768371</v>
      </c>
      <c r="M28" s="20">
        <f>IF(SUMIFS(Selections!$T$6:$T$49,Selections!$G$6:$G$49,"72h-all-markets-net-ev15-execution-v7")=0,"n.a.",SUMIFS(Selections!$S$6:$S$49,Selections!$G$6:$G$49,"72h-all-markets-net-ev15-execution-v7")/SUMIFS(Selections!$T$6:$T$49,Selections!$G$6:$G$49,"72h-all-markets-net-ev15-execution-v7"))</f>
        <v>0.7950551078170468</v>
      </c>
      <c r="N28" s="20">
        <f>IF(SUMIFS(Selections!$T$6:$T$49,Selections!$G$6:$G$49,"72h-all-markets-net-ev15-execution-v7")=0,"n.a.",(SUMIFS(Selections!$L$6:$L$49,Selections!$G$6:$G$49,"72h-all-markets-net-ev15-execution-v7",Selections!$T$6:$T$49,1))/SUMIFS(Selections!$T$6:$T$49,Selections!$G$6:$G$49,"72h-all-markets-net-ev15-execution-v7"))</f>
        <v>1.0</v>
      </c>
      <c r="O28" s="20">
        <f>IF(SUMIFS(Selections!$T$6:$T$49,Selections!$G$6:$G$49,"72h-all-markets-net-ev15-execution-v7")=0,"n.a.",(SUMIFS(Selections!$S$6:$S$49,Selections!$G$6:$G$49,"72h-all-markets-net-ev15-execution-v7")-(SUMIFS(Selections!$L$6:$L$49,Selections!$G$6:$G$49,"72h-all-markets-net-ev15-execution-v7",Selections!$T$6:$T$49,1)))/SUMIFS(Selections!$T$6:$T$49,Selections!$G$6:$G$49,"72h-all-markets-net-ev15-execution-v7"))</f>
        <v>-0.2049448921829532</v>
      </c>
      <c r="P28" s="19">
        <f>SUMIFS(Selections!$T$6:$T$49,Selections!$G$6:$G$49,"72h-all-markets-net-ev15-execution-v7")</f>
        <v>4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(n=4).</v>
      </c>
      <c r="R28" s="18"/>
    </row>
    <row r="29" ht="36" customHeight="1">
      <c r="A29" s="18" t="inlineStr">
        <is>
          <t>Policy</t>
        </is>
      </c>
      <c r="B29" s="18" t="inlineStr">
        <is>
          <t>72h-seven-markets-fresh-references-net-ev15-v11</t>
        </is>
      </c>
      <c r="C29" s="19">
        <f>COUNTIFS(Selections!$G$6:$G$49,"72h-seven-markets-fresh-references-net-ev15-v11")</f>
        <v>5</v>
      </c>
      <c r="D29" s="19">
        <f>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5</v>
      </c>
      <c r="E29" s="19">
        <f>(COUNTIFS(Selections!$G$6:$G$49,"72h-seven-markets-fresh-references-net-ev15-v11",Selections!$K$6:$K$49,"WON")+COUNTIFS(Selections!$G$6:$G$49,"72h-seven-markets-fresh-references-net-ev15-v11",Selections!$K$6:$K$49,"HALF_WON"))</f>
        <v>4</v>
      </c>
      <c r="F29" s="19">
        <f>(COUNTIFS(Selections!$G$6:$G$49,"72h-seven-markets-fresh-references-net-ev15-v11",Selections!$K$6:$K$49,"LOST")+COUNTIFS(Selections!$G$6:$G$49,"72h-seven-markets-fresh-references-net-ev15-v11",Selections!$K$6:$K$49,"HALF_LOST"))</f>
        <v>1</v>
      </c>
      <c r="G29" s="19">
        <f>COUNTIFS(Selections!$G$6:$G$49,"72h-seven-markets-fresh-references-net-ev15-v11")-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0</v>
      </c>
      <c r="H29" s="20">
        <f>IF(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=0,"n.a.",(COUNTIFS(Selections!$G$6:$G$49,"72h-seven-markets-fresh-references-net-ev15-v11",Selections!$K$6:$K$49,"WON")+COUNTIFS(Selections!$G$6:$G$49,"72h-seven-markets-fresh-references-net-ev15-v11",Selections!$K$6:$K$49,"HALF_WON"))/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)</f>
        <v>0.8</v>
      </c>
      <c r="I29" s="22">
        <f>SUMIFS(Selections!$M$6:$M$49,Selections!$G$6:$G$49,"72h-seven-markets-fresh-references-net-ev15-v11")</f>
        <v>5</v>
      </c>
      <c r="J29" s="22">
        <f>SUMIFS(Selections!$N$6:$N$49,Selections!$G$6:$G$49,"72h-seven-markets-fresh-references-net-ev15-v11")</f>
        <v>0.3600000000000001</v>
      </c>
      <c r="K29" s="20">
        <f>IF(SUMIFS(Selections!$M$6:$M$49,Selections!$G$6:$G$49,"72h-seven-markets-fresh-references-net-ev15-v11")=0,"n.a.",SUMIFS(Selections!$N$6:$N$49,Selections!$G$6:$G$49,"72h-seven-markets-fresh-references-net-ev15-v11")/SUMIFS(Selections!$M$6:$M$49,Selections!$G$6:$G$49,"72h-seven-markets-fresh-references-net-ev15-v11"))</f>
        <v>0.07200000000000002</v>
      </c>
      <c r="L29" s="21">
        <f>IF(SUMIFS(Selections!$T$6:$T$49,Selections!$G$6:$G$49,"72h-seven-markets-fresh-references-net-ev15-v11")=0,"n.a.",SUMIFS(Selections!$O$6:$O$49,Selections!$G$6:$G$49,"72h-seven-markets-fresh-references-net-ev15-v11")/SUMIFS(Selections!$T$6:$T$49,Selections!$G$6:$G$49,"72h-seven-markets-fresh-references-net-ev15-v11"))</f>
        <v>0.12900891729637554</v>
      </c>
      <c r="M29" s="20">
        <f>IF(SUMIFS(Selections!$T$6:$T$49,Selections!$G$6:$G$49,"72h-seven-markets-fresh-references-net-ev15-v11")=0,"n.a.",SUMIFS(Selections!$S$6:$S$49,Selections!$G$6:$G$49,"72h-seven-markets-fresh-references-net-ev15-v11")/SUMIFS(Selections!$T$6:$T$49,Selections!$G$6:$G$49,"72h-seven-markets-fresh-references-net-ev15-v11"))</f>
        <v>0.7527708085856005</v>
      </c>
      <c r="N29" s="20">
        <f>IF(SUMIFS(Selections!$T$6:$T$49,Selections!$G$6:$G$49,"72h-seven-markets-fresh-references-net-ev15-v11")=0,"n.a.",(SUMIFS(Selections!$L$6:$L$49,Selections!$G$6:$G$49,"72h-seven-markets-fresh-references-net-ev15-v11",Selections!$T$6:$T$49,1))/SUMIFS(Selections!$T$6:$T$49,Selections!$G$6:$G$49,"72h-seven-markets-fresh-references-net-ev15-v11"))</f>
        <v>0.8</v>
      </c>
      <c r="O29" s="20">
        <f>IF(SUMIFS(Selections!$T$6:$T$49,Selections!$G$6:$G$49,"72h-seven-markets-fresh-references-net-ev15-v11")=0,"n.a.",(SUMIFS(Selections!$S$6:$S$49,Selections!$G$6:$G$49,"72h-seven-markets-fresh-references-net-ev15-v11")-(SUMIFS(Selections!$L$6:$L$49,Selections!$G$6:$G$49,"72h-seven-markets-fresh-references-net-ev15-v11",Selections!$T$6:$T$49,1)))/SUMIFS(Selections!$T$6:$T$49,Selections!$G$6:$G$49,"72h-seven-markets-fresh-references-net-ev15-v11"))</f>
        <v>-0.04722919141439952</v>
      </c>
      <c r="P29" s="19">
        <f>SUMIFS(Selections!$T$6:$T$49,Selections!$G$6:$G$49,"72h-seven-markets-fresh-references-net-ev15-v11")</f>
        <v>5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(n=5).</v>
      </c>
      <c r="R29" s="18"/>
    </row>
    <row r="30" ht="36" customHeight="1">
      <c r="A30" s="18" t="inlineStr">
        <is>
          <t>Policy</t>
        </is>
      </c>
      <c r="B30" s="18" t="inlineStr">
        <is>
          <t>72h-ucl-v2</t>
        </is>
      </c>
      <c r="C30" s="19">
        <f>COUNTIFS(Selections!$G$6:$G$49,"72h-ucl-v2")</f>
        <v>1</v>
      </c>
      <c r="D30" s="19">
        <f>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1</v>
      </c>
      <c r="E30" s="19">
        <f>(COUNTIFS(Selections!$G$6:$G$49,"72h-ucl-v2",Selections!$K$6:$K$49,"WON")+COUNTIFS(Selections!$G$6:$G$49,"72h-ucl-v2",Selections!$K$6:$K$49,"HALF_WON"))</f>
        <v>1</v>
      </c>
      <c r="F30" s="19">
        <f>(COUNTIFS(Selections!$G$6:$G$49,"72h-ucl-v2",Selections!$K$6:$K$49,"LOST")+COUNTIFS(Selections!$G$6:$G$49,"72h-ucl-v2",Selections!$K$6:$K$49,"HALF_LOST"))</f>
        <v>0</v>
      </c>
      <c r="G30" s="19">
        <f>COUNTIFS(Selections!$G$6:$G$49,"72h-ucl-v2")-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0</v>
      </c>
      <c r="H30" s="20">
        <f>IF(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=0,"n.a.",(COUNTIFS(Selections!$G$6:$G$49,"72h-ucl-v2",Selections!$K$6:$K$49,"WON")+COUNTIFS(Selections!$G$6:$G$49,"72h-ucl-v2",Selections!$K$6:$K$49,"HALF_WON"))/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)</f>
        <v>1.0</v>
      </c>
      <c r="I30" s="22">
        <f>SUMIFS(Selections!$M$6:$M$49,Selections!$G$6:$G$49,"72h-ucl-v2")</f>
        <v>1</v>
      </c>
      <c r="J30" s="22">
        <f>SUMIFS(Selections!$N$6:$N$49,Selections!$G$6:$G$49,"72h-ucl-v2")</f>
        <v>0.28</v>
      </c>
      <c r="K30" s="20">
        <f>IF(SUMIFS(Selections!$M$6:$M$49,Selections!$G$6:$G$49,"72h-ucl-v2")=0,"n.a.",SUMIFS(Selections!$N$6:$N$49,Selections!$G$6:$G$49,"72h-ucl-v2")/SUMIFS(Selections!$M$6:$M$49,Selections!$G$6:$G$49,"72h-ucl-v2"))</f>
        <v>0.28</v>
      </c>
      <c r="L30" s="21">
        <f>IF(SUMIFS(Selections!$T$6:$T$49,Selections!$G$6:$G$49,"72h-ucl-v2")=0,"n.a.",SUMIFS(Selections!$O$6:$O$49,Selections!$G$6:$G$49,"72h-ucl-v2")/SUMIFS(Selections!$T$6:$T$49,Selections!$G$6:$G$49,"72h-ucl-v2"))</f>
        <v>0.041442876272802645</v>
      </c>
      <c r="M30" s="20">
        <f>IF(SUMIFS(Selections!$T$6:$T$49,Selections!$G$6:$G$49,"72h-ucl-v2")=0,"n.a.",SUMIFS(Selections!$S$6:$S$49,Selections!$G$6:$G$49,"72h-ucl-v2")/SUMIFS(Selections!$T$6:$T$49,Selections!$G$6:$G$49,"72h-ucl-v2"))</f>
        <v>0.7964247650798294</v>
      </c>
      <c r="N30" s="20">
        <f>IF(SUMIFS(Selections!$T$6:$T$49,Selections!$G$6:$G$49,"72h-ucl-v2")=0,"n.a.",(SUMIFS(Selections!$L$6:$L$49,Selections!$G$6:$G$49,"72h-ucl-v2",Selections!$T$6:$T$49,1))/SUMIFS(Selections!$T$6:$T$49,Selections!$G$6:$G$49,"72h-ucl-v2"))</f>
        <v>1.0</v>
      </c>
      <c r="O30" s="20">
        <f>IF(SUMIFS(Selections!$T$6:$T$49,Selections!$G$6:$G$49,"72h-ucl-v2")=0,"n.a.",(SUMIFS(Selections!$S$6:$S$49,Selections!$G$6:$G$49,"72h-ucl-v2")-(SUMIFS(Selections!$L$6:$L$49,Selections!$G$6:$G$49,"72h-ucl-v2",Selections!$T$6:$T$49,1)))/SUMIFS(Selections!$T$6:$T$49,Selections!$G$6:$G$49,"72h-ucl-v2"))</f>
        <v>-0.2035752349201706</v>
      </c>
      <c r="P30" s="19">
        <f>SUMIFS(Selections!$T$6:$T$49,Selections!$G$6:$G$49,"72h-ucl-v2")</f>
        <v>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(n=1).</v>
      </c>
      <c r="R30" s="18"/>
    </row>
    <row r="31" ht="36" customHeight="1">
      <c r="A31" s="18" t="inlineStr">
        <is>
          <t>Policy</t>
        </is>
      </c>
      <c r="B31" s="18" t="inlineStr">
        <is>
          <t>72h-ucl-v3</t>
        </is>
      </c>
      <c r="C31" s="19">
        <f>COUNTIFS(Selections!$G$6:$G$49,"72h-ucl-v3")</f>
        <v>7</v>
      </c>
      <c r="D31" s="19">
        <f>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6</v>
      </c>
      <c r="E31" s="19">
        <f>(COUNTIFS(Selections!$G$6:$G$49,"72h-ucl-v3",Selections!$K$6:$K$49,"WON")+COUNTIFS(Selections!$G$6:$G$49,"72h-ucl-v3",Selections!$K$6:$K$49,"HALF_WON"))</f>
        <v>3</v>
      </c>
      <c r="F31" s="19">
        <f>(COUNTIFS(Selections!$G$6:$G$49,"72h-ucl-v3",Selections!$K$6:$K$49,"LOST")+COUNTIFS(Selections!$G$6:$G$49,"72h-ucl-v3",Selections!$K$6:$K$49,"HALF_LOST"))</f>
        <v>3</v>
      </c>
      <c r="G31" s="19">
        <f>COUNTIFS(Selections!$G$6:$G$49,"72h-ucl-v3")-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1</v>
      </c>
      <c r="H31" s="20">
        <f>IF(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=0,"n.a.",(COUNTIFS(Selections!$G$6:$G$49,"72h-ucl-v3",Selections!$K$6:$K$49,"WON")+COUNTIFS(Selections!$G$6:$G$49,"72h-ucl-v3",Selections!$K$6:$K$49,"HALF_WON"))/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)</f>
        <v>0.5</v>
      </c>
      <c r="I31" s="22">
        <f>SUMIFS(Selections!$M$6:$M$49,Selections!$G$6:$G$49,"72h-ucl-v3")</f>
        <v>6</v>
      </c>
      <c r="J31" s="22">
        <f>SUMIFS(Selections!$N$6:$N$49,Selections!$G$6:$G$49,"72h-ucl-v3")</f>
        <v>-1.7100000000000002</v>
      </c>
      <c r="K31" s="20">
        <f>IF(SUMIFS(Selections!$M$6:$M$49,Selections!$G$6:$G$49,"72h-ucl-v3")=0,"n.a.",SUMIFS(Selections!$N$6:$N$49,Selections!$G$6:$G$49,"72h-ucl-v3")/SUMIFS(Selections!$M$6:$M$49,Selections!$G$6:$G$49,"72h-ucl-v3"))</f>
        <v>-0.28500000000000003</v>
      </c>
      <c r="L31" s="21">
        <f>IF(SUMIFS(Selections!$T$6:$T$49,Selections!$G$6:$G$49,"72h-ucl-v3")=0,"n.a.",SUMIFS(Selections!$O$6:$O$49,Selections!$G$6:$G$49,"72h-ucl-v3")/SUMIFS(Selections!$T$6:$T$49,Selections!$G$6:$G$49,"72h-ucl-v3"))</f>
        <v>0.3538657630451178</v>
      </c>
      <c r="M31" s="20">
        <f>IF(SUMIFS(Selections!$T$6:$T$49,Selections!$G$6:$G$49,"72h-ucl-v3")=0,"n.a.",SUMIFS(Selections!$S$6:$S$49,Selections!$G$6:$G$49,"72h-ucl-v3")/SUMIFS(Selections!$T$6:$T$49,Selections!$G$6:$G$49,"72h-ucl-v3"))</f>
        <v>0.7987491501653422</v>
      </c>
      <c r="N31" s="20">
        <f>IF(SUMIFS(Selections!$T$6:$T$49,Selections!$G$6:$G$49,"72h-ucl-v3")=0,"n.a.",(SUMIFS(Selections!$L$6:$L$49,Selections!$G$6:$G$49,"72h-ucl-v3",Selections!$T$6:$T$49,1))/SUMIFS(Selections!$T$6:$T$49,Selections!$G$6:$G$49,"72h-ucl-v3"))</f>
        <v>0.5</v>
      </c>
      <c r="O31" s="20">
        <f>IF(SUMIFS(Selections!$T$6:$T$49,Selections!$G$6:$G$49,"72h-ucl-v3")=0,"n.a.",(SUMIFS(Selections!$S$6:$S$49,Selections!$G$6:$G$49,"72h-ucl-v3")-(SUMIFS(Selections!$L$6:$L$49,Selections!$G$6:$G$49,"72h-ucl-v3",Selections!$T$6:$T$49,1)))/SUMIFS(Selections!$T$6:$T$49,Selections!$G$6:$G$49,"72h-ucl-v3"))</f>
        <v>0.2987491501653422</v>
      </c>
      <c r="P31" s="19">
        <f>SUMIFS(Selections!$T$6:$T$49,Selections!$G$6:$G$49,"72h-ucl-v3")</f>
        <v>6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(n=6).</v>
      </c>
      <c r="R31" s="18"/>
    </row>
    <row r="32" ht="36" customHeight="1">
      <c r="A32" s="18" t="inlineStr">
        <is>
          <t>Policy</t>
        </is>
      </c>
      <c r="B32" s="18" t="inlineStr">
        <is>
          <t>legacy/unspecified</t>
        </is>
      </c>
      <c r="C32" s="19">
        <f>COUNTIFS(Selections!$G$6:$G$49,"legacy/unspecified")</f>
        <v>2</v>
      </c>
      <c r="D32" s="19">
        <f>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2</v>
      </c>
      <c r="E32" s="19">
        <f>(COUNTIFS(Selections!$G$6:$G$49,"legacy/unspecified",Selections!$K$6:$K$49,"WON")+COUNTIFS(Selections!$G$6:$G$49,"legacy/unspecified",Selections!$K$6:$K$49,"HALF_WON"))</f>
        <v>2</v>
      </c>
      <c r="F32" s="19">
        <f>(COUNTIFS(Selections!$G$6:$G$49,"legacy/unspecified",Selections!$K$6:$K$49,"LOST")+COUNTIFS(Selections!$G$6:$G$49,"legacy/unspecified",Selections!$K$6:$K$49,"HALF_LOST"))</f>
        <v>0</v>
      </c>
      <c r="G32" s="19">
        <f>COUNTIFS(Selections!$G$6:$G$49,"legacy/unspecified")-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0</v>
      </c>
      <c r="H32" s="20">
        <f>IF(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=0,"n.a.",(COUNTIFS(Selections!$G$6:$G$49,"legacy/unspecified",Selections!$K$6:$K$49,"WON")+COUNTIFS(Selections!$G$6:$G$49,"legacy/unspecified",Selections!$K$6:$K$49,"HALF_WON"))/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)</f>
        <v>1.0</v>
      </c>
      <c r="I32" s="22">
        <f>SUMIFS(Selections!$M$6:$M$49,Selections!$G$6:$G$49,"legacy/unspecified")</f>
        <v>2</v>
      </c>
      <c r="J32" s="22">
        <f>SUMIFS(Selections!$N$6:$N$49,Selections!$G$6:$G$49,"legacy/unspecified")</f>
        <v>0.6399999999999999</v>
      </c>
      <c r="K32" s="20">
        <f>IF(SUMIFS(Selections!$M$6:$M$49,Selections!$G$6:$G$49,"legacy/unspecified")=0,"n.a.",SUMIFS(Selections!$N$6:$N$49,Selections!$G$6:$G$49,"legacy/unspecified")/SUMIFS(Selections!$M$6:$M$49,Selections!$G$6:$G$49,"legacy/unspecified"))</f>
        <v>0.31999999999999995</v>
      </c>
      <c r="L32" s="21">
        <f>IF(SUMIFS(Selections!$T$6:$T$49,Selections!$G$6:$G$49,"legacy/unspecified")=0,"n.a.",SUMIFS(Selections!$O$6:$O$49,Selections!$G$6:$G$49,"legacy/unspecified")/SUMIFS(Selections!$T$6:$T$49,Selections!$G$6:$G$49,"legacy/unspecified"))</f>
        <v>0.022741501209119913</v>
      </c>
      <c r="M32" s="20">
        <f>IF(SUMIFS(Selections!$T$6:$T$49,Selections!$G$6:$G$49,"legacy/unspecified")=0,"n.a.",SUMIFS(Selections!$S$6:$S$49,Selections!$G$6:$G$49,"legacy/unspecified")/SUMIFS(Selections!$T$6:$T$49,Selections!$G$6:$G$49,"legacy/unspecified"))</f>
        <v>0.8612313600870412</v>
      </c>
      <c r="N32" s="20">
        <f>IF(SUMIFS(Selections!$T$6:$T$49,Selections!$G$6:$G$49,"legacy/unspecified")=0,"n.a.",(SUMIFS(Selections!$L$6:$L$49,Selections!$G$6:$G$49,"legacy/unspecified",Selections!$T$6:$T$49,1))/SUMIFS(Selections!$T$6:$T$49,Selections!$G$6:$G$49,"legacy/unspecified"))</f>
        <v>1.0</v>
      </c>
      <c r="O32" s="20">
        <f>IF(SUMIFS(Selections!$T$6:$T$49,Selections!$G$6:$G$49,"legacy/unspecified")=0,"n.a.",(SUMIFS(Selections!$S$6:$S$49,Selections!$G$6:$G$49,"legacy/unspecified")-(SUMIFS(Selections!$L$6:$L$49,Selections!$G$6:$G$49,"legacy/unspecified",Selections!$T$6:$T$49,1)))/SUMIFS(Selections!$T$6:$T$49,Selections!$G$6:$G$49,"legacy/unspecified"))</f>
        <v>-0.13876863991295885</v>
      </c>
      <c r="P32" s="19">
        <f>SUMIFS(Selections!$T$6:$T$49,Selections!$G$6:$G$49,"legacy/unspecified")</f>
        <v>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(n=2).</v>
      </c>
      <c r="R32" s="18"/>
    </row>
    <row r="33" ht="36" customHeight="1">
      <c r="A33" s="18" t="inlineStr">
        <is>
          <t>Week</t>
        </is>
      </c>
      <c r="B33" s="18" t="inlineStr">
        <is>
          <t>2026-W41</t>
        </is>
      </c>
      <c r="C33" s="19">
        <f>COUNTIFS(Selections!$P$6:$P$49,"2026-W41")</f>
        <v>5</v>
      </c>
      <c r="D33" s="19">
        <f>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4</v>
      </c>
      <c r="E33" s="19">
        <f>(COUNTIFS(Selections!$P$6:$P$49,"2026-W41",Selections!$K$6:$K$49,"WON")+COUNTIFS(Selections!$P$6:$P$49,"2026-W41",Selections!$K$6:$K$49,"HALF_WON"))</f>
        <v>2</v>
      </c>
      <c r="F33" s="19">
        <f>(COUNTIFS(Selections!$P$6:$P$49,"2026-W41",Selections!$K$6:$K$49,"LOST")+COUNTIFS(Selections!$P$6:$P$49,"2026-W41",Selections!$K$6:$K$49,"HALF_LOST"))</f>
        <v>2</v>
      </c>
      <c r="G33" s="19">
        <f>COUNTIFS(Selections!$P$6:$P$49,"2026-W41")-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1</v>
      </c>
      <c r="H33" s="20">
        <f>IF(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=0,"n.a.",(COUNTIFS(Selections!$P$6:$P$49,"2026-W41",Selections!$K$6:$K$49,"WON")+COUNTIFS(Selections!$P$6:$P$49,"2026-W41",Selections!$K$6:$K$49,"HALF_WON"))/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)</f>
        <v>0.5</v>
      </c>
      <c r="I33" s="22">
        <f>SUMIFS(Selections!$M$6:$M$49,Selections!$P$6:$P$49,"2026-W41")</f>
        <v>4</v>
      </c>
      <c r="J33" s="22">
        <f>SUMIFS(Selections!$N$6:$N$49,Selections!$P$6:$P$49,"2026-W41")</f>
        <v>-1.48</v>
      </c>
      <c r="K33" s="20">
        <f>IF(SUMIFS(Selections!$M$6:$M$49,Selections!$P$6:$P$49,"2026-W41")=0,"n.a.",SUMIFS(Selections!$N$6:$N$49,Selections!$P$6:$P$49,"2026-W41")/SUMIFS(Selections!$M$6:$M$49,Selections!$P$6:$P$49,"2026-W41"))</f>
        <v>-0.37</v>
      </c>
      <c r="L33" s="21">
        <f>IF(SUMIFS(Selections!$T$6:$T$49,Selections!$P$6:$P$49,"2026-W41")=0,"n.a.",SUMIFS(Selections!$O$6:$O$49,Selections!$P$6:$P$49,"2026-W41")/SUMIFS(Selections!$T$6:$T$49,Selections!$P$6:$P$49,"2026-W41"))</f>
        <v>0.32924630276534106</v>
      </c>
      <c r="M33" s="20">
        <f>IF(SUMIFS(Selections!$T$6:$T$49,Selections!$P$6:$P$49,"2026-W41")=0,"n.a.",SUMIFS(Selections!$S$6:$S$49,Selections!$P$6:$P$49,"2026-W41")/SUMIFS(Selections!$T$6:$T$49,Selections!$P$6:$P$49,"2026-W41"))</f>
        <v>0.8212200676021444</v>
      </c>
      <c r="N33" s="20">
        <f>IF(SUMIFS(Selections!$T$6:$T$49,Selections!$P$6:$P$49,"2026-W41")=0,"n.a.",(SUMIFS(Selections!$L$6:$L$49,Selections!$P$6:$P$49,"2026-W41",Selections!$T$6:$T$49,1))/SUMIFS(Selections!$T$6:$T$49,Selections!$P$6:$P$49,"2026-W41"))</f>
        <v>0.5</v>
      </c>
      <c r="O33" s="20">
        <f>IF(SUMIFS(Selections!$T$6:$T$49,Selections!$P$6:$P$49,"2026-W41")=0,"n.a.",(SUMIFS(Selections!$S$6:$S$49,Selections!$P$6:$P$49,"2026-W41")-(SUMIFS(Selections!$L$6:$L$49,Selections!$P$6:$P$49,"2026-W41",Selections!$T$6:$T$49,1)))/SUMIFS(Selections!$T$6:$T$49,Selections!$P$6:$P$49,"2026-W41"))</f>
        <v>0.3212200676021444</v>
      </c>
      <c r="P33" s="19">
        <f>SUMIFS(Selections!$T$6:$T$49,Selections!$P$6:$P$49,"2026-W41")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Week</t>
        </is>
      </c>
      <c r="B34" s="18" t="inlineStr">
        <is>
          <t>2026-W42</t>
        </is>
      </c>
      <c r="C34" s="19">
        <f>COUNTIFS(Selections!$P$6:$P$49,"2026-W42")</f>
        <v>24</v>
      </c>
      <c r="D34" s="19">
        <f>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22</v>
      </c>
      <c r="E34" s="19">
        <f>(COUNTIFS(Selections!$P$6:$P$49,"2026-W42",Selections!$K$6:$K$49,"WON")+COUNTIFS(Selections!$P$6:$P$49,"2026-W42",Selections!$K$6:$K$49,"HALF_WON"))</f>
        <v>19</v>
      </c>
      <c r="F34" s="19">
        <f>(COUNTIFS(Selections!$P$6:$P$49,"2026-W42",Selections!$K$6:$K$49,"LOST")+COUNTIFS(Selections!$P$6:$P$49,"2026-W42",Selections!$K$6:$K$49,"HALF_LOST"))</f>
        <v>3</v>
      </c>
      <c r="G34" s="19">
        <f>COUNTIFS(Selections!$P$6:$P$49,"2026-W42")-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</v>
      </c>
      <c r="H34" s="20">
        <f>IF(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=0,"n.a.",(COUNTIFS(Selections!$P$6:$P$49,"2026-W42",Selections!$K$6:$K$49,"WON")+COUNTIFS(Selections!$P$6:$P$49,"2026-W42",Selections!$K$6:$K$49,"HALF_WON"))/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)</f>
        <v>0.8636363636363636</v>
      </c>
      <c r="I34" s="22">
        <f>SUMIFS(Selections!$M$6:$M$49,Selections!$P$6:$P$49,"2026-W42")</f>
        <v>22</v>
      </c>
      <c r="J34" s="22">
        <f>SUMIFS(Selections!$N$6:$N$49,Selections!$P$6:$P$49,"2026-W42")</f>
        <v>4.289999999999999</v>
      </c>
      <c r="K34" s="20">
        <f>IF(SUMIFS(Selections!$M$6:$M$49,Selections!$P$6:$P$49,"2026-W42")=0,"n.a.",SUMIFS(Selections!$N$6:$N$49,Selections!$P$6:$P$49,"2026-W42")/SUMIFS(Selections!$M$6:$M$49,Selections!$P$6:$P$49,"2026-W42"))</f>
        <v>0.19499999999999995</v>
      </c>
      <c r="L34" s="21">
        <f>IF(SUMIFS(Selections!$T$6:$T$49,Selections!$P$6:$P$49,"2026-W42")=0,"n.a.",SUMIFS(Selections!$O$6:$O$49,Selections!$P$6:$P$49,"2026-W42")/SUMIFS(Selections!$T$6:$T$49,Selections!$P$6:$P$49,"2026-W42"))</f>
        <v>0.13041357566209277</v>
      </c>
      <c r="M34" s="20">
        <f>IF(SUMIFS(Selections!$T$6:$T$49,Selections!$P$6:$P$49,"2026-W42")=0,"n.a.",SUMIFS(Selections!$S$6:$S$49,Selections!$P$6:$P$49,"2026-W42")/SUMIFS(Selections!$T$6:$T$49,Selections!$P$6:$P$49,"2026-W42"))</f>
        <v>0.7692010233716516</v>
      </c>
      <c r="N34" s="20">
        <f>IF(SUMIFS(Selections!$T$6:$T$49,Selections!$P$6:$P$49,"2026-W42")=0,"n.a.",(SUMIFS(Selections!$L$6:$L$49,Selections!$P$6:$P$49,"2026-W42",Selections!$T$6:$T$49,1))/SUMIFS(Selections!$T$6:$T$49,Selections!$P$6:$P$49,"2026-W42"))</f>
        <v>0.8636363636363636</v>
      </c>
      <c r="O34" s="20">
        <f>IF(SUMIFS(Selections!$T$6:$T$49,Selections!$P$6:$P$49,"2026-W42")=0,"n.a.",(SUMIFS(Selections!$S$6:$S$49,Selections!$P$6:$P$49,"2026-W42")-(SUMIFS(Selections!$L$6:$L$49,Selections!$P$6:$P$49,"2026-W42",Selections!$T$6:$T$49,1)))/SUMIFS(Selections!$T$6:$T$49,Selections!$P$6:$P$49,"2026-W42"))</f>
        <v>-0.09443534026471201</v>
      </c>
      <c r="P34" s="19">
        <f>SUMIFS(Selections!$T$6:$T$49,Selections!$P$6:$P$49,"2026-W42")</f>
        <v>22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(n=22).</v>
      </c>
      <c r="R34" s="18"/>
    </row>
    <row r="35" ht="36" customHeight="1">
      <c r="A35" s="18" t="inlineStr">
        <is>
          <t>Week</t>
        </is>
      </c>
      <c r="B35" s="18" t="inlineStr">
        <is>
          <t>2026-W43</t>
        </is>
      </c>
      <c r="C35" s="19">
        <f>COUNTIFS(Selections!$P$6:$P$49,"2026-W43")</f>
        <v>15</v>
      </c>
      <c r="D35" s="19">
        <f>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12</v>
      </c>
      <c r="E35" s="19">
        <f>(COUNTIFS(Selections!$P$6:$P$49,"2026-W43",Selections!$K$6:$K$49,"WON")+COUNTIFS(Selections!$P$6:$P$49,"2026-W43",Selections!$K$6:$K$49,"HALF_WON"))</f>
        <v>7</v>
      </c>
      <c r="F35" s="19">
        <f>(COUNTIFS(Selections!$P$6:$P$49,"2026-W43",Selections!$K$6:$K$49,"LOST")+COUNTIFS(Selections!$P$6:$P$49,"2026-W43",Selections!$K$6:$K$49,"HALF_LOST"))</f>
        <v>5</v>
      </c>
      <c r="G35" s="19">
        <f>COUNTIFS(Selections!$P$6:$P$49,"2026-W43")-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3</v>
      </c>
      <c r="H35" s="20">
        <f>IF(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=0,"n.a.",(COUNTIFS(Selections!$P$6:$P$49,"2026-W43",Selections!$K$6:$K$49,"WON")+COUNTIFS(Selections!$P$6:$P$49,"2026-W43",Selections!$K$6:$K$49,"HALF_WON"))/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)</f>
        <v>0.5833333333333334</v>
      </c>
      <c r="I35" s="22">
        <f>SUMIFS(Selections!$M$6:$M$49,Selections!$P$6:$P$49,"2026-W43")</f>
        <v>12</v>
      </c>
      <c r="J35" s="22">
        <f>SUMIFS(Selections!$N$6:$N$49,Selections!$P$6:$P$49,"2026-W43")</f>
        <v>-2.3800000000000003</v>
      </c>
      <c r="K35" s="20">
        <f>IF(SUMIFS(Selections!$M$6:$M$49,Selections!$P$6:$P$49,"2026-W43")=0,"n.a.",SUMIFS(Selections!$N$6:$N$49,Selections!$P$6:$P$49,"2026-W43")/SUMIFS(Selections!$M$6:$M$49,Selections!$P$6:$P$49,"2026-W43"))</f>
        <v>-0.19833333333333336</v>
      </c>
      <c r="L35" s="21">
        <f>IF(SUMIFS(Selections!$T$6:$T$49,Selections!$P$6:$P$49,"2026-W43")=0,"n.a.",SUMIFS(Selections!$O$6:$O$49,Selections!$P$6:$P$49,"2026-W43")/SUMIFS(Selections!$T$6:$T$49,Selections!$P$6:$P$49,"2026-W43"))</f>
        <v>0.21142395605648476</v>
      </c>
      <c r="M35" s="20">
        <f>IF(SUMIFS(Selections!$T$6:$T$49,Selections!$P$6:$P$49,"2026-W43")=0,"n.a.",SUMIFS(Selections!$S$6:$S$49,Selections!$P$6:$P$49,"2026-W43")/SUMIFS(Selections!$T$6:$T$49,Selections!$P$6:$P$49,"2026-W43"))</f>
        <v>0.7179581897322406</v>
      </c>
      <c r="N35" s="20">
        <f>IF(SUMIFS(Selections!$T$6:$T$49,Selections!$P$6:$P$49,"2026-W43")=0,"n.a.",(SUMIFS(Selections!$L$6:$L$49,Selections!$P$6:$P$49,"2026-W43",Selections!$T$6:$T$49,1))/SUMIFS(Selections!$T$6:$T$49,Selections!$P$6:$P$49,"2026-W43"))</f>
        <v>0.5833333333333334</v>
      </c>
      <c r="O35" s="20">
        <f>IF(SUMIFS(Selections!$T$6:$T$49,Selections!$P$6:$P$49,"2026-W43")=0,"n.a.",(SUMIFS(Selections!$S$6:$S$49,Selections!$P$6:$P$49,"2026-W43")-(SUMIFS(Selections!$L$6:$L$49,Selections!$P$6:$P$49,"2026-W43",Selections!$T$6:$T$49,1)))/SUMIFS(Selections!$T$6:$T$49,Selections!$P$6:$P$49,"2026-W43"))</f>
        <v>0.1346248563989072</v>
      </c>
      <c r="P35" s="19">
        <f>SUMIFS(Selections!$T$6:$T$49,Selections!$P$6:$P$49,"2026-W43")</f>
        <v>12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(n=12).</v>
      </c>
      <c r="R35" s="18"/>
    </row>
  </sheetData>
  <mergeCells count="2">
    <mergeCell ref="A2:Q2"/>
    <mergeCell ref="A4:Q4"/>
  </mergeCells>
  <conditionalFormatting sqref="K6:K35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COUNTIFS(Selections!$S$6:$S$49,"&gt;="&amp;B6,Selections!$S$6:$S$49,"&lt;"&amp;C6,Selections!$T$6:$T$49,1)</f>
        <v>1</v>
      </c>
      <c r="E6" s="20">
        <f>IF(D6=0,"n.a.",SUMIFS(Selections!$S$6:$S$49,Selections!$S$6:$S$49,"&gt;="&amp;B6,Selections!$S$6:$S$49,"&lt;"&amp;C6,Selections!$T$6:$T$49,1)/D6)</f>
        <v>0.45373358817867715</v>
      </c>
      <c r="F6" s="20">
        <f>IF(D6=0,"n.a.",SUMIFS(Selections!$L$6:$L$49,Selections!$S$6:$S$49,"&gt;="&amp;B6,Selections!$S$6:$S$49,"&lt;"&amp;C6,Selections!$T$6:$T$49,1)/D6)</f>
        <v>0.0</v>
      </c>
      <c r="G6" s="20">
        <f>IF(D6=0,"n.a.",E6-F6)</f>
        <v>0.45373358817867715</v>
      </c>
      <c r="H6" s="21">
        <f>IF(D6=0,"n.a.",SUMIFS(Selections!$O$6:$O$49,Selections!$S$6:$S$49,"&gt;="&amp;B6,Selections!$S$6:$S$49,"&lt;"&amp;C6,Selections!$T$6:$T$49,1)/D6)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COUNTIFS(Selections!$S$6:$S$49,"&gt;="&amp;B7,Selections!$S$6:$S$49,"&lt;"&amp;C7,Selections!$T$6:$T$49,1)</f>
        <v>1</v>
      </c>
      <c r="E7" s="20">
        <f>IF(D7=0,"n.a.",SUMIFS(Selections!$S$6:$S$49,Selections!$S$6:$S$49,"&gt;="&amp;B7,Selections!$S$6:$S$49,"&lt;"&amp;C7,Selections!$T$6:$T$49,1)/D7)</f>
        <v>0.5493193451423081</v>
      </c>
      <c r="F7" s="20">
        <f>IF(D7=0,"n.a.",SUMIFS(Selections!$L$6:$L$49,Selections!$S$6:$S$49,"&gt;="&amp;B7,Selections!$S$6:$S$49,"&lt;"&amp;C7,Selections!$T$6:$T$49,1)/D7)</f>
        <v>1.0</v>
      </c>
      <c r="G7" s="20">
        <f>IF(D7=0,"n.a.",E7-F7)</f>
        <v>-0.45068065485769193</v>
      </c>
      <c r="H7" s="21">
        <f>IF(D7=0,"n.a.",SUMIFS(Selections!$O$6:$O$49,Selections!$S$6:$S$49,"&gt;="&amp;B7,Selections!$S$6:$S$49,"&lt;"&amp;C7,Selections!$T$6:$T$49,1)/D7)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COUNTIFS(Selections!$S$6:$S$49,"&gt;="&amp;B8,Selections!$S$6:$S$49,"&lt;"&amp;C8,Selections!$T$6:$T$49,1)</f>
        <v>8</v>
      </c>
      <c r="E8" s="20">
        <f>IF(D8=0,"n.a.",SUMIFS(Selections!$S$6:$S$49,Selections!$S$6:$S$49,"&gt;="&amp;B8,Selections!$S$6:$S$49,"&lt;"&amp;C8,Selections!$T$6:$T$49,1)/D8)</f>
        <v>0.6487583343163</v>
      </c>
      <c r="F8" s="20">
        <f>IF(D8=0,"n.a.",SUMIFS(Selections!$L$6:$L$49,Selections!$S$6:$S$49,"&gt;="&amp;B8,Selections!$S$6:$S$49,"&lt;"&amp;C8,Selections!$T$6:$T$49,1)/D8)</f>
        <v>0.625</v>
      </c>
      <c r="G8" s="20">
        <f>IF(D8=0,"n.a.",E8-F8)</f>
        <v>0.023758334316300034</v>
      </c>
      <c r="H8" s="21">
        <f>IF(D8=0,"n.a.",SUMIFS(Selections!$O$6:$O$49,Selections!$S$6:$S$49,"&gt;="&amp;B8,Selections!$S$6:$S$49,"&lt;"&amp;C8,Selections!$T$6:$T$49,1)/D8)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COUNTIFS(Selections!$S$6:$S$49,"&gt;="&amp;B9,Selections!$S$6:$S$49,"&lt;"&amp;C9,Selections!$T$6:$T$49,1)</f>
        <v>14</v>
      </c>
      <c r="E9" s="20">
        <f>IF(D9=0,"n.a.",SUMIFS(Selections!$S$6:$S$49,Selections!$S$6:$S$49,"&gt;="&amp;B9,Selections!$S$6:$S$49,"&lt;"&amp;C9,Selections!$T$6:$T$49,1)/D9)</f>
        <v>0.7591794918954081</v>
      </c>
      <c r="F9" s="20">
        <f>IF(D9=0,"n.a.",SUMIFS(Selections!$L$6:$L$49,Selections!$S$6:$S$49,"&gt;="&amp;B9,Selections!$S$6:$S$49,"&lt;"&amp;C9,Selections!$T$6:$T$49,1)/D9)</f>
        <v>0.7142857142857143</v>
      </c>
      <c r="G9" s="20">
        <f>IF(D9=0,"n.a.",E9-F9)</f>
        <v>0.04489377760969382</v>
      </c>
      <c r="H9" s="21">
        <f>IF(D9=0,"n.a.",SUMIFS(Selections!$O$6:$O$49,Selections!$S$6:$S$49,"&gt;="&amp;B9,Selections!$S$6:$S$49,"&lt;"&amp;C9,Selections!$T$6:$T$49,1)/D9)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COUNTIFS(Selections!$S$6:$S$49,"&gt;="&amp;B10,Selections!$S$6:$S$49,"&lt;"&amp;C10,Selections!$T$6:$T$49,1)</f>
        <v>11</v>
      </c>
      <c r="E10" s="20">
        <f>IF(D10=0,"n.a.",SUMIFS(Selections!$S$6:$S$49,Selections!$S$6:$S$49,"&gt;="&amp;B10,Selections!$S$6:$S$49,"&lt;"&amp;C10,Selections!$T$6:$T$49,1)/D10)</f>
        <v>0.837468783985373</v>
      </c>
      <c r="F10" s="20">
        <f>IF(D10=0,"n.a.",SUMIFS(Selections!$L$6:$L$49,Selections!$S$6:$S$49,"&gt;="&amp;B10,Selections!$S$6:$S$49,"&lt;"&amp;C10,Selections!$T$6:$T$49,1)/D10)</f>
        <v>0.8181818181818182</v>
      </c>
      <c r="G10" s="20">
        <f>IF(D10=0,"n.a.",E10-F10)</f>
        <v>0.019286965803554823</v>
      </c>
      <c r="H10" s="21">
        <f>IF(D10=0,"n.a.",SUMIFS(Selections!$O$6:$O$49,Selections!$S$6:$S$49,"&gt;="&amp;B10,Selections!$S$6:$S$49,"&lt;"&amp;C10,Selections!$T$6:$T$49,1)/D10)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COUNTIFS(Selections!$S$6:$S$49,"&gt;="&amp;B11,Selections!$S$6:$S$49,"&lt;"&amp;C11,Selections!$T$6:$T$49,1)</f>
        <v>3</v>
      </c>
      <c r="E11" s="20">
        <f>IF(D11=0,"n.a.",SUMIFS(Selections!$S$6:$S$49,Selections!$S$6:$S$49,"&gt;="&amp;B11,Selections!$S$6:$S$49,"&lt;"&amp;C11,Selections!$T$6:$T$49,1)/D11)</f>
        <v>0.9296706477151994</v>
      </c>
      <c r="F11" s="20">
        <f>IF(D11=0,"n.a.",SUMIFS(Selections!$L$6:$L$49,Selections!$S$6:$S$49,"&gt;="&amp;B11,Selections!$S$6:$S$49,"&lt;"&amp;C11,Selections!$T$6:$T$49,1)/D11)</f>
        <v>1.0</v>
      </c>
      <c r="G11" s="20">
        <f>IF(D11=0,"n.a.",E11-F11)</f>
        <v>-0.07032935228480064</v>
      </c>
      <c r="H11" s="21">
        <f>IF(D11=0,"n.a.",SUMIFS(Selections!$O$6:$O$49,Selections!$S$6:$S$49,"&gt;="&amp;B11,Selections!$S$6:$S$49,"&lt;"&amp;C11,Selections!$T$6:$T$49,1)/D11)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0.7921442182160008</v>
      </c>
      <c r="I48" s="22">
        <v>1.53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93aabf61cc3a55fc007e1e56dcfc8baa6ebe3dd6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2026-10-22T10:58:13.963804+00:00</t>
        </is>
      </c>
      <c r="W48" t="inlineStr" s="18">
        <is>
          <t>2026-10-22T10:58:33Z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</sheetData>
  <mergeCells count="2">
    <mergeCell ref="B2:W2"/>
    <mergeCell ref="B4:W4"/>
  </mergeCells>
  <conditionalFormatting sqref="K6:K4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La Liga|sevilla|ca osasuna|2026-10-26</t>
        </is>
      </c>
      <c r="B187" s="23">
        <v>46321.833333333336</v>
      </c>
      <c r="C187" s="18" t="inlineStr">
        <is>
          <t>La Liga</t>
        </is>
      </c>
      <c r="D187" s="18" t="inlineStr">
        <is>
          <t>Sevilla vs CA Osasuna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Serie A|sassuolo|lazio|2026-10-27</t>
        </is>
      </c>
      <c r="B188" s="23">
        <v>46322.729166666664</v>
      </c>
      <c r="C188" s="18" t="inlineStr">
        <is>
          <t>Serie A</t>
        </is>
      </c>
      <c r="D188" s="18" t="inlineStr">
        <is>
          <t>Sassuolo vs Lazio</t>
        </is>
      </c>
      <c r="E188" s="18" t="inlineStr">
        <is>
          <t>48h-top-ten-probability-ev-no-under35-v14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ca1e126489f9dedd7d4f5072a6bfa57835dec39c</t>
        </is>
      </c>
      <c r="P188" s="18"/>
      <c r="Q188" s="18"/>
      <c r="R188" s="18"/>
    </row>
    <row r="189" ht="36" customHeight="1">
      <c r="A189" s="18" t="inlineStr">
        <is>
          <t>Serie A|as roma|cagliari|2026-10-27</t>
        </is>
      </c>
      <c r="B189" s="23">
        <v>46322.822916666664</v>
      </c>
      <c r="C189" s="18" t="inlineStr">
        <is>
          <t>Serie A</t>
        </is>
      </c>
      <c r="D189" s="18" t="inlineStr">
        <is>
          <t>AS Roma vs Cagliari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A|torino|como|2026-10-27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Torino vs Como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A|milan|bologna|2026-10-28</t>
        </is>
      </c>
      <c r="B191" s="23">
        <v>46323.729166666664</v>
      </c>
      <c r="C191" s="18" t="inlineStr">
        <is>
          <t>Serie A</t>
        </is>
      </c>
      <c r="D191" s="18" t="inlineStr">
        <is>
          <t>AC Milan vs Bologna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A|parma|udinese|2026-10-28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Parma vs Udinese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A|venezia|inter|2026-10-28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Venezia vs Inter Milan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A|genoa|juventus|2026-10-28</t>
        </is>
      </c>
      <c r="B194" s="23">
        <v>46323.822916666664</v>
      </c>
      <c r="C194" s="18" t="inlineStr">
        <is>
          <t>Serie A</t>
        </is>
      </c>
      <c r="D194" s="18" t="inlineStr">
        <is>
          <t>Genoa vs Juventus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A|monza|napoli|2026-10-28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Monza vs Napoli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A|frosinone|lecce|2026-10-29</t>
        </is>
      </c>
      <c r="B196" s="23">
        <v>46324.729166666664</v>
      </c>
      <c r="C196" s="18" t="inlineStr">
        <is>
          <t>Serie A</t>
        </is>
      </c>
      <c r="D196" s="18" t="inlineStr">
        <is>
          <t>Frosinone vs Lecce</t>
        </is>
      </c>
      <c r="E196" s="18" t="inlineStr">
        <is>
          <t>48h-top-twelve-probability-ev-no-under35-v15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e93027ea804f64efe276f7e7fc3db8013e20cb3e</t>
        </is>
      </c>
      <c r="P196" s="18"/>
      <c r="Q196" s="18"/>
      <c r="R196" s="18"/>
    </row>
    <row r="197" ht="36" customHeight="1">
      <c r="A197" s="18" t="inlineStr">
        <is>
          <t>Serie A|fiorentina|atalanta bc|2026-10-29</t>
        </is>
      </c>
      <c r="B197" s="23">
        <v>46324.822916666664</v>
      </c>
      <c r="C197" s="18" t="inlineStr">
        <is>
          <t>Serie A</t>
        </is>
      </c>
      <c r="D197" s="18" t="inlineStr">
        <is>
          <t>Fiorentina vs Atalanta BC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Ligue 1|le havre|paris sg|2026-10-30</t>
        </is>
      </c>
      <c r="B198" s="23">
        <v>46325.75</v>
      </c>
      <c r="C198" s="18" t="inlineStr">
        <is>
          <t>Ligue 1</t>
        </is>
      </c>
      <c r="D198" s="18" t="inlineStr">
        <is>
          <t>Le Havre vs Paris Saint Germain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4c569effb9e7261783c7d1cc1a5b93cb0f40d309</t>
        </is>
      </c>
      <c r="P198" s="18"/>
      <c r="Q198" s="18"/>
      <c r="R198" s="18"/>
    </row>
    <row r="199" ht="36" customHeight="1">
      <c r="A199" s="18" t="inlineStr">
        <is>
          <t>Bundesliga|elversberg|fsv mainz|2026-10-30</t>
        </is>
      </c>
      <c r="B199" s="23">
        <v>46325.8125</v>
      </c>
      <c r="C199" s="18" t="inlineStr">
        <is>
          <t>Bundesliga</t>
        </is>
      </c>
      <c r="D199" s="18" t="inlineStr">
        <is>
          <t>Elversberg vs FSV Mainz 05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La Liga|villarreal|espanyol|2026-10-30</t>
        </is>
      </c>
      <c r="B200" s="23">
        <v>46325.833333333336</v>
      </c>
      <c r="C200" s="18" t="inlineStr">
        <is>
          <t>La Liga</t>
        </is>
      </c>
      <c r="D200" s="18" t="inlineStr">
        <is>
          <t>Villarreal vs Espanyol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Ligue 1|lille|rc lens|2026-10-30</t>
        </is>
      </c>
      <c r="B201" s="23">
        <v>46325.836805555555</v>
      </c>
      <c r="C201" s="18" t="inlineStr">
        <is>
          <t>Ligue 1</t>
        </is>
      </c>
      <c r="D201" s="18" t="inlineStr">
        <is>
          <t>Lille vs RC Lens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Premier League|chelsea|man united|2026-10-31</t>
        </is>
      </c>
      <c r="B202" s="23">
        <v>46326.520833333336</v>
      </c>
      <c r="C202" s="18" t="inlineStr">
        <is>
          <t>Premier League</t>
        </is>
      </c>
      <c r="D202" s="18" t="inlineStr">
        <is>
          <t>Chelsea vs Manchester United</t>
        </is>
      </c>
      <c r="E202" s="18" t="inlineStr">
        <is>
          <t>48h-risk-band-ev1-asian-handicap-1x2-over15-v20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d737a7a239cba647c6a18877351a8ec1e81a6350</t>
        </is>
      </c>
      <c r="P202" s="18"/>
      <c r="Q202" s="18"/>
      <c r="R202" s="18"/>
    </row>
    <row r="203" ht="36" customHeight="1">
      <c r="A203" s="18" t="inlineStr">
        <is>
          <t>La Liga|levante|ath madrid|2026-10-31</t>
        </is>
      </c>
      <c r="B203" s="23">
        <v>46326.541666666664</v>
      </c>
      <c r="C203" s="18" t="inlineStr">
        <is>
          <t>La Liga</t>
        </is>
      </c>
      <c r="D203" s="18" t="inlineStr">
        <is>
          <t>Levante vs Atlético Madrid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Bundesliga|augsburg|freiburg|2026-10-31</t>
        </is>
      </c>
      <c r="B204" s="23">
        <v>46326.604166666664</v>
      </c>
      <c r="C204" s="18" t="inlineStr">
        <is>
          <t>Bundesliga</t>
        </is>
      </c>
      <c r="D204" s="18" t="inlineStr">
        <is>
          <t>Augsburg vs SC Freiburg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Bundesliga|bayer leverkusen|vfb stuttgart|2026-10-31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Bayer Leverkusen vs VfB Stuttgart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Bundesliga|m gladbach|paderborn|2026-10-31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Borussia Monchengladbach vs SC Paderborn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Bundesliga|schalke|rb leipzig|2026-10-31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FC Schalke 04 vs RB Leipzig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Bundesliga|werder bremen|tsg hoffenheim|2026-10-31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Werder Bremen vs TSG Hoffenheim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Premier League|bournemouth|leeds|2026-10-31</t>
        </is>
      </c>
      <c r="B209" s="23">
        <v>46326.625</v>
      </c>
      <c r="C209" s="18" t="inlineStr">
        <is>
          <t>Premier League</t>
        </is>
      </c>
      <c r="D209" s="18" t="inlineStr">
        <is>
          <t>Bournemouth vs Leeds United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League|brentford|nott m forest|2026-10-31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Brentford vs Nottingham Forest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League|coventry city|sunderland|2026-10-31</t>
        </is>
      </c>
      <c r="B211" s="23">
        <v>46326.625</v>
      </c>
      <c r="C211" s="18" t="inlineStr">
        <is>
          <t>Premier League</t>
        </is>
      </c>
      <c r="D211" s="18" t="inlineStr">
        <is>
          <t>Coventry City vs Sunderland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League|hull city|ipswich town|2026-10-31</t>
        </is>
      </c>
      <c r="B212" s="23">
        <v>46326.625</v>
      </c>
      <c r="C212" s="18" t="inlineStr">
        <is>
          <t>Premier League</t>
        </is>
      </c>
      <c r="D212" s="18" t="inlineStr">
        <is>
          <t>Hull City vs Ipswich Town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League|man city|brighton|2026-10-31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Manchester City vs Brighton and Hove Albion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Liga|rayo vallecano|celta vigo|2026-10-31</t>
        </is>
      </c>
      <c r="B214" s="23">
        <v>46326.635416666664</v>
      </c>
      <c r="C214" s="18" t="inlineStr">
        <is>
          <t>La Liga</t>
        </is>
      </c>
      <c r="D214" s="18" t="inlineStr">
        <is>
          <t>Rayo Vallecano vs Celta Vigo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Ligue 1|nice|rennes|2026-10-31</t>
        </is>
      </c>
      <c r="B215" s="23">
        <v>46326.677083333336</v>
      </c>
      <c r="C215" s="18" t="inlineStr">
        <is>
          <t>Ligue 1</t>
        </is>
      </c>
      <c r="D215" s="18" t="inlineStr">
        <is>
          <t>Nice vs Rennes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8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20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Breakdowns!B33</f>
        <v>2026-W41</v>
      </c>
      <c r="B6" s="19">
        <f>Breakdowns!D33</f>
        <v>4.0</v>
      </c>
      <c r="C6" s="19">
        <f>COUNTIFS(Selections!$P$6:$P$49,A6,Selections!$M$6:$M$49,"&gt;0")</f>
        <v>4.0</v>
      </c>
      <c r="D6" s="22">
        <f>IF(C6=0,"n.a.",Breakdowns!J33)</f>
        <v>-1.48</v>
      </c>
      <c r="E6" s="22">
        <f>IF(SUM($C$6:C6)=0,"n.a.",SUM($D$6:D6))</f>
        <v>-1.48</v>
      </c>
      <c r="F6" s="20">
        <f>Breakdowns!H33</f>
        <v>0.5</v>
      </c>
    </row>
    <row r="7" ht="26" customHeight="1">
      <c r="A7" s="18" t="str">
        <f>Breakdowns!B34</f>
        <v>2026-W42</v>
      </c>
      <c r="B7" s="19">
        <f>Breakdowns!D34</f>
        <v>22.0</v>
      </c>
      <c r="C7" s="19">
        <f>COUNTIFS(Selections!$P$6:$P$49,A7,Selections!$M$6:$M$49,"&gt;0")</f>
        <v>22.0</v>
      </c>
      <c r="D7" s="22">
        <f>IF(C7=0,"n.a.",Breakdowns!J34)</f>
        <v>4.289999999999999</v>
      </c>
      <c r="E7" s="22">
        <f>IF(SUM($C$6:C7)=0,"n.a.",SUM($D$6:D7))</f>
        <v>2.809999999999999</v>
      </c>
      <c r="F7" s="20">
        <f>Breakdowns!H34</f>
        <v>0.8636363636363636</v>
      </c>
    </row>
    <row r="8" ht="26" customHeight="1">
      <c r="A8" s="18" t="str">
        <f>Breakdowns!B35</f>
        <v>2026-W43</v>
      </c>
      <c r="B8" s="19">
        <f>Breakdowns!D35</f>
        <v>12.0</v>
      </c>
      <c r="C8" s="19">
        <f>COUNTIFS(Selections!$P$6:$P$49,A8,Selections!$M$6:$M$49,"&gt;0")</f>
        <v>12.0</v>
      </c>
      <c r="D8" s="22">
        <f>IF(C8=0,"n.a.",Breakdowns!J35)</f>
        <v>-2.3800000000000003</v>
      </c>
      <c r="E8" s="22">
        <f>IF(SUM($C$6:C8)=0,"n.a.",SUM($D$6:D8))</f>
        <v>0.4299999999999988</v>
      </c>
      <c r="F8" s="20">
        <f>Breakdowns!H35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44</v>
      </c>
      <c r="B8" s="19">
        <v>38</v>
      </c>
      <c r="C8" s="19">
        <v>28</v>
      </c>
      <c r="D8" s="19">
        <v>10</v>
      </c>
      <c r="E8" s="19">
        <v>6</v>
      </c>
      <c r="F8" s="20">
        <v>0.736842</v>
      </c>
      <c r="G8" s="20">
        <v>0.011316</v>
      </c>
      <c r="H8" s="19">
        <v>0.43</v>
      </c>
      <c r="I8" s="19">
        <v>36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50">
      <c r="A50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2026-10-22T10:59:48.540941+00:00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5" ht="44" customHeight="1">
      <c r="A15" s="18" t="inlineStr">
        <is>
          <t>UEL</t>
        </is>
      </c>
      <c r="B15" s="18" t="inlineStr">
        <is>
          <t>2026-10-15</t>
        </is>
      </c>
      <c r="C15" s="19">
        <v>696</v>
      </c>
      <c r="D15" s="19">
        <v>7</v>
      </c>
      <c r="E15" s="18" t="inlineStr">
        <is>
          <t>Verified within 24 hours</t>
        </is>
      </c>
      <c r="F15" s="18" t="inlineStr">
        <is>
          <t>See source health report</t>
        </is>
      </c>
    </row>
    <row r="18">
      <c r="A18" s="26" t="inlineStr">
        <is>
          <t>API-Football supplementary inputs</t>
        </is>
      </c>
    </row>
    <row r="19" ht="34" customHeight="1">
      <c r="A19" s="24" t="inlineStr">
        <is>
          <t>League</t>
        </is>
      </c>
      <c r="B19" s="24" t="inlineStr">
        <is>
          <t>Source status</t>
        </is>
      </c>
      <c r="C19" s="24" t="inlineStr">
        <is>
          <t>Confirmed results</t>
        </is>
      </c>
      <c r="D19" s="24" t="inlineStr">
        <is>
          <t>Added results</t>
        </is>
      </c>
      <c r="E19" s="24" t="inlineStr">
        <is>
          <t>Conflicts held</t>
        </is>
      </c>
      <c r="F19" s="24" t="inlineStr">
        <is>
          <t>Stats observations</t>
        </is>
      </c>
    </row>
    <row r="20" ht="44" customHeight="1">
      <c r="A20" s="18" t="inlineStr">
        <is>
          <t>Bundesliga</t>
        </is>
      </c>
      <c r="B20" s="18" t="inlineStr">
        <is>
          <t>AVAILABLE</t>
        </is>
      </c>
      <c r="C20" s="19">
        <v>254</v>
      </c>
      <c r="D20" s="19">
        <v>2</v>
      </c>
      <c r="E20" s="19">
        <v>0</v>
      </c>
      <c r="F20" s="19">
        <v>16</v>
      </c>
    </row>
    <row r="21" ht="44" customHeight="1">
      <c r="A21" s="18" t="inlineStr">
        <is>
          <t>EPL</t>
        </is>
      </c>
      <c r="B21" s="18" t="inlineStr">
        <is>
          <t>AVAILABLE</t>
        </is>
      </c>
      <c r="C21" s="19">
        <v>1102</v>
      </c>
      <c r="D21" s="19">
        <v>0</v>
      </c>
      <c r="E21" s="19">
        <v>0</v>
      </c>
      <c r="F21" s="19">
        <v>60</v>
      </c>
    </row>
    <row r="22" ht="44" customHeight="1">
      <c r="A22" s="18" t="inlineStr">
        <is>
          <t>LaLiga</t>
        </is>
      </c>
      <c r="B22" s="18" t="inlineStr">
        <is>
          <t>AVAILABLE</t>
        </is>
      </c>
      <c r="C22" s="19">
        <v>574</v>
      </c>
      <c r="D22" s="19">
        <v>0</v>
      </c>
      <c r="E22" s="19">
        <v>0</v>
      </c>
      <c r="F22" s="19">
        <v>33</v>
      </c>
    </row>
    <row r="23" ht="44" customHeight="1">
      <c r="A23" s="18" t="inlineStr">
        <is>
          <t>Ligue1</t>
        </is>
      </c>
      <c r="B23" s="18" t="inlineStr">
        <is>
          <t>AVAILABLE</t>
        </is>
      </c>
      <c r="C23" s="19">
        <v>752</v>
      </c>
      <c r="D23" s="19">
        <v>2</v>
      </c>
      <c r="E23" s="19">
        <v>0</v>
      </c>
      <c r="F23" s="19">
        <v>36</v>
      </c>
    </row>
    <row r="24" ht="44" customHeight="1">
      <c r="A24" s="18" t="inlineStr">
        <is>
          <t>SerieA</t>
        </is>
      </c>
      <c r="B24" s="18" t="inlineStr">
        <is>
          <t>AVAILABLE</t>
        </is>
      </c>
      <c r="C24" s="19">
        <v>918</v>
      </c>
      <c r="D24" s="19">
        <v>0</v>
      </c>
      <c r="E24" s="19">
        <v>0</v>
      </c>
      <c r="F24" s="19">
        <v>48</v>
      </c>
    </row>
    <row r="25" ht="44" customHeight="1">
      <c r="A25" s="18" t="inlineStr">
        <is>
          <t>UCL</t>
        </is>
      </c>
      <c r="B25" s="18" t="inlineStr">
        <is>
          <t>AVAILABLE</t>
        </is>
      </c>
      <c r="C25" s="19">
        <v>139</v>
      </c>
      <c r="D25" s="19">
        <v>0</v>
      </c>
      <c r="E25" s="19">
        <v>1</v>
      </c>
      <c r="F25" s="19">
        <v>4</v>
      </c>
    </row>
    <row r="26" ht="44" customHeight="1">
      <c r="A26" s="18" t="inlineStr">
        <is>
          <t>UEL</t>
        </is>
      </c>
      <c r="B26" s="18" t="inlineStr">
        <is>
          <t>NOT_COLLECTED</t>
        </is>
      </c>
      <c r="C26" s="18"/>
      <c r="D26" s="18"/>
      <c r="E26" s="18"/>
      <c r="F26" s="18"/>
    </row>
    <row r="29">
      <c r="A29" s="26" t="inlineStr">
        <is>
          <t>Near-close quote coverage</t>
        </is>
      </c>
    </row>
    <row r="30" ht="34" customHeight="1">
      <c r="A30" s="24" t="inlineStr">
        <is>
          <t>Bookmaker</t>
        </is>
      </c>
      <c r="B30" s="24" t="inlineStr">
        <is>
          <t>Covered selections</t>
        </is>
      </c>
      <c r="C30" s="24" t="inlineStr">
        <is>
          <t>Missing selections</t>
        </is>
      </c>
      <c r="D30" s="24" t="inlineStr">
        <is>
          <t>Pending selections</t>
        </is>
      </c>
      <c r="E30" s="24" t="inlineStr">
        <is>
          <t>Mean fair-close EV</t>
        </is>
      </c>
      <c r="F30" s="24" t="inlineStr">
        <is>
          <t>Same-book offer CLV</t>
        </is>
      </c>
    </row>
    <row r="31" ht="44" customHeight="1">
      <c r="A31" s="18" t="inlineStr">
        <is>
          <t>1xbet</t>
        </is>
      </c>
      <c r="B31" s="19">
        <v>24</v>
      </c>
      <c r="C31" s="19">
        <v>18</v>
      </c>
      <c r="D31" s="19">
        <v>2</v>
      </c>
      <c r="E31" s="20">
        <v>-0.03898369124250692</v>
      </c>
      <c r="F31" s="20">
        <v>0.009153547906679346</v>
      </c>
    </row>
    <row r="32" ht="44" customHeight="1">
      <c r="A32" s="18" t="inlineStr">
        <is>
          <t>bet365</t>
        </is>
      </c>
      <c r="B32" s="19">
        <v>0</v>
      </c>
      <c r="C32" s="19">
        <v>42</v>
      </c>
      <c r="D32" s="19">
        <v>2</v>
      </c>
      <c r="E32" s="20" t="inlineStr">
        <is>
          <t>Unavailable</t>
        </is>
      </c>
      <c r="F32" s="20" t="inlineStr">
        <is>
          <t>Unavailable</t>
        </is>
      </c>
    </row>
    <row r="33" ht="44" customHeight="1">
      <c r="A33" s="18" t="inlineStr">
        <is>
          <t>pinnacle</t>
        </is>
      </c>
      <c r="B33" s="19">
        <v>26</v>
      </c>
      <c r="C33" s="19">
        <v>16</v>
      </c>
      <c r="D33" s="19">
        <v>2</v>
      </c>
      <c r="E33" s="20">
        <v>-0.04151560051144622</v>
      </c>
      <c r="F33" s="20" t="inlineStr">
        <is>
          <t>Unavailable</t>
        </is>
      </c>
    </row>
    <row r="36">
      <c r="A36" s="27" t="inlineStr">
        <is>
          <t>Near-close quotes: latest selections. Observed quotes are not guaranteed official closes; accepted execution is unverified.</t>
        </is>
      </c>
    </row>
    <row r="38">
      <c r="A38" s="26" t="inlineStr">
        <is>
          <t>Latest shortlist quote audit</t>
        </is>
      </c>
    </row>
    <row r="39" ht="34" customHeight="1">
      <c r="A39" s="24" t="inlineStr">
        <is>
          <t>Check</t>
        </is>
      </c>
      <c r="B39" s="24" t="inlineStr">
        <is>
          <t>Recorded value</t>
        </is>
      </c>
    </row>
    <row r="40" ht="44" customHeight="1">
      <c r="A40" s="18" t="inlineStr">
        <is>
          <t>Selected quotes</t>
        </is>
      </c>
      <c r="B40" s="19">
        <v>2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Quote age over 24h</t>
        </is>
      </c>
      <c r="B43" s="19">
        <v>0</v>
      </c>
    </row>
    <row r="44" ht="44" customHeight="1">
      <c r="A44" s="18" t="inlineStr">
        <is>
          <t>Costs recorded</t>
        </is>
      </c>
      <c r="B44" s="19">
        <v>2</v>
      </c>
    </row>
    <row r="45" ht="44" customHeight="1">
      <c r="A45" s="18" t="inlineStr">
        <is>
          <t>Bookmakers: Pinnacle</t>
        </is>
      </c>
      <c r="B45" s="19">
        <v>2</v>
      </c>
    </row>
    <row r="46" ht="44" customHeight="1">
      <c r="A46" s="18" t="inlineStr">
        <is>
          <t>Account availability</t>
        </is>
      </c>
      <c r="B46" s="18" t="inlineStr">
        <is>
          <t>Not verified with bookmaker accounts</t>
        </is>
      </c>
    </row>
    <row r="47" ht="44" customHeight="1">
      <c r="A47" s="18" t="inlineStr">
        <is>
          <t>Past kickoff count</t>
        </is>
      </c>
      <c r="B47" s="19">
        <v>0</v>
      </c>
    </row>
    <row r="48" ht="44" customHeight="1">
      <c r="A48" s="18" t="inlineStr">
        <is>
          <t>Upcoming kickoff count</t>
        </is>
      </c>
      <c r="B48" s="19">
        <v>2</v>
      </c>
    </row>
    <row r="49" ht="44" customHeight="1">
      <c r="A49" s="18" t="inlineStr">
        <is>
          <t>Unknown kickoff count</t>
        </is>
      </c>
      <c r="B49" s="19">
        <v>0</v>
      </c>
    </row>
    <row r="52">
      <c r="A52" s="26" t="inlineStr">
        <is>
          <t>Forecast capture coverage</t>
        </is>
      </c>
    </row>
    <row r="53" ht="34" customHeight="1">
      <c r="A53" s="24" t="inlineStr">
        <is>
          <t>Experiment</t>
        </is>
      </c>
      <c r="B53" s="24" t="inlineStr">
        <is>
          <t>Capture state</t>
        </is>
      </c>
      <c r="C53" s="24" t="inlineStr">
        <is>
          <t>Snapshot count</t>
        </is>
      </c>
    </row>
    <row r="54" ht="44" customHeight="1">
      <c r="A54" s="18" t="inlineStr">
        <is>
          <t>Goal-market blend</t>
        </is>
      </c>
      <c r="B54" s="18" t="inlineStr">
        <is>
          <t>Captured</t>
        </is>
      </c>
      <c r="C54" s="19">
        <v>30</v>
      </c>
    </row>
    <row r="55" ht="44" customHeight="1">
      <c r="A55" s="18" t="inlineStr">
        <is>
          <t>Goal-market blend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Market-led forecasts</t>
        </is>
      </c>
      <c r="B56" s="18" t="inlineStr">
        <is>
          <t>Captured</t>
        </is>
      </c>
      <c r="C56" s="19">
        <v>30</v>
      </c>
    </row>
    <row r="57" ht="44" customHeight="1">
      <c r="A57" s="18" t="inlineStr">
        <is>
          <t>Market-led forecasts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Recency comparison</t>
        </is>
      </c>
      <c r="B58" s="18" t="inlineStr">
        <is>
          <t>Captured</t>
        </is>
      </c>
      <c r="C58" s="19">
        <v>26</v>
      </c>
    </row>
    <row r="59" ht="44" customHeight="1">
      <c r="A59" s="18" t="inlineStr">
        <is>
          <t>Recency comparison</t>
        </is>
      </c>
      <c r="B59" s="18" t="inlineStr">
        <is>
          <t>Legacy not recorded</t>
        </is>
      </c>
      <c r="C59" s="19">
        <v>18</v>
      </c>
    </row>
    <row r="60" ht="44" customHeight="1">
      <c r="A60" s="18" t="inlineStr">
        <is>
          <t>EV filter sensitivity</t>
        </is>
      </c>
      <c r="B60" s="18" t="inlineStr">
        <is>
          <t>Captured</t>
        </is>
      </c>
      <c r="C60" s="19">
        <v>23</v>
      </c>
    </row>
    <row r="61" ht="44" customHeight="1">
      <c r="A61" s="18" t="inlineStr">
        <is>
          <t>EV filter sensitivity</t>
        </is>
      </c>
      <c r="B61" s="18" t="inlineStr">
        <is>
          <t>Legacy not recorded</t>
        </is>
      </c>
      <c r="C61" s="19">
        <v>19</v>
      </c>
    </row>
    <row r="62" ht="44" customHeight="1">
      <c r="A62" s="18" t="inlineStr">
        <is>
          <t>EV filter sensitivity</t>
        </is>
      </c>
      <c r="B62" s="18" t="inlineStr">
        <is>
          <t>Not generated</t>
        </is>
      </c>
      <c r="C62" s="19">
        <v>2</v>
      </c>
    </row>
    <row r="63" ht="44" customHeight="1">
      <c r="A63" s="18" t="inlineStr">
        <is>
          <t>85% market weight</t>
        </is>
      </c>
      <c r="B63" s="18" t="inlineStr">
        <is>
          <t>Captured</t>
        </is>
      </c>
      <c r="C63" s="19">
        <v>23</v>
      </c>
    </row>
    <row r="64" ht="44" customHeight="1">
      <c r="A64" s="18" t="inlineStr">
        <is>
          <t>85% market weight</t>
        </is>
      </c>
      <c r="B64" s="18" t="inlineStr">
        <is>
          <t>Legacy not recorded</t>
        </is>
      </c>
      <c r="C64" s="19">
        <v>20</v>
      </c>
    </row>
    <row r="65" ht="44" customHeight="1">
      <c r="A65" s="18" t="inlineStr">
        <is>
          <t>85% market weight</t>
        </is>
      </c>
      <c r="B65" s="18" t="inlineStr">
        <is>
          <t>Present but rejected</t>
        </is>
      </c>
      <c r="C65" s="19">
        <v>1</v>
      </c>
    </row>
    <row r="66" ht="44" customHeight="1">
      <c r="A66" s="18" t="inlineStr">
        <is>
          <t>Pinnacle totals anchor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Pinnacle totals anchor</t>
        </is>
      </c>
      <c r="B67" s="18" t="inlineStr">
        <is>
          <t>Legacy not recorded</t>
        </is>
      </c>
      <c r="C67" s="19">
        <v>21</v>
      </c>
    </row>
    <row r="68" ht="44" customHeight="1">
      <c r="A68" s="18" t="inlineStr">
        <is>
          <t>Stronger regularisation (L2=3)</t>
        </is>
      </c>
      <c r="B68" s="18" t="inlineStr">
        <is>
          <t>Legacy not recorded</t>
        </is>
      </c>
      <c r="C68" s="19">
        <v>44</v>
      </c>
    </row>
    <row r="69" ht="44" customHeight="1">
      <c r="A69" s="18" t="inlineStr">
        <is>
          <t>Fixed half-life (480 days)</t>
        </is>
      </c>
      <c r="B69" s="18" t="inlineStr">
        <is>
          <t>Legacy not recorded</t>
        </is>
      </c>
      <c r="C69" s="19">
        <v>44</v>
      </c>
    </row>
    <row r="70" ht="44" customHeight="1">
      <c r="A70" s="18" t="inlineStr">
        <is>
          <t>Probability / calibration policy</t>
        </is>
      </c>
      <c r="B70" s="18" t="inlineStr">
        <is>
          <t>Captured</t>
        </is>
      </c>
      <c r="C70" s="19">
        <v>15</v>
      </c>
    </row>
    <row r="71" ht="44" customHeight="1">
      <c r="A71" s="18" t="inlineStr">
        <is>
          <t>Probability / calibration policy</t>
        </is>
      </c>
      <c r="B71" s="18" t="inlineStr">
        <is>
          <t>Legacy not recorded</t>
        </is>
      </c>
      <c r="C71" s="19">
        <v>26</v>
      </c>
    </row>
    <row r="72" ht="44" customHeight="1">
      <c r="A72" s="18" t="inlineStr">
        <is>
          <t>Probability / calibration policy</t>
        </is>
      </c>
      <c r="B72" s="18" t="inlineStr">
        <is>
          <t>Not generated</t>
        </is>
      </c>
      <c r="C72" s="19">
        <v>2</v>
      </c>
    </row>
    <row r="73" ht="44" customHeight="1">
      <c r="A73" s="18" t="inlineStr">
        <is>
          <t>Probability / calibration policy</t>
        </is>
      </c>
      <c r="B73" s="18" t="inlineStr">
        <is>
          <t>Present but rejected</t>
        </is>
      </c>
      <c r="C73" s="19">
        <v>1</v>
      </c>
    </row>
    <row r="74" ht="44" customHeight="1">
      <c r="A74" s="18" t="inlineStr">
        <is>
          <t>Shortlist probability / EV weights</t>
        </is>
      </c>
      <c r="B74" s="18" t="inlineStr">
        <is>
          <t>Captured</t>
        </is>
      </c>
      <c r="C74" s="19">
        <v>7</v>
      </c>
    </row>
    <row r="75" ht="44" customHeight="1">
      <c r="A75" s="18" t="inlineStr">
        <is>
          <t>Shortlist probability / EV weights</t>
        </is>
      </c>
      <c r="B75" s="18" t="inlineStr">
        <is>
          <t>Legacy not recorded</t>
        </is>
      </c>
      <c r="C75" s="19">
        <v>35</v>
      </c>
    </row>
    <row r="76" ht="44" customHeight="1">
      <c r="A76" s="18" t="inlineStr">
        <is>
          <t>Shortlist probability / EV weights</t>
        </is>
      </c>
      <c r="B76" s="18" t="inlineStr">
        <is>
          <t>Not generated</t>
        </is>
      </c>
      <c r="C76" s="19">
        <v>2</v>
      </c>
    </row>
    <row r="79">
      <c r="A79" s="26" t="inlineStr">
        <is>
          <t>EV sensitivity results</t>
        </is>
      </c>
    </row>
    <row r="80" ht="34" customHeight="1">
      <c r="A80" s="24" t="inlineStr">
        <is>
          <t>EV floor</t>
        </is>
      </c>
      <c r="B80" s="24" t="inlineStr">
        <is>
          <t>Tier</t>
        </is>
      </c>
      <c r="C80" s="24" t="inlineStr">
        <is>
          <t>Selected</t>
        </is>
      </c>
      <c r="D80" s="24" t="inlineStr">
        <is>
          <t>Settled</t>
        </is>
      </c>
      <c r="E80" s="24" t="inlineStr">
        <is>
          <t>Simulated ROI</t>
        </is>
      </c>
      <c r="F80" s="24" t="inlineStr">
        <is>
          <t>Drawdown (units)</t>
        </is>
      </c>
    </row>
    <row r="81" ht="44" customHeight="1">
      <c r="A81" s="20">
        <v>0.015</v>
      </c>
      <c r="B81" s="18" t="inlineStr">
        <is>
          <t>ALL</t>
        </is>
      </c>
      <c r="C81" s="19">
        <v>9</v>
      </c>
      <c r="D81" s="19">
        <v>8</v>
      </c>
      <c r="E81" s="20">
        <v>0.1725</v>
      </c>
      <c r="F81" s="22">
        <v>1.0</v>
      </c>
    </row>
    <row r="82" ht="44" customHeight="1">
      <c r="A82" s="20">
        <v>0.015</v>
      </c>
      <c r="B82" s="18" t="inlineStr">
        <is>
          <t>STRICT</t>
        </is>
      </c>
      <c r="C82" s="19">
        <v>7</v>
      </c>
      <c r="D82" s="19">
        <v>6</v>
      </c>
      <c r="E82" s="20">
        <v>0.09833333333333331</v>
      </c>
      <c r="F82" s="22">
        <v>1.0</v>
      </c>
    </row>
    <row r="83" ht="44" customHeight="1">
      <c r="A83" s="20">
        <v>0.015</v>
      </c>
      <c r="B83" s="18" t="inlineStr">
        <is>
          <t>PROVISIONAL</t>
        </is>
      </c>
      <c r="C83" s="19">
        <v>2</v>
      </c>
      <c r="D83" s="19">
        <v>2</v>
      </c>
      <c r="E83" s="20">
        <v>0.395</v>
      </c>
      <c r="F83" s="22">
        <v>0.0</v>
      </c>
    </row>
    <row r="84" ht="44" customHeight="1">
      <c r="A84" s="20">
        <v>0.03</v>
      </c>
      <c r="B84" s="18" t="inlineStr">
        <is>
          <t>ALL</t>
        </is>
      </c>
      <c r="C84" s="19">
        <v>8</v>
      </c>
      <c r="D84" s="19">
        <v>7</v>
      </c>
      <c r="E84" s="20">
        <v>0.16285714285714284</v>
      </c>
      <c r="F84" s="22">
        <v>1.0</v>
      </c>
    </row>
    <row r="85" ht="44" customHeight="1">
      <c r="A85" s="20">
        <v>0.03</v>
      </c>
      <c r="B85" s="18" t="inlineStr">
        <is>
          <t>STRICT</t>
        </is>
      </c>
      <c r="C85" s="19">
        <v>6</v>
      </c>
      <c r="D85" s="19">
        <v>5</v>
      </c>
      <c r="E85" s="20">
        <v>0.06999999999999998</v>
      </c>
      <c r="F85" s="22">
        <v>1.0</v>
      </c>
    </row>
    <row r="86" ht="44" customHeight="1">
      <c r="A86" s="20">
        <v>0.03</v>
      </c>
      <c r="B86" s="18" t="inlineStr">
        <is>
          <t>PROVISIONAL</t>
        </is>
      </c>
      <c r="C86" s="19">
        <v>2</v>
      </c>
      <c r="D86" s="19">
        <v>2</v>
      </c>
      <c r="E86" s="20">
        <v>0.395</v>
      </c>
      <c r="F86" s="22">
        <v>0.0</v>
      </c>
    </row>
    <row r="87" ht="44" customHeight="1">
      <c r="A87" s="20">
        <v>0.05</v>
      </c>
      <c r="B87" s="18" t="inlineStr">
        <is>
          <t>ALL</t>
        </is>
      </c>
      <c r="C87" s="19">
        <v>7</v>
      </c>
      <c r="D87" s="19">
        <v>6</v>
      </c>
      <c r="E87" s="20">
        <v>0.14666666666666664</v>
      </c>
      <c r="F87" s="22">
        <v>1.0</v>
      </c>
    </row>
    <row r="88" ht="44" customHeight="1">
      <c r="A88" s="20">
        <v>0.05</v>
      </c>
      <c r="B88" s="18" t="inlineStr">
        <is>
          <t>STRICT</t>
        </is>
      </c>
      <c r="C88" s="19">
        <v>5</v>
      </c>
      <c r="D88" s="19">
        <v>5</v>
      </c>
      <c r="E88" s="20">
        <v>0.06999999999999998</v>
      </c>
      <c r="F88" s="22">
        <v>1.0</v>
      </c>
    </row>
    <row r="89" ht="44" customHeight="1">
      <c r="A89" s="20">
        <v>0.05</v>
      </c>
      <c r="B89" s="18" t="inlineStr">
        <is>
          <t>PROVISIONAL</t>
        </is>
      </c>
      <c r="C89" s="19">
        <v>2</v>
      </c>
      <c r="D89" s="19">
        <v>1</v>
      </c>
      <c r="E89" s="20">
        <v>0.53</v>
      </c>
      <c r="F89" s="22">
        <v>0.0</v>
      </c>
    </row>
    <row r="92">
      <c r="A92" s="26" t="inlineStr">
        <is>
          <t>Daily review observations</t>
        </is>
      </c>
    </row>
    <row r="93" ht="34" customHeight="1">
      <c r="A93" s="24" t="inlineStr">
        <is>
          <t>Review date</t>
        </is>
      </c>
      <c r="B93" s="24" t="inlineStr">
        <is>
          <t>Graded</t>
        </is>
      </c>
      <c r="C93" s="24" t="inlineStr">
        <is>
          <t>Win rate</t>
        </is>
      </c>
      <c r="D93" s="24" t="inlineStr">
        <is>
          <t>Simulated ROI</t>
        </is>
      </c>
      <c r="E93" s="24" t="inlineStr">
        <is>
          <t>Brier</t>
        </is>
      </c>
    </row>
    <row r="94" ht="44" customHeight="1">
      <c r="A94" s="18" t="inlineStr">
        <is>
          <t>2026-10-13</t>
        </is>
      </c>
      <c r="B94" s="19">
        <v>9</v>
      </c>
      <c r="C94" s="20">
        <v>0.666667</v>
      </c>
      <c r="D94" s="20">
        <v>-0.096667</v>
      </c>
      <c r="E94" s="21">
        <v>0.250532</v>
      </c>
    </row>
    <row r="95" ht="44" customHeight="1">
      <c r="A95" s="18" t="inlineStr">
        <is>
          <t>2026-10-14</t>
        </is>
      </c>
      <c r="B95" s="19">
        <v>11</v>
      </c>
      <c r="C95" s="20">
        <v>0.727273</v>
      </c>
      <c r="D95" s="20">
        <v>0.01</v>
      </c>
      <c r="E95" s="21">
        <v>0.215932</v>
      </c>
    </row>
    <row r="96" ht="44" customHeight="1">
      <c r="A96" s="18" t="inlineStr">
        <is>
          <t>2026-10-15</t>
        </is>
      </c>
      <c r="B96" s="19">
        <v>11</v>
      </c>
      <c r="C96" s="20">
        <v>0.727273</v>
      </c>
      <c r="D96" s="20">
        <v>0.01</v>
      </c>
      <c r="E96" s="21">
        <v>0.215932</v>
      </c>
    </row>
    <row r="97" ht="44" customHeight="1">
      <c r="A97" s="18" t="inlineStr">
        <is>
          <t>2026-10-16</t>
        </is>
      </c>
      <c r="B97" s="19">
        <v>12</v>
      </c>
      <c r="C97" s="20">
        <v>0.75</v>
      </c>
      <c r="D97" s="20">
        <v>0.031667</v>
      </c>
      <c r="E97" s="21">
        <v>0.199836</v>
      </c>
    </row>
    <row r="98" ht="44" customHeight="1">
      <c r="A98" s="18" t="inlineStr">
        <is>
          <t>2026-10-17</t>
        </is>
      </c>
      <c r="B98" s="19">
        <v>17</v>
      </c>
      <c r="C98" s="20">
        <v>0.764706</v>
      </c>
      <c r="D98" s="20">
        <v>0.044706</v>
      </c>
      <c r="E98" s="21">
        <v>0.178798</v>
      </c>
    </row>
    <row r="99" ht="44" customHeight="1">
      <c r="A99" s="18" t="inlineStr">
        <is>
          <t>2026-10-18</t>
        </is>
      </c>
      <c r="B99" s="19">
        <v>26</v>
      </c>
      <c r="C99" s="20">
        <v>0.807692</v>
      </c>
      <c r="D99" s="20">
        <v>0.108077</v>
      </c>
      <c r="E99" s="21">
        <v>0.161003</v>
      </c>
    </row>
    <row r="100" ht="44" customHeight="1">
      <c r="A100" s="18" t="inlineStr">
        <is>
          <t>2026-10-19</t>
        </is>
      </c>
      <c r="B100" s="19">
        <v>30</v>
      </c>
      <c r="C100" s="20">
        <v>0.733333</v>
      </c>
      <c r="D100" s="20">
        <v>0.011333</v>
      </c>
      <c r="E100" s="21">
        <v>0.175695</v>
      </c>
    </row>
    <row r="101" ht="44" customHeight="1">
      <c r="A101" s="18" t="inlineStr">
        <is>
          <t>2026-10-20</t>
        </is>
      </c>
      <c r="B101" s="19">
        <v>30</v>
      </c>
      <c r="C101" s="20">
        <v>0.733333</v>
      </c>
      <c r="D101" s="20">
        <v>0.011333</v>
      </c>
      <c r="E101" s="21">
        <v>0.175695</v>
      </c>
    </row>
    <row r="102" ht="44" customHeight="1">
      <c r="A102" s="18" t="inlineStr">
        <is>
          <t>2026-10-21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3" ht="44" customHeight="1">
      <c r="A103" s="18" t="inlineStr">
        <is>
          <t>2026-10-22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3.0.6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7.16.2</t>
        </is>
      </c>
    </row>
    <row r="116" ht="44" customHeight="1">
      <c r="A116" s="18" t="inlineStr">
        <is>
          <t>PyYAML</t>
        </is>
      </c>
      <c r="B116" s="18" t="inlineStr">
        <is>
          <t>6.0.3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8:F18"/>
    <mergeCell ref="A29:F29"/>
    <mergeCell ref="A36:F36"/>
    <mergeCell ref="A38:F38"/>
    <mergeCell ref="A52:F52"/>
    <mergeCell ref="A79:F79"/>
    <mergeCell ref="A92:F92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</sheetData>
  <autoFilter ref="A5:H49"/>
  <mergeCells count="2">
    <mergeCell ref="A2:H2"/>
    <mergeCell ref="A4:H4"/>
  </mergeCells>
</worksheet>
</file>