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IF(COUNT(Predictions!H6:H256)=0,"n.a.",AVERAGE(Predictions!H6:H256))</f>
        <v>0.5739644970414202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IF(COUNT(Predictions!I6:I256)=0,"n.a.",AVERAGE(Predictions!I6:I256))</f>
        <v>0.5699782327810651</v>
      </c>
      <c r="C17" s="18"/>
      <c r="D17" s="18" t="inlineStr">
        <is>
          <t>Over 1.5</t>
        </is>
      </c>
      <c r="E17" s="18">
        <f>COUNT(Predictions!J6:J256)</f>
        <v>169</v>
      </c>
      <c r="F17" s="20">
        <f>IF(E17=0,"n.a.",AVERAGE(Predictions!J6:J256))</f>
        <v>0.8047337278106509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COUNT(Predictions!K6:K256)</f>
        <v>169</v>
      </c>
      <c r="F18" s="20">
        <f>IF(E18=0,"n.a.",AVERAGE(Predictions!K6:K256))</f>
        <v>0.621301775147929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COUNT(Predictions!L6:L256)</f>
        <v>169</v>
      </c>
      <c r="F19" s="20">
        <f>IF(E19=0,"n.a.",AVERAGE(Predictions!L6:L256))</f>
        <v>0.5621301775147929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COUNT(Predictions!M6:M256)</f>
        <v>169</v>
      </c>
      <c r="F20" s="20">
        <f>IF(E20=0,"n.a.",AVERAGE(Predictions!M6:M256))</f>
        <v>0.5621301775147929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2026-10-28T15:16:00.190157+00:00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12:13:49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1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0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2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+1.25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0.8282668415839534</v>
      </c>
      <c r="I79" s="22">
        <v>1.29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04e55dde9bbe885fb80dc3c1a84f550621a793c2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2026-10-28T12:13:37.819395+00:00</t>
        </is>
      </c>
      <c r="W79" t="inlineStr" s="18">
        <is>
          <t>2026-10-28T12:13:49Z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Bundesliga|augsburg|freiburg|2026-10-31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Augsburg vs SC Freiburg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Bundesliga|bayer leverkusen|vfb stuttgart|2026-10-31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Bayer Leverkusen vs VfB Stuttgart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Bundesliga|m gladbach|paderborn|2026-10-31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Borussia Monchengladbach vs SC Paderborn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Bundesliga|schalke|rb leipzig|2026-10-31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FC Schalke 04 vs RB Leipzig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Bundesliga|werder bremen|tsg hoffenheim|2026-10-31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Werder Bremen vs TSG Hoffenheim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League|bournemouth|leeds|2026-10-31</t>
        </is>
      </c>
      <c r="B227" s="23">
        <v>46326.625</v>
      </c>
      <c r="C227" s="18" t="inlineStr">
        <is>
          <t>Premier League</t>
        </is>
      </c>
      <c r="D227" s="18" t="inlineStr">
        <is>
          <t>Bournemouth vs Leeds United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League|brentford|nott m forest|2026-10-31</t>
        </is>
      </c>
      <c r="B228" s="23">
        <v>46326.625</v>
      </c>
      <c r="C228" s="18" t="inlineStr">
        <is>
          <t>Premier League</t>
        </is>
      </c>
      <c r="D228" s="18" t="inlineStr">
        <is>
          <t>Brentford vs Nottingham Forest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League|coventry city|sunderland|2026-10-31</t>
        </is>
      </c>
      <c r="B229" s="23">
        <v>46326.625</v>
      </c>
      <c r="C229" s="18" t="inlineStr">
        <is>
          <t>Premier League</t>
        </is>
      </c>
      <c r="D229" s="18" t="inlineStr">
        <is>
          <t>Coventry City vs Sunderland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League|hull city|ipswich town|2026-10-31</t>
        </is>
      </c>
      <c r="B230" s="23">
        <v>46326.625</v>
      </c>
      <c r="C230" s="18" t="inlineStr">
        <is>
          <t>Premier League</t>
        </is>
      </c>
      <c r="D230" s="18" t="inlineStr">
        <is>
          <t>Hull City vs Ipswich Town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League|man city|brighton|2026-10-31</t>
        </is>
      </c>
      <c r="B231" s="23">
        <v>46326.625</v>
      </c>
      <c r="C231" s="18" t="inlineStr">
        <is>
          <t>Premier League</t>
        </is>
      </c>
      <c r="D231" s="18" t="inlineStr">
        <is>
          <t>Manchester City vs Brighton and Hove Albion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La Liga|rayo vallecano|celta vigo|2026-10-31</t>
        </is>
      </c>
      <c r="B232" s="23">
        <v>46326.635416666664</v>
      </c>
      <c r="C232" s="18" t="inlineStr">
        <is>
          <t>La Liga</t>
        </is>
      </c>
      <c r="D232" s="18" t="inlineStr">
        <is>
          <t>Rayo Vallecano vs Celta Vigo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Eredivisie|feyenoord|fortuna sittard|2026-10-31</t>
        </is>
      </c>
      <c r="B233" s="23">
        <v>46326.645833333336</v>
      </c>
      <c r="C233" s="18" t="inlineStr">
        <is>
          <t>Eredivisie</t>
        </is>
      </c>
      <c r="D233" s="18" t="inlineStr">
        <is>
          <t>Feyenoord Rotterdam vs Fortuna Sittard</t>
        </is>
      </c>
      <c r="E233" s="18" t="inlineStr">
        <is>
          <t>48h-zero-tolerance-ev05-no-loss75-corners-v26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04e55dde9bbe885fb80dc3c1a84f550621a793c2</t>
        </is>
      </c>
      <c r="P233" s="18"/>
      <c r="Q233" s="18"/>
      <c r="R233" s="18"/>
    </row>
    <row r="234" ht="36" customHeight="1">
      <c r="A234" s="18" t="inlineStr">
        <is>
          <t>Ligue 1|nice|rennes|2026-10-31</t>
        </is>
      </c>
      <c r="B234" s="23">
        <v>46326.677083333336</v>
      </c>
      <c r="C234" s="18" t="inlineStr">
        <is>
          <t>Ligue 1</t>
        </is>
      </c>
      <c r="D234" s="18" t="inlineStr">
        <is>
          <t>Nice vs Rennes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Bundesliga|bayern munich|borussia dortmund|2026-10-31</t>
        </is>
      </c>
      <c r="B235" s="23">
        <v>46326.729166666664</v>
      </c>
      <c r="C235" s="18" t="inlineStr">
        <is>
          <t>Bundesliga</t>
        </is>
      </c>
      <c r="D235" s="18" t="inlineStr">
        <is>
          <t>Bayern Munich vs Borussia Dortmund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La Liga|real betis|malaga|2026-10-31</t>
        </is>
      </c>
      <c r="B236" s="23">
        <v>46326.729166666664</v>
      </c>
      <c r="C236" s="18" t="inlineStr">
        <is>
          <t>La Liga</t>
        </is>
      </c>
      <c r="D236" s="18" t="inlineStr">
        <is>
          <t>Real Betis vs Málaga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Premier League|tottenham|crystal palace|2026-10-31</t>
        </is>
      </c>
      <c r="B237" s="23">
        <v>46326.729166666664</v>
      </c>
      <c r="C237" s="18" t="inlineStr">
        <is>
          <t>Premier League</t>
        </is>
      </c>
      <c r="D237" s="18" t="inlineStr">
        <is>
          <t>Tottenham Hotspur vs Crystal Palace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Eredivisie|heerenveen|nec|2026-10-31</t>
        </is>
      </c>
      <c r="B238" s="23">
        <v>46326.739583333336</v>
      </c>
      <c r="C238" s="18" t="inlineStr">
        <is>
          <t>Eredivisie</t>
        </is>
      </c>
      <c r="D238" s="18" t="inlineStr">
        <is>
          <t>SC Heerenveen vs NEC</t>
        </is>
      </c>
      <c r="E238" s="18" t="inlineStr">
        <is>
          <t>48h-zero-tolerance-ev05-no-loss75-corners-v26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04e55dde9bbe885fb80dc3c1a84f550621a793c2</t>
        </is>
      </c>
      <c r="P238" s="18"/>
      <c r="Q238" s="18"/>
      <c r="R238" s="18"/>
    </row>
    <row r="239" ht="36" customHeight="1">
      <c r="A239" s="18" t="inlineStr">
        <is>
          <t>Eredivisie|psv|willem ii tilburg|2026-10-31</t>
        </is>
      </c>
      <c r="B239" s="23">
        <v>46326.739583333336</v>
      </c>
      <c r="C239" s="18" t="inlineStr">
        <is>
          <t>Eredivisie</t>
        </is>
      </c>
      <c r="D239" s="18" t="inlineStr">
        <is>
          <t>PSV vs Willem II Tilburg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04e55dde9bbe885fb80dc3c1a84f550621a793c2</t>
        </is>
      </c>
      <c r="P239" s="18"/>
      <c r="Q239" s="18"/>
      <c r="R239" s="18"/>
    </row>
    <row r="240" ht="36" customHeight="1">
      <c r="A240" s="18" t="inlineStr">
        <is>
          <t>Ligue 1|lorient|brest|2026-10-31</t>
        </is>
      </c>
      <c r="B240" s="23">
        <v>46326.822916666664</v>
      </c>
      <c r="C240" s="18" t="inlineStr">
        <is>
          <t>Ligue 1</t>
        </is>
      </c>
      <c r="D240" s="18" t="inlineStr">
        <is>
          <t>Lorient vs Brest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Ligue 1|lyon|angers|2026-10-31</t>
        </is>
      </c>
      <c r="B241" s="23">
        <v>46326.822916666664</v>
      </c>
      <c r="C241" s="18" t="inlineStr">
        <is>
          <t>Ligue 1</t>
        </is>
      </c>
      <c r="D241" s="18" t="inlineStr">
        <is>
          <t>Lyon vs Angers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Ligue 1|troyes|le mans|2026-10-31</t>
        </is>
      </c>
      <c r="B242" s="23">
        <v>46326.822916666664</v>
      </c>
      <c r="C242" s="18" t="inlineStr">
        <is>
          <t>Ligue 1</t>
        </is>
      </c>
      <c r="D242" s="18" t="inlineStr">
        <is>
          <t>Troyes vs Le Mans FC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Eredivisie|ajax|az|2026-10-31</t>
        </is>
      </c>
      <c r="B243" s="23">
        <v>46326.833333333336</v>
      </c>
      <c r="C243" s="18" t="inlineStr">
        <is>
          <t>Eredivisie</t>
        </is>
      </c>
      <c r="D243" s="18" t="inlineStr">
        <is>
          <t>AFC Ajax vs AZ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Eredivisie|cambuur leeuwarden|go ahead eagles|2026-10-31</t>
        </is>
      </c>
      <c r="B244" s="23">
        <v>46326.833333333336</v>
      </c>
      <c r="C244" s="18" t="inlineStr">
        <is>
          <t>Eredivisie</t>
        </is>
      </c>
      <c r="D244" s="18" t="inlineStr">
        <is>
          <t>SC Cambuur-Leeuwarden vs Go Ahead Eagles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La Liga|barcelona|alaves|2026-10-31</t>
        </is>
      </c>
      <c r="B245" s="23">
        <v>46326.833333333336</v>
      </c>
      <c r="C245" s="18" t="inlineStr">
        <is>
          <t>La Liga</t>
        </is>
      </c>
      <c r="D245" s="18" t="inlineStr">
        <is>
          <t>Barcelona vs Alavés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Premier League|aston villa|fulham|2026-10-31</t>
        </is>
      </c>
      <c r="B246" s="23">
        <v>46326.833333333336</v>
      </c>
      <c r="C246" s="18" t="inlineStr">
        <is>
          <t>Premier League</t>
        </is>
      </c>
      <c r="D246" s="18" t="inlineStr">
        <is>
          <t>Aston Villa vs Fulham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La Liga|getafe|sevilla|2026-11-01</t>
        </is>
      </c>
      <c r="B247" s="23">
        <v>46327.541666666664</v>
      </c>
      <c r="C247" s="18" t="inlineStr">
        <is>
          <t>La Liga</t>
        </is>
      </c>
      <c r="D247" s="18" t="inlineStr">
        <is>
          <t>Getafe vs Sevilla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1|strasbourg|auxerre|2026-11-01</t>
        </is>
      </c>
      <c r="B248" s="23">
        <v>46327.583333333336</v>
      </c>
      <c r="C248" s="18" t="inlineStr">
        <is>
          <t>Ligue 1</t>
        </is>
      </c>
      <c r="D248" s="18" t="inlineStr">
        <is>
          <t>Strasbourg vs Auxerre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Bundesliga|union berlin|1 koln|2026-11-01</t>
        </is>
      </c>
      <c r="B249" s="23">
        <v>46327.604166666664</v>
      </c>
      <c r="C249" s="18" t="inlineStr">
        <is>
          <t>Bundesliga</t>
        </is>
      </c>
      <c r="D249" s="18" t="inlineStr">
        <is>
          <t>Union Berlin vs 1. FC Köln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La Liga|real racing santander|real madrid|2026-11-01</t>
        </is>
      </c>
      <c r="B250" s="23">
        <v>46327.635416666664</v>
      </c>
      <c r="C250" s="18" t="inlineStr">
        <is>
          <t>La Liga</t>
        </is>
      </c>
      <c r="D250" s="18" t="inlineStr">
        <is>
          <t>Real Racing Club de Santander vs Real Madrid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10a7df008090a45923c14f3c84ec260b147ea047</t>
        </is>
      </c>
      <c r="P250" s="18"/>
      <c r="Q250" s="18"/>
      <c r="R250" s="18"/>
    </row>
    <row r="251" ht="36" customHeight="1">
      <c r="A251" s="18" t="inlineStr">
        <is>
          <t>Ligue 1|paris|as monaco|2026-11-01</t>
        </is>
      </c>
      <c r="B251" s="23">
        <v>46327.677083333336</v>
      </c>
      <c r="C251" s="18" t="inlineStr">
        <is>
          <t>Ligue 1</t>
        </is>
      </c>
      <c r="D251" s="18" t="inlineStr">
        <is>
          <t>Paris FC vs AS Monaco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10a7df008090a45923c14f3c84ec260b147ea047</t>
        </is>
      </c>
      <c r="P251" s="18"/>
      <c r="Q251" s="18"/>
      <c r="R251" s="18"/>
    </row>
    <row r="252" ht="36" customHeight="1">
      <c r="A252" s="18" t="inlineStr">
        <is>
          <t>Bundesliga|eintracht frankfurt|hamburger|2026-11-01</t>
        </is>
      </c>
      <c r="B252" s="23">
        <v>46327.6875</v>
      </c>
      <c r="C252" s="18" t="inlineStr">
        <is>
          <t>Bundesliga</t>
        </is>
      </c>
      <c r="D252" s="18" t="inlineStr">
        <is>
          <t>Eintracht Frankfurt vs Hamburger SV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10a7df008090a45923c14f3c84ec260b147ea047</t>
        </is>
      </c>
      <c r="P252" s="18"/>
      <c r="Q252" s="18"/>
      <c r="R252" s="18"/>
    </row>
    <row r="253" ht="36" customHeight="1">
      <c r="A253" s="18" t="inlineStr">
        <is>
          <t>Premier League|liverpool|arsenal|2026-11-01</t>
        </is>
      </c>
      <c r="B253" s="23">
        <v>46327.6875</v>
      </c>
      <c r="C253" s="18" t="inlineStr">
        <is>
          <t>Premier League</t>
        </is>
      </c>
      <c r="D253" s="18" t="inlineStr">
        <is>
          <t>Liverpool vs Arsenal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10a7df008090a45923c14f3c84ec260b147ea047</t>
        </is>
      </c>
      <c r="P253" s="18"/>
      <c r="Q253" s="18"/>
      <c r="R253" s="18"/>
    </row>
    <row r="254" ht="36" customHeight="1">
      <c r="A254" s="18" t="inlineStr">
        <is>
          <t>La Liga|elche|valencia|2026-11-01</t>
        </is>
      </c>
      <c r="B254" s="23">
        <v>46327.729166666664</v>
      </c>
      <c r="C254" s="18" t="inlineStr">
        <is>
          <t>La Liga</t>
        </is>
      </c>
      <c r="D254" s="18" t="inlineStr">
        <is>
          <t>Elche CF vs Valencia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1|marseille|toulouse|2026-11-01</t>
        </is>
      </c>
      <c r="B255" s="23">
        <v>46327.822916666664</v>
      </c>
      <c r="C255" s="18" t="inlineStr">
        <is>
          <t>Ligue 1</t>
        </is>
      </c>
      <c r="D255" s="18" t="inlineStr">
        <is>
          <t>Marseille vs Toulouse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La Liga|ath bilbao|real sociedad|2026-11-01</t>
        </is>
      </c>
      <c r="B256" s="23">
        <v>46327.833333333336</v>
      </c>
      <c r="C256" s="18" t="inlineStr">
        <is>
          <t>La Liga</t>
        </is>
      </c>
      <c r="D256" s="18" t="inlineStr">
        <is>
          <t>Athletic Bilbao vs Real Sociedad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0.9770114942528736</v>
      </c>
      <c r="H10" s="18" t="inlineStr">
        <is>
          <t>Approval review</t>
        </is>
      </c>
      <c r="I10" s="18" t="inlineStr">
        <is>
          <t>215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0.13793103448275862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0.9770114942528736</v>
      </c>
      <c r="H12" s="18" t="inlineStr">
        <is>
          <t>Approval review</t>
        </is>
      </c>
      <c r="I12" s="18" t="inlineStr">
        <is>
          <t>215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0.9540229885057471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60">
      <c r="A6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2026-10-28T15:16:00.190157+00:00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42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42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38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14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35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35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56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56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14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14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8">
      <c r="A118" s="26" t="inlineStr">
        <is>
          <t>Dependency versions</t>
        </is>
      </c>
    </row>
    <row r="119" ht="34" customHeight="1">
      <c r="A119" s="24" t="inlineStr">
        <is>
          <t>Dependency</t>
        </is>
      </c>
      <c r="B119" s="24" t="inlineStr">
        <is>
          <t>Version</t>
        </is>
      </c>
    </row>
    <row r="120" ht="44" customHeight="1">
      <c r="A120" s="18" t="inlineStr">
        <is>
          <t>python</t>
        </is>
      </c>
      <c r="B120" s="18" t="inlineStr">
        <is>
          <t>3.12.15</t>
        </is>
      </c>
    </row>
    <row r="121" ht="44" customHeight="1">
      <c r="A121" s="18" t="inlineStr">
        <is>
          <t>numpy</t>
        </is>
      </c>
      <c r="B121" s="18" t="inlineStr">
        <is>
          <t>2.5.4</t>
        </is>
      </c>
    </row>
    <row r="122" ht="44" customHeight="1">
      <c r="A122" s="18" t="inlineStr">
        <is>
          <t>pandas</t>
        </is>
      </c>
      <c r="B122" s="18" t="inlineStr">
        <is>
          <t>3.1.0</t>
        </is>
      </c>
    </row>
    <row r="123" ht="44" customHeight="1">
      <c r="A123" s="18" t="inlineStr">
        <is>
          <t>scipy</t>
        </is>
      </c>
      <c r="B123" s="18" t="inlineStr">
        <is>
          <t>1.18.1</t>
        </is>
      </c>
    </row>
    <row r="124" ht="44" customHeight="1">
      <c r="A124" s="18" t="inlineStr">
        <is>
          <t>requests</t>
        </is>
      </c>
      <c r="B124" s="18" t="inlineStr">
        <is>
          <t>2.34.2</t>
        </is>
      </c>
    </row>
    <row r="125" ht="44" customHeight="1">
      <c r="A125" s="18" t="inlineStr">
        <is>
          <t>rapidfuzz</t>
        </is>
      </c>
      <c r="B125" s="18" t="inlineStr">
        <is>
          <t>3.14.6</t>
        </is>
      </c>
    </row>
    <row r="126" ht="44" customHeight="1">
      <c r="A126" s="18" t="inlineStr">
        <is>
          <t>python-dotenv</t>
        </is>
      </c>
      <c r="B126" s="18" t="inlineStr">
        <is>
          <t>1.2.4</t>
        </is>
      </c>
    </row>
    <row r="127" ht="44" customHeight="1">
      <c r="A127" s="18" t="inlineStr">
        <is>
          <t>coverage</t>
        </is>
      </c>
      <c r="B127" s="18" t="inlineStr">
        <is>
          <t>NOT_INSTALLED</t>
        </is>
      </c>
    </row>
    <row r="128" ht="44" customHeight="1">
      <c r="A128" s="18" t="inlineStr">
        <is>
          <t>PyYAML</t>
        </is>
      </c>
      <c r="B128" s="18" t="inlineStr">
        <is>
          <t>NOT_INSTALLED</t>
        </is>
      </c>
    </row>
    <row r="131">
      <c r="A13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8:F11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</sheetData>
  <autoFilter ref="A5:H6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2026-10-28T15:16:00.190157+00:00; 1423 candidates on 136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1423</v>
      </c>
      <c r="D9" s="19">
        <v>136</v>
      </c>
      <c r="E9" s="20">
        <v>-0.032554035776928766</v>
      </c>
      <c r="F9" s="20">
        <v>0.27898805340829236</v>
      </c>
      <c r="G9" s="22">
        <v>-11.904459359835858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857</v>
      </c>
      <c r="D11" s="19">
        <v>130</v>
      </c>
      <c r="E11" s="20">
        <v>0.007629260563868786</v>
      </c>
      <c r="F11" s="20">
        <v>0.5262543757292882</v>
      </c>
      <c r="G11" s="22">
        <v>2.9455452109620124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136</v>
      </c>
      <c r="D15" s="18"/>
      <c r="E15" s="21">
        <v>-0.09566069162638342</v>
      </c>
      <c r="F15" s="20">
        <v>0.6102941176470589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246</v>
      </c>
      <c r="D21" s="19">
        <v>102</v>
      </c>
      <c r="E21" s="20">
        <v>-0.02259718434546991</v>
      </c>
      <c r="F21" s="20">
        <v>0.4105691056910569</v>
      </c>
      <c r="G21" s="22">
        <v>-5.863391037354201</v>
      </c>
      <c r="H21" s="20">
        <v>0.029647209394258814</v>
      </c>
      <c r="I21" s="19">
        <v>184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224</v>
      </c>
      <c r="D22" s="19">
        <v>93</v>
      </c>
      <c r="E22" s="20">
        <v>-0.03954523517568332</v>
      </c>
      <c r="F22" s="20">
        <v>0.28125</v>
      </c>
      <c r="G22" s="22">
        <v>-8.754140014942328</v>
      </c>
      <c r="H22" s="20">
        <v>0.0005136865782930036</v>
      </c>
      <c r="I22" s="19">
        <v>224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214</v>
      </c>
      <c r="D23" s="19">
        <v>82</v>
      </c>
      <c r="E23" s="20">
        <v>-0.030521436745133145</v>
      </c>
      <c r="F23" s="20">
        <v>0.1308411214953271</v>
      </c>
      <c r="G23" s="22">
        <v>-13.377902772715554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709</v>
      </c>
      <c r="D48" s="19">
        <v>104</v>
      </c>
      <c r="E48" s="20">
        <v>-0.03660433598426338</v>
      </c>
      <c r="F48" s="20">
        <v>0.23695345557122707</v>
      </c>
      <c r="G48" s="22">
        <v>-15.73155372525293</v>
      </c>
      <c r="H48" s="20">
        <v>0.006383617369563249</v>
      </c>
      <c r="I48" s="19">
        <v>458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296</v>
      </c>
      <c r="D50" s="19">
        <v>84</v>
      </c>
      <c r="E50" s="20">
        <v>-0.019589737700509514</v>
      </c>
      <c r="F50" s="20">
        <v>0.4189189189189189</v>
      </c>
      <c r="G50" s="22">
        <v>-2.3651546677680675</v>
      </c>
      <c r="H50" s="20">
        <v>0.0212902605290496</v>
      </c>
      <c r="I50" s="19">
        <v>144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1359</v>
      </c>
      <c r="D56" s="19">
        <v>136</v>
      </c>
      <c r="E56" s="20">
        <v>-0.0327642956188098</v>
      </c>
      <c r="F56" s="20">
        <v>0.28108903605592345</v>
      </c>
      <c r="G56" s="22">
        <v>-11.407661744656812</v>
      </c>
      <c r="H56" s="20">
        <v>0.007833061846146731</v>
      </c>
      <c r="I56" s="19">
        <v>806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240</v>
      </c>
      <c r="D63" s="19">
        <v>20</v>
      </c>
      <c r="E63" s="20">
        <v>-0.02679691605547903</v>
      </c>
      <c r="F63" s="20">
        <v>0.3125</v>
      </c>
      <c r="G63" s="22">
        <v>-3.427849051091672</v>
      </c>
      <c r="H63" s="20">
        <v>0.010735885243956054</v>
      </c>
      <c r="I63" s="19">
        <v>159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