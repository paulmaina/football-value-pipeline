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Plan'!$A$10:$A$31</c:f>
              <c:strCache>
                <c:ptCount val="2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2026-10-18T16:30:00+00:00</c:v>
                </c:pt>
                <c:pt idx="20">
                  <c:v>2026-10-18T19:00:00+00:00</c:v>
                </c:pt>
                <c:pt idx="21">
                  <c:v>2026-10-19T19:00:00+00:00</c:v>
                </c:pt>
              </c:strCache>
            </c:strRef>
          </c:cat>
          <c:val>
            <c:numRef>
              <c:f>'ROI Plan'!$F$10:$F$31</c:f>
              <c:numCache>
                <c:formatCode>General</c:formatCode>
                <c:ptCount val="2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6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7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4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22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IF(COUNT(Predictions!H6:H145)=0,"n.a.",AVERAGE(Predictions!H6:H145))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IF(COUNT(Predictions!I6:I145)=0,"n.a.",AVERAGE(Predictions!I6:I145))</f>
        <v>0.5424825611764706</v>
      </c>
      <c r="C17" s="18"/>
      <c r="D17" s="18" t="inlineStr">
        <is>
          <t>Over 1.5</t>
        </is>
      </c>
      <c r="E17" s="18">
        <f>COUNT(Predictions!J6:J145)</f>
        <v>34</v>
      </c>
      <c r="F17" s="20">
        <f>IF(E17=0,"n.a.",AVERAGE(Predictions!J6:J145))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COUNT(Predictions!K6:K145)</f>
        <v>34</v>
      </c>
      <c r="F18" s="20">
        <f>IF(E18=0,"n.a.",AVERAGE(Predictions!K6:K145))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COUNT(Predictions!L6:L145)</f>
        <v>34</v>
      </c>
      <c r="F19" s="20">
        <f>IF(E19=0,"n.a.",AVERAGE(Predictions!L6:L145))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COUNT(Predictions!M6:M145)</f>
        <v>34</v>
      </c>
      <c r="F20" s="20">
        <f>IF(E20=0,"n.a.",AVERAGE(Predictions!M6:M145))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2026-10-15T12:36:38.449029+00:00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09:56:48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2026-10-18T16:30:00+00:00</t>
        </is>
      </c>
      <c r="B29" s="18" t="inlineStr">
        <is>
          <t>Málaga vs Real Sociedad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2026-10-18T19:00:00+00:00</t>
        </is>
      </c>
      <c r="B30" s="18" t="inlineStr">
        <is>
          <t>Real Madrid vs Sevilla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2026-10-19T19:00:00+00:00</t>
        </is>
      </c>
      <c r="B31" s="18" t="inlineStr">
        <is>
          <t>Tottenham Hotspur vs Coventry City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2026-W43</t>
        </is>
      </c>
      <c r="K31" s="18"/>
      <c r="L31" s="18"/>
      <c r="M31" s="18"/>
      <c r="N31" s="18"/>
      <c r="O31" s="18"/>
      <c r="P31" s="18"/>
      <c r="Q31" s="18"/>
      <c r="R31" s="18"/>
    </row>
  </sheetData>
  <mergeCells count="1">
    <mergeCell ref="A2:J2"/>
  </mergeCells>
  <conditionalFormatting sqref="E10:E3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COUNTA(Selections!$A$6:$A$27)</f>
        <v>22</v>
      </c>
      <c r="D6" s="19">
        <f>(COUNTIFS(Selections!$K$6:$K$27,"WON")+COUNTIFS(Selections!$K$6:$K$27,"LOST"))</f>
        <v>11</v>
      </c>
      <c r="E6" s="19">
        <f>COUNTIFS(Selections!$K$6:$K$27,"WON")</f>
        <v>8</v>
      </c>
      <c r="F6" s="19">
        <f>COUNTIFS(Selections!$K$6:$K$27,"LOST")</f>
        <v>3</v>
      </c>
      <c r="G6" s="19">
        <f>COUNTA(Selections!$A$6:$A$27)-(COUNTIFS(Selections!$K$6:$K$27,"WON")+COUNTIFS(Selections!$K$6:$K$27,"LOST"))</f>
        <v>11</v>
      </c>
      <c r="H6" s="20">
        <f>IF((COUNTIFS(Selections!$K$6:$K$27,"WON")+COUNTIFS(Selections!$K$6:$K$27,"LOST"))=0,"n.a.",COUNTIFS(Selections!$K$6:$K$27,"WON")/(COUNTIFS(Selections!$K$6:$K$27,"WON")+COUNTIFS(Selections!$K$6:$K$27,"LOST")))</f>
        <v>0.7272727272727273</v>
      </c>
      <c r="I6" s="22">
        <f>SUM(Selections!$M$6:$M$27)</f>
        <v>11</v>
      </c>
      <c r="J6" s="22">
        <f>SUM(Selections!$N$6:$N$27)</f>
        <v>0.10999999999999988</v>
      </c>
      <c r="K6" s="20">
        <f>IF(SUM(Selections!$M$6:$M$27)=0,"n.a.",SUM(Selections!$N$6:$N$27)/SUM(Selections!$M$6:$M$27))</f>
        <v>0.009999999999999988</v>
      </c>
      <c r="L6" s="21">
        <f>IF(SUM(Selections!$T$6:$T$27)=0,"n.a.",SUM(Selections!$O$6:$O$27)/SUM(Selections!$T$6:$T$27))</f>
        <v>0.21593196515478594</v>
      </c>
      <c r="M6" s="20">
        <f>IF(SUM(Selections!$T$6:$T$27)=0,"n.a.",SUM(Selections!$S$6:$S$27)/SUM(Selections!$T$6:$T$27))</f>
        <v>0.8012982506537586</v>
      </c>
      <c r="N6" s="20">
        <f>IF(SUM(Selections!$T$6:$T$27)=0,"n.a.",(SUMIFS(Selections!$L$6:$L$27,Selections!$T$6:$T$27,1))/SUM(Selections!$T$6:$T$27))</f>
        <v>0.7272727272727273</v>
      </c>
      <c r="O6" s="20">
        <f>IF(SUM(Selections!$T$6:$T$27)=0,"n.a.",(SUM(Selections!$S$6:$S$27)-(SUMIFS(Selections!$L$6:$L$27,Selections!$T$6:$T$27,1)))/SUM(Selections!$T$6:$T$27))</f>
        <v>0.0740255233810313</v>
      </c>
      <c r="P6" s="19">
        <f>SUM(Selections!$T$6:$T$27)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COUNTIFS(Selections!$F$6:$F$27,"STRICT")</f>
        <v>12</v>
      </c>
      <c r="D7" s="19">
        <f>(COUNTIFS(Selections!$F$6:$F$27,"STRICT",Selections!$K$6:$K$27,"WON")+COUNTIFS(Selections!$F$6:$F$27,"STRICT",Selections!$K$6:$K$27,"LOST"))</f>
        <v>6</v>
      </c>
      <c r="E7" s="19">
        <f>COUNTIFS(Selections!$F$6:$F$27,"STRICT",Selections!$K$6:$K$27,"WON")</f>
        <v>6</v>
      </c>
      <c r="F7" s="19">
        <f>COUNTIFS(Selections!$F$6:$F$27,"STRICT",Selections!$K$6:$K$27,"LOST")</f>
        <v>0</v>
      </c>
      <c r="G7" s="19">
        <f>COUNTIFS(Selections!$F$6:$F$27,"STRICT")-(COUNTIFS(Selections!$F$6:$F$27,"STRICT",Selections!$K$6:$K$27,"WON")+COUNTIFS(Selections!$F$6:$F$27,"STRICT",Selections!$K$6:$K$27,"LOST"))</f>
        <v>6</v>
      </c>
      <c r="H7" s="20">
        <f>IF((COUNTIFS(Selections!$F$6:$F$27,"STRICT",Selections!$K$6:$K$27,"WON")+COUNTIFS(Selections!$F$6:$F$27,"STRICT",Selections!$K$6:$K$27,"LOST"))=0,"n.a.",COUNTIFS(Selections!$F$6:$F$27,"STRICT",Selections!$K$6:$K$27,"WON")/(COUNTIFS(Selections!$F$6:$F$27,"STRICT",Selections!$K$6:$K$27,"WON")+COUNTIFS(Selections!$F$6:$F$27,"STRICT",Selections!$K$6:$K$27,"LOST")))</f>
        <v>1.0</v>
      </c>
      <c r="I7" s="22">
        <f>SUMIFS(Selections!$M$6:$M$27,Selections!$F$6:$F$27,"STRICT")</f>
        <v>6</v>
      </c>
      <c r="J7" s="22">
        <f>SUMIFS(Selections!$N$6:$N$27,Selections!$F$6:$F$27,"STRICT")</f>
        <v>2.59</v>
      </c>
      <c r="K7" s="20">
        <f>IF(SUMIFS(Selections!$M$6:$M$27,Selections!$F$6:$F$27,"STRICT")=0,"n.a.",SUMIFS(Selections!$N$6:$N$27,Selections!$F$6:$F$27,"STRICT")/SUMIFS(Selections!$M$6:$M$27,Selections!$F$6:$F$27,"STRICT"))</f>
        <v>0.43166666666666664</v>
      </c>
      <c r="L7" s="21">
        <f>IF(SUMIFS(Selections!$T$6:$T$27,Selections!$F$6:$F$27,"STRICT")=0,"n.a.",SUMIFS(Selections!$O$6:$O$27,Selections!$F$6:$F$27,"STRICT")/SUMIFS(Selections!$T$6:$T$27,Selections!$F$6:$F$27,"STRICT"))</f>
        <v>0.05977136033853501</v>
      </c>
      <c r="M7" s="20">
        <f>IF(SUMIFS(Selections!$T$6:$T$27,Selections!$F$6:$F$27,"STRICT")=0,"n.a.",SUMIFS(Selections!$S$6:$S$27,Selections!$F$6:$F$27,"STRICT")/SUMIFS(Selections!$T$6:$T$27,Selections!$F$6:$F$27,"STRICT"))</f>
        <v>0.7821551913450109</v>
      </c>
      <c r="N7" s="20">
        <f>IF(SUMIFS(Selections!$T$6:$T$27,Selections!$F$6:$F$27,"STRICT")=0,"n.a.",(SUMIFS(Selections!$L$6:$L$27,Selections!$F$6:$F$27,"STRICT",Selections!$T$6:$T$27,1))/SUMIFS(Selections!$T$6:$T$27,Selections!$F$6:$F$27,"STRICT"))</f>
        <v>1.0</v>
      </c>
      <c r="O7" s="20">
        <f>IF(SUMIFS(Selections!$T$6:$T$27,Selections!$F$6:$F$27,"STRICT")=0,"n.a.",(SUMIFS(Selections!$S$6:$S$27,Selections!$F$6:$F$27,"STRICT")-(SUMIFS(Selections!$L$6:$L$27,Selections!$F$6:$F$27,"STRICT",Selections!$T$6:$T$27,1)))/SUMIFS(Selections!$T$6:$T$27,Selections!$F$6:$F$27,"STRICT"))</f>
        <v>-0.21784480865498912</v>
      </c>
      <c r="P7" s="19">
        <f>SUMIFS(Selections!$T$6:$T$27,Selections!$F$6:$F$27,"STRICT")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COUNTIFS(Selections!$F$6:$F$27,"PROVISIONAL")</f>
        <v>10</v>
      </c>
      <c r="D8" s="19">
        <f>(COUNTIFS(Selections!$F$6:$F$27,"PROVISIONAL",Selections!$K$6:$K$27,"WON")+COUNTIFS(Selections!$F$6:$F$27,"PROVISIONAL",Selections!$K$6:$K$27,"LOST"))</f>
        <v>5</v>
      </c>
      <c r="E8" s="19">
        <f>COUNTIFS(Selections!$F$6:$F$27,"PROVISIONAL",Selections!$K$6:$K$27,"WON")</f>
        <v>2</v>
      </c>
      <c r="F8" s="19">
        <f>COUNTIFS(Selections!$F$6:$F$27,"PROVISIONAL",Selections!$K$6:$K$27,"LOST")</f>
        <v>3</v>
      </c>
      <c r="G8" s="19">
        <f>COUNTIFS(Selections!$F$6:$F$27,"PROVISIONAL")-(COUNTIFS(Selections!$F$6:$F$27,"PROVISIONAL",Selections!$K$6:$K$27,"WON")+COUNTIFS(Selections!$F$6:$F$27,"PROVISIONAL",Selections!$K$6:$K$27,"LOST"))</f>
        <v>5</v>
      </c>
      <c r="H8" s="20">
        <f>IF((COUNTIFS(Selections!$F$6:$F$27,"PROVISIONAL",Selections!$K$6:$K$27,"WON")+COUNTIFS(Selections!$F$6:$F$27,"PROVISIONAL",Selections!$K$6:$K$27,"LOST"))=0,"n.a.",COUNTIFS(Selections!$F$6:$F$27,"PROVISIONAL",Selections!$K$6:$K$27,"WON")/(COUNTIFS(Selections!$F$6:$F$27,"PROVISIONAL",Selections!$K$6:$K$27,"WON")+COUNTIFS(Selections!$F$6:$F$27,"PROVISIONAL",Selections!$K$6:$K$27,"LOST")))</f>
        <v>0.4</v>
      </c>
      <c r="I8" s="22">
        <f>SUMIFS(Selections!$M$6:$M$27,Selections!$F$6:$F$27,"PROVISIONAL")</f>
        <v>5</v>
      </c>
      <c r="J8" s="22">
        <f>SUMIFS(Selections!$N$6:$N$27,Selections!$F$6:$F$27,"PROVISIONAL")</f>
        <v>-2.48</v>
      </c>
      <c r="K8" s="20">
        <f>IF(SUMIFS(Selections!$M$6:$M$27,Selections!$F$6:$F$27,"PROVISIONAL")=0,"n.a.",SUMIFS(Selections!$N$6:$N$27,Selections!$F$6:$F$27,"PROVISIONAL")/SUMIFS(Selections!$M$6:$M$27,Selections!$F$6:$F$27,"PROVISIONAL"))</f>
        <v>-0.496</v>
      </c>
      <c r="L8" s="21">
        <f>IF(SUMIFS(Selections!$T$6:$T$27,Selections!$F$6:$F$27,"PROVISIONAL")=0,"n.a.",SUMIFS(Selections!$O$6:$O$27,Selections!$F$6:$F$27,"PROVISIONAL")/SUMIFS(Selections!$T$6:$T$27,Selections!$F$6:$F$27,"PROVISIONAL"))</f>
        <v>0.40332469093428713</v>
      </c>
      <c r="M8" s="20">
        <f>IF(SUMIFS(Selections!$T$6:$T$27,Selections!$F$6:$F$27,"PROVISIONAL")=0,"n.a.",SUMIFS(Selections!$S$6:$S$27,Selections!$F$6:$F$27,"PROVISIONAL")/SUMIFS(Selections!$T$6:$T$27,Selections!$F$6:$F$27,"PROVISIONAL"))</f>
        <v>0.824269921824256</v>
      </c>
      <c r="N8" s="20">
        <f>IF(SUMIFS(Selections!$T$6:$T$27,Selections!$F$6:$F$27,"PROVISIONAL")=0,"n.a.",(SUMIFS(Selections!$L$6:$L$27,Selections!$F$6:$F$27,"PROVISIONAL",Selections!$T$6:$T$27,1))/SUMIFS(Selections!$T$6:$T$27,Selections!$F$6:$F$27,"PROVISIONAL"))</f>
        <v>0.4</v>
      </c>
      <c r="O8" s="20">
        <f>IF(SUMIFS(Selections!$T$6:$T$27,Selections!$F$6:$F$27,"PROVISIONAL")=0,"n.a.",(SUMIFS(Selections!$S$6:$S$27,Selections!$F$6:$F$27,"PROVISIONAL")-(SUMIFS(Selections!$L$6:$L$27,Selections!$F$6:$F$27,"PROVISIONAL",Selections!$T$6:$T$27,1)))/SUMIFS(Selections!$T$6:$T$27,Selections!$F$6:$F$27,"PROVISIONAL"))</f>
        <v>0.42426992182425594</v>
      </c>
      <c r="P8" s="19">
        <f>SUMIFS(Selections!$T$6:$T$27,Selections!$F$6:$F$27,"PROVISIONAL")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COUNTIFS(Selections!$C$6:$C$27,"Bundesliga")</f>
        <v>1</v>
      </c>
      <c r="D9" s="19">
        <f>(COUNTIFS(Selections!$C$6:$C$27,"Bundesliga",Selections!$K$6:$K$27,"WON")+COUNTIFS(Selections!$C$6:$C$27,"Bundesliga",Selections!$K$6:$K$27,"LOST"))</f>
        <v>0</v>
      </c>
      <c r="E9" s="19">
        <f>COUNTIFS(Selections!$C$6:$C$27,"Bundesliga",Selections!$K$6:$K$27,"WON")</f>
        <v>0</v>
      </c>
      <c r="F9" s="19">
        <f>COUNTIFS(Selections!$C$6:$C$27,"Bundesliga",Selections!$K$6:$K$27,"LOST")</f>
        <v>0</v>
      </c>
      <c r="G9" s="19">
        <f>COUNTIFS(Selections!$C$6:$C$27,"Bundesliga")-(COUNTIFS(Selections!$C$6:$C$27,"Bundesliga",Selections!$K$6:$K$27,"WON")+COUNTIFS(Selections!$C$6:$C$27,"Bundesliga",Selections!$K$6:$K$27,"LOST"))</f>
        <v>1</v>
      </c>
      <c r="H9" s="20" t="str">
        <f>IF((COUNTIFS(Selections!$C$6:$C$27,"Bundesliga",Selections!$K$6:$K$27,"WON")+COUNTIFS(Selections!$C$6:$C$27,"Bundesliga",Selections!$K$6:$K$27,"LOST"))=0,"n.a.",COUNTIFS(Selections!$C$6:$C$27,"Bundesliga",Selections!$K$6:$K$27,"WON")/(COUNTIFS(Selections!$C$6:$C$27,"Bundesliga",Selections!$K$6:$K$27,"WON")+COUNTIFS(Selections!$C$6:$C$27,"Bundesliga",Selections!$K$6:$K$27,"LOST")))</f>
        <v>n.a.</v>
      </c>
      <c r="I9" s="22">
        <f>SUMIFS(Selections!$M$6:$M$27,Selections!$C$6:$C$27,"Bundesliga")</f>
        <v>0</v>
      </c>
      <c r="J9" s="22">
        <f>SUMIFS(Selections!$N$6:$N$27,Selections!$C$6:$C$27,"Bundesliga")</f>
        <v>0</v>
      </c>
      <c r="K9" s="20" t="str">
        <f>IF(SUMIFS(Selections!$M$6:$M$27,Selections!$C$6:$C$27,"Bundesliga")=0,"n.a.",SUMIFS(Selections!$N$6:$N$27,Selections!$C$6:$C$27,"Bundesliga")/SUMIFS(Selections!$M$6:$M$27,Selections!$C$6:$C$27,"Bundesliga"))</f>
        <v>n.a.</v>
      </c>
      <c r="L9" s="21" t="str">
        <f>IF(SUMIFS(Selections!$T$6:$T$27,Selections!$C$6:$C$27,"Bundesliga")=0,"n.a.",SUMIFS(Selections!$O$6:$O$27,Selections!$C$6:$C$27,"Bundesliga")/SUMIFS(Selections!$T$6:$T$27,Selections!$C$6:$C$27,"Bundesliga"))</f>
        <v>n.a.</v>
      </c>
      <c r="M9" s="20" t="str">
        <f>IF(SUMIFS(Selections!$T$6:$T$27,Selections!$C$6:$C$27,"Bundesliga")=0,"n.a.",SUMIFS(Selections!$S$6:$S$27,Selections!$C$6:$C$27,"Bundesliga")/SUMIFS(Selections!$T$6:$T$27,Selections!$C$6:$C$27,"Bundesliga"))</f>
        <v>n.a.</v>
      </c>
      <c r="N9" s="20" t="str">
        <f>IF(SUMIFS(Selections!$T$6:$T$27,Selections!$C$6:$C$27,"Bundesliga")=0,"n.a.",(SUMIFS(Selections!$L$6:$L$27,Selections!$C$6:$C$27,"Bundesliga",Selections!$T$6:$T$27,1))/SUMIFS(Selections!$T$6:$T$27,Selections!$C$6:$C$27,"Bundesliga"))</f>
        <v>n.a.</v>
      </c>
      <c r="O9" s="20" t="str">
        <f>IF(SUMIFS(Selections!$T$6:$T$27,Selections!$C$6:$C$27,"Bundesliga")=0,"n.a.",(SUMIFS(Selections!$S$6:$S$27,Selections!$C$6:$C$27,"Bundesliga")-(SUMIFS(Selections!$L$6:$L$27,Selections!$C$6:$C$27,"Bundesliga",Selections!$T$6:$T$27,1)))/SUMIFS(Selections!$T$6:$T$27,Selections!$C$6:$C$27,"Bundesliga"))</f>
        <v>n.a.</v>
      </c>
      <c r="P9" s="19">
        <f>SUMIFS(Selections!$T$6:$T$27,Selections!$C$6:$C$27,"Bundesliga")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COUNTIFS(Selections!$C$6:$C$27,"La Liga")</f>
        <v>7</v>
      </c>
      <c r="D10" s="19">
        <f>(COUNTIFS(Selections!$C$6:$C$27,"La Liga",Selections!$K$6:$K$27,"WON")+COUNTIFS(Selections!$C$6:$C$27,"La Liga",Selections!$K$6:$K$27,"LOST"))</f>
        <v>2</v>
      </c>
      <c r="E10" s="19">
        <f>COUNTIFS(Selections!$C$6:$C$27,"La Liga",Selections!$K$6:$K$27,"WON")</f>
        <v>2</v>
      </c>
      <c r="F10" s="19">
        <f>COUNTIFS(Selections!$C$6:$C$27,"La Liga",Selections!$K$6:$K$27,"LOST")</f>
        <v>0</v>
      </c>
      <c r="G10" s="19">
        <f>COUNTIFS(Selections!$C$6:$C$27,"La Liga")-(COUNTIFS(Selections!$C$6:$C$27,"La Liga",Selections!$K$6:$K$27,"WON")+COUNTIFS(Selections!$C$6:$C$27,"La Liga",Selections!$K$6:$K$27,"LOST"))</f>
        <v>5</v>
      </c>
      <c r="H10" s="20">
        <f>IF((COUNTIFS(Selections!$C$6:$C$27,"La Liga",Selections!$K$6:$K$27,"WON")+COUNTIFS(Selections!$C$6:$C$27,"La Liga",Selections!$K$6:$K$27,"LOST"))=0,"n.a.",COUNTIFS(Selections!$C$6:$C$27,"La Liga",Selections!$K$6:$K$27,"WON")/(COUNTIFS(Selections!$C$6:$C$27,"La Liga",Selections!$K$6:$K$27,"WON")+COUNTIFS(Selections!$C$6:$C$27,"La Liga",Selections!$K$6:$K$27,"LOST")))</f>
        <v>1.0</v>
      </c>
      <c r="I10" s="22">
        <f>SUMIFS(Selections!$M$6:$M$27,Selections!$C$6:$C$27,"La Liga")</f>
        <v>2</v>
      </c>
      <c r="J10" s="22">
        <f>SUMIFS(Selections!$N$6:$N$27,Selections!$C$6:$C$27,"La Liga")</f>
        <v>0.5800000000000001</v>
      </c>
      <c r="K10" s="20">
        <f>IF(SUMIFS(Selections!$M$6:$M$27,Selections!$C$6:$C$27,"La Liga")=0,"n.a.",SUMIFS(Selections!$N$6:$N$27,Selections!$C$6:$C$27,"La Liga")/SUMIFS(Selections!$M$6:$M$27,Selections!$C$6:$C$27,"La Liga"))</f>
        <v>0.29000000000000004</v>
      </c>
      <c r="L10" s="21">
        <f>IF(SUMIFS(Selections!$T$6:$T$27,Selections!$C$6:$C$27,"La Liga")=0,"n.a.",SUMIFS(Selections!$O$6:$O$27,Selections!$C$6:$C$27,"La Liga")/SUMIFS(Selections!$T$6:$T$27,Selections!$C$6:$C$27,"La Liga"))</f>
        <v>0.028808603206313725</v>
      </c>
      <c r="M10" s="20">
        <f>IF(SUMIFS(Selections!$T$6:$T$27,Selections!$C$6:$C$27,"La Liga")=0,"n.a.",SUMIFS(Selections!$S$6:$S$27,Selections!$C$6:$C$27,"La Liga")/SUMIFS(Selections!$T$6:$T$27,Selections!$C$6:$C$27,"La Liga"))</f>
        <v>0.8407710464485831</v>
      </c>
      <c r="N10" s="20">
        <f>IF(SUMIFS(Selections!$T$6:$T$27,Selections!$C$6:$C$27,"La Liga")=0,"n.a.",(SUMIFS(Selections!$L$6:$L$27,Selections!$C$6:$C$27,"La Liga",Selections!$T$6:$T$27,1))/SUMIFS(Selections!$T$6:$T$27,Selections!$C$6:$C$27,"La Liga"))</f>
        <v>1.0</v>
      </c>
      <c r="O10" s="20">
        <f>IF(SUMIFS(Selections!$T$6:$T$27,Selections!$C$6:$C$27,"La Liga")=0,"n.a.",(SUMIFS(Selections!$S$6:$S$27,Selections!$C$6:$C$27,"La Liga")-(SUMIFS(Selections!$L$6:$L$27,Selections!$C$6:$C$27,"La Liga",Selections!$T$6:$T$27,1)))/SUMIFS(Selections!$T$6:$T$27,Selections!$C$6:$C$27,"La Liga"))</f>
        <v>-0.15922895355141686</v>
      </c>
      <c r="P10" s="19">
        <f>SUMIFS(Selections!$T$6:$T$27,Selections!$C$6:$C$27,"La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COUNTIFS(Selections!$C$6:$C$27,"Premier League")</f>
        <v>6</v>
      </c>
      <c r="D11" s="19">
        <f>(COUNTIFS(Selections!$C$6:$C$27,"Premier League",Selections!$K$6:$K$27,"WON")+COUNTIFS(Selections!$C$6:$C$27,"Premier League",Selections!$K$6:$K$27,"LOST"))</f>
        <v>3</v>
      </c>
      <c r="E11" s="19">
        <f>COUNTIFS(Selections!$C$6:$C$27,"Premier League",Selections!$K$6:$K$27,"WON")</f>
        <v>0</v>
      </c>
      <c r="F11" s="19">
        <f>COUNTIFS(Selections!$C$6:$C$27,"Premier League",Selections!$K$6:$K$27,"LOST")</f>
        <v>3</v>
      </c>
      <c r="G11" s="19">
        <f>COUNTIFS(Selections!$C$6:$C$27,"Premier League")-(COUNTIFS(Selections!$C$6:$C$27,"Premier League",Selections!$K$6:$K$27,"WON")+COUNTIFS(Selections!$C$6:$C$27,"Premier League",Selections!$K$6:$K$27,"LOST"))</f>
        <v>3</v>
      </c>
      <c r="H11" s="20">
        <f>IF((COUNTIFS(Selections!$C$6:$C$27,"Premier League",Selections!$K$6:$K$27,"WON")+COUNTIFS(Selections!$C$6:$C$27,"Premier League",Selections!$K$6:$K$27,"LOST"))=0,"n.a.",COUNTIFS(Selections!$C$6:$C$27,"Premier League",Selections!$K$6:$K$27,"WON")/(COUNTIFS(Selections!$C$6:$C$27,"Premier League",Selections!$K$6:$K$27,"WON")+COUNTIFS(Selections!$C$6:$C$27,"Premier League",Selections!$K$6:$K$27,"LOST")))</f>
        <v>0.0</v>
      </c>
      <c r="I11" s="22">
        <f>SUMIFS(Selections!$M$6:$M$27,Selections!$C$6:$C$27,"Premier League")</f>
        <v>3</v>
      </c>
      <c r="J11" s="22">
        <f>SUMIFS(Selections!$N$6:$N$27,Selections!$C$6:$C$27,"Premier League")</f>
        <v>-3.0</v>
      </c>
      <c r="K11" s="20">
        <f>IF(SUMIFS(Selections!$M$6:$M$27,Selections!$C$6:$C$27,"Premier League")=0,"n.a.",SUMIFS(Selections!$N$6:$N$27,Selections!$C$6:$C$27,"Premier League")/SUMIFS(Selections!$M$6:$M$27,Selections!$C$6:$C$27,"Premier League"))</f>
        <v>-1.0</v>
      </c>
      <c r="L11" s="21">
        <f>IF(SUMIFS(Selections!$T$6:$T$27,Selections!$C$6:$C$27,"Premier League")=0,"n.a.",SUMIFS(Selections!$O$6:$O$27,Selections!$C$6:$C$27,"Premier League")/SUMIFS(Selections!$T$6:$T$27,Selections!$C$6:$C$27,"Premier League"))</f>
        <v>0.6550299989350173</v>
      </c>
      <c r="M11" s="20">
        <f>IF(SUMIFS(Selections!$T$6:$T$27,Selections!$C$6:$C$27,"Premier League")=0,"n.a.",SUMIFS(Selections!$S$6:$S$27,Selections!$C$6:$C$27,"Premier League")/SUMIFS(Selections!$T$6:$T$27,Selections!$C$6:$C$27,"Premier League"))</f>
        <v>0.8084589103334122</v>
      </c>
      <c r="N11" s="20">
        <f>IF(SUMIFS(Selections!$T$6:$T$27,Selections!$C$6:$C$27,"Premier League")=0,"n.a.",(SUMIFS(Selections!$L$6:$L$27,Selections!$C$6:$C$27,"Premier League",Selections!$T$6:$T$27,1))/SUMIFS(Selections!$T$6:$T$27,Selections!$C$6:$C$27,"Premier League"))</f>
        <v>0.0</v>
      </c>
      <c r="O11" s="20">
        <f>IF(SUMIFS(Selections!$T$6:$T$27,Selections!$C$6:$C$27,"Premier League")=0,"n.a.",(SUMIFS(Selections!$S$6:$S$27,Selections!$C$6:$C$27,"Premier League")-(SUMIFS(Selections!$L$6:$L$27,Selections!$C$6:$C$27,"Premier League",Selections!$T$6:$T$27,1)))/SUMIFS(Selections!$T$6:$T$27,Selections!$C$6:$C$27,"Premier League"))</f>
        <v>0.8084589103334122</v>
      </c>
      <c r="P11" s="19">
        <f>SUMIFS(Selections!$T$6:$T$27,Selections!$C$6:$C$27,"Premier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COUNTIFS(Selections!$C$6:$C$27,"Serie A")</f>
        <v>3</v>
      </c>
      <c r="D12" s="19">
        <f>(COUNTIFS(Selections!$C$6:$C$27,"Serie A",Selections!$K$6:$K$27,"WON")+COUNTIFS(Selections!$C$6:$C$27,"Serie A",Selections!$K$6:$K$27,"LOST"))</f>
        <v>2</v>
      </c>
      <c r="E12" s="19">
        <f>COUNTIFS(Selections!$C$6:$C$27,"Serie A",Selections!$K$6:$K$27,"WON")</f>
        <v>2</v>
      </c>
      <c r="F12" s="19">
        <f>COUNTIFS(Selections!$C$6:$C$27,"Serie A",Selections!$K$6:$K$27,"LOST")</f>
        <v>0</v>
      </c>
      <c r="G12" s="19">
        <f>COUNTIFS(Selections!$C$6:$C$27,"Serie A")-(COUNTIFS(Selections!$C$6:$C$27,"Serie A",Selections!$K$6:$K$27,"WON")+COUNTIFS(Selections!$C$6:$C$27,"Serie A",Selections!$K$6:$K$27,"LOST"))</f>
        <v>1</v>
      </c>
      <c r="H12" s="20">
        <f>IF((COUNTIFS(Selections!$C$6:$C$27,"Serie A",Selections!$K$6:$K$27,"WON")+COUNTIFS(Selections!$C$6:$C$27,"Serie A",Selections!$K$6:$K$27,"LOST"))=0,"n.a.",COUNTIFS(Selections!$C$6:$C$27,"Serie A",Selections!$K$6:$K$27,"WON")/(COUNTIFS(Selections!$C$6:$C$27,"Serie A",Selections!$K$6:$K$27,"WON")+COUNTIFS(Selections!$C$6:$C$27,"Serie A",Selections!$K$6:$K$27,"LOST")))</f>
        <v>1.0</v>
      </c>
      <c r="I12" s="22">
        <f>SUMIFS(Selections!$M$6:$M$27,Selections!$C$6:$C$27,"Serie A")</f>
        <v>2</v>
      </c>
      <c r="J12" s="22">
        <f>SUMIFS(Selections!$N$6:$N$27,Selections!$C$6:$C$27,"Serie A")</f>
        <v>0.9099999999999999</v>
      </c>
      <c r="K12" s="20">
        <f>IF(SUMIFS(Selections!$M$6:$M$27,Selections!$C$6:$C$27,"Serie A")=0,"n.a.",SUMIFS(Selections!$N$6:$N$27,Selections!$C$6:$C$27,"Serie A")/SUMIFS(Selections!$M$6:$M$27,Selections!$C$6:$C$27,"Serie A"))</f>
        <v>0.45499999999999996</v>
      </c>
      <c r="L12" s="21">
        <f>IF(SUMIFS(Selections!$T$6:$T$27,Selections!$C$6:$C$27,"Serie A")=0,"n.a.",SUMIFS(Selections!$O$6:$O$27,Selections!$C$6:$C$27,"Serie A")/SUMIFS(Selections!$T$6:$T$27,Selections!$C$6:$C$27,"Serie A"))</f>
        <v>0.07119335473368883</v>
      </c>
      <c r="M12" s="20">
        <f>IF(SUMIFS(Selections!$T$6:$T$27,Selections!$C$6:$C$27,"Serie A")=0,"n.a.",SUMIFS(Selections!$S$6:$S$27,Selections!$C$6:$C$27,"Serie A")/SUMIFS(Selections!$T$6:$T$27,Selections!$C$6:$C$27,"Serie A"))</f>
        <v>0.7393540862546915</v>
      </c>
      <c r="N12" s="20">
        <f>IF(SUMIFS(Selections!$T$6:$T$27,Selections!$C$6:$C$27,"Serie A")=0,"n.a.",(SUMIFS(Selections!$L$6:$L$27,Selections!$C$6:$C$27,"Serie A",Selections!$T$6:$T$27,1))/SUMIFS(Selections!$T$6:$T$27,Selections!$C$6:$C$27,"Serie A"))</f>
        <v>1.0</v>
      </c>
      <c r="O12" s="20">
        <f>IF(SUMIFS(Selections!$T$6:$T$27,Selections!$C$6:$C$27,"Serie A")=0,"n.a.",(SUMIFS(Selections!$S$6:$S$27,Selections!$C$6:$C$27,"Serie A")-(SUMIFS(Selections!$L$6:$L$27,Selections!$C$6:$C$27,"Serie A",Selections!$T$6:$T$27,1)))/SUMIFS(Selections!$T$6:$T$27,Selections!$C$6:$C$27,"Serie A"))</f>
        <v>-0.26064591374530854</v>
      </c>
      <c r="P12" s="19">
        <f>SUMIFS(Selections!$T$6:$T$27,Selections!$C$6:$C$27,"Serie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COUNTIFS(Selections!$C$6:$C$27,"UEFA Champions League")</f>
        <v>5</v>
      </c>
      <c r="D13" s="19">
        <f>(COUNTIFS(Selections!$C$6:$C$27,"UEFA Champions League",Selections!$K$6:$K$27,"WON")+COUNTIFS(Selections!$C$6:$C$27,"UEFA Champions League",Selections!$K$6:$K$27,"LOST"))</f>
        <v>4</v>
      </c>
      <c r="E13" s="19">
        <f>COUNTIFS(Selections!$C$6:$C$27,"UEFA Champions League",Selections!$K$6:$K$27,"WON")</f>
        <v>4</v>
      </c>
      <c r="F13" s="19">
        <f>COUNTIFS(Selections!$C$6:$C$27,"UEFA Champions League",Selections!$K$6:$K$27,"LOST")</f>
        <v>0</v>
      </c>
      <c r="G13" s="19">
        <f>COUNTIFS(Selections!$C$6:$C$27,"UEFA Champions League")-(COUNTIFS(Selections!$C$6:$C$27,"UEFA Champions League",Selections!$K$6:$K$27,"WON")+COUNTIFS(Selections!$C$6:$C$27,"UEFA Champions League",Selections!$K$6:$K$27,"LOST"))</f>
        <v>1</v>
      </c>
      <c r="H13" s="20">
        <f>IF((COUNTIFS(Selections!$C$6:$C$27,"UEFA Champions League",Selections!$K$6:$K$27,"WON")+COUNTIFS(Selections!$C$6:$C$27,"UEFA Champions League",Selections!$K$6:$K$27,"LOST"))=0,"n.a.",COUNTIFS(Selections!$C$6:$C$27,"UEFA Champions League",Selections!$K$6:$K$27,"WON")/(COUNTIFS(Selections!$C$6:$C$27,"UEFA Champions League",Selections!$K$6:$K$27,"WON")+COUNTIFS(Selections!$C$6:$C$27,"UEFA Champions League",Selections!$K$6:$K$27,"LOST")))</f>
        <v>1.0</v>
      </c>
      <c r="I13" s="22">
        <f>SUMIFS(Selections!$M$6:$M$27,Selections!$C$6:$C$27,"UEFA Champions League")</f>
        <v>4</v>
      </c>
      <c r="J13" s="22">
        <f>SUMIFS(Selections!$N$6:$N$27,Selections!$C$6:$C$27,"UEFA Champions League")</f>
        <v>1.6199999999999999</v>
      </c>
      <c r="K13" s="20">
        <f>IF(SUMIFS(Selections!$M$6:$M$27,Selections!$C$6:$C$27,"UEFA Champions League")=0,"n.a.",SUMIFS(Selections!$N$6:$N$27,Selections!$C$6:$C$27,"UEFA Champions League")/SUMIFS(Selections!$M$6:$M$27,Selections!$C$6:$C$27,"UEFA Champions League"))</f>
        <v>0.40499999999999997</v>
      </c>
      <c r="L13" s="21">
        <f>IF(SUMIFS(Selections!$T$6:$T$27,Selections!$C$6:$C$27,"UEFA Champions League")=0,"n.a.",SUMIFS(Selections!$O$6:$O$27,Selections!$C$6:$C$27,"UEFA Champions League")/SUMIFS(Selections!$T$6:$T$27,Selections!$C$6:$C$27,"UEFA Champions League"))</f>
        <v>0.052539426004397115</v>
      </c>
      <c r="M13" s="20">
        <f>IF(SUMIFS(Selections!$T$6:$T$27,Selections!$C$6:$C$27,"UEFA Champions League")=0,"n.a.",SUMIFS(Selections!$S$6:$S$27,Selections!$C$6:$C$27,"UEFA Champions League")/SUMIFS(Selections!$T$6:$T$27,Selections!$C$6:$C$27,"UEFA Champions League"))</f>
        <v>0.8071634401961396</v>
      </c>
      <c r="N13" s="20">
        <f>IF(SUMIFS(Selections!$T$6:$T$27,Selections!$C$6:$C$27,"UEFA Champions League")=0,"n.a.",(SUMIFS(Selections!$L$6:$L$27,Selections!$C$6:$C$27,"UEFA Champions League",Selections!$T$6:$T$27,1))/SUMIFS(Selections!$T$6:$T$27,Selections!$C$6:$C$27,"UEFA Champions League"))</f>
        <v>1.0</v>
      </c>
      <c r="O13" s="20">
        <f>IF(SUMIFS(Selections!$T$6:$T$27,Selections!$C$6:$C$27,"UEFA Champions League")=0,"n.a.",(SUMIFS(Selections!$S$6:$S$27,Selections!$C$6:$C$27,"UEFA Champions League")-(SUMIFS(Selections!$L$6:$L$27,Selections!$C$6:$C$27,"UEFA Champions League",Selections!$T$6:$T$27,1)))/SUMIFS(Selections!$T$6:$T$27,Selections!$C$6:$C$27,"UEFA Champions League"))</f>
        <v>-0.19283655980386039</v>
      </c>
      <c r="P13" s="19">
        <f>SUMIFS(Selections!$T$6:$T$27,Selections!$C$6:$C$27,"UEFA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COUNTIFS(Selections!$E$6:$E$27,"Away win")</f>
        <v>1</v>
      </c>
      <c r="D14" s="19">
        <f>(COUNTIFS(Selections!$E$6:$E$27,"Away win",Selections!$K$6:$K$27,"WON")+COUNTIFS(Selections!$E$6:$E$27,"Away win",Selections!$K$6:$K$27,"LOST"))</f>
        <v>0</v>
      </c>
      <c r="E14" s="19">
        <f>COUNTIFS(Selections!$E$6:$E$27,"Away win",Selections!$K$6:$K$27,"WON")</f>
        <v>0</v>
      </c>
      <c r="F14" s="19">
        <f>COUNTIFS(Selections!$E$6:$E$27,"Away win",Selections!$K$6:$K$27,"LOST")</f>
        <v>0</v>
      </c>
      <c r="G14" s="19">
        <f>COUNTIFS(Selections!$E$6:$E$27,"Away win")-(COUNTIFS(Selections!$E$6:$E$27,"Away win",Selections!$K$6:$K$27,"WON")+COUNTIFS(Selections!$E$6:$E$27,"Away win",Selections!$K$6:$K$27,"LOST"))</f>
        <v>1</v>
      </c>
      <c r="H14" s="20" t="str">
        <f>IF((COUNTIFS(Selections!$E$6:$E$27,"Away win",Selections!$K$6:$K$27,"WON")+COUNTIFS(Selections!$E$6:$E$27,"Away win",Selections!$K$6:$K$27,"LOST"))=0,"n.a.",COUNTIFS(Selections!$E$6:$E$27,"Away win",Selections!$K$6:$K$27,"WON")/(COUNTIFS(Selections!$E$6:$E$27,"Away win",Selections!$K$6:$K$27,"WON")+COUNTIFS(Selections!$E$6:$E$27,"Away win",Selections!$K$6:$K$27,"LOST")))</f>
        <v>n.a.</v>
      </c>
      <c r="I14" s="22">
        <f>SUMIFS(Selections!$M$6:$M$27,Selections!$E$6:$E$27,"Away win")</f>
        <v>0</v>
      </c>
      <c r="J14" s="22">
        <f>SUMIFS(Selections!$N$6:$N$27,Selections!$E$6:$E$27,"Away win")</f>
        <v>0</v>
      </c>
      <c r="K14" s="20" t="str">
        <f>IF(SUMIFS(Selections!$M$6:$M$27,Selections!$E$6:$E$27,"Away win")=0,"n.a.",SUMIFS(Selections!$N$6:$N$27,Selections!$E$6:$E$27,"Away win")/SUMIFS(Selections!$M$6:$M$27,Selections!$E$6:$E$27,"Away win"))</f>
        <v>n.a.</v>
      </c>
      <c r="L14" s="21" t="str">
        <f>IF(SUMIFS(Selections!$T$6:$T$27,Selections!$E$6:$E$27,"Away win")=0,"n.a.",SUMIFS(Selections!$O$6:$O$27,Selections!$E$6:$E$27,"Away win")/SUMIFS(Selections!$T$6:$T$27,Selections!$E$6:$E$27,"Away win"))</f>
        <v>n.a.</v>
      </c>
      <c r="M14" s="20" t="str">
        <f>IF(SUMIFS(Selections!$T$6:$T$27,Selections!$E$6:$E$27,"Away win")=0,"n.a.",SUMIFS(Selections!$S$6:$S$27,Selections!$E$6:$E$27,"Away win")/SUMIFS(Selections!$T$6:$T$27,Selections!$E$6:$E$27,"Away win"))</f>
        <v>n.a.</v>
      </c>
      <c r="N14" s="20" t="str">
        <f>IF(SUMIFS(Selections!$T$6:$T$27,Selections!$E$6:$E$27,"Away win")=0,"n.a.",(SUMIFS(Selections!$L$6:$L$27,Selections!$E$6:$E$27,"Away win",Selections!$T$6:$T$27,1))/SUMIFS(Selections!$T$6:$T$27,Selections!$E$6:$E$27,"Away win"))</f>
        <v>n.a.</v>
      </c>
      <c r="O14" s="20" t="str">
        <f>IF(SUMIFS(Selections!$T$6:$T$27,Selections!$E$6:$E$27,"Away win")=0,"n.a.",(SUMIFS(Selections!$S$6:$S$27,Selections!$E$6:$E$27,"Away win")-(SUMIFS(Selections!$L$6:$L$27,Selections!$E$6:$E$27,"Away win",Selections!$T$6:$T$27,1)))/SUMIFS(Selections!$T$6:$T$27,Selections!$E$6:$E$27,"Away win"))</f>
        <v>n.a.</v>
      </c>
      <c r="P14" s="19">
        <f>SUMIFS(Selections!$T$6:$T$27,Selections!$E$6:$E$27,"Away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COUNTIFS(Selections!$E$6:$E$27,"Both Teams to Score - Yes")</f>
        <v>1</v>
      </c>
      <c r="D15" s="19">
        <f>(COUNTIFS(Selections!$E$6:$E$27,"Both Teams to Score - Yes",Selections!$K$6:$K$27,"WON")+COUNTIFS(Selections!$E$6:$E$27,"Both Teams to Score - Yes",Selections!$K$6:$K$27,"LOST"))</f>
        <v>1</v>
      </c>
      <c r="E15" s="19">
        <f>COUNTIFS(Selections!$E$6:$E$27,"Both Teams to Score - Yes",Selections!$K$6:$K$27,"WON")</f>
        <v>1</v>
      </c>
      <c r="F15" s="19">
        <f>COUNTIFS(Selections!$E$6:$E$27,"Both Teams to Score - Yes",Selections!$K$6:$K$27,"LOST")</f>
        <v>0</v>
      </c>
      <c r="G15" s="19">
        <f>COUNTIFS(Selections!$E$6:$E$27,"Both Teams to Score - Yes")-(COUNTIFS(Selections!$E$6:$E$27,"Both Teams to Score - Yes",Selections!$K$6:$K$27,"WON")+COUNTIFS(Selections!$E$6:$E$27,"Both Teams to Score - Yes",Selections!$K$6:$K$27,"LOST"))</f>
        <v>0</v>
      </c>
      <c r="H15" s="20">
        <f>IF((COUNTIFS(Selections!$E$6:$E$27,"Both Teams to Score - Yes",Selections!$K$6:$K$27,"WON")+COUNTIFS(Selections!$E$6:$E$27,"Both Teams to Score - Yes",Selections!$K$6:$K$27,"LOST"))=0,"n.a.",COUNTIFS(Selections!$E$6:$E$27,"Both Teams to Score - Yes",Selections!$K$6:$K$27,"WON")/(COUNTIFS(Selections!$E$6:$E$27,"Both Teams to Score - Yes",Selections!$K$6:$K$27,"WON")+COUNTIFS(Selections!$E$6:$E$27,"Both Teams to Score - Yes",Selections!$K$6:$K$27,"LOST")))</f>
        <v>1.0</v>
      </c>
      <c r="I15" s="22">
        <f>SUMIFS(Selections!$M$6:$M$27,Selections!$E$6:$E$27,"Both Teams to Score - Yes")</f>
        <v>1</v>
      </c>
      <c r="J15" s="22">
        <f>SUMIFS(Selections!$N$6:$N$27,Selections!$E$6:$E$27,"Both Teams to Score - Yes")</f>
        <v>0.49</v>
      </c>
      <c r="K15" s="20">
        <f>IF(SUMIFS(Selections!$M$6:$M$27,Selections!$E$6:$E$27,"Both Teams to Score - Yes")=0,"n.a.",SUMIFS(Selections!$N$6:$N$27,Selections!$E$6:$E$27,"Both Teams to Score - Yes")/SUMIFS(Selections!$M$6:$M$27,Selections!$E$6:$E$27,"Both Teams to Score - Yes"))</f>
        <v>0.49</v>
      </c>
      <c r="L15" s="21">
        <f>IF(SUMIFS(Selections!$T$6:$T$27,Selections!$E$6:$E$27,"Both Teams to Score - Yes")=0,"n.a.",SUMIFS(Selections!$O$6:$O$27,Selections!$E$6:$E$27,"Both Teams to Score - Yes")/SUMIFS(Selections!$T$6:$T$27,Selections!$E$6:$E$27,"Both Teams to Score - Yes"))</f>
        <v>0.08662845606019748</v>
      </c>
      <c r="M15" s="20">
        <f>IF(SUMIFS(Selections!$T$6:$T$27,Selections!$E$6:$E$27,"Both Teams to Score - Yes")=0,"n.a.",SUMIFS(Selections!$S$6:$S$27,Selections!$E$6:$E$27,"Both Teams to Score - Yes")/SUMIFS(Selections!$T$6:$T$27,Selections!$E$6:$E$27,"Both Teams to Score - Yes"))</f>
        <v>0.7056728757654207</v>
      </c>
      <c r="N15" s="20">
        <f>IF(SUMIFS(Selections!$T$6:$T$27,Selections!$E$6:$E$27,"Both Teams to Score - Yes")=0,"n.a.",(SUMIFS(Selections!$L$6:$L$27,Selections!$E$6:$E$27,"Both Teams to Score - Yes",Selections!$T$6:$T$27,1))/SUMIFS(Selections!$T$6:$T$27,Selections!$E$6:$E$27,"Both Teams to Score - Yes"))</f>
        <v>1.0</v>
      </c>
      <c r="O15" s="20">
        <f>IF(SUMIFS(Selections!$T$6:$T$27,Selections!$E$6:$E$27,"Both Teams to Score - Yes")=0,"n.a.",(SUMIFS(Selections!$S$6:$S$27,Selections!$E$6:$E$27,"Both Teams to Score - Yes")-(SUMIFS(Selections!$L$6:$L$27,Selections!$E$6:$E$27,"Both Teams to Score - Yes",Selections!$T$6:$T$27,1)))/SUMIFS(Selections!$T$6:$T$27,Selections!$E$6:$E$27,"Both Teams to Score - Yes"))</f>
        <v>-0.2943271242345793</v>
      </c>
      <c r="P15" s="19">
        <f>SUMIFS(Selections!$T$6:$T$27,Selections!$E$6:$E$27,"Both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COUNTIFS(Selections!$E$6:$E$27,"Double Chance 1X")</f>
        <v>1</v>
      </c>
      <c r="D16" s="19">
        <f>(COUNTIFS(Selections!$E$6:$E$27,"Double Chance 1X",Selections!$K$6:$K$27,"WON")+COUNTIFS(Selections!$E$6:$E$27,"Double Chance 1X",Selections!$K$6:$K$27,"LOST"))</f>
        <v>0</v>
      </c>
      <c r="E16" s="19">
        <f>COUNTIFS(Selections!$E$6:$E$27,"Double Chance 1X",Selections!$K$6:$K$27,"WON")</f>
        <v>0</v>
      </c>
      <c r="F16" s="19">
        <f>COUNTIFS(Selections!$E$6:$E$27,"Double Chance 1X",Selections!$K$6:$K$27,"LOST")</f>
        <v>0</v>
      </c>
      <c r="G16" s="19">
        <f>COUNTIFS(Selections!$E$6:$E$27,"Double Chance 1X")-(COUNTIFS(Selections!$E$6:$E$27,"Double Chance 1X",Selections!$K$6:$K$27,"WON")+COUNTIFS(Selections!$E$6:$E$27,"Double Chance 1X",Selections!$K$6:$K$27,"LOST"))</f>
        <v>1</v>
      </c>
      <c r="H16" s="20" t="str">
        <f>IF((COUNTIFS(Selections!$E$6:$E$27,"Double Chance 1X",Selections!$K$6:$K$27,"WON")+COUNTIFS(Selections!$E$6:$E$27,"Double Chance 1X",Selections!$K$6:$K$27,"LOST"))=0,"n.a.",COUNTIFS(Selections!$E$6:$E$27,"Double Chance 1X",Selections!$K$6:$K$27,"WON")/(COUNTIFS(Selections!$E$6:$E$27,"Double Chance 1X",Selections!$K$6:$K$27,"WON")+COUNTIFS(Selections!$E$6:$E$27,"Double Chance 1X",Selections!$K$6:$K$27,"LOST")))</f>
        <v>n.a.</v>
      </c>
      <c r="I16" s="22">
        <f>SUMIFS(Selections!$M$6:$M$27,Selections!$E$6:$E$27,"Double Chance 1X")</f>
        <v>0</v>
      </c>
      <c r="J16" s="22">
        <f>SUMIFS(Selections!$N$6:$N$27,Selections!$E$6:$E$27,"Double Chance 1X")</f>
        <v>0</v>
      </c>
      <c r="K16" s="20" t="str">
        <f>IF(SUMIFS(Selections!$M$6:$M$27,Selections!$E$6:$E$27,"Double Chance 1X")=0,"n.a.",SUMIFS(Selections!$N$6:$N$27,Selections!$E$6:$E$27,"Double Chance 1X")/SUMIFS(Selections!$M$6:$M$27,Selections!$E$6:$E$27,"Double Chance 1X"))</f>
        <v>n.a.</v>
      </c>
      <c r="L16" s="21" t="str">
        <f>IF(SUMIFS(Selections!$T$6:$T$27,Selections!$E$6:$E$27,"Double Chance 1X")=0,"n.a.",SUMIFS(Selections!$O$6:$O$27,Selections!$E$6:$E$27,"Double Chance 1X")/SUMIFS(Selections!$T$6:$T$27,Selections!$E$6:$E$27,"Double Chance 1X"))</f>
        <v>n.a.</v>
      </c>
      <c r="M16" s="20" t="str">
        <f>IF(SUMIFS(Selections!$T$6:$T$27,Selections!$E$6:$E$27,"Double Chance 1X")=0,"n.a.",SUMIFS(Selections!$S$6:$S$27,Selections!$E$6:$E$27,"Double Chance 1X")/SUMIFS(Selections!$T$6:$T$27,Selections!$E$6:$E$27,"Double Chance 1X"))</f>
        <v>n.a.</v>
      </c>
      <c r="N16" s="20" t="str">
        <f>IF(SUMIFS(Selections!$T$6:$T$27,Selections!$E$6:$E$27,"Double Chance 1X")=0,"n.a.",(SUMIFS(Selections!$L$6:$L$27,Selections!$E$6:$E$27,"Double Chance 1X",Selections!$T$6:$T$27,1))/SUMIFS(Selections!$T$6:$T$27,Selections!$E$6:$E$27,"Double Chance 1X"))</f>
        <v>n.a.</v>
      </c>
      <c r="O16" s="20" t="str">
        <f>IF(SUMIFS(Selections!$T$6:$T$27,Selections!$E$6:$E$27,"Double Chance 1X")=0,"n.a.",(SUMIFS(Selections!$S$6:$S$27,Selections!$E$6:$E$27,"Double Chance 1X")-(SUMIFS(Selections!$L$6:$L$27,Selections!$E$6:$E$27,"Double Chance 1X",Selections!$T$6:$T$27,1)))/SUMIFS(Selections!$T$6:$T$27,Selections!$E$6:$E$27,"Double Chance 1X"))</f>
        <v>n.a.</v>
      </c>
      <c r="P16" s="19">
        <f>SUMIFS(Selections!$T$6:$T$27,Selections!$E$6:$E$27,"Double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COUNTIFS(Selections!$E$6:$E$27,"Home win")</f>
        <v>4</v>
      </c>
      <c r="D17" s="19">
        <f>(COUNTIFS(Selections!$E$6:$E$27,"Home win",Selections!$K$6:$K$27,"WON")+COUNTIFS(Selections!$E$6:$E$27,"Home win",Selections!$K$6:$K$27,"LOST"))</f>
        <v>2</v>
      </c>
      <c r="E17" s="19">
        <f>COUNTIFS(Selections!$E$6:$E$27,"Home win",Selections!$K$6:$K$27,"WON")</f>
        <v>2</v>
      </c>
      <c r="F17" s="19">
        <f>COUNTIFS(Selections!$E$6:$E$27,"Home win",Selections!$K$6:$K$27,"LOST")</f>
        <v>0</v>
      </c>
      <c r="G17" s="19">
        <f>COUNTIFS(Selections!$E$6:$E$27,"Home win")-(COUNTIFS(Selections!$E$6:$E$27,"Home win",Selections!$K$6:$K$27,"WON")+COUNTIFS(Selections!$E$6:$E$27,"Home win",Selections!$K$6:$K$27,"LOST"))</f>
        <v>2</v>
      </c>
      <c r="H17" s="20">
        <f>IF((COUNTIFS(Selections!$E$6:$E$27,"Home win",Selections!$K$6:$K$27,"WON")+COUNTIFS(Selections!$E$6:$E$27,"Home win",Selections!$K$6:$K$27,"LOST"))=0,"n.a.",COUNTIFS(Selections!$E$6:$E$27,"Home win",Selections!$K$6:$K$27,"WON")/(COUNTIFS(Selections!$E$6:$E$27,"Home win",Selections!$K$6:$K$27,"WON")+COUNTIFS(Selections!$E$6:$E$27,"Home win",Selections!$K$6:$K$27,"LOST")))</f>
        <v>1.0</v>
      </c>
      <c r="I17" s="22">
        <f>SUMIFS(Selections!$M$6:$M$27,Selections!$E$6:$E$27,"Home win")</f>
        <v>2</v>
      </c>
      <c r="J17" s="22">
        <f>SUMIFS(Selections!$N$6:$N$27,Selections!$E$6:$E$27,"Home win")</f>
        <v>1.3699999999999999</v>
      </c>
      <c r="K17" s="20">
        <f>IF(SUMIFS(Selections!$M$6:$M$27,Selections!$E$6:$E$27,"Home win")=0,"n.a.",SUMIFS(Selections!$N$6:$N$27,Selections!$E$6:$E$27,"Home win")/SUMIFS(Selections!$M$6:$M$27,Selections!$E$6:$E$27,"Home win"))</f>
        <v>0.6849999999999999</v>
      </c>
      <c r="L17" s="21">
        <f>IF(SUMIFS(Selections!$T$6:$T$27,Selections!$E$6:$E$27,"Home win")=0,"n.a.",SUMIFS(Selections!$O$6:$O$27,Selections!$E$6:$E$27,"Home win")/SUMIFS(Selections!$T$6:$T$27,Selections!$E$6:$E$27,"Home win"))</f>
        <v>0.10707453570041733</v>
      </c>
      <c r="M17" s="20">
        <f>IF(SUMIFS(Selections!$T$6:$T$27,Selections!$E$6:$E$27,"Home win")=0,"n.a.",SUMIFS(Selections!$S$6:$S$27,Selections!$E$6:$E$27,"Home win")/SUMIFS(Selections!$T$6:$T$27,Selections!$E$6:$E$27,"Home win"))</f>
        <v>0.672911773109177</v>
      </c>
      <c r="N17" s="20">
        <f>IF(SUMIFS(Selections!$T$6:$T$27,Selections!$E$6:$E$27,"Home win")=0,"n.a.",(SUMIFS(Selections!$L$6:$L$27,Selections!$E$6:$E$27,"Home win",Selections!$T$6:$T$27,1))/SUMIFS(Selections!$T$6:$T$27,Selections!$E$6:$E$27,"Home win"))</f>
        <v>1.0</v>
      </c>
      <c r="O17" s="20">
        <f>IF(SUMIFS(Selections!$T$6:$T$27,Selections!$E$6:$E$27,"Home win")=0,"n.a.",(SUMIFS(Selections!$S$6:$S$27,Selections!$E$6:$E$27,"Home win")-(SUMIFS(Selections!$L$6:$L$27,Selections!$E$6:$E$27,"Home win",Selections!$T$6:$T$27,1)))/SUMIFS(Selections!$T$6:$T$27,Selections!$E$6:$E$27,"Home win"))</f>
        <v>-0.32708822689082295</v>
      </c>
      <c r="P17" s="19">
        <f>SUMIFS(Selections!$T$6:$T$27,Selections!$E$6:$E$27,"Home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COUNTIFS(Selections!$E$6:$E$27,"Over 1.5")</f>
        <v>9</v>
      </c>
      <c r="D18" s="19">
        <f>(COUNTIFS(Selections!$E$6:$E$27,"Over 1.5",Selections!$K$6:$K$27,"WON")+COUNTIFS(Selections!$E$6:$E$27,"Over 1.5",Selections!$K$6:$K$27,"LOST"))</f>
        <v>4</v>
      </c>
      <c r="E18" s="19">
        <f>COUNTIFS(Selections!$E$6:$E$27,"Over 1.5",Selections!$K$6:$K$27,"WON")</f>
        <v>4</v>
      </c>
      <c r="F18" s="19">
        <f>COUNTIFS(Selections!$E$6:$E$27,"Over 1.5",Selections!$K$6:$K$27,"LOST")</f>
        <v>0</v>
      </c>
      <c r="G18" s="19">
        <f>COUNTIFS(Selections!$E$6:$E$27,"Over 1.5")-(COUNTIFS(Selections!$E$6:$E$27,"Over 1.5",Selections!$K$6:$K$27,"WON")+COUNTIFS(Selections!$E$6:$E$27,"Over 1.5",Selections!$K$6:$K$27,"LOST"))</f>
        <v>5</v>
      </c>
      <c r="H18" s="20">
        <f>IF((COUNTIFS(Selections!$E$6:$E$27,"Over 1.5",Selections!$K$6:$K$27,"WON")+COUNTIFS(Selections!$E$6:$E$27,"Over 1.5",Selections!$K$6:$K$27,"LOST"))=0,"n.a.",COUNTIFS(Selections!$E$6:$E$27,"Over 1.5",Selections!$K$6:$K$27,"WON")/(COUNTIFS(Selections!$E$6:$E$27,"Over 1.5",Selections!$K$6:$K$27,"WON")+COUNTIFS(Selections!$E$6:$E$27,"Over 1.5",Selections!$K$6:$K$27,"LOST")))</f>
        <v>1.0</v>
      </c>
      <c r="I18" s="22">
        <f>SUMIFS(Selections!$M$6:$M$27,Selections!$E$6:$E$27,"Over 1.5")</f>
        <v>4</v>
      </c>
      <c r="J18" s="22">
        <f>SUMIFS(Selections!$N$6:$N$27,Selections!$E$6:$E$27,"Over 1.5")</f>
        <v>0.97</v>
      </c>
      <c r="K18" s="20">
        <f>IF(SUMIFS(Selections!$M$6:$M$27,Selections!$E$6:$E$27,"Over 1.5")=0,"n.a.",SUMIFS(Selections!$N$6:$N$27,Selections!$E$6:$E$27,"Over 1.5")/SUMIFS(Selections!$M$6:$M$27,Selections!$E$6:$E$27,"Over 1.5"))</f>
        <v>0.2425</v>
      </c>
      <c r="L18" s="21">
        <f>IF(SUMIFS(Selections!$T$6:$T$27,Selections!$E$6:$E$27,"Over 1.5")=0,"n.a.",SUMIFS(Selections!$O$6:$O$27,Selections!$E$6:$E$27,"Over 1.5")/SUMIFS(Selections!$T$6:$T$27,Selections!$E$6:$E$27,"Over 1.5"))</f>
        <v>0.0169853040409397</v>
      </c>
      <c r="M18" s="20">
        <f>IF(SUMIFS(Selections!$T$6:$T$27,Selections!$E$6:$E$27,"Over 1.5")=0,"n.a.",SUMIFS(Selections!$S$6:$S$27,Selections!$E$6:$E$27,"Over 1.5")/SUMIFS(Selections!$T$6:$T$27,Selections!$E$6:$E$27,"Over 1.5"))</f>
        <v>0.8852457097818759</v>
      </c>
      <c r="N18" s="20">
        <f>IF(SUMIFS(Selections!$T$6:$T$27,Selections!$E$6:$E$27,"Over 1.5")=0,"n.a.",(SUMIFS(Selections!$L$6:$L$27,Selections!$E$6:$E$27,"Over 1.5",Selections!$T$6:$T$27,1))/SUMIFS(Selections!$T$6:$T$27,Selections!$E$6:$E$27,"Over 1.5"))</f>
        <v>1.0</v>
      </c>
      <c r="O18" s="20">
        <f>IF(SUMIFS(Selections!$T$6:$T$27,Selections!$E$6:$E$27,"Over 1.5")=0,"n.a.",(SUMIFS(Selections!$S$6:$S$27,Selections!$E$6:$E$27,"Over 1.5")-(SUMIFS(Selections!$L$6:$L$27,Selections!$E$6:$E$27,"Over 1.5",Selections!$T$6:$T$27,1)))/SUMIFS(Selections!$T$6:$T$27,Selections!$E$6:$E$27,"Over 1.5"))</f>
        <v>-0.11475429021812411</v>
      </c>
      <c r="P18" s="19">
        <f>SUMIFS(Selections!$T$6:$T$27,Selections!$E$6:$E$27,"Over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COUNTIFS(Selections!$E$6:$E$27,"Under 3.5")</f>
        <v>6</v>
      </c>
      <c r="D19" s="19">
        <f>(COUNTIFS(Selections!$E$6:$E$27,"Under 3.5",Selections!$K$6:$K$27,"WON")+COUNTIFS(Selections!$E$6:$E$27,"Under 3.5",Selections!$K$6:$K$27,"LOST"))</f>
        <v>4</v>
      </c>
      <c r="E19" s="19">
        <f>COUNTIFS(Selections!$E$6:$E$27,"Under 3.5",Selections!$K$6:$K$27,"WON")</f>
        <v>1</v>
      </c>
      <c r="F19" s="19">
        <f>COUNTIFS(Selections!$E$6:$E$27,"Under 3.5",Selections!$K$6:$K$27,"LOST")</f>
        <v>3</v>
      </c>
      <c r="G19" s="19">
        <f>COUNTIFS(Selections!$E$6:$E$27,"Under 3.5")-(COUNTIFS(Selections!$E$6:$E$27,"Under 3.5",Selections!$K$6:$K$27,"WON")+COUNTIFS(Selections!$E$6:$E$27,"Under 3.5",Selections!$K$6:$K$27,"LOST"))</f>
        <v>2</v>
      </c>
      <c r="H19" s="20">
        <f>IF((COUNTIFS(Selections!$E$6:$E$27,"Under 3.5",Selections!$K$6:$K$27,"WON")+COUNTIFS(Selections!$E$6:$E$27,"Under 3.5",Selections!$K$6:$K$27,"LOST"))=0,"n.a.",COUNTIFS(Selections!$E$6:$E$27,"Under 3.5",Selections!$K$6:$K$27,"WON")/(COUNTIFS(Selections!$E$6:$E$27,"Under 3.5",Selections!$K$6:$K$27,"WON")+COUNTIFS(Selections!$E$6:$E$27,"Under 3.5",Selections!$K$6:$K$27,"LOST")))</f>
        <v>0.25</v>
      </c>
      <c r="I19" s="22">
        <f>SUMIFS(Selections!$M$6:$M$27,Selections!$E$6:$E$27,"Under 3.5")</f>
        <v>4</v>
      </c>
      <c r="J19" s="22">
        <f>SUMIFS(Selections!$N$6:$N$27,Selections!$E$6:$E$27,"Under 3.5")</f>
        <v>-2.7199999999999998</v>
      </c>
      <c r="K19" s="20">
        <f>IF(SUMIFS(Selections!$M$6:$M$27,Selections!$E$6:$E$27,"Under 3.5")=0,"n.a.",SUMIFS(Selections!$N$6:$N$27,Selections!$E$6:$E$27,"Under 3.5")/SUMIFS(Selections!$M$6:$M$27,Selections!$E$6:$E$27,"Under 3.5"))</f>
        <v>-0.6799999999999999</v>
      </c>
      <c r="L19" s="21">
        <f>IF(SUMIFS(Selections!$T$6:$T$27,Selections!$E$6:$E$27,"Under 3.5")=0,"n.a.",SUMIFS(Selections!$O$6:$O$27,Selections!$E$6:$E$27,"Under 3.5")/SUMIFS(Selections!$T$6:$T$27,Selections!$E$6:$E$27,"Under 3.5"))</f>
        <v>0.5016332182694637</v>
      </c>
      <c r="M19" s="20">
        <f>IF(SUMIFS(Selections!$T$6:$T$27,Selections!$E$6:$E$27,"Under 3.5")=0,"n.a.",SUMIFS(Selections!$S$6:$S$27,Selections!$E$6:$E$27,"Under 3.5")/SUMIFS(Selections!$T$6:$T$27,Selections!$E$6:$E$27,"Under 3.5"))</f>
        <v>0.8054503740200165</v>
      </c>
      <c r="N19" s="20">
        <f>IF(SUMIFS(Selections!$T$6:$T$27,Selections!$E$6:$E$27,"Under 3.5")=0,"n.a.",(SUMIFS(Selections!$L$6:$L$27,Selections!$E$6:$E$27,"Under 3.5",Selections!$T$6:$T$27,1))/SUMIFS(Selections!$T$6:$T$27,Selections!$E$6:$E$27,"Under 3.5"))</f>
        <v>0.25</v>
      </c>
      <c r="O19" s="20">
        <f>IF(SUMIFS(Selections!$T$6:$T$27,Selections!$E$6:$E$27,"Under 3.5")=0,"n.a.",(SUMIFS(Selections!$S$6:$S$27,Selections!$E$6:$E$27,"Under 3.5")-(SUMIFS(Selections!$L$6:$L$27,Selections!$E$6:$E$27,"Under 3.5",Selections!$T$6:$T$27,1)))/SUMIFS(Selections!$T$6:$T$27,Selections!$E$6:$E$27,"Under 3.5"))</f>
        <v>0.5554503740200165</v>
      </c>
      <c r="P19" s="19">
        <f>SUMIFS(Selections!$T$6:$T$27,Selections!$E$6:$E$27,"Under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COUNTIFS(Selections!$G$6:$G$27,"72h-all-markets-net-ev15-execution-v7")</f>
        <v>2</v>
      </c>
      <c r="D20" s="19">
        <f>(COUNTIFS(Selections!$G$6:$G$27,"72h-all-markets-net-ev15-execution-v7",Selections!$K$6:$K$27,"WON")+COUNTIFS(Selections!$G$6:$G$27,"72h-all-markets-net-ev15-execution-v7",Selections!$K$6:$K$27,"LOST"))</f>
        <v>0</v>
      </c>
      <c r="E20" s="19">
        <f>COUNTIFS(Selections!$G$6:$G$27,"72h-all-markets-net-ev15-execution-v7",Selections!$K$6:$K$27,"WON")</f>
        <v>0</v>
      </c>
      <c r="F20" s="19">
        <f>COUNTIFS(Selections!$G$6:$G$27,"72h-all-markets-net-ev15-execution-v7",Selections!$K$6:$K$27,"LOST")</f>
        <v>0</v>
      </c>
      <c r="G20" s="19">
        <f>COUNTIFS(Selections!$G$6:$G$27,"72h-all-markets-net-ev15-execution-v7")-(COUNTIFS(Selections!$G$6:$G$27,"72h-all-markets-net-ev15-execution-v7",Selections!$K$6:$K$27,"WON")+COUNTIFS(Selections!$G$6:$G$27,"72h-all-markets-net-ev15-execution-v7",Selections!$K$6:$K$27,"LOST"))</f>
        <v>2</v>
      </c>
      <c r="H20" s="20" t="str">
        <f>IF((COUNTIFS(Selections!$G$6:$G$27,"72h-all-markets-net-ev15-execution-v7",Selections!$K$6:$K$27,"WON")+COUNTIFS(Selections!$G$6:$G$27,"72h-all-markets-net-ev15-execution-v7",Selections!$K$6:$K$27,"LOST"))=0,"n.a.",COUNTIFS(Selections!$G$6:$G$27,"72h-all-markets-net-ev15-execution-v7",Selections!$K$6:$K$27,"WON")/(COUNTIFS(Selections!$G$6:$G$27,"72h-all-markets-net-ev15-execution-v7",Selections!$K$6:$K$27,"WON")+COUNTIFS(Selections!$G$6:$G$27,"72h-all-markets-net-ev15-execution-v7",Selections!$K$6:$K$27,"LOST")))</f>
        <v>n.a.</v>
      </c>
      <c r="I20" s="22">
        <f>SUMIFS(Selections!$M$6:$M$27,Selections!$G$6:$G$27,"72h-all-markets-net-ev15-execution-v7")</f>
        <v>0</v>
      </c>
      <c r="J20" s="22">
        <f>SUMIFS(Selections!$N$6:$N$27,Selections!$G$6:$G$27,"72h-all-markets-net-ev15-execution-v7")</f>
        <v>0</v>
      </c>
      <c r="K20" s="20" t="str">
        <f>IF(SUMIFS(Selections!$M$6:$M$27,Selections!$G$6:$G$27,"72h-all-markets-net-ev15-execution-v7")=0,"n.a.",SUMIFS(Selections!$N$6:$N$27,Selections!$G$6:$G$27,"72h-all-markets-net-ev15-execution-v7")/SUMIFS(Selections!$M$6:$M$27,Selections!$G$6:$G$27,"72h-all-markets-net-ev15-execution-v7"))</f>
        <v>n.a.</v>
      </c>
      <c r="L20" s="21" t="str">
        <f>IF(SUMIFS(Selections!$T$6:$T$27,Selections!$G$6:$G$27,"72h-all-markets-net-ev15-execution-v7")=0,"n.a.",SUMIFS(Selections!$O$6:$O$27,Selections!$G$6:$G$27,"72h-all-markets-net-ev15-execution-v7")/SUMIFS(Selections!$T$6:$T$27,Selections!$G$6:$G$27,"72h-all-markets-net-ev15-execution-v7"))</f>
        <v>n.a.</v>
      </c>
      <c r="M20" s="20" t="str">
        <f>IF(SUMIFS(Selections!$T$6:$T$27,Selections!$G$6:$G$27,"72h-all-markets-net-ev15-execution-v7")=0,"n.a.",SUMIFS(Selections!$S$6:$S$27,Selections!$G$6:$G$27,"72h-all-markets-net-ev15-execution-v7")/SUMIFS(Selections!$T$6:$T$27,Selections!$G$6:$G$27,"72h-all-markets-net-ev15-execution-v7"))</f>
        <v>n.a.</v>
      </c>
      <c r="N20" s="20" t="str">
        <f>IF(SUMIFS(Selections!$T$6:$T$27,Selections!$G$6:$G$27,"72h-all-markets-net-ev15-execution-v7")=0,"n.a.",(SUMIFS(Selections!$L$6:$L$27,Selections!$G$6:$G$27,"72h-all-markets-net-ev15-execution-v7",Selections!$T$6:$T$27,1))/SUMIFS(Selections!$T$6:$T$27,Selections!$G$6:$G$27,"72h-all-markets-net-ev15-execution-v7"))</f>
        <v>n.a.</v>
      </c>
      <c r="O20" s="20" t="str">
        <f>IF(SUMIFS(Selections!$T$6:$T$27,Selections!$G$6:$G$27,"72h-all-markets-net-ev15-execution-v7")=0,"n.a.",(SUMIFS(Selections!$S$6:$S$27,Selections!$G$6:$G$27,"72h-all-markets-net-ev15-execution-v7")-(SUMIFS(Selections!$L$6:$L$27,Selections!$G$6:$G$27,"72h-all-markets-net-ev15-execution-v7",Selections!$T$6:$T$27,1)))/SUMIFS(Selections!$T$6:$T$27,Selections!$G$6:$G$27,"72h-all-markets-net-ev15-execution-v7"))</f>
        <v>n.a.</v>
      </c>
      <c r="P20" s="19">
        <f>SUMIFS(Selections!$T$6:$T$27,Selections!$G$6:$G$27,"72h-all-markets-net-ev15-execution-v7")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72h-six-markets-dc12-probability-odds-net-ev15-v9</t>
        </is>
      </c>
      <c r="C21" s="19">
        <f>COUNTIFS(Selections!$G$6:$G$27,"72h-six-markets-dc12-probability-odds-net-ev15-v9")</f>
        <v>1</v>
      </c>
      <c r="D21" s="19">
        <f>(COUNTIFS(Selections!$G$6:$G$27,"72h-six-markets-dc12-probability-odds-net-ev15-v9",Selections!$K$6:$K$27,"WON")+COUNTIFS(Selections!$G$6:$G$27,"72h-six-markets-dc12-probability-odds-net-ev15-v9",Selections!$K$6:$K$27,"LOST"))</f>
        <v>0</v>
      </c>
      <c r="E21" s="19">
        <f>COUNTIFS(Selections!$G$6:$G$27,"72h-six-markets-dc12-probability-odds-net-ev15-v9",Selections!$K$6:$K$27,"WON")</f>
        <v>0</v>
      </c>
      <c r="F21" s="19">
        <f>COUNTIFS(Selections!$G$6:$G$27,"72h-six-markets-dc12-probability-odds-net-ev15-v9",Selections!$K$6:$K$27,"LOST")</f>
        <v>0</v>
      </c>
      <c r="G21" s="19">
        <f>COUNTIFS(Selections!$G$6:$G$27,"72h-six-markets-dc12-probability-odds-net-ev15-v9")-(COUNTIFS(Selections!$G$6:$G$27,"72h-six-markets-dc12-probability-odds-net-ev15-v9",Selections!$K$6:$K$27,"WON")+COUNTIFS(Selections!$G$6:$G$27,"72h-six-markets-dc12-probability-odds-net-ev15-v9",Selections!$K$6:$K$27,"LOST"))</f>
        <v>1</v>
      </c>
      <c r="H21" s="20" t="str">
        <f>IF((COUNTIFS(Selections!$G$6:$G$27,"72h-six-markets-dc12-probability-odds-net-ev15-v9",Selections!$K$6:$K$27,"WON")+COUNTIFS(Selections!$G$6:$G$27,"72h-six-markets-dc12-probability-odds-net-ev15-v9",Selections!$K$6:$K$27,"LOST"))=0,"n.a.",COUNTIFS(Selections!$G$6:$G$27,"72h-six-markets-dc12-probability-odds-net-ev15-v9",Selections!$K$6:$K$27,"WON")/(COUNTIFS(Selections!$G$6:$G$27,"72h-six-markets-dc12-probability-odds-net-ev15-v9",Selections!$K$6:$K$27,"WON")+COUNTIFS(Selections!$G$6:$G$27,"72h-six-markets-dc12-probability-odds-net-ev15-v9",Selections!$K$6:$K$27,"LOST")))</f>
        <v>n.a.</v>
      </c>
      <c r="I21" s="22">
        <f>SUMIFS(Selections!$M$6:$M$27,Selections!$G$6:$G$27,"72h-six-markets-dc12-probability-odds-net-ev15-v9")</f>
        <v>0</v>
      </c>
      <c r="J21" s="22">
        <f>SUMIFS(Selections!$N$6:$N$27,Selections!$G$6:$G$27,"72h-six-markets-dc12-probability-odds-net-ev15-v9")</f>
        <v>0</v>
      </c>
      <c r="K21" s="20" t="str">
        <f>IF(SUMIFS(Selections!$M$6:$M$27,Selections!$G$6:$G$27,"72h-six-markets-dc12-probability-odds-net-ev15-v9")=0,"n.a.",SUMIFS(Selections!$N$6:$N$27,Selections!$G$6:$G$27,"72h-six-markets-dc12-probability-odds-net-ev15-v9")/SUMIFS(Selections!$M$6:$M$27,Selections!$G$6:$G$27,"72h-six-markets-dc12-probability-odds-net-ev15-v9"))</f>
        <v>n.a.</v>
      </c>
      <c r="L21" s="21" t="str">
        <f>IF(SUMIFS(Selections!$T$6:$T$27,Selections!$G$6:$G$27,"72h-six-markets-dc12-probability-odds-net-ev15-v9")=0,"n.a.",SUMIFS(Selections!$O$6:$O$27,Selections!$G$6:$G$27,"72h-six-markets-dc12-probability-odds-net-ev15-v9")/SUMIFS(Selections!$T$6:$T$27,Selections!$G$6:$G$27,"72h-six-markets-dc12-probability-odds-net-ev15-v9"))</f>
        <v>n.a.</v>
      </c>
      <c r="M21" s="20" t="str">
        <f>IF(SUMIFS(Selections!$T$6:$T$27,Selections!$G$6:$G$27,"72h-six-markets-dc12-probability-odds-net-ev15-v9")=0,"n.a.",SUMIFS(Selections!$S$6:$S$27,Selections!$G$6:$G$27,"72h-six-markets-dc12-probability-odds-net-ev15-v9")/SUMIFS(Selections!$T$6:$T$27,Selections!$G$6:$G$27,"72h-six-markets-dc12-probability-odds-net-ev15-v9"))</f>
        <v>n.a.</v>
      </c>
      <c r="N21" s="20" t="str">
        <f>IF(SUMIFS(Selections!$T$6:$T$27,Selections!$G$6:$G$27,"72h-six-markets-dc12-probability-odds-net-ev15-v9")=0,"n.a.",(SUMIFS(Selections!$L$6:$L$27,Selections!$G$6:$G$27,"72h-six-markets-dc12-probability-odds-net-ev15-v9",Selections!$T$6:$T$27,1))/SUMIFS(Selections!$T$6:$T$27,Selections!$G$6:$G$27,"72h-six-markets-dc12-probability-odds-net-ev15-v9"))</f>
        <v>n.a.</v>
      </c>
      <c r="O21" s="20" t="str">
        <f>IF(SUMIFS(Selections!$T$6:$T$27,Selections!$G$6:$G$27,"72h-six-markets-dc12-probability-odds-net-ev15-v9")=0,"n.a.",(SUMIFS(Selections!$S$6:$S$27,Selections!$G$6:$G$27,"72h-six-markets-dc12-probability-odds-net-ev15-v9")-(SUMIFS(Selections!$L$6:$L$27,Selections!$G$6:$G$27,"72h-six-markets-dc12-probability-odds-net-ev15-v9",Selections!$T$6:$T$27,1)))/SUMIFS(Selections!$T$6:$T$27,Selections!$G$6:$G$27,"72h-six-markets-dc12-probability-odds-net-ev15-v9"))</f>
        <v>n.a.</v>
      </c>
      <c r="P21" s="19">
        <f>SUMIFS(Selections!$T$6:$T$27,Selections!$G$6:$G$27,"72h-six-markets-dc12-probability-odds-net-ev15-v9")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72h-ucl-v3</t>
        </is>
      </c>
      <c r="C22" s="19">
        <f>COUNTIFS(Selections!$G$6:$G$27,"72h-ucl-v3")</f>
        <v>8</v>
      </c>
      <c r="D22" s="19">
        <f>(COUNTIFS(Selections!$G$6:$G$27,"72h-ucl-v3",Selections!$K$6:$K$27,"WON")+COUNTIFS(Selections!$G$6:$G$27,"72h-ucl-v3",Selections!$K$6:$K$27,"LOST"))</f>
        <v>6</v>
      </c>
      <c r="E22" s="19">
        <f>COUNTIFS(Selections!$G$6:$G$27,"72h-ucl-v3",Selections!$K$6:$K$27,"WON")</f>
        <v>5</v>
      </c>
      <c r="F22" s="19">
        <f>COUNTIFS(Selections!$G$6:$G$27,"72h-ucl-v3",Selections!$K$6:$K$27,"LOST")</f>
        <v>1</v>
      </c>
      <c r="G22" s="19">
        <f>COUNTIFS(Selections!$G$6:$G$27,"72h-ucl-v3")-(COUNTIFS(Selections!$G$6:$G$27,"72h-ucl-v3",Selections!$K$6:$K$27,"WON")+COUNTIFS(Selections!$G$6:$G$27,"72h-ucl-v3",Selections!$K$6:$K$27,"LOST"))</f>
        <v>2</v>
      </c>
      <c r="H22" s="20">
        <f>IF((COUNTIFS(Selections!$G$6:$G$27,"72h-ucl-v3",Selections!$K$6:$K$27,"WON")+COUNTIFS(Selections!$G$6:$G$27,"72h-ucl-v3",Selections!$K$6:$K$27,"LOST"))=0,"n.a.",COUNTIFS(Selections!$G$6:$G$27,"72h-ucl-v3",Selections!$K$6:$K$27,"WON")/(COUNTIFS(Selections!$G$6:$G$27,"72h-ucl-v3",Selections!$K$6:$K$27,"WON")+COUNTIFS(Selections!$G$6:$G$27,"72h-ucl-v3",Selections!$K$6:$K$27,"LOST")))</f>
        <v>0.8333333333333334</v>
      </c>
      <c r="I22" s="22">
        <f>SUMIFS(Selections!$M$6:$M$27,Selections!$G$6:$G$27,"72h-ucl-v3")</f>
        <v>6</v>
      </c>
      <c r="J22" s="22">
        <f>SUMIFS(Selections!$N$6:$N$27,Selections!$G$6:$G$27,"72h-ucl-v3")</f>
        <v>0.96</v>
      </c>
      <c r="K22" s="20">
        <f>IF(SUMIFS(Selections!$M$6:$M$27,Selections!$G$6:$G$27,"72h-ucl-v3")=0,"n.a.",SUMIFS(Selections!$N$6:$N$27,Selections!$G$6:$G$27,"72h-ucl-v3")/SUMIFS(Selections!$M$6:$M$27,Selections!$G$6:$G$27,"72h-ucl-v3"))</f>
        <v>0.16</v>
      </c>
      <c r="L22" s="21">
        <f>IF(SUMIFS(Selections!$T$6:$T$27,Selections!$G$6:$G$27,"72h-ucl-v3")=0,"n.a.",SUMIFS(Selections!$O$6:$O$27,Selections!$G$6:$G$27,"72h-ucl-v3")/SUMIFS(Selections!$T$6:$T$27,Selections!$G$6:$G$27,"72h-ucl-v3"))</f>
        <v>0.13798221541257352</v>
      </c>
      <c r="M22" s="20">
        <f>IF(SUMIFS(Selections!$T$6:$T$27,Selections!$G$6:$G$27,"72h-ucl-v3")=0,"n.a.",SUMIFS(Selections!$S$6:$S$27,Selections!$G$6:$G$27,"72h-ucl-v3")/SUMIFS(Selections!$T$6:$T$27,Selections!$G$6:$G$27,"72h-ucl-v3"))</f>
        <v>0.7942949268394889</v>
      </c>
      <c r="N22" s="20">
        <f>IF(SUMIFS(Selections!$T$6:$T$27,Selections!$G$6:$G$27,"72h-ucl-v3")=0,"n.a.",(SUMIFS(Selections!$L$6:$L$27,Selections!$G$6:$G$27,"72h-ucl-v3",Selections!$T$6:$T$27,1))/SUMIFS(Selections!$T$6:$T$27,Selections!$G$6:$G$27,"72h-ucl-v3"))</f>
        <v>0.8333333333333334</v>
      </c>
      <c r="O22" s="20">
        <f>IF(SUMIFS(Selections!$T$6:$T$27,Selections!$G$6:$G$27,"72h-ucl-v3")=0,"n.a.",(SUMIFS(Selections!$S$6:$S$27,Selections!$G$6:$G$27,"72h-ucl-v3")-(SUMIFS(Selections!$L$6:$L$27,Selections!$G$6:$G$27,"72h-ucl-v3",Selections!$T$6:$T$27,1)))/SUMIFS(Selections!$T$6:$T$27,Selections!$G$6:$G$27,"72h-ucl-v3"))</f>
        <v>-0.03903840649384449</v>
      </c>
      <c r="P22" s="19">
        <f>SUMIFS(Selections!$T$6:$T$27,Selections!$G$6:$G$27,"72h-ucl-v3")</f>
        <v>6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(n=6).</v>
      </c>
      <c r="R22" s="18"/>
    </row>
    <row r="23" ht="36" customHeight="1">
      <c r="A23" s="18" t="inlineStr">
        <is>
          <t>Policy</t>
        </is>
      </c>
      <c r="B23" s="18" t="inlineStr">
        <is>
          <t>legacy/unspecified</t>
        </is>
      </c>
      <c r="C23" s="19">
        <f>COUNTIFS(Selections!$G$6:$G$27,"legacy/unspecified")</f>
        <v>11</v>
      </c>
      <c r="D23" s="19">
        <f>(COUNTIFS(Selections!$G$6:$G$27,"legacy/unspecified",Selections!$K$6:$K$27,"WON")+COUNTIFS(Selections!$G$6:$G$27,"legacy/unspecified",Selections!$K$6:$K$27,"LOST"))</f>
        <v>5</v>
      </c>
      <c r="E23" s="19">
        <f>COUNTIFS(Selections!$G$6:$G$27,"legacy/unspecified",Selections!$K$6:$K$27,"WON")</f>
        <v>3</v>
      </c>
      <c r="F23" s="19">
        <f>COUNTIFS(Selections!$G$6:$G$27,"legacy/unspecified",Selections!$K$6:$K$27,"LOST")</f>
        <v>2</v>
      </c>
      <c r="G23" s="19">
        <f>COUNTIFS(Selections!$G$6:$G$27,"legacy/unspecified")-(COUNTIFS(Selections!$G$6:$G$27,"legacy/unspecified",Selections!$K$6:$K$27,"WON")+COUNTIFS(Selections!$G$6:$G$27,"legacy/unspecified",Selections!$K$6:$K$27,"LOST"))</f>
        <v>6</v>
      </c>
      <c r="H23" s="20">
        <f>IF((COUNTIFS(Selections!$G$6:$G$27,"legacy/unspecified",Selections!$K$6:$K$27,"WON")+COUNTIFS(Selections!$G$6:$G$27,"legacy/unspecified",Selections!$K$6:$K$27,"LOST"))=0,"n.a.",COUNTIFS(Selections!$G$6:$G$27,"legacy/unspecified",Selections!$K$6:$K$27,"WON")/(COUNTIFS(Selections!$G$6:$G$27,"legacy/unspecified",Selections!$K$6:$K$27,"WON")+COUNTIFS(Selections!$G$6:$G$27,"legacy/unspecified",Selections!$K$6:$K$27,"LOST")))</f>
        <v>0.6</v>
      </c>
      <c r="I23" s="22">
        <f>SUMIFS(Selections!$M$6:$M$27,Selections!$G$6:$G$27,"legacy/unspecified")</f>
        <v>5</v>
      </c>
      <c r="J23" s="22">
        <f>SUMIFS(Selections!$N$6:$N$27,Selections!$G$6:$G$27,"legacy/unspecified")</f>
        <v>-0.8500000000000001</v>
      </c>
      <c r="K23" s="20">
        <f>IF(SUMIFS(Selections!$M$6:$M$27,Selections!$G$6:$G$27,"legacy/unspecified")=0,"n.a.",SUMIFS(Selections!$N$6:$N$27,Selections!$G$6:$G$27,"legacy/unspecified")/SUMIFS(Selections!$M$6:$M$27,Selections!$G$6:$G$27,"legacy/unspecified"))</f>
        <v>-0.17</v>
      </c>
      <c r="L23" s="21">
        <f>IF(SUMIFS(Selections!$T$6:$T$27,Selections!$G$6:$G$27,"legacy/unspecified")=0,"n.a.",SUMIFS(Selections!$O$6:$O$27,Selections!$G$6:$G$27,"legacy/unspecified")/SUMIFS(Selections!$T$6:$T$27,Selections!$G$6:$G$27,"legacy/unspecified"))</f>
        <v>0.30947166484544086</v>
      </c>
      <c r="M23" s="20">
        <f>IF(SUMIFS(Selections!$T$6:$T$27,Selections!$G$6:$G$27,"legacy/unspecified")=0,"n.a.",SUMIFS(Selections!$S$6:$S$27,Selections!$G$6:$G$27,"legacy/unspecified")/SUMIFS(Selections!$T$6:$T$27,Selections!$G$6:$G$27,"legacy/unspecified"))</f>
        <v>0.8097022392308822</v>
      </c>
      <c r="N23" s="20">
        <f>IF(SUMIFS(Selections!$T$6:$T$27,Selections!$G$6:$G$27,"legacy/unspecified")=0,"n.a.",(SUMIFS(Selections!$L$6:$L$27,Selections!$G$6:$G$27,"legacy/unspecified",Selections!$T$6:$T$27,1))/SUMIFS(Selections!$T$6:$T$27,Selections!$G$6:$G$27,"legacy/unspecified"))</f>
        <v>0.6</v>
      </c>
      <c r="O23" s="20">
        <f>IF(SUMIFS(Selections!$T$6:$T$27,Selections!$G$6:$G$27,"legacy/unspecified")=0,"n.a.",(SUMIFS(Selections!$S$6:$S$27,Selections!$G$6:$G$27,"legacy/unspecified")-(SUMIFS(Selections!$L$6:$L$27,Selections!$G$6:$G$27,"legacy/unspecified",Selections!$T$6:$T$27,1)))/SUMIFS(Selections!$T$6:$T$27,Selections!$G$6:$G$27,"legacy/unspecified"))</f>
        <v>0.20970223923088227</v>
      </c>
      <c r="P23" s="19">
        <f>SUMIFS(Selections!$T$6:$T$27,Selections!$G$6:$G$27,"legacy/unspecified")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Week</t>
        </is>
      </c>
      <c r="B24" s="18" t="inlineStr">
        <is>
          <t>2026-W41</t>
        </is>
      </c>
      <c r="C24" s="19">
        <f>COUNTIFS(Selections!$P$6:$P$27,"2026-W41")</f>
        <v>5</v>
      </c>
      <c r="D24" s="19">
        <f>(COUNTIFS(Selections!$P$6:$P$27,"2026-W41",Selections!$K$6:$K$27,"WON")+COUNTIFS(Selections!$P$6:$P$27,"2026-W41",Selections!$K$6:$K$27,"LOST"))</f>
        <v>4</v>
      </c>
      <c r="E24" s="19">
        <f>COUNTIFS(Selections!$P$6:$P$27,"2026-W41",Selections!$K$6:$K$27,"WON")</f>
        <v>2</v>
      </c>
      <c r="F24" s="19">
        <f>COUNTIFS(Selections!$P$6:$P$27,"2026-W41",Selections!$K$6:$K$27,"LOST")</f>
        <v>2</v>
      </c>
      <c r="G24" s="19">
        <f>COUNTIFS(Selections!$P$6:$P$27,"2026-W41")-(COUNTIFS(Selections!$P$6:$P$27,"2026-W41",Selections!$K$6:$K$27,"WON")+COUNTIFS(Selections!$P$6:$P$27,"2026-W41",Selections!$K$6:$K$27,"LOST"))</f>
        <v>1</v>
      </c>
      <c r="H24" s="20">
        <f>IF((COUNTIFS(Selections!$P$6:$P$27,"2026-W41",Selections!$K$6:$K$27,"WON")+COUNTIFS(Selections!$P$6:$P$27,"2026-W41",Selections!$K$6:$K$27,"LOST"))=0,"n.a.",COUNTIFS(Selections!$P$6:$P$27,"2026-W41",Selections!$K$6:$K$27,"WON")/(COUNTIFS(Selections!$P$6:$P$27,"2026-W41",Selections!$K$6:$K$27,"WON")+COUNTIFS(Selections!$P$6:$P$27,"2026-W41",Selections!$K$6:$K$27,"LOST")))</f>
        <v>0.5</v>
      </c>
      <c r="I24" s="22">
        <f>SUMIFS(Selections!$M$6:$M$27,Selections!$P$6:$P$27,"2026-W41")</f>
        <v>4</v>
      </c>
      <c r="J24" s="22">
        <f>SUMIFS(Selections!$N$6:$N$27,Selections!$P$6:$P$27,"2026-W41")</f>
        <v>-1.48</v>
      </c>
      <c r="K24" s="20">
        <f>IF(SUMIFS(Selections!$M$6:$M$27,Selections!$P$6:$P$27,"2026-W41")=0,"n.a.",SUMIFS(Selections!$N$6:$N$27,Selections!$P$6:$P$27,"2026-W41")/SUMIFS(Selections!$M$6:$M$27,Selections!$P$6:$P$27,"2026-W41"))</f>
        <v>-0.37</v>
      </c>
      <c r="L24" s="21">
        <f>IF(SUMIFS(Selections!$T$6:$T$27,Selections!$P$6:$P$27,"2026-W41")=0,"n.a.",SUMIFS(Selections!$O$6:$O$27,Selections!$P$6:$P$27,"2026-W41")/SUMIFS(Selections!$T$6:$T$27,Selections!$P$6:$P$27,"2026-W41"))</f>
        <v>0.32911599206243786</v>
      </c>
      <c r="M24" s="20">
        <f>IF(SUMIFS(Selections!$T$6:$T$27,Selections!$P$6:$P$27,"2026-W41")=0,"n.a.",SUMIFS(Selections!$S$6:$S$27,Selections!$P$6:$P$27,"2026-W41")/SUMIFS(Selections!$T$6:$T$27,Selections!$P$6:$P$27,"2026-W41"))</f>
        <v>0.8211485691621172</v>
      </c>
      <c r="N24" s="20">
        <f>IF(SUMIFS(Selections!$T$6:$T$27,Selections!$P$6:$P$27,"2026-W41")=0,"n.a.",(SUMIFS(Selections!$L$6:$L$27,Selections!$P$6:$P$27,"2026-W41",Selections!$T$6:$T$27,1))/SUMIFS(Selections!$T$6:$T$27,Selections!$P$6:$P$27,"2026-W41"))</f>
        <v>0.5</v>
      </c>
      <c r="O24" s="20">
        <f>IF(SUMIFS(Selections!$T$6:$T$27,Selections!$P$6:$P$27,"2026-W41")=0,"n.a.",(SUMIFS(Selections!$S$6:$S$27,Selections!$P$6:$P$27,"2026-W41")-(SUMIFS(Selections!$L$6:$L$27,Selections!$P$6:$P$27,"2026-W41",Selections!$T$6:$T$27,1)))/SUMIFS(Selections!$T$6:$T$27,Selections!$P$6:$P$27,"2026-W41"))</f>
        <v>0.3211485691621172</v>
      </c>
      <c r="P24" s="19">
        <f>SUMIFS(Selections!$T$6:$T$27,Selections!$P$6:$P$27,"2026-W41")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Week</t>
        </is>
      </c>
      <c r="B25" s="18" t="inlineStr">
        <is>
          <t>2026-W42</t>
        </is>
      </c>
      <c r="C25" s="19">
        <f>COUNTIFS(Selections!$P$6:$P$27,"2026-W42")</f>
        <v>16</v>
      </c>
      <c r="D25" s="19">
        <f>(COUNTIFS(Selections!$P$6:$P$27,"2026-W42",Selections!$K$6:$K$27,"WON")+COUNTIFS(Selections!$P$6:$P$27,"2026-W42",Selections!$K$6:$K$27,"LOST"))</f>
        <v>7</v>
      </c>
      <c r="E25" s="19">
        <f>COUNTIFS(Selections!$P$6:$P$27,"2026-W42",Selections!$K$6:$K$27,"WON")</f>
        <v>6</v>
      </c>
      <c r="F25" s="19">
        <f>COUNTIFS(Selections!$P$6:$P$27,"2026-W42",Selections!$K$6:$K$27,"LOST")</f>
        <v>1</v>
      </c>
      <c r="G25" s="19">
        <f>COUNTIFS(Selections!$P$6:$P$27,"2026-W42")-(COUNTIFS(Selections!$P$6:$P$27,"2026-W42",Selections!$K$6:$K$27,"WON")+COUNTIFS(Selections!$P$6:$P$27,"2026-W42",Selections!$K$6:$K$27,"LOST"))</f>
        <v>9</v>
      </c>
      <c r="H25" s="20">
        <f>IF((COUNTIFS(Selections!$P$6:$P$27,"2026-W42",Selections!$K$6:$K$27,"WON")+COUNTIFS(Selections!$P$6:$P$27,"2026-W42",Selections!$K$6:$K$27,"LOST"))=0,"n.a.",COUNTIFS(Selections!$P$6:$P$27,"2026-W42",Selections!$K$6:$K$27,"WON")/(COUNTIFS(Selections!$P$6:$P$27,"2026-W42",Selections!$K$6:$K$27,"WON")+COUNTIFS(Selections!$P$6:$P$27,"2026-W42",Selections!$K$6:$K$27,"LOST")))</f>
        <v>0.8571428571428571</v>
      </c>
      <c r="I25" s="22">
        <f>SUMIFS(Selections!$M$6:$M$27,Selections!$P$6:$P$27,"2026-W42")</f>
        <v>7</v>
      </c>
      <c r="J25" s="22">
        <f>SUMIFS(Selections!$N$6:$N$27,Selections!$P$6:$P$27,"2026-W42")</f>
        <v>1.5899999999999999</v>
      </c>
      <c r="K25" s="20">
        <f>IF(SUMIFS(Selections!$M$6:$M$27,Selections!$P$6:$P$27,"2026-W42")=0,"n.a.",SUMIFS(Selections!$N$6:$N$27,Selections!$P$6:$P$27,"2026-W42")/SUMIFS(Selections!$M$6:$M$27,Selections!$P$6:$P$27,"2026-W42"))</f>
        <v>0.22714285714285712</v>
      </c>
      <c r="L25" s="21">
        <f>IF(SUMIFS(Selections!$T$6:$T$27,Selections!$P$6:$P$27,"2026-W42")=0,"n.a.",SUMIFS(Selections!$O$6:$O$27,Selections!$P$6:$P$27,"2026-W42")/SUMIFS(Selections!$T$6:$T$27,Selections!$P$6:$P$27,"2026-W42"))</f>
        <v>0.15125537835041344</v>
      </c>
      <c r="M25" s="20">
        <f>IF(SUMIFS(Selections!$T$6:$T$27,Selections!$P$6:$P$27,"2026-W42")=0,"n.a.",SUMIFS(Selections!$S$6:$S$27,Selections!$P$6:$P$27,"2026-W42")/SUMIFS(Selections!$T$6:$T$27,Selections!$P$6:$P$27,"2026-W42"))</f>
        <v>0.7899552115061251</v>
      </c>
      <c r="N25" s="20">
        <f>IF(SUMIFS(Selections!$T$6:$T$27,Selections!$P$6:$P$27,"2026-W42")=0,"n.a.",(SUMIFS(Selections!$L$6:$L$27,Selections!$P$6:$P$27,"2026-W42",Selections!$T$6:$T$27,1))/SUMIFS(Selections!$T$6:$T$27,Selections!$P$6:$P$27,"2026-W42"))</f>
        <v>0.8571428571428571</v>
      </c>
      <c r="O25" s="20">
        <f>IF(SUMIFS(Selections!$T$6:$T$27,Selections!$P$6:$P$27,"2026-W42")=0,"n.a.",(SUMIFS(Selections!$S$6:$S$27,Selections!$P$6:$P$27,"2026-W42")-(SUMIFS(Selections!$L$6:$L$27,Selections!$P$6:$P$27,"2026-W42",Selections!$T$6:$T$27,1)))/SUMIFS(Selections!$T$6:$T$27,Selections!$P$6:$P$27,"2026-W42"))</f>
        <v>-0.06718764563673196</v>
      </c>
      <c r="P25" s="19">
        <f>SUMIFS(Selections!$T$6:$T$27,Selections!$P$6:$P$27,"2026-W42")</f>
        <v>7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(n=7).</v>
      </c>
      <c r="R25" s="18"/>
    </row>
    <row r="26" ht="36" customHeight="1">
      <c r="A26" s="18" t="inlineStr">
        <is>
          <t>Week</t>
        </is>
      </c>
      <c r="B26" s="18" t="inlineStr">
        <is>
          <t>2026-W43</t>
        </is>
      </c>
      <c r="C26" s="19">
        <f>COUNTIFS(Selections!$P$6:$P$27,"2026-W43")</f>
        <v>1</v>
      </c>
      <c r="D26" s="19">
        <f>(COUNTIFS(Selections!$P$6:$P$27,"2026-W43",Selections!$K$6:$K$27,"WON")+COUNTIFS(Selections!$P$6:$P$27,"2026-W43",Selections!$K$6:$K$27,"LOST"))</f>
        <v>0</v>
      </c>
      <c r="E26" s="19">
        <f>COUNTIFS(Selections!$P$6:$P$27,"2026-W43",Selections!$K$6:$K$27,"WON")</f>
        <v>0</v>
      </c>
      <c r="F26" s="19">
        <f>COUNTIFS(Selections!$P$6:$P$27,"2026-W43",Selections!$K$6:$K$27,"LOST")</f>
        <v>0</v>
      </c>
      <c r="G26" s="19">
        <f>COUNTIFS(Selections!$P$6:$P$27,"2026-W43")-(COUNTIFS(Selections!$P$6:$P$27,"2026-W43",Selections!$K$6:$K$27,"WON")+COUNTIFS(Selections!$P$6:$P$27,"2026-W43",Selections!$K$6:$K$27,"LOST"))</f>
        <v>1</v>
      </c>
      <c r="H26" s="20" t="str">
        <f>IF((COUNTIFS(Selections!$P$6:$P$27,"2026-W43",Selections!$K$6:$K$27,"WON")+COUNTIFS(Selections!$P$6:$P$27,"2026-W43",Selections!$K$6:$K$27,"LOST"))=0,"n.a.",COUNTIFS(Selections!$P$6:$P$27,"2026-W43",Selections!$K$6:$K$27,"WON")/(COUNTIFS(Selections!$P$6:$P$27,"2026-W43",Selections!$K$6:$K$27,"WON")+COUNTIFS(Selections!$P$6:$P$27,"2026-W43",Selections!$K$6:$K$27,"LOST")))</f>
        <v>n.a.</v>
      </c>
      <c r="I26" s="22">
        <f>SUMIFS(Selections!$M$6:$M$27,Selections!$P$6:$P$27,"2026-W43")</f>
        <v>0</v>
      </c>
      <c r="J26" s="22">
        <f>SUMIFS(Selections!$N$6:$N$27,Selections!$P$6:$P$27,"2026-W43")</f>
        <v>0</v>
      </c>
      <c r="K26" s="20" t="str">
        <f>IF(SUMIFS(Selections!$M$6:$M$27,Selections!$P$6:$P$27,"2026-W43")=0,"n.a.",SUMIFS(Selections!$N$6:$N$27,Selections!$P$6:$P$27,"2026-W43")/SUMIFS(Selections!$M$6:$M$27,Selections!$P$6:$P$27,"2026-W43"))</f>
        <v>n.a.</v>
      </c>
      <c r="L26" s="21" t="str">
        <f>IF(SUMIFS(Selections!$T$6:$T$27,Selections!$P$6:$P$27,"2026-W43")=0,"n.a.",SUMIFS(Selections!$O$6:$O$27,Selections!$P$6:$P$27,"2026-W43")/SUMIFS(Selections!$T$6:$T$27,Selections!$P$6:$P$27,"2026-W43"))</f>
        <v>n.a.</v>
      </c>
      <c r="M26" s="20" t="str">
        <f>IF(SUMIFS(Selections!$T$6:$T$27,Selections!$P$6:$P$27,"2026-W43")=0,"n.a.",SUMIFS(Selections!$S$6:$S$27,Selections!$P$6:$P$27,"2026-W43")/SUMIFS(Selections!$T$6:$T$27,Selections!$P$6:$P$27,"2026-W43"))</f>
        <v>n.a.</v>
      </c>
      <c r="N26" s="20" t="str">
        <f>IF(SUMIFS(Selections!$T$6:$T$27,Selections!$P$6:$P$27,"2026-W43")=0,"n.a.",(SUMIFS(Selections!$L$6:$L$27,Selections!$P$6:$P$27,"2026-W43",Selections!$T$6:$T$27,1))/SUMIFS(Selections!$T$6:$T$27,Selections!$P$6:$P$27,"2026-W43"))</f>
        <v>n.a.</v>
      </c>
      <c r="O26" s="20" t="str">
        <f>IF(SUMIFS(Selections!$T$6:$T$27,Selections!$P$6:$P$27,"2026-W43")=0,"n.a.",(SUMIFS(Selections!$S$6:$S$27,Selections!$P$6:$P$27,"2026-W43")-(SUMIFS(Selections!$L$6:$L$27,Selections!$P$6:$P$27,"2026-W43",Selections!$T$6:$T$27,1)))/SUMIFS(Selections!$T$6:$T$27,Selections!$P$6:$P$27,"2026-W43"))</f>
        <v>n.a.</v>
      </c>
      <c r="P26" s="19">
        <f>SUMIFS(Selections!$T$6:$T$27,Selections!$P$6:$P$27,"2026-W43")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</sheetData>
  <mergeCells count="2">
    <mergeCell ref="A2:Q2"/>
    <mergeCell ref="A4:Q4"/>
  </mergeCells>
  <conditionalFormatting sqref="K6:K26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COUNTIFS(Selections!$S$6:$S$27,"&gt;="&amp;B6,Selections!$S$6:$S$27,"&lt;"&amp;C6,Selections!$T$6:$T$27,1)</f>
        <v>0</v>
      </c>
      <c r="E6" s="20" t="str">
        <f>IF(D6=0,"n.a.",SUMIFS(Selections!$S$6:$S$27,Selections!$S$6:$S$27,"&gt;="&amp;B6,Selections!$S$6:$S$27,"&lt;"&amp;C6,Selections!$T$6:$T$27,1)/D6)</f>
        <v>n.a.</v>
      </c>
      <c r="F6" s="20" t="str">
        <f>IF(D6=0,"n.a.",SUMIFS(Selections!$L$6:$L$27,Selections!$S$6:$S$27,"&gt;="&amp;B6,Selections!$S$6:$S$27,"&lt;"&amp;C6,Selections!$T$6:$T$27,1)/D6)</f>
        <v>n.a.</v>
      </c>
      <c r="G6" s="20" t="str">
        <f>IF(D6=0,"n.a.",E6-F6)</f>
        <v>n.a.</v>
      </c>
      <c r="H6" s="21" t="str">
        <f>IF(D6=0,"n.a.",SUMIFS(Selections!$O$6:$O$27,Selections!$S$6:$S$27,"&gt;="&amp;B6,Selections!$S$6:$S$27,"&lt;"&amp;C6,Selections!$T$6:$T$27,1)/D6)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COUNTIFS(Selections!$S$6:$S$27,"&gt;="&amp;B7,Selections!$S$6:$S$27,"&lt;"&amp;C7,Selections!$T$6:$T$27,1)</f>
        <v>0</v>
      </c>
      <c r="E7" s="20" t="str">
        <f>IF(D7=0,"n.a.",SUMIFS(Selections!$S$6:$S$27,Selections!$S$6:$S$27,"&gt;="&amp;B7,Selections!$S$6:$S$27,"&lt;"&amp;C7,Selections!$T$6:$T$27,1)/D7)</f>
        <v>n.a.</v>
      </c>
      <c r="F7" s="20" t="str">
        <f>IF(D7=0,"n.a.",SUMIFS(Selections!$L$6:$L$27,Selections!$S$6:$S$27,"&gt;="&amp;B7,Selections!$S$6:$S$27,"&lt;"&amp;C7,Selections!$T$6:$T$27,1)/D7)</f>
        <v>n.a.</v>
      </c>
      <c r="G7" s="20" t="str">
        <f>IF(D7=0,"n.a.",E7-F7)</f>
        <v>n.a.</v>
      </c>
      <c r="H7" s="21" t="str">
        <f>IF(D7=0,"n.a.",SUMIFS(Selections!$O$6:$O$27,Selections!$S$6:$S$27,"&gt;="&amp;B7,Selections!$S$6:$S$27,"&lt;"&amp;C7,Selections!$T$6:$T$27,1)/D7)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COUNTIFS(Selections!$S$6:$S$27,"&gt;="&amp;B8,Selections!$S$6:$S$27,"&lt;"&amp;C8,Selections!$T$6:$T$27,1)</f>
        <v>2</v>
      </c>
      <c r="E8" s="20">
        <f>IF(D8=0,"n.a.",SUMIFS(Selections!$S$6:$S$27,Selections!$S$6:$S$27,"&gt;="&amp;B8,Selections!$S$6:$S$27,"&lt;"&amp;C8,Selections!$T$6:$T$27,1)/D8)</f>
        <v>0.672911773109177</v>
      </c>
      <c r="F8" s="20">
        <f>IF(D8=0,"n.a.",SUMIFS(Selections!$L$6:$L$27,Selections!$S$6:$S$27,"&gt;="&amp;B8,Selections!$S$6:$S$27,"&lt;"&amp;C8,Selections!$T$6:$T$27,1)/D8)</f>
        <v>1.0</v>
      </c>
      <c r="G8" s="20">
        <f>IF(D8=0,"n.a.",E8-F8)</f>
        <v>-0.32708822689082295</v>
      </c>
      <c r="H8" s="21">
        <f>IF(D8=0,"n.a.",SUMIFS(Selections!$O$6:$O$27,Selections!$S$6:$S$27,"&gt;="&amp;B8,Selections!$S$6:$S$27,"&lt;"&amp;C8,Selections!$T$6:$T$27,1)/D8)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COUNTIFS(Selections!$S$6:$S$27,"&gt;="&amp;B9,Selections!$S$6:$S$27,"&lt;"&amp;C9,Selections!$T$6:$T$27,1)</f>
        <v>4</v>
      </c>
      <c r="E9" s="20">
        <f>IF(D9=0,"n.a.",SUMIFS(Selections!$S$6:$S$27,Selections!$S$6:$S$27,"&gt;="&amp;B9,Selections!$S$6:$S$27,"&lt;"&amp;C9,Selections!$T$6:$T$27,1)/D9)</f>
        <v>0.7598033602744063</v>
      </c>
      <c r="F9" s="20">
        <f>IF(D9=0,"n.a.",SUMIFS(Selections!$L$6:$L$27,Selections!$S$6:$S$27,"&gt;="&amp;B9,Selections!$S$6:$S$27,"&lt;"&amp;C9,Selections!$T$6:$T$27,1)/D9)</f>
        <v>0.75</v>
      </c>
      <c r="G9" s="20">
        <f>IF(D9=0,"n.a.",E9-F9)</f>
        <v>0.009803360274406314</v>
      </c>
      <c r="H9" s="21">
        <f>IF(D9=0,"n.a.",SUMIFS(Selections!$O$6:$O$27,Selections!$S$6:$S$27,"&gt;="&amp;B9,Selections!$S$6:$S$27,"&lt;"&amp;C9,Selections!$T$6:$T$27,1)/D9)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COUNTIFS(Selections!$S$6:$S$27,"&gt;="&amp;B10,Selections!$S$6:$S$27,"&lt;"&amp;C10,Selections!$T$6:$T$27,1)</f>
        <v>3</v>
      </c>
      <c r="E10" s="20">
        <f>IF(D10=0,"n.a.",SUMIFS(Selections!$S$6:$S$27,Selections!$S$6:$S$27,"&gt;="&amp;B10,Selections!$S$6:$S$27,"&lt;"&amp;C10,Selections!$T$6:$T$27,1)/D10)</f>
        <v>0.8566010078816761</v>
      </c>
      <c r="F10" s="20">
        <f>IF(D10=0,"n.a.",SUMIFS(Selections!$L$6:$L$27,Selections!$S$6:$S$27,"&gt;="&amp;B10,Selections!$S$6:$S$27,"&lt;"&amp;C10,Selections!$T$6:$T$27,1)/D10)</f>
        <v>0.3333333333333333</v>
      </c>
      <c r="G10" s="20">
        <f>IF(D10=0,"n.a.",E10-F10)</f>
        <v>0.5232676745483429</v>
      </c>
      <c r="H10" s="21">
        <f>IF(D10=0,"n.a.",SUMIFS(Selections!$O$6:$O$27,Selections!$S$6:$S$27,"&gt;="&amp;B10,Selections!$S$6:$S$27,"&lt;"&amp;C10,Selections!$T$6:$T$27,1)/D10)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COUNTIFS(Selections!$S$6:$S$27,"&gt;="&amp;B11,Selections!$S$6:$S$27,"&lt;"&amp;C11,Selections!$T$6:$T$27,1)</f>
        <v>2</v>
      </c>
      <c r="E11" s="20">
        <f>IF(D11=0,"n.a.",SUMIFS(Selections!$S$6:$S$27,Selections!$S$6:$S$27,"&gt;="&amp;B11,Selections!$S$6:$S$27,"&lt;"&amp;C11,Selections!$T$6:$T$27,1)/D11)</f>
        <v>0.9297203731151685</v>
      </c>
      <c r="F11" s="20">
        <f>IF(D11=0,"n.a.",SUMIFS(Selections!$L$6:$L$27,Selections!$S$6:$S$27,"&gt;="&amp;B11,Selections!$S$6:$S$27,"&lt;"&amp;C11,Selections!$T$6:$T$27,1)/D11)</f>
        <v>1.0</v>
      </c>
      <c r="G11" s="20">
        <f>IF(D11=0,"n.a.",E11-F11)</f>
        <v>-0.07027962688483147</v>
      </c>
      <c r="H11" s="21">
        <f>IF(D11=0,"n.a.",SUMIFS(Selections!$O$6:$O$27,Selections!$S$6:$S$27,"&gt;="&amp;B11,Selections!$S$6:$S$27,"&lt;"&amp;C11,Selections!$T$6:$T$27,1)/D11)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Liga|malaga|real sociedad|2026-10-18</t>
        </is>
      </c>
      <c r="B25" s="23">
        <v>46313.6875</v>
      </c>
      <c r="C25" s="18" t="inlineStr">
        <is>
          <t>La Liga</t>
        </is>
      </c>
      <c r="D25" s="18" t="inlineStr">
        <is>
          <t>Málaga vs Real Sociedad</t>
        </is>
      </c>
      <c r="E25" s="18" t="inlineStr">
        <is>
          <t>Under 3.5</t>
        </is>
      </c>
      <c r="F25" s="18" t="inlineStr">
        <is>
          <t>STRICT</t>
        </is>
      </c>
      <c r="G25" s="18" t="inlineStr">
        <is>
          <t>legacy/unspecified</t>
        </is>
      </c>
      <c r="H25" s="20">
        <v>0.8261247842244344</v>
      </c>
      <c r="I25" s="22">
        <v>1.41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Liga|real madrid|sevilla|2026-10-18</t>
        </is>
      </c>
      <c r="B26" s="23">
        <v>46313.791666666664</v>
      </c>
      <c r="C26" s="18" t="inlineStr">
        <is>
          <t>La Liga</t>
        </is>
      </c>
      <c r="D26" s="18" t="inlineStr">
        <is>
          <t>Real Madrid vs Sevilla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0.78842217536022</v>
      </c>
      <c r="I26" s="22">
        <v>1.3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Premier League|tottenham|coventry city|2026-10-19</t>
        </is>
      </c>
      <c r="B27" s="23">
        <v>46314.791666666664</v>
      </c>
      <c r="C27" s="18" t="inlineStr">
        <is>
          <t>Premier League</t>
        </is>
      </c>
      <c r="D27" s="18" t="inlineStr">
        <is>
          <t>Tottenham Hotspur vs Coventry City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0.6624411929150106</v>
      </c>
      <c r="I27" s="22">
        <v>1.54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2026-W43</t>
        </is>
      </c>
      <c r="Q27" s="18" t="inlineStr">
        <is>
          <t>b9c15c09504aaf57de5ad0957adb91c0e9b37243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</sheetData>
  <mergeCells count="2">
    <mergeCell ref="B2:U2"/>
    <mergeCell ref="B4:U4"/>
  </mergeCells>
  <conditionalFormatting sqref="K6:K2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0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0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0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0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0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0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0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0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0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0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0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0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0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0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0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0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0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0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0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0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0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0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0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0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0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Breakdowns!B24</f>
        <v>2026-W41</v>
      </c>
      <c r="B6" s="19">
        <f>Breakdowns!D24</f>
        <v>4.0</v>
      </c>
      <c r="C6" s="19">
        <f>COUNTIFS(Selections!$P$6:$P$27,A6,Selections!$M$6:$M$27,"&gt;0")</f>
        <v>4.0</v>
      </c>
      <c r="D6" s="22">
        <f>IF(C6=0,"n.a.",Breakdowns!J24)</f>
        <v>-1.48</v>
      </c>
      <c r="E6" s="22">
        <f>IF(SUM($C$6:C6)=0,"n.a.",SUM($D$6:D6))</f>
        <v>-1.48</v>
      </c>
      <c r="F6" s="20">
        <f>Breakdowns!H24</f>
        <v>0.5</v>
      </c>
    </row>
    <row r="7" ht="26" customHeight="1">
      <c r="A7" s="18" t="str">
        <f>Breakdowns!B25</f>
        <v>2026-W42</v>
      </c>
      <c r="B7" s="19">
        <f>Breakdowns!D25</f>
        <v>7.0</v>
      </c>
      <c r="C7" s="19">
        <f>COUNTIFS(Selections!$P$6:$P$27,A7,Selections!$M$6:$M$27,"&gt;0")</f>
        <v>7.0</v>
      </c>
      <c r="D7" s="22">
        <f>IF(C7=0,"n.a.",Breakdowns!J25)</f>
        <v>1.5899999999999999</v>
      </c>
      <c r="E7" s="22">
        <f>IF(SUM($C$6:C7)=0,"n.a.",SUM($D$6:D7))</f>
        <v>0.10999999999999988</v>
      </c>
      <c r="F7" s="20">
        <f>Breakdowns!H25</f>
        <v>0.8571428571428571</v>
      </c>
    </row>
    <row r="8" ht="26" customHeight="1">
      <c r="A8" s="18" t="str">
        <f>Breakdowns!B26</f>
        <v>2026-W43</v>
      </c>
      <c r="B8" s="19">
        <f>Breakdowns!D26</f>
        <v>0.0</v>
      </c>
      <c r="C8" s="19">
        <f>COUNTIFS(Selections!$P$6:$P$27,A8,Selections!$M$6:$M$27,"&gt;0")</f>
        <v>0</v>
      </c>
      <c r="D8" s="22" t="str">
        <f>IF(C8=0,"n.a.",Breakdowns!J26)</f>
        <v>n.a.</v>
      </c>
      <c r="E8" s="22">
        <f>IF(SUM($C$6:C8)=0,"n.a.",SUM($D$6:D8))</f>
        <v>0.10999999999999988</v>
      </c>
      <c r="F8" s="20" t="str">
        <f>Breakdowns!H26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2026-10-15T12:36:38.449029+00:00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9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9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3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3</v>
      </c>
    </row>
    <row r="32" ht="44" customHeight="1">
      <c r="A32" s="18" t="inlineStr">
        <is>
          <t>Bookmakers: 1xBet</t>
        </is>
      </c>
      <c r="B32" s="19">
        <v>3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13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13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9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8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6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6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27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27</v>
      </c>
    </row>
    <row r="53" ht="44" customHeight="1">
      <c r="A53" s="18" t="inlineStr">
        <is>
          <t>Probability / calibration policy</t>
        </is>
      </c>
      <c r="B53" s="18" t="inlineStr">
        <is>
          <t>Legacy not recorded</t>
        </is>
      </c>
      <c r="C53" s="19">
        <v>26</v>
      </c>
    </row>
    <row r="54" ht="44" customHeight="1">
      <c r="A54" s="18" t="inlineStr">
        <is>
          <t>Probability / calibration policy</t>
        </is>
      </c>
      <c r="B54" s="18" t="inlineStr">
        <is>
          <t>Present but rejected</t>
        </is>
      </c>
      <c r="C54" s="19">
        <v>1</v>
      </c>
    </row>
    <row r="57">
      <c r="A57" s="26" t="inlineStr">
        <is>
          <t>EV sensitivity results</t>
        </is>
      </c>
    </row>
    <row r="58" ht="34" customHeight="1">
      <c r="A58" s="24" t="inlineStr">
        <is>
          <t>EV floor</t>
        </is>
      </c>
      <c r="B58" s="24" t="inlineStr">
        <is>
          <t>Tier</t>
        </is>
      </c>
      <c r="C58" s="24" t="inlineStr">
        <is>
          <t>Selected</t>
        </is>
      </c>
      <c r="D58" s="24" t="inlineStr">
        <is>
          <t>Settled</t>
        </is>
      </c>
      <c r="E58" s="24" t="inlineStr">
        <is>
          <t>Simulated ROI</t>
        </is>
      </c>
      <c r="F58" s="24" t="inlineStr">
        <is>
          <t>Drawdown (units)</t>
        </is>
      </c>
    </row>
    <row r="59" ht="44" customHeight="1">
      <c r="A59" s="20">
        <v>0.015</v>
      </c>
      <c r="B59" s="18" t="inlineStr">
        <is>
          <t>ALL</t>
        </is>
      </c>
      <c r="C59" s="19">
        <v>7</v>
      </c>
      <c r="D59" s="19">
        <v>3</v>
      </c>
      <c r="E59" s="20">
        <v>0.35999999999999993</v>
      </c>
      <c r="F59" s="22">
        <v>0.0</v>
      </c>
    </row>
    <row r="60" ht="44" customHeight="1">
      <c r="A60" s="20">
        <v>0.015</v>
      </c>
      <c r="B60" s="18" t="inlineStr">
        <is>
          <t>STRICT</t>
        </is>
      </c>
      <c r="C60" s="19">
        <v>6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PROVISIONAL</t>
        </is>
      </c>
      <c r="C61" s="19">
        <v>1</v>
      </c>
      <c r="D61" s="19">
        <v>0</v>
      </c>
      <c r="E61" s="20"/>
      <c r="F61" s="22"/>
    </row>
    <row r="62" ht="44" customHeight="1">
      <c r="A62" s="20">
        <v>0.03</v>
      </c>
      <c r="B62" s="18" t="inlineStr">
        <is>
          <t>ALL</t>
        </is>
      </c>
      <c r="C62" s="19">
        <v>7</v>
      </c>
      <c r="D62" s="19">
        <v>3</v>
      </c>
      <c r="E62" s="20">
        <v>0.35999999999999993</v>
      </c>
      <c r="F62" s="22">
        <v>0.0</v>
      </c>
    </row>
    <row r="63" ht="44" customHeight="1">
      <c r="A63" s="20">
        <v>0.03</v>
      </c>
      <c r="B63" s="18" t="inlineStr">
        <is>
          <t>STRICT</t>
        </is>
      </c>
      <c r="C63" s="19">
        <v>6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PROVISIONAL</t>
        </is>
      </c>
      <c r="C64" s="19">
        <v>1</v>
      </c>
      <c r="D64" s="19">
        <v>0</v>
      </c>
      <c r="E64" s="20"/>
      <c r="F64" s="22"/>
    </row>
    <row r="65" ht="44" customHeight="1">
      <c r="A65" s="20">
        <v>0.05</v>
      </c>
      <c r="B65" s="18" t="inlineStr">
        <is>
          <t>ALL</t>
        </is>
      </c>
      <c r="C65" s="19">
        <v>6</v>
      </c>
      <c r="D65" s="19">
        <v>3</v>
      </c>
      <c r="E65" s="20">
        <v>0.35999999999999993</v>
      </c>
      <c r="F65" s="22">
        <v>0.0</v>
      </c>
    </row>
    <row r="66" ht="44" customHeight="1">
      <c r="A66" s="20">
        <v>0.05</v>
      </c>
      <c r="B66" s="18" t="inlineStr">
        <is>
          <t>STRICT</t>
        </is>
      </c>
      <c r="C66" s="19">
        <v>5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PROVISIONAL</t>
        </is>
      </c>
      <c r="C67" s="19">
        <v>1</v>
      </c>
      <c r="D67" s="19">
        <v>0</v>
      </c>
      <c r="E67" s="20"/>
      <c r="F67" s="22"/>
    </row>
    <row r="70">
      <c r="A70" s="26" t="inlineStr">
        <is>
          <t>Daily review observations</t>
        </is>
      </c>
    </row>
    <row r="71" ht="34" customHeight="1">
      <c r="A71" s="24" t="inlineStr">
        <is>
          <t>Review date</t>
        </is>
      </c>
      <c r="B71" s="24" t="inlineStr">
        <is>
          <t>Graded</t>
        </is>
      </c>
      <c r="C71" s="24" t="inlineStr">
        <is>
          <t>Win rate</t>
        </is>
      </c>
      <c r="D71" s="24" t="inlineStr">
        <is>
          <t>Simulated ROI</t>
        </is>
      </c>
      <c r="E71" s="24" t="inlineStr">
        <is>
          <t>Brier</t>
        </is>
      </c>
    </row>
    <row r="72" ht="44" customHeight="1">
      <c r="A72" s="18" t="inlineStr">
        <is>
          <t>2026-10-13</t>
        </is>
      </c>
      <c r="B72" s="19">
        <v>9</v>
      </c>
      <c r="C72" s="20">
        <v>0.666667</v>
      </c>
      <c r="D72" s="20">
        <v>-0.096667</v>
      </c>
      <c r="E72" s="21">
        <v>0.250532</v>
      </c>
    </row>
    <row r="73" ht="44" customHeight="1">
      <c r="A73" s="18" t="inlineStr">
        <is>
          <t>2026-10-14</t>
        </is>
      </c>
      <c r="B73" s="19">
        <v>11</v>
      </c>
      <c r="C73" s="20">
        <v>0.727273</v>
      </c>
      <c r="D73" s="20">
        <v>0.01</v>
      </c>
      <c r="E73" s="21">
        <v>0.215932</v>
      </c>
    </row>
    <row r="74" ht="44" customHeight="1">
      <c r="A74" s="18" t="inlineStr">
        <is>
          <t>2026-10-15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7">
      <c r="A77" s="26" t="inlineStr">
        <is>
          <t>Dependency versions</t>
        </is>
      </c>
    </row>
    <row r="78" ht="34" customHeight="1">
      <c r="A78" s="24" t="inlineStr">
        <is>
          <t>Dependency</t>
        </is>
      </c>
      <c r="B78" s="24" t="inlineStr">
        <is>
          <t>Version</t>
        </is>
      </c>
    </row>
    <row r="79" ht="44" customHeight="1">
      <c r="A79" s="18" t="inlineStr">
        <is>
          <t>python</t>
        </is>
      </c>
      <c r="B79" s="18" t="inlineStr">
        <is>
          <t>3.12.15</t>
        </is>
      </c>
    </row>
    <row r="80" ht="44" customHeight="1">
      <c r="A80" s="18" t="inlineStr">
        <is>
          <t>numpy</t>
        </is>
      </c>
      <c r="B80" s="18" t="inlineStr">
        <is>
          <t>2.5.4</t>
        </is>
      </c>
    </row>
    <row r="81" ht="44" customHeight="1">
      <c r="A81" s="18" t="inlineStr">
        <is>
          <t>pandas</t>
        </is>
      </c>
      <c r="B81" s="18" t="inlineStr">
        <is>
          <t>3.0.6</t>
        </is>
      </c>
    </row>
    <row r="82" ht="44" customHeight="1">
      <c r="A82" s="18" t="inlineStr">
        <is>
          <t>scipy</t>
        </is>
      </c>
      <c r="B82" s="18" t="inlineStr">
        <is>
          <t>1.18.1</t>
        </is>
      </c>
    </row>
    <row r="83" ht="44" customHeight="1">
      <c r="A83" s="18" t="inlineStr">
        <is>
          <t>requests</t>
        </is>
      </c>
      <c r="B83" s="18" t="inlineStr">
        <is>
          <t>2.34.2</t>
        </is>
      </c>
    </row>
    <row r="84" ht="44" customHeight="1">
      <c r="A84" s="18" t="inlineStr">
        <is>
          <t>python-dotenv</t>
        </is>
      </c>
      <c r="B84" s="18" t="inlineStr">
        <is>
          <t>1.2.4</t>
        </is>
      </c>
    </row>
    <row r="85" ht="44" customHeight="1">
      <c r="A85" s="18" t="inlineStr">
        <is>
          <t>coverage</t>
        </is>
      </c>
      <c r="B85" s="18" t="inlineStr">
        <is>
          <t>7.16.2</t>
        </is>
      </c>
    </row>
    <row r="86" ht="44" customHeight="1">
      <c r="A86" s="18" t="inlineStr">
        <is>
          <t>PyYAML</t>
        </is>
      </c>
      <c r="B86" s="18" t="inlineStr">
        <is>
          <t>6.0.3</t>
        </is>
      </c>
    </row>
    <row r="89">
      <c r="A89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7:F57"/>
    <mergeCell ref="A70:F70"/>
    <mergeCell ref="A77:F7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hyperlinks>
    <hyperlink ref="A8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</sheetData>
  <autoFilter ref="A5:H32"/>
  <mergeCells count="2">
    <mergeCell ref="A2:H2"/>
    <mergeCell ref="A4:H4"/>
  </mergeCells>
</worksheet>
</file>