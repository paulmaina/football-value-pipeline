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Plan'!$A$10:$A$50</c:f>
              <c:strCache>
                <c:ptCount val="4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2026-10-20T16:45:00+00:00</c:v>
                </c:pt>
                <c:pt idx="33">
                  <c:v>2026-10-20T16:45:00+00:00</c:v>
                </c:pt>
                <c:pt idx="34">
                  <c:v>2026-10-20T19:00:00+00:00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</c:strCache>
            </c:strRef>
          </c:cat>
          <c:val>
            <c:numRef>
              <c:f>'ROI Plan'!$F$10:$F$50</c:f>
              <c:numCache>
                <c:formatCode>General</c:formatCode>
                <c:ptCount val="4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  <c:pt idx="33">
                  <c:v>2.8099999999999996</c:v>
                </c:pt>
                <c:pt idx="34">
                  <c:v>2.8099999999999996</c:v>
                </c:pt>
                <c:pt idx="35">
                  <c:v>2.8099999999999996</c:v>
                </c:pt>
                <c:pt idx="36">
                  <c:v>2.8099999999999996</c:v>
                </c:pt>
                <c:pt idx="37">
                  <c:v>2.8099999999999996</c:v>
                </c:pt>
                <c:pt idx="38">
                  <c:v>2.8099999999999996</c:v>
                </c:pt>
                <c:pt idx="39">
                  <c:v>2.8099999999999996</c:v>
                </c:pt>
                <c:pt idx="40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41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0.5347836531944444</v>
      </c>
      <c r="C17" s="18"/>
      <c r="D17" s="18" t="inlineStr">
        <is>
          <t>Over 1.5</t>
        </is>
      </c>
      <c r="E17" s="18">
        <f>COUNT(Predictions!J6:J176)</f>
        <v>72</v>
      </c>
      <c r="F17" s="20">
        <f>IF(E17=0,"n.a.",AVERAGE(Predictions!J6:J176))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COUNT(Predictions!K6:K176)</f>
        <v>72</v>
      </c>
      <c r="F18" s="20">
        <f>IF(E18=0,"n.a.",AVERAGE(Predictions!K6:K176))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COUNT(Predictions!L6:L176)</f>
        <v>72</v>
      </c>
      <c r="F19" s="20">
        <f>IF(E19=0,"n.a.",AVERAGE(Predictions!L6:L176))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72</v>
      </c>
      <c r="F20" s="20">
        <f>IF(E20=0,"n.a.",AVERAGE(Predictions!M6:M176))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2026-10-19T15:46:16.388566+00:00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13:00:42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2026-10-20T16:45:00+00:00</t>
        </is>
      </c>
      <c r="B42" s="18" t="inlineStr">
        <is>
          <t>Fenerbahce vs Slavia Praha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Sabah FK vs Borussia Dortmund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2.8099999999999996</v>
      </c>
      <c r="G43" s="22">
        <f>$B$4+F43</f>
        <v>102.81</v>
      </c>
      <c r="H43" s="22">
        <f>MAX($B$4,$G$10:G43)</f>
        <v>102.81</v>
      </c>
      <c r="I43" s="22">
        <f>H43-G43</f>
        <v>0.0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2026-10-20T19:00:00+00:00</t>
        </is>
      </c>
      <c r="B44" s="18" t="inlineStr">
        <is>
          <t>AS Roma vs ŠK Slovan Bratislava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2.8099999999999996</v>
      </c>
      <c r="G44" s="22">
        <f>$B$4+F44</f>
        <v>102.81</v>
      </c>
      <c r="H44" s="22">
        <f>MAX($B$4,$G$10:G44)</f>
        <v>102.81</v>
      </c>
      <c r="I44" s="22">
        <f>H44-G44</f>
        <v>0.0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Liverpool vs Villarreal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2.8099999999999996</v>
      </c>
      <c r="G45" s="22">
        <f>$B$4+F45</f>
        <v>102.81</v>
      </c>
      <c r="H45" s="22">
        <f>MAX($B$4,$G$10:G45)</f>
        <v>102.81</v>
      </c>
      <c r="I45" s="22">
        <f>H45-G45</f>
        <v>0.0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Manchester City vs AEK Athens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2.8099999999999996</v>
      </c>
      <c r="G46" s="22">
        <f>$B$4+F46</f>
        <v>102.81</v>
      </c>
      <c r="H46" s="22">
        <f>MAX($B$4,$G$10:G46)</f>
        <v>102.81</v>
      </c>
      <c r="I46" s="22">
        <f>H46-G46</f>
        <v>0.0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Napoli vs Bodø/Glimt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2.8099999999999996</v>
      </c>
      <c r="G47" s="22">
        <f>$B$4+F47</f>
        <v>102.81</v>
      </c>
      <c r="H47" s="22">
        <f>MAX($B$4,$G$10:G47)</f>
        <v>102.81</v>
      </c>
      <c r="I47" s="22">
        <f>H47-G47</f>
        <v>0.0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Paris Saint Germain vs Barcelona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2.8099999999999996</v>
      </c>
      <c r="G48" s="22">
        <f>$B$4+F48</f>
        <v>102.81</v>
      </c>
      <c r="H48" s="22">
        <f>MAX($B$4,$G$10:G48)</f>
        <v>102.81</v>
      </c>
      <c r="I48" s="22">
        <f>H48-G48</f>
        <v>0.0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Porto vs PSV Eindhoven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2.8099999999999996</v>
      </c>
      <c r="G49" s="22">
        <f>$B$4+F49</f>
        <v>102.81</v>
      </c>
      <c r="H49" s="22">
        <f>MAX($B$4,$G$10:G49)</f>
        <v>102.81</v>
      </c>
      <c r="I49" s="22">
        <f>H49-G49</f>
        <v>0.0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VfB Stuttgart vs Atlético Madrid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2.8099999999999996</v>
      </c>
      <c r="G50" s="22">
        <f>$B$4+F50</f>
        <v>102.81</v>
      </c>
      <c r="H50" s="22">
        <f>MAX($B$4,$G$10:G50)</f>
        <v>102.81</v>
      </c>
      <c r="I50" s="22">
        <f>H50-G50</f>
        <v>0.0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</sheetData>
  <mergeCells count="1">
    <mergeCell ref="A2:J2"/>
  </mergeCells>
  <conditionalFormatting sqref="E10:E5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COUNTA(Selections!$A$6:$A$46)</f>
        <v>41</v>
      </c>
      <c r="D6" s="19">
        <f>(COUNTIFS(Selections!$K$6:$K$46,"WON")+COUNTIFS(Selections!$K$6:$K$46,"LOST"))</f>
        <v>26</v>
      </c>
      <c r="E6" s="19">
        <f>COUNTIFS(Selections!$K$6:$K$46,"WON")</f>
        <v>21</v>
      </c>
      <c r="F6" s="19">
        <f>COUNTIFS(Selections!$K$6:$K$46,"LOST")</f>
        <v>5</v>
      </c>
      <c r="G6" s="19">
        <f>COUNTA(Selections!$A$6:$A$46)-(COUNTIFS(Selections!$K$6:$K$46,"WON")+COUNTIFS(Selections!$K$6:$K$46,"LOST"))</f>
        <v>15</v>
      </c>
      <c r="H6" s="20">
        <f>IF((COUNTIFS(Selections!$K$6:$K$46,"WON")+COUNTIFS(Selections!$K$6:$K$46,"LOST"))=0,"n.a.",COUNTIFS(Selections!$K$6:$K$46,"WON")/(COUNTIFS(Selections!$K$6:$K$46,"WON")+COUNTIFS(Selections!$K$6:$K$46,"LOST")))</f>
        <v>0.8076923076923077</v>
      </c>
      <c r="I6" s="22">
        <f>SUM(Selections!$M$6:$M$46)</f>
        <v>26</v>
      </c>
      <c r="J6" s="22">
        <f>SUM(Selections!$N$6:$N$46)</f>
        <v>2.8099999999999996</v>
      </c>
      <c r="K6" s="20">
        <f>IF(SUM(Selections!$M$6:$M$46)=0,"n.a.",SUM(Selections!$N$6:$N$46)/SUM(Selections!$M$6:$M$46))</f>
        <v>0.10807692307692306</v>
      </c>
      <c r="L6" s="21">
        <f>IF(SUM(Selections!$T$6:$T$46)=0,"n.a.",SUM(Selections!$O$6:$O$46)/SUM(Selections!$T$6:$T$46))</f>
        <v>0.16100322598566943</v>
      </c>
      <c r="M6" s="20">
        <f>IF(SUM(Selections!$T$6:$T$46)=0,"n.a.",SUM(Selections!$S$6:$S$46)/SUM(Selections!$T$6:$T$46))</f>
        <v>0.7772039532532659</v>
      </c>
      <c r="N6" s="20">
        <f>IF(SUM(Selections!$T$6:$T$46)=0,"n.a.",(SUMIFS(Selections!$L$6:$L$46,Selections!$T$6:$T$46,1))/SUM(Selections!$T$6:$T$46))</f>
        <v>0.8076923076923077</v>
      </c>
      <c r="O6" s="20">
        <f>IF(SUM(Selections!$T$6:$T$46)=0,"n.a.",(SUM(Selections!$S$6:$S$46)-(SUMIFS(Selections!$L$6:$L$46,Selections!$T$6:$T$46,1)))/SUM(Selections!$T$6:$T$46))</f>
        <v>-0.030488354439041854</v>
      </c>
      <c r="P6" s="19">
        <f>SUM(Selections!$T$6:$T$46)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COUNTIFS(Selections!$F$6:$F$46,"STRICT")</f>
        <v>13</v>
      </c>
      <c r="D7" s="19">
        <f>(COUNTIFS(Selections!$F$6:$F$46,"STRICT",Selections!$K$6:$K$46,"WON")+COUNTIFS(Selections!$F$6:$F$46,"STRICT",Selections!$K$6:$K$46,"LOST"))</f>
        <v>11</v>
      </c>
      <c r="E7" s="19">
        <f>COUNTIFS(Selections!$F$6:$F$46,"STRICT",Selections!$K$6:$K$46,"WON")</f>
        <v>10</v>
      </c>
      <c r="F7" s="19">
        <f>COUNTIFS(Selections!$F$6:$F$46,"STRICT",Selections!$K$6:$K$46,"LOST")</f>
        <v>1</v>
      </c>
      <c r="G7" s="19">
        <f>COUNTIFS(Selections!$F$6:$F$46,"STRICT")-(COUNTIFS(Selections!$F$6:$F$46,"STRICT",Selections!$K$6:$K$46,"WON")+COUNTIFS(Selections!$F$6:$F$46,"STRICT",Selections!$K$6:$K$46,"LOST"))</f>
        <v>2</v>
      </c>
      <c r="H7" s="20">
        <f>IF((COUNTIFS(Selections!$F$6:$F$46,"STRICT",Selections!$K$6:$K$46,"WON")+COUNTIFS(Selections!$F$6:$F$46,"STRICT",Selections!$K$6:$K$46,"LOST"))=0,"n.a.",COUNTIFS(Selections!$F$6:$F$46,"STRICT",Selections!$K$6:$K$46,"WON")/(COUNTIFS(Selections!$F$6:$F$46,"STRICT",Selections!$K$6:$K$46,"WON")+COUNTIFS(Selections!$F$6:$F$46,"STRICT",Selections!$K$6:$K$46,"LOST")))</f>
        <v>0.9090909090909091</v>
      </c>
      <c r="I7" s="22">
        <f>SUMIFS(Selections!$M$6:$M$46,Selections!$F$6:$F$46,"STRICT")</f>
        <v>11</v>
      </c>
      <c r="J7" s="22">
        <f>SUMIFS(Selections!$N$6:$N$46,Selections!$F$6:$F$46,"STRICT")</f>
        <v>3.32</v>
      </c>
      <c r="K7" s="20">
        <f>IF(SUMIFS(Selections!$M$6:$M$46,Selections!$F$6:$F$46,"STRICT")=0,"n.a.",SUMIFS(Selections!$N$6:$N$46,Selections!$F$6:$F$46,"STRICT")/SUMIFS(Selections!$M$6:$M$46,Selections!$F$6:$F$46,"STRICT"))</f>
        <v>0.3018181818181818</v>
      </c>
      <c r="L7" s="21">
        <f>IF(SUMIFS(Selections!$T$6:$T$46,Selections!$F$6:$F$46,"STRICT")=0,"n.a.",SUMIFS(Selections!$O$6:$O$46,Selections!$F$6:$F$46,"STRICT")/SUMIFS(Selections!$T$6:$T$46,Selections!$F$6:$F$46,"STRICT"))</f>
        <v>0.09620140437807416</v>
      </c>
      <c r="M7" s="20">
        <f>IF(SUMIFS(Selections!$T$6:$T$46,Selections!$F$6:$F$46,"STRICT")=0,"n.a.",SUMIFS(Selections!$S$6:$S$46,Selections!$F$6:$F$46,"STRICT")/SUMIFS(Selections!$T$6:$T$46,Selections!$F$6:$F$46,"STRICT"))</f>
        <v>0.7551745752675235</v>
      </c>
      <c r="N7" s="20">
        <f>IF(SUMIFS(Selections!$T$6:$T$46,Selections!$F$6:$F$46,"STRICT")=0,"n.a.",(SUMIFS(Selections!$L$6:$L$46,Selections!$F$6:$F$46,"STRICT",Selections!$T$6:$T$46,1))/SUMIFS(Selections!$T$6:$T$46,Selections!$F$6:$F$46,"STRICT"))</f>
        <v>0.9090909090909091</v>
      </c>
      <c r="O7" s="20">
        <f>IF(SUMIFS(Selections!$T$6:$T$46,Selections!$F$6:$F$46,"STRICT")=0,"n.a.",(SUMIFS(Selections!$S$6:$S$46,Selections!$F$6:$F$46,"STRICT")-(SUMIFS(Selections!$L$6:$L$46,Selections!$F$6:$F$46,"STRICT",Selections!$T$6:$T$46,1)))/SUMIFS(Selections!$T$6:$T$46,Selections!$F$6:$F$46,"STRICT"))</f>
        <v>-0.15391633382338554</v>
      </c>
      <c r="P7" s="19">
        <f>SUMIFS(Selections!$T$6:$T$46,Selections!$F$6:$F$46,"STRICT")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COUNTIFS(Selections!$F$6:$F$46,"PROVISIONAL")</f>
        <v>28</v>
      </c>
      <c r="D8" s="19">
        <f>(COUNTIFS(Selections!$F$6:$F$46,"PROVISIONAL",Selections!$K$6:$K$46,"WON")+COUNTIFS(Selections!$F$6:$F$46,"PROVISIONAL",Selections!$K$6:$K$46,"LOST"))</f>
        <v>15</v>
      </c>
      <c r="E8" s="19">
        <f>COUNTIFS(Selections!$F$6:$F$46,"PROVISIONAL",Selections!$K$6:$K$46,"WON")</f>
        <v>11</v>
      </c>
      <c r="F8" s="19">
        <f>COUNTIFS(Selections!$F$6:$F$46,"PROVISIONAL",Selections!$K$6:$K$46,"LOST")</f>
        <v>4</v>
      </c>
      <c r="G8" s="19">
        <f>COUNTIFS(Selections!$F$6:$F$46,"PROVISIONAL")-(COUNTIFS(Selections!$F$6:$F$46,"PROVISIONAL",Selections!$K$6:$K$46,"WON")+COUNTIFS(Selections!$F$6:$F$46,"PROVISIONAL",Selections!$K$6:$K$46,"LOST"))</f>
        <v>13</v>
      </c>
      <c r="H8" s="20">
        <f>IF((COUNTIFS(Selections!$F$6:$F$46,"PROVISIONAL",Selections!$K$6:$K$46,"WON")+COUNTIFS(Selections!$F$6:$F$46,"PROVISIONAL",Selections!$K$6:$K$46,"LOST"))=0,"n.a.",COUNTIFS(Selections!$F$6:$F$46,"PROVISIONAL",Selections!$K$6:$K$46,"WON")/(COUNTIFS(Selections!$F$6:$F$46,"PROVISIONAL",Selections!$K$6:$K$46,"WON")+COUNTIFS(Selections!$F$6:$F$46,"PROVISIONAL",Selections!$K$6:$K$46,"LOST")))</f>
        <v>0.7333333333333333</v>
      </c>
      <c r="I8" s="22">
        <f>SUMIFS(Selections!$M$6:$M$46,Selections!$F$6:$F$46,"PROVISIONAL")</f>
        <v>15</v>
      </c>
      <c r="J8" s="22">
        <f>SUMIFS(Selections!$N$6:$N$46,Selections!$F$6:$F$46,"PROVISIONAL")</f>
        <v>-0.5100000000000002</v>
      </c>
      <c r="K8" s="20">
        <f>IF(SUMIFS(Selections!$M$6:$M$46,Selections!$F$6:$F$46,"PROVISIONAL")=0,"n.a.",SUMIFS(Selections!$N$6:$N$46,Selections!$F$6:$F$46,"PROVISIONAL")/SUMIFS(Selections!$M$6:$M$46,Selections!$F$6:$F$46,"PROVISIONAL"))</f>
        <v>-0.034000000000000016</v>
      </c>
      <c r="L8" s="21">
        <f>IF(SUMIFS(Selections!$T$6:$T$46,Selections!$F$6:$F$46,"PROVISIONAL")=0,"n.a.",SUMIFS(Selections!$O$6:$O$46,Selections!$F$6:$F$46,"PROVISIONAL")/SUMIFS(Selections!$T$6:$T$46,Selections!$F$6:$F$46,"PROVISIONAL"))</f>
        <v>0.2085245618312393</v>
      </c>
      <c r="M8" s="20">
        <f>IF(SUMIFS(Selections!$T$6:$T$46,Selections!$F$6:$F$46,"PROVISIONAL")=0,"n.a.",SUMIFS(Selections!$S$6:$S$46,Selections!$F$6:$F$46,"PROVISIONAL")/SUMIFS(Selections!$T$6:$T$46,Selections!$F$6:$F$46,"PROVISIONAL"))</f>
        <v>0.7933588304428102</v>
      </c>
      <c r="N8" s="20">
        <f>IF(SUMIFS(Selections!$T$6:$T$46,Selections!$F$6:$F$46,"PROVISIONAL")=0,"n.a.",(SUMIFS(Selections!$L$6:$L$46,Selections!$F$6:$F$46,"PROVISIONAL",Selections!$T$6:$T$46,1))/SUMIFS(Selections!$T$6:$T$46,Selections!$F$6:$F$46,"PROVISIONAL"))</f>
        <v>0.7333333333333333</v>
      </c>
      <c r="O8" s="20">
        <f>IF(SUMIFS(Selections!$T$6:$T$46,Selections!$F$6:$F$46,"PROVISIONAL")=0,"n.a.",(SUMIFS(Selections!$S$6:$S$46,Selections!$F$6:$F$46,"PROVISIONAL")-(SUMIFS(Selections!$L$6:$L$46,Selections!$F$6:$F$46,"PROVISIONAL",Selections!$T$6:$T$46,1)))/SUMIFS(Selections!$T$6:$T$46,Selections!$F$6:$F$46,"PROVISIONAL"))</f>
        <v>0.06002549710947691</v>
      </c>
      <c r="P8" s="19">
        <f>SUMIFS(Selections!$T$6:$T$46,Selections!$F$6:$F$46,"PROVISIONAL")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COUNTIFS(Selections!$C$6:$C$46,"Bundesliga")</f>
        <v>3</v>
      </c>
      <c r="D9" s="19">
        <f>(COUNTIFS(Selections!$C$6:$C$46,"Bundesliga",Selections!$K$6:$K$46,"WON")+COUNTIFS(Selections!$C$6:$C$46,"Bundesliga",Selections!$K$6:$K$46,"LOST"))</f>
        <v>3</v>
      </c>
      <c r="E9" s="19">
        <f>COUNTIFS(Selections!$C$6:$C$46,"Bundesliga",Selections!$K$6:$K$46,"WON")</f>
        <v>3</v>
      </c>
      <c r="F9" s="19">
        <f>COUNTIFS(Selections!$C$6:$C$46,"Bundesliga",Selections!$K$6:$K$46,"LOST")</f>
        <v>0</v>
      </c>
      <c r="G9" s="19">
        <f>COUNTIFS(Selections!$C$6:$C$46,"Bundesliga")-(COUNTIFS(Selections!$C$6:$C$46,"Bundesliga",Selections!$K$6:$K$46,"WON")+COUNTIFS(Selections!$C$6:$C$46,"Bundesliga",Selections!$K$6:$K$46,"LOST"))</f>
        <v>0</v>
      </c>
      <c r="H9" s="20">
        <f>IF((COUNTIFS(Selections!$C$6:$C$46,"Bundesliga",Selections!$K$6:$K$46,"WON")+COUNTIFS(Selections!$C$6:$C$46,"Bundesliga",Selections!$K$6:$K$46,"LOST"))=0,"n.a.",COUNTIFS(Selections!$C$6:$C$46,"Bundesliga",Selections!$K$6:$K$46,"WON")/(COUNTIFS(Selections!$C$6:$C$46,"Bundesliga",Selections!$K$6:$K$46,"WON")+COUNTIFS(Selections!$C$6:$C$46,"Bundesliga",Selections!$K$6:$K$46,"LOST")))</f>
        <v>1.0</v>
      </c>
      <c r="I9" s="22">
        <f>SUMIFS(Selections!$M$6:$M$46,Selections!$C$6:$C$46,"Bundesliga")</f>
        <v>3</v>
      </c>
      <c r="J9" s="22">
        <f>SUMIFS(Selections!$N$6:$N$46,Selections!$C$6:$C$46,"Bundesliga")</f>
        <v>0.74</v>
      </c>
      <c r="K9" s="20">
        <f>IF(SUMIFS(Selections!$M$6:$M$46,Selections!$C$6:$C$46,"Bundesliga")=0,"n.a.",SUMIFS(Selections!$N$6:$N$46,Selections!$C$6:$C$46,"Bundesliga")/SUMIFS(Selections!$M$6:$M$46,Selections!$C$6:$C$46,"Bundesliga"))</f>
        <v>0.24666666666666667</v>
      </c>
      <c r="L9" s="21">
        <f>IF(SUMIFS(Selections!$T$6:$T$46,Selections!$C$6:$C$46,"Bundesliga")=0,"n.a.",SUMIFS(Selections!$O$6:$O$46,Selections!$C$6:$C$46,"Bundesliga")/SUMIFS(Selections!$T$6:$T$46,Selections!$C$6:$C$46,"Bundesliga"))</f>
        <v>0.03973352985046064</v>
      </c>
      <c r="M9" s="20">
        <f>IF(SUMIFS(Selections!$T$6:$T$46,Selections!$C$6:$C$46,"Bundesliga")=0,"n.a.",SUMIFS(Selections!$S$6:$S$46,Selections!$C$6:$C$46,"Bundesliga")/SUMIFS(Selections!$T$6:$T$46,Selections!$C$6:$C$46,"Bundesliga"))</f>
        <v>0.8037750849699149</v>
      </c>
      <c r="N9" s="20">
        <f>IF(SUMIFS(Selections!$T$6:$T$46,Selections!$C$6:$C$46,"Bundesliga")=0,"n.a.",(SUMIFS(Selections!$L$6:$L$46,Selections!$C$6:$C$46,"Bundesliga",Selections!$T$6:$T$46,1))/SUMIFS(Selections!$T$6:$T$46,Selections!$C$6:$C$46,"Bundesliga"))</f>
        <v>1.0</v>
      </c>
      <c r="O9" s="20">
        <f>IF(SUMIFS(Selections!$T$6:$T$46,Selections!$C$6:$C$46,"Bundesliga")=0,"n.a.",(SUMIFS(Selections!$S$6:$S$46,Selections!$C$6:$C$46,"Bundesliga")-(SUMIFS(Selections!$L$6:$L$46,Selections!$C$6:$C$46,"Bundesliga",Selections!$T$6:$T$46,1)))/SUMIFS(Selections!$T$6:$T$46,Selections!$C$6:$C$46,"Bundesliga"))</f>
        <v>-0.1962249150300851</v>
      </c>
      <c r="P9" s="19">
        <f>SUMIFS(Selections!$T$6:$T$46,Selections!$C$6:$C$46,"Bundesliga")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COUNTIFS(Selections!$C$6:$C$46,"La Liga")</f>
        <v>8</v>
      </c>
      <c r="D10" s="19">
        <f>(COUNTIFS(Selections!$C$6:$C$46,"La Liga",Selections!$K$6:$K$46,"WON")+COUNTIFS(Selections!$C$6:$C$46,"La Liga",Selections!$K$6:$K$46,"LOST"))</f>
        <v>6</v>
      </c>
      <c r="E10" s="19">
        <f>COUNTIFS(Selections!$C$6:$C$46,"La Liga",Selections!$K$6:$K$46,"WON")</f>
        <v>6</v>
      </c>
      <c r="F10" s="19">
        <f>COUNTIFS(Selections!$C$6:$C$46,"La Liga",Selections!$K$6:$K$46,"LOST")</f>
        <v>0</v>
      </c>
      <c r="G10" s="19">
        <f>COUNTIFS(Selections!$C$6:$C$46,"La Liga")-(COUNTIFS(Selections!$C$6:$C$46,"La Liga",Selections!$K$6:$K$46,"WON")+COUNTIFS(Selections!$C$6:$C$46,"La Liga",Selections!$K$6:$K$46,"LOST"))</f>
        <v>2</v>
      </c>
      <c r="H10" s="20">
        <f>IF((COUNTIFS(Selections!$C$6:$C$46,"La Liga",Selections!$K$6:$K$46,"WON")+COUNTIFS(Selections!$C$6:$C$46,"La Liga",Selections!$K$6:$K$46,"LOST"))=0,"n.a.",COUNTIFS(Selections!$C$6:$C$46,"La Liga",Selections!$K$6:$K$46,"WON")/(COUNTIFS(Selections!$C$6:$C$46,"La Liga",Selections!$K$6:$K$46,"WON")+COUNTIFS(Selections!$C$6:$C$46,"La Liga",Selections!$K$6:$K$46,"LOST")))</f>
        <v>1.0</v>
      </c>
      <c r="I10" s="22">
        <f>SUMIFS(Selections!$M$6:$M$46,Selections!$C$6:$C$46,"La Liga")</f>
        <v>6</v>
      </c>
      <c r="J10" s="22">
        <f>SUMIFS(Selections!$N$6:$N$46,Selections!$C$6:$C$46,"La Liga")</f>
        <v>1.8199999999999998</v>
      </c>
      <c r="K10" s="20">
        <f>IF(SUMIFS(Selections!$M$6:$M$46,Selections!$C$6:$C$46,"La Liga")=0,"n.a.",SUMIFS(Selections!$N$6:$N$46,Selections!$C$6:$C$46,"La Liga")/SUMIFS(Selections!$M$6:$M$46,Selections!$C$6:$C$46,"La Liga"))</f>
        <v>0.3033333333333333</v>
      </c>
      <c r="L10" s="21">
        <f>IF(SUMIFS(Selections!$T$6:$T$46,Selections!$C$6:$C$46,"La Liga")=0,"n.a.",SUMIFS(Selections!$O$6:$O$46,Selections!$C$6:$C$46,"La Liga")/SUMIFS(Selections!$T$6:$T$46,Selections!$C$6:$C$46,"La Liga"))</f>
        <v>0.035061219735885975</v>
      </c>
      <c r="M10" s="20">
        <f>IF(SUMIFS(Selections!$T$6:$T$46,Selections!$C$6:$C$46,"La Liga")=0,"n.a.",SUMIFS(Selections!$S$6:$S$46,Selections!$C$6:$C$46,"La Liga")/SUMIFS(Selections!$T$6:$T$46,Selections!$C$6:$C$46,"La Liga"))</f>
        <v>0.8259716952617202</v>
      </c>
      <c r="N10" s="20">
        <f>IF(SUMIFS(Selections!$T$6:$T$46,Selections!$C$6:$C$46,"La Liga")=0,"n.a.",(SUMIFS(Selections!$L$6:$L$46,Selections!$C$6:$C$46,"La Liga",Selections!$T$6:$T$46,1))/SUMIFS(Selections!$T$6:$T$46,Selections!$C$6:$C$46,"La Liga"))</f>
        <v>1.0</v>
      </c>
      <c r="O10" s="20">
        <f>IF(SUMIFS(Selections!$T$6:$T$46,Selections!$C$6:$C$46,"La Liga")=0,"n.a.",(SUMIFS(Selections!$S$6:$S$46,Selections!$C$6:$C$46,"La Liga")-(SUMIFS(Selections!$L$6:$L$46,Selections!$C$6:$C$46,"La Liga",Selections!$T$6:$T$46,1)))/SUMIFS(Selections!$T$6:$T$46,Selections!$C$6:$C$46,"La Liga"))</f>
        <v>-0.1740283047382798</v>
      </c>
      <c r="P10" s="19">
        <f>SUMIFS(Selections!$T$6:$T$46,Selections!$C$6:$C$46,"La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COUNTIFS(Selections!$C$6:$C$46,"Ligue 1")</f>
        <v>3</v>
      </c>
      <c r="D11" s="19">
        <f>(COUNTIFS(Selections!$C$6:$C$46,"Ligue 1",Selections!$K$6:$K$46,"WON")+COUNTIFS(Selections!$C$6:$C$46,"Ligue 1",Selections!$K$6:$K$46,"LOST"))</f>
        <v>2</v>
      </c>
      <c r="E11" s="19">
        <f>COUNTIFS(Selections!$C$6:$C$46,"Ligue 1",Selections!$K$6:$K$46,"WON")</f>
        <v>1</v>
      </c>
      <c r="F11" s="19">
        <f>COUNTIFS(Selections!$C$6:$C$46,"Ligue 1",Selections!$K$6:$K$46,"LOST")</f>
        <v>1</v>
      </c>
      <c r="G11" s="19">
        <f>COUNTIFS(Selections!$C$6:$C$46,"Ligue 1")-(COUNTIFS(Selections!$C$6:$C$46,"Ligue 1",Selections!$K$6:$K$46,"WON")+COUNTIFS(Selections!$C$6:$C$46,"Ligue 1",Selections!$K$6:$K$46,"LOST"))</f>
        <v>1</v>
      </c>
      <c r="H11" s="20">
        <f>IF((COUNTIFS(Selections!$C$6:$C$46,"Ligue 1",Selections!$K$6:$K$46,"WON")+COUNTIFS(Selections!$C$6:$C$46,"Ligue 1",Selections!$K$6:$K$46,"LOST"))=0,"n.a.",COUNTIFS(Selections!$C$6:$C$46,"Ligue 1",Selections!$K$6:$K$46,"WON")/(COUNTIFS(Selections!$C$6:$C$46,"Ligue 1",Selections!$K$6:$K$46,"WON")+COUNTIFS(Selections!$C$6:$C$46,"Ligue 1",Selections!$K$6:$K$46,"LOST")))</f>
        <v>0.5</v>
      </c>
      <c r="I11" s="22">
        <f>SUMIFS(Selections!$M$6:$M$46,Selections!$C$6:$C$46,"Ligue 1")</f>
        <v>2</v>
      </c>
      <c r="J11" s="22">
        <f>SUMIFS(Selections!$N$6:$N$46,Selections!$C$6:$C$46,"Ligue 1")</f>
        <v>-0.33000000000000007</v>
      </c>
      <c r="K11" s="20">
        <f>IF(SUMIFS(Selections!$M$6:$M$46,Selections!$C$6:$C$46,"Ligue 1")=0,"n.a.",SUMIFS(Selections!$N$6:$N$46,Selections!$C$6:$C$46,"Ligue 1")/SUMIFS(Selections!$M$6:$M$46,Selections!$C$6:$C$46,"Ligue 1"))</f>
        <v>-0.16500000000000004</v>
      </c>
      <c r="L11" s="21">
        <f>IF(SUMIFS(Selections!$T$6:$T$46,Selections!$C$6:$C$46,"Ligue 1")=0,"n.a.",SUMIFS(Selections!$O$6:$O$46,Selections!$C$6:$C$46,"Ligue 1")/SUMIFS(Selections!$T$6:$T$46,Selections!$C$6:$C$46,"Ligue 1"))</f>
        <v>0.37925018842161284</v>
      </c>
      <c r="M11" s="20">
        <f>IF(SUMIFS(Selections!$T$6:$T$46,Selections!$C$6:$C$46,"Ligue 1")=0,"n.a.",SUMIFS(Selections!$S$6:$S$46,Selections!$C$6:$C$46,"Ligue 1")/SUMIFS(Selections!$T$6:$T$46,Selections!$C$6:$C$46,"Ligue 1"))</f>
        <v>0.6960953243674277</v>
      </c>
      <c r="N11" s="20">
        <f>IF(SUMIFS(Selections!$T$6:$T$46,Selections!$C$6:$C$46,"Ligue 1")=0,"n.a.",(SUMIFS(Selections!$L$6:$L$46,Selections!$C$6:$C$46,"Ligue 1",Selections!$T$6:$T$46,1))/SUMIFS(Selections!$T$6:$T$46,Selections!$C$6:$C$46,"Ligue 1"))</f>
        <v>0.5</v>
      </c>
      <c r="O11" s="20">
        <f>IF(SUMIFS(Selections!$T$6:$T$46,Selections!$C$6:$C$46,"Ligue 1")=0,"n.a.",(SUMIFS(Selections!$S$6:$S$46,Selections!$C$6:$C$46,"Ligue 1")-(SUMIFS(Selections!$L$6:$L$46,Selections!$C$6:$C$46,"Ligue 1",Selections!$T$6:$T$46,1)))/SUMIFS(Selections!$T$6:$T$46,Selections!$C$6:$C$46,"Ligue 1"))</f>
        <v>0.19609532436742771</v>
      </c>
      <c r="P11" s="19">
        <f>SUMIFS(Selections!$T$6:$T$46,Selections!$C$6:$C$46,"Ligue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COUNTIFS(Selections!$C$6:$C$46,"Premier League")</f>
        <v>7</v>
      </c>
      <c r="D12" s="19">
        <f>(COUNTIFS(Selections!$C$6:$C$46,"Premier League",Selections!$K$6:$K$46,"WON")+COUNTIFS(Selections!$C$6:$C$46,"Premier League",Selections!$K$6:$K$46,"LOST"))</f>
        <v>6</v>
      </c>
      <c r="E12" s="19">
        <f>COUNTIFS(Selections!$C$6:$C$46,"Premier League",Selections!$K$6:$K$46,"WON")</f>
        <v>3</v>
      </c>
      <c r="F12" s="19">
        <f>COUNTIFS(Selections!$C$6:$C$46,"Premier League",Selections!$K$6:$K$46,"LOST")</f>
        <v>3</v>
      </c>
      <c r="G12" s="19">
        <f>COUNTIFS(Selections!$C$6:$C$46,"Premier League")-(COUNTIFS(Selections!$C$6:$C$46,"Premier League",Selections!$K$6:$K$46,"WON")+COUNTIFS(Selections!$C$6:$C$46,"Premier League",Selections!$K$6:$K$46,"LOST"))</f>
        <v>1</v>
      </c>
      <c r="H12" s="20">
        <f>IF((COUNTIFS(Selections!$C$6:$C$46,"Premier League",Selections!$K$6:$K$46,"WON")+COUNTIFS(Selections!$C$6:$C$46,"Premier League",Selections!$K$6:$K$46,"LOST"))=0,"n.a.",COUNTIFS(Selections!$C$6:$C$46,"Premier League",Selections!$K$6:$K$46,"WON")/(COUNTIFS(Selections!$C$6:$C$46,"Premier League",Selections!$K$6:$K$46,"WON")+COUNTIFS(Selections!$C$6:$C$46,"Premier League",Selections!$K$6:$K$46,"LOST")))</f>
        <v>0.5</v>
      </c>
      <c r="I12" s="22">
        <f>SUMIFS(Selections!$M$6:$M$46,Selections!$C$6:$C$46,"Premier League")</f>
        <v>6</v>
      </c>
      <c r="J12" s="22">
        <f>SUMIFS(Selections!$N$6:$N$46,Selections!$C$6:$C$46,"Premier League")</f>
        <v>-2.14</v>
      </c>
      <c r="K12" s="20">
        <f>IF(SUMIFS(Selections!$M$6:$M$46,Selections!$C$6:$C$46,"Premier League")=0,"n.a.",SUMIFS(Selections!$N$6:$N$46,Selections!$C$6:$C$46,"Premier League")/SUMIFS(Selections!$M$6:$M$46,Selections!$C$6:$C$46,"Premier League"))</f>
        <v>-0.3566666666666667</v>
      </c>
      <c r="L12" s="21">
        <f>IF(SUMIFS(Selections!$T$6:$T$46,Selections!$C$6:$C$46,"Premier League")=0,"n.a.",SUMIFS(Selections!$O$6:$O$46,Selections!$C$6:$C$46,"Premier League")/SUMIFS(Selections!$T$6:$T$46,Selections!$C$6:$C$46,"Premier League"))</f>
        <v>0.34451819985468496</v>
      </c>
      <c r="M12" s="20">
        <f>IF(SUMIFS(Selections!$T$6:$T$46,Selections!$C$6:$C$46,"Premier League")=0,"n.a.",SUMIFS(Selections!$S$6:$S$46,Selections!$C$6:$C$46,"Premier League")/SUMIFS(Selections!$T$6:$T$46,Selections!$C$6:$C$46,"Premier League"))</f>
        <v>0.8130289690439606</v>
      </c>
      <c r="N12" s="20">
        <f>IF(SUMIFS(Selections!$T$6:$T$46,Selections!$C$6:$C$46,"Premier League")=0,"n.a.",(SUMIFS(Selections!$L$6:$L$46,Selections!$C$6:$C$46,"Premier League",Selections!$T$6:$T$46,1))/SUMIFS(Selections!$T$6:$T$46,Selections!$C$6:$C$46,"Premier League"))</f>
        <v>0.5</v>
      </c>
      <c r="O12" s="20">
        <f>IF(SUMIFS(Selections!$T$6:$T$46,Selections!$C$6:$C$46,"Premier League")=0,"n.a.",(SUMIFS(Selections!$S$6:$S$46,Selections!$C$6:$C$46,"Premier League")-(SUMIFS(Selections!$L$6:$L$46,Selections!$C$6:$C$46,"Premier League",Selections!$T$6:$T$46,1)))/SUMIFS(Selections!$T$6:$T$46,Selections!$C$6:$C$46,"Premier League"))</f>
        <v>0.3130289690439606</v>
      </c>
      <c r="P12" s="19">
        <f>SUMIFS(Selections!$T$6:$T$46,Selections!$C$6:$C$46,"Premier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COUNTIFS(Selections!$C$6:$C$46,"Serie A")</f>
        <v>6</v>
      </c>
      <c r="D13" s="19">
        <f>(COUNTIFS(Selections!$C$6:$C$46,"Serie A",Selections!$K$6:$K$46,"WON")+COUNTIFS(Selections!$C$6:$C$46,"Serie A",Selections!$K$6:$K$46,"LOST"))</f>
        <v>5</v>
      </c>
      <c r="E13" s="19">
        <f>COUNTIFS(Selections!$C$6:$C$46,"Serie A",Selections!$K$6:$K$46,"WON")</f>
        <v>4</v>
      </c>
      <c r="F13" s="19">
        <f>COUNTIFS(Selections!$C$6:$C$46,"Serie A",Selections!$K$6:$K$46,"LOST")</f>
        <v>1</v>
      </c>
      <c r="G13" s="19">
        <f>COUNTIFS(Selections!$C$6:$C$46,"Serie A")-(COUNTIFS(Selections!$C$6:$C$46,"Serie A",Selections!$K$6:$K$46,"WON")+COUNTIFS(Selections!$C$6:$C$46,"Serie A",Selections!$K$6:$K$46,"LOST"))</f>
        <v>1</v>
      </c>
      <c r="H13" s="20">
        <f>IF((COUNTIFS(Selections!$C$6:$C$46,"Serie A",Selections!$K$6:$K$46,"WON")+COUNTIFS(Selections!$C$6:$C$46,"Serie A",Selections!$K$6:$K$46,"LOST"))=0,"n.a.",COUNTIFS(Selections!$C$6:$C$46,"Serie A",Selections!$K$6:$K$46,"WON")/(COUNTIFS(Selections!$C$6:$C$46,"Serie A",Selections!$K$6:$K$46,"WON")+COUNTIFS(Selections!$C$6:$C$46,"Serie A",Selections!$K$6:$K$46,"LOST")))</f>
        <v>0.8</v>
      </c>
      <c r="I13" s="22">
        <f>SUMIFS(Selections!$M$6:$M$46,Selections!$C$6:$C$46,"Serie A")</f>
        <v>5</v>
      </c>
      <c r="J13" s="22">
        <f>SUMIFS(Selections!$N$6:$N$46,Selections!$C$6:$C$46,"Serie A")</f>
        <v>0.8</v>
      </c>
      <c r="K13" s="20">
        <f>IF(SUMIFS(Selections!$M$6:$M$46,Selections!$C$6:$C$46,"Serie A")=0,"n.a.",SUMIFS(Selections!$N$6:$N$46,Selections!$C$6:$C$46,"Serie A")/SUMIFS(Selections!$M$6:$M$46,Selections!$C$6:$C$46,"Serie A"))</f>
        <v>0.16</v>
      </c>
      <c r="L13" s="21">
        <f>IF(SUMIFS(Selections!$T$6:$T$46,Selections!$C$6:$C$46,"Serie A")=0,"n.a.",SUMIFS(Selections!$O$6:$O$46,Selections!$C$6:$C$46,"Serie A")/SUMIFS(Selections!$T$6:$T$46,Selections!$C$6:$C$46,"Serie A"))</f>
        <v>0.1502962767075388</v>
      </c>
      <c r="M13" s="20">
        <f>IF(SUMIFS(Selections!$T$6:$T$46,Selections!$C$6:$C$46,"Serie A")=0,"n.a.",SUMIFS(Selections!$S$6:$S$46,Selections!$C$6:$C$46,"Serie A")/SUMIFS(Selections!$T$6:$T$46,Selections!$C$6:$C$46,"Serie A"))</f>
        <v>0.7063993976931371</v>
      </c>
      <c r="N13" s="20">
        <f>IF(SUMIFS(Selections!$T$6:$T$46,Selections!$C$6:$C$46,"Serie A")=0,"n.a.",(SUMIFS(Selections!$L$6:$L$46,Selections!$C$6:$C$46,"Serie A",Selections!$T$6:$T$46,1))/SUMIFS(Selections!$T$6:$T$46,Selections!$C$6:$C$46,"Serie A"))</f>
        <v>0.8</v>
      </c>
      <c r="O13" s="20">
        <f>IF(SUMIFS(Selections!$T$6:$T$46,Selections!$C$6:$C$46,"Serie A")=0,"n.a.",(SUMIFS(Selections!$S$6:$S$46,Selections!$C$6:$C$46,"Serie A")-(SUMIFS(Selections!$L$6:$L$46,Selections!$C$6:$C$46,"Serie A",Selections!$T$6:$T$46,1)))/SUMIFS(Selections!$T$6:$T$46,Selections!$C$6:$C$46,"Serie A"))</f>
        <v>-0.09360060230686296</v>
      </c>
      <c r="P13" s="19">
        <f>SUMIFS(Selections!$T$6:$T$46,Selections!$C$6:$C$46,"Serie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COUNTIFS(Selections!$C$6:$C$46,"UEFA Champions League")</f>
        <v>14</v>
      </c>
      <c r="D14" s="19">
        <f>(COUNTIFS(Selections!$C$6:$C$46,"UEFA Champions League",Selections!$K$6:$K$46,"WON")+COUNTIFS(Selections!$C$6:$C$46,"UEFA Champions League",Selections!$K$6:$K$46,"LOST"))</f>
        <v>4</v>
      </c>
      <c r="E14" s="19">
        <f>COUNTIFS(Selections!$C$6:$C$46,"UEFA Champions League",Selections!$K$6:$K$46,"WON")</f>
        <v>4</v>
      </c>
      <c r="F14" s="19">
        <f>COUNTIFS(Selections!$C$6:$C$46,"UEFA Champions League",Selections!$K$6:$K$46,"LOST")</f>
        <v>0</v>
      </c>
      <c r="G14" s="19">
        <f>COUNTIFS(Selections!$C$6:$C$46,"UEFA Champions League")-(COUNTIFS(Selections!$C$6:$C$46,"UEFA Champions League",Selections!$K$6:$K$46,"WON")+COUNTIFS(Selections!$C$6:$C$46,"UEFA Champions League",Selections!$K$6:$K$46,"LOST"))</f>
        <v>10</v>
      </c>
      <c r="H14" s="20">
        <f>IF((COUNTIFS(Selections!$C$6:$C$46,"UEFA Champions League",Selections!$K$6:$K$46,"WON")+COUNTIFS(Selections!$C$6:$C$46,"UEFA Champions League",Selections!$K$6:$K$46,"LOST"))=0,"n.a.",COUNTIFS(Selections!$C$6:$C$46,"UEFA Champions League",Selections!$K$6:$K$46,"WON")/(COUNTIFS(Selections!$C$6:$C$46,"UEFA Champions League",Selections!$K$6:$K$46,"WON")+COUNTIFS(Selections!$C$6:$C$46,"UEFA Champions League",Selections!$K$6:$K$46,"LOST")))</f>
        <v>1.0</v>
      </c>
      <c r="I14" s="22">
        <f>SUMIFS(Selections!$M$6:$M$46,Selections!$C$6:$C$46,"UEFA Champions League")</f>
        <v>4</v>
      </c>
      <c r="J14" s="22">
        <f>SUMIFS(Selections!$N$6:$N$46,Selections!$C$6:$C$46,"UEFA Champions League")</f>
        <v>1.92</v>
      </c>
      <c r="K14" s="20">
        <f>IF(SUMIFS(Selections!$M$6:$M$46,Selections!$C$6:$C$46,"UEFA Champions League")=0,"n.a.",SUMIFS(Selections!$N$6:$N$46,Selections!$C$6:$C$46,"UEFA Champions League")/SUMIFS(Selections!$M$6:$M$46,Selections!$C$6:$C$46,"UEFA Champions League"))</f>
        <v>0.48</v>
      </c>
      <c r="L14" s="21">
        <f>IF(SUMIFS(Selections!$T$6:$T$46,Selections!$C$6:$C$46,"UEFA Champions League")=0,"n.a.",SUMIFS(Selections!$O$6:$O$46,Selections!$C$6:$C$46,"UEFA Champions League")/SUMIFS(Selections!$T$6:$T$46,Selections!$C$6:$C$46,"UEFA Champions League"))</f>
        <v>0.0698562520379194</v>
      </c>
      <c r="M14" s="20">
        <f>IF(SUMIFS(Selections!$T$6:$T$46,Selections!$C$6:$C$46,"UEFA Champions League")=0,"n.a.",SUMIFS(Selections!$S$6:$S$46,Selections!$C$6:$C$46,"UEFA Champions League")/SUMIFS(Selections!$T$6:$T$46,Selections!$C$6:$C$46,"UEFA Champions League"))</f>
        <v>0.7594464766601356</v>
      </c>
      <c r="N14" s="20">
        <f>IF(SUMIFS(Selections!$T$6:$T$46,Selections!$C$6:$C$46,"UEFA Champions League")=0,"n.a.",(SUMIFS(Selections!$L$6:$L$46,Selections!$C$6:$C$46,"UEFA Champions League",Selections!$T$6:$T$46,1))/SUMIFS(Selections!$T$6:$T$46,Selections!$C$6:$C$46,"UEFA Champions League"))</f>
        <v>1.0</v>
      </c>
      <c r="O14" s="20">
        <f>IF(SUMIFS(Selections!$T$6:$T$46,Selections!$C$6:$C$46,"UEFA Champions League")=0,"n.a.",(SUMIFS(Selections!$S$6:$S$46,Selections!$C$6:$C$46,"UEFA Champions League")-(SUMIFS(Selections!$L$6:$L$46,Selections!$C$6:$C$46,"UEFA Champions League",Selections!$T$6:$T$46,1)))/SUMIFS(Selections!$T$6:$T$46,Selections!$C$6:$C$46,"UEFA Champions League"))</f>
        <v>-0.24055352333986435</v>
      </c>
      <c r="P14" s="19">
        <f>SUMIFS(Selections!$T$6:$T$46,Selections!$C$6:$C$46,"UEFA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COUNTIFS(Selections!$E$6:$E$46,"Away win")</f>
        <v>1</v>
      </c>
      <c r="D15" s="19">
        <f>(COUNTIFS(Selections!$E$6:$E$46,"Away win",Selections!$K$6:$K$46,"WON")+COUNTIFS(Selections!$E$6:$E$46,"Away win",Selections!$K$6:$K$46,"LOST"))</f>
        <v>1</v>
      </c>
      <c r="E15" s="19">
        <f>COUNTIFS(Selections!$E$6:$E$46,"Away win",Selections!$K$6:$K$46,"WON")</f>
        <v>0</v>
      </c>
      <c r="F15" s="19">
        <f>COUNTIFS(Selections!$E$6:$E$46,"Away win",Selections!$K$6:$K$46,"LOST")</f>
        <v>1</v>
      </c>
      <c r="G15" s="19">
        <f>COUNTIFS(Selections!$E$6:$E$46,"Away win")-(COUNTIFS(Selections!$E$6:$E$46,"Away win",Selections!$K$6:$K$46,"WON")+COUNTIFS(Selections!$E$6:$E$46,"Away win",Selections!$K$6:$K$46,"LOST"))</f>
        <v>0</v>
      </c>
      <c r="H15" s="20">
        <f>IF((COUNTIFS(Selections!$E$6:$E$46,"Away win",Selections!$K$6:$K$46,"WON")+COUNTIFS(Selections!$E$6:$E$46,"Away win",Selections!$K$6:$K$46,"LOST"))=0,"n.a.",COUNTIFS(Selections!$E$6:$E$46,"Away win",Selections!$K$6:$K$46,"WON")/(COUNTIFS(Selections!$E$6:$E$46,"Away win",Selections!$K$6:$K$46,"WON")+COUNTIFS(Selections!$E$6:$E$46,"Away win",Selections!$K$6:$K$46,"LOST")))</f>
        <v>0.0</v>
      </c>
      <c r="I15" s="22">
        <f>SUMIFS(Selections!$M$6:$M$46,Selections!$E$6:$E$46,"Away win")</f>
        <v>1</v>
      </c>
      <c r="J15" s="22">
        <f>SUMIFS(Selections!$N$6:$N$46,Selections!$E$6:$E$46,"Away win")</f>
        <v>-1.0</v>
      </c>
      <c r="K15" s="20">
        <f>IF(SUMIFS(Selections!$M$6:$M$46,Selections!$E$6:$E$46,"Away win")=0,"n.a.",SUMIFS(Selections!$N$6:$N$46,Selections!$E$6:$E$46,"Away win")/SUMIFS(Selections!$M$6:$M$46,Selections!$E$6:$E$46,"Away win"))</f>
        <v>-1.0</v>
      </c>
      <c r="L15" s="21">
        <f>IF(SUMIFS(Selections!$T$6:$T$46,Selections!$E$6:$E$46,"Away win")=0,"n.a.",SUMIFS(Selections!$O$6:$O$46,Selections!$E$6:$E$46,"Away win")/SUMIFS(Selections!$T$6:$T$46,Selections!$E$6:$E$46,"Away win"))</f>
        <v>0.4253283778022773</v>
      </c>
      <c r="M15" s="20">
        <f>IF(SUMIFS(Selections!$T$6:$T$46,Selections!$E$6:$E$46,"Away win")=0,"n.a.",SUMIFS(Selections!$S$6:$S$46,Selections!$E$6:$E$46,"Away win")/SUMIFS(Selections!$T$6:$T$46,Selections!$E$6:$E$46,"Away win"))</f>
        <v>0.6521720461674797</v>
      </c>
      <c r="N15" s="20">
        <f>IF(SUMIFS(Selections!$T$6:$T$46,Selections!$E$6:$E$46,"Away win")=0,"n.a.",(SUMIFS(Selections!$L$6:$L$46,Selections!$E$6:$E$46,"Away win",Selections!$T$6:$T$46,1))/SUMIFS(Selections!$T$6:$T$46,Selections!$E$6:$E$46,"Away win"))</f>
        <v>0.0</v>
      </c>
      <c r="O15" s="20">
        <f>IF(SUMIFS(Selections!$T$6:$T$46,Selections!$E$6:$E$46,"Away win")=0,"n.a.",(SUMIFS(Selections!$S$6:$S$46,Selections!$E$6:$E$46,"Away win")-(SUMIFS(Selections!$L$6:$L$46,Selections!$E$6:$E$46,"Away win",Selections!$T$6:$T$46,1)))/SUMIFS(Selections!$T$6:$T$46,Selections!$E$6:$E$46,"Away win"))</f>
        <v>0.6521720461674797</v>
      </c>
      <c r="P15" s="19">
        <f>SUMIFS(Selections!$T$6:$T$46,Selections!$E$6:$E$46,"Away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COUNTIFS(Selections!$E$6:$E$46,"Both Teams to Score - Yes")</f>
        <v>3</v>
      </c>
      <c r="D16" s="19">
        <f>(COUNTIFS(Selections!$E$6:$E$46,"Both Teams to Score - Yes",Selections!$K$6:$K$46,"WON")+COUNTIFS(Selections!$E$6:$E$46,"Both Teams to Score - Yes",Selections!$K$6:$K$46,"LOST"))</f>
        <v>2</v>
      </c>
      <c r="E16" s="19">
        <f>COUNTIFS(Selections!$E$6:$E$46,"Both Teams to Score - Yes",Selections!$K$6:$K$46,"WON")</f>
        <v>2</v>
      </c>
      <c r="F16" s="19">
        <f>COUNTIFS(Selections!$E$6:$E$46,"Both Teams to Score - Yes",Selections!$K$6:$K$46,"LOST")</f>
        <v>0</v>
      </c>
      <c r="G16" s="19">
        <f>COUNTIFS(Selections!$E$6:$E$46,"Both Teams to Score - Yes")-(COUNTIFS(Selections!$E$6:$E$46,"Both Teams to Score - Yes",Selections!$K$6:$K$46,"WON")+COUNTIFS(Selections!$E$6:$E$46,"Both Teams to Score - Yes",Selections!$K$6:$K$46,"LOST"))</f>
        <v>1</v>
      </c>
      <c r="H16" s="20">
        <f>IF((COUNTIFS(Selections!$E$6:$E$46,"Both Teams to Score - Yes",Selections!$K$6:$K$46,"WON")+COUNTIFS(Selections!$E$6:$E$46,"Both Teams to Score - Yes",Selections!$K$6:$K$46,"LOST"))=0,"n.a.",COUNTIFS(Selections!$E$6:$E$46,"Both Teams to Score - Yes",Selections!$K$6:$K$46,"WON")/(COUNTIFS(Selections!$E$6:$E$46,"Both Teams to Score - Yes",Selections!$K$6:$K$46,"WON")+COUNTIFS(Selections!$E$6:$E$46,"Both Teams to Score - Yes",Selections!$K$6:$K$46,"LOST")))</f>
        <v>1.0</v>
      </c>
      <c r="I16" s="22">
        <f>SUMIFS(Selections!$M$6:$M$46,Selections!$E$6:$E$46,"Both Teams to Score - Yes")</f>
        <v>2</v>
      </c>
      <c r="J16" s="22">
        <f>SUMIFS(Selections!$N$6:$N$46,Selections!$E$6:$E$46,"Both Teams to Score - Yes")</f>
        <v>1.02</v>
      </c>
      <c r="K16" s="20">
        <f>IF(SUMIFS(Selections!$M$6:$M$46,Selections!$E$6:$E$46,"Both Teams to Score - Yes")=0,"n.a.",SUMIFS(Selections!$N$6:$N$46,Selections!$E$6:$E$46,"Both Teams to Score - Yes")/SUMIFS(Selections!$M$6:$M$46,Selections!$E$6:$E$46,"Both Teams to Score - Yes"))</f>
        <v>0.51</v>
      </c>
      <c r="L16" s="21">
        <f>IF(SUMIFS(Selections!$T$6:$T$46,Selections!$E$6:$E$46,"Both Teams to Score - Yes")=0,"n.a.",SUMIFS(Selections!$O$6:$O$46,Selections!$E$6:$E$46,"Both Teams to Score - Yes")/SUMIFS(Selections!$T$6:$T$46,Selections!$E$6:$E$46,"Both Teams to Score - Yes"))</f>
        <v>0.0816693584120611</v>
      </c>
      <c r="M16" s="20">
        <f>IF(SUMIFS(Selections!$T$6:$T$46,Selections!$E$6:$E$46,"Both Teams to Score - Yes")=0,"n.a.",SUMIFS(Selections!$S$6:$S$46,Selections!$E$6:$E$46,"Both Teams to Score - Yes")/SUMIFS(Selections!$T$6:$T$46,Selections!$E$6:$E$46,"Both Teams to Score - Yes"))</f>
        <v>0.7143269086376708</v>
      </c>
      <c r="N16" s="20">
        <f>IF(SUMIFS(Selections!$T$6:$T$46,Selections!$E$6:$E$46,"Both Teams to Score - Yes")=0,"n.a.",(SUMIFS(Selections!$L$6:$L$46,Selections!$E$6:$E$46,"Both Teams to Score - Yes",Selections!$T$6:$T$46,1))/SUMIFS(Selections!$T$6:$T$46,Selections!$E$6:$E$46,"Both Teams to Score - Yes"))</f>
        <v>1.0</v>
      </c>
      <c r="O16" s="20">
        <f>IF(SUMIFS(Selections!$T$6:$T$46,Selections!$E$6:$E$46,"Both Teams to Score - Yes")=0,"n.a.",(SUMIFS(Selections!$S$6:$S$46,Selections!$E$6:$E$46,"Both Teams to Score - Yes")-(SUMIFS(Selections!$L$6:$L$46,Selections!$E$6:$E$46,"Both Teams to Score - Yes",Selections!$T$6:$T$46,1)))/SUMIFS(Selections!$T$6:$T$46,Selections!$E$6:$E$46,"Both Teams to Score - Yes"))</f>
        <v>-0.2856730913623292</v>
      </c>
      <c r="P16" s="19">
        <f>SUMIFS(Selections!$T$6:$T$46,Selections!$E$6:$E$46,"Both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COUNTIFS(Selections!$E$6:$E$46,"Double Chance 12")</f>
        <v>8</v>
      </c>
      <c r="D17" s="19">
        <f>(COUNTIFS(Selections!$E$6:$E$46,"Double Chance 12",Selections!$K$6:$K$46,"WON")+COUNTIFS(Selections!$E$6:$E$46,"Double Chance 12",Selections!$K$6:$K$46,"LOST"))</f>
        <v>2</v>
      </c>
      <c r="E17" s="19">
        <f>COUNTIFS(Selections!$E$6:$E$46,"Double Chance 12",Selections!$K$6:$K$46,"WON")</f>
        <v>2</v>
      </c>
      <c r="F17" s="19">
        <f>COUNTIFS(Selections!$E$6:$E$46,"Double Chance 12",Selections!$K$6:$K$46,"LOST")</f>
        <v>0</v>
      </c>
      <c r="G17" s="19">
        <f>COUNTIFS(Selections!$E$6:$E$46,"Double Chance 12")-(COUNTIFS(Selections!$E$6:$E$46,"Double Chance 12",Selections!$K$6:$K$46,"WON")+COUNTIFS(Selections!$E$6:$E$46,"Double Chance 12",Selections!$K$6:$K$46,"LOST"))</f>
        <v>6</v>
      </c>
      <c r="H17" s="20">
        <f>IF((COUNTIFS(Selections!$E$6:$E$46,"Double Chance 12",Selections!$K$6:$K$46,"WON")+COUNTIFS(Selections!$E$6:$E$46,"Double Chance 12",Selections!$K$6:$K$46,"LOST"))=0,"n.a.",COUNTIFS(Selections!$E$6:$E$46,"Double Chance 12",Selections!$K$6:$K$46,"WON")/(COUNTIFS(Selections!$E$6:$E$46,"Double Chance 12",Selections!$K$6:$K$46,"WON")+COUNTIFS(Selections!$E$6:$E$46,"Double Chance 12",Selections!$K$6:$K$46,"LOST")))</f>
        <v>1.0</v>
      </c>
      <c r="I17" s="22">
        <f>SUMIFS(Selections!$M$6:$M$46,Selections!$E$6:$E$46,"Double Chance 12")</f>
        <v>2</v>
      </c>
      <c r="J17" s="22">
        <f>SUMIFS(Selections!$N$6:$N$46,Selections!$E$6:$E$46,"Double Chance 12")</f>
        <v>0.55</v>
      </c>
      <c r="K17" s="20">
        <f>IF(SUMIFS(Selections!$M$6:$M$46,Selections!$E$6:$E$46,"Double Chance 12")=0,"n.a.",SUMIFS(Selections!$N$6:$N$46,Selections!$E$6:$E$46,"Double Chance 12")/SUMIFS(Selections!$M$6:$M$46,Selections!$E$6:$E$46,"Double Chance 12"))</f>
        <v>0.275</v>
      </c>
      <c r="L17" s="21">
        <f>IF(SUMIFS(Selections!$T$6:$T$46,Selections!$E$6:$E$46,"Double Chance 12")=0,"n.a.",SUMIFS(Selections!$O$6:$O$46,Selections!$E$6:$E$46,"Double Chance 12")/SUMIFS(Selections!$T$6:$T$46,Selections!$E$6:$E$46,"Double Chance 12"))</f>
        <v>0.06039485652956292</v>
      </c>
      <c r="M17" s="20">
        <f>IF(SUMIFS(Selections!$T$6:$T$46,Selections!$E$6:$E$46,"Double Chance 12")=0,"n.a.",SUMIFS(Selections!$S$6:$S$46,Selections!$E$6:$E$46,"Double Chance 12")/SUMIFS(Selections!$T$6:$T$46,Selections!$E$6:$E$46,"Double Chance 12"))</f>
        <v>0.7543630828815686</v>
      </c>
      <c r="N17" s="20">
        <f>IF(SUMIFS(Selections!$T$6:$T$46,Selections!$E$6:$E$46,"Double Chance 12")=0,"n.a.",(SUMIFS(Selections!$L$6:$L$46,Selections!$E$6:$E$46,"Double Chance 12",Selections!$T$6:$T$46,1))/SUMIFS(Selections!$T$6:$T$46,Selections!$E$6:$E$46,"Double Chance 12"))</f>
        <v>1.0</v>
      </c>
      <c r="O17" s="20">
        <f>IF(SUMIFS(Selections!$T$6:$T$46,Selections!$E$6:$E$46,"Double Chance 12")=0,"n.a.",(SUMIFS(Selections!$S$6:$S$46,Selections!$E$6:$E$46,"Double Chance 12")-(SUMIFS(Selections!$L$6:$L$46,Selections!$E$6:$E$46,"Double Chance 12",Selections!$T$6:$T$46,1)))/SUMIFS(Selections!$T$6:$T$46,Selections!$E$6:$E$46,"Double Chance 12"))</f>
        <v>-0.24563691711843139</v>
      </c>
      <c r="P17" s="19">
        <f>SUMIFS(Selections!$T$6:$T$46,Selections!$E$6:$E$46,"Double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COUNTIFS(Selections!$E$6:$E$46,"Double Chance 1X")</f>
        <v>5</v>
      </c>
      <c r="D18" s="19">
        <f>(COUNTIFS(Selections!$E$6:$E$46,"Double Chance 1X",Selections!$K$6:$K$46,"WON")+COUNTIFS(Selections!$E$6:$E$46,"Double Chance 1X",Selections!$K$6:$K$46,"LOST"))</f>
        <v>2</v>
      </c>
      <c r="E18" s="19">
        <f>COUNTIFS(Selections!$E$6:$E$46,"Double Chance 1X",Selections!$K$6:$K$46,"WON")</f>
        <v>2</v>
      </c>
      <c r="F18" s="19">
        <f>COUNTIFS(Selections!$E$6:$E$46,"Double Chance 1X",Selections!$K$6:$K$46,"LOST")</f>
        <v>0</v>
      </c>
      <c r="G18" s="19">
        <f>COUNTIFS(Selections!$E$6:$E$46,"Double Chance 1X")-(COUNTIFS(Selections!$E$6:$E$46,"Double Chance 1X",Selections!$K$6:$K$46,"WON")+COUNTIFS(Selections!$E$6:$E$46,"Double Chance 1X",Selections!$K$6:$K$46,"LOST"))</f>
        <v>3</v>
      </c>
      <c r="H18" s="20">
        <f>IF((COUNTIFS(Selections!$E$6:$E$46,"Double Chance 1X",Selections!$K$6:$K$46,"WON")+COUNTIFS(Selections!$E$6:$E$46,"Double Chance 1X",Selections!$K$6:$K$46,"LOST"))=0,"n.a.",COUNTIFS(Selections!$E$6:$E$46,"Double Chance 1X",Selections!$K$6:$K$46,"WON")/(COUNTIFS(Selections!$E$6:$E$46,"Double Chance 1X",Selections!$K$6:$K$46,"WON")+COUNTIFS(Selections!$E$6:$E$46,"Double Chance 1X",Selections!$K$6:$K$46,"LOST")))</f>
        <v>1.0</v>
      </c>
      <c r="I18" s="22">
        <f>SUMIFS(Selections!$M$6:$M$46,Selections!$E$6:$E$46,"Double Chance 1X")</f>
        <v>2</v>
      </c>
      <c r="J18" s="22">
        <f>SUMIFS(Selections!$N$6:$N$46,Selections!$E$6:$E$46,"Double Chance 1X")</f>
        <v>0.47</v>
      </c>
      <c r="K18" s="20">
        <f>IF(SUMIFS(Selections!$M$6:$M$46,Selections!$E$6:$E$46,"Double Chance 1X")=0,"n.a.",SUMIFS(Selections!$N$6:$N$46,Selections!$E$6:$E$46,"Double Chance 1X")/SUMIFS(Selections!$M$6:$M$46,Selections!$E$6:$E$46,"Double Chance 1X"))</f>
        <v>0.235</v>
      </c>
      <c r="L18" s="21">
        <f>IF(SUMIFS(Selections!$T$6:$T$46,Selections!$E$6:$E$46,"Double Chance 1X")=0,"n.a.",SUMIFS(Selections!$O$6:$O$46,Selections!$E$6:$E$46,"Double Chance 1X")/SUMIFS(Selections!$T$6:$T$46,Selections!$E$6:$E$46,"Double Chance 1X"))</f>
        <v>0.03126325569114972</v>
      </c>
      <c r="M18" s="20">
        <f>IF(SUMIFS(Selections!$T$6:$T$46,Selections!$E$6:$E$46,"Double Chance 1X")=0,"n.a.",SUMIFS(Selections!$S$6:$S$46,Selections!$E$6:$E$46,"Double Chance 1X")/SUMIFS(Selections!$T$6:$T$46,Selections!$E$6:$E$46,"Double Chance 1X"))</f>
        <v>0.8246942179771811</v>
      </c>
      <c r="N18" s="20">
        <f>IF(SUMIFS(Selections!$T$6:$T$46,Selections!$E$6:$E$46,"Double Chance 1X")=0,"n.a.",(SUMIFS(Selections!$L$6:$L$46,Selections!$E$6:$E$46,"Double Chance 1X",Selections!$T$6:$T$46,1))/SUMIFS(Selections!$T$6:$T$46,Selections!$E$6:$E$46,"Double Chance 1X"))</f>
        <v>1.0</v>
      </c>
      <c r="O18" s="20">
        <f>IF(SUMIFS(Selections!$T$6:$T$46,Selections!$E$6:$E$46,"Double Chance 1X")=0,"n.a.",(SUMIFS(Selections!$S$6:$S$46,Selections!$E$6:$E$46,"Double Chance 1X")-(SUMIFS(Selections!$L$6:$L$46,Selections!$E$6:$E$46,"Double Chance 1X",Selections!$T$6:$T$46,1)))/SUMIFS(Selections!$T$6:$T$46,Selections!$E$6:$E$46,"Double Chance 1X"))</f>
        <v>-0.17530578202281888</v>
      </c>
      <c r="P18" s="19">
        <f>SUMIFS(Selections!$T$6:$T$46,Selections!$E$6:$E$46,"Double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COUNTIFS(Selections!$E$6:$E$46,"Double Chance X2")</f>
        <v>5</v>
      </c>
      <c r="D19" s="19">
        <f>(COUNTIFS(Selections!$E$6:$E$46,"Double Chance X2",Selections!$K$6:$K$46,"WON")+COUNTIFS(Selections!$E$6:$E$46,"Double Chance X2",Selections!$K$6:$K$46,"LOST"))</f>
        <v>3</v>
      </c>
      <c r="E19" s="19">
        <f>COUNTIFS(Selections!$E$6:$E$46,"Double Chance X2",Selections!$K$6:$K$46,"WON")</f>
        <v>3</v>
      </c>
      <c r="F19" s="19">
        <f>COUNTIFS(Selections!$E$6:$E$46,"Double Chance X2",Selections!$K$6:$K$46,"LOST")</f>
        <v>0</v>
      </c>
      <c r="G19" s="19">
        <f>COUNTIFS(Selections!$E$6:$E$46,"Double Chance X2")-(COUNTIFS(Selections!$E$6:$E$46,"Double Chance X2",Selections!$K$6:$K$46,"WON")+COUNTIFS(Selections!$E$6:$E$46,"Double Chance X2",Selections!$K$6:$K$46,"LOST"))</f>
        <v>2</v>
      </c>
      <c r="H19" s="20">
        <f>IF((COUNTIFS(Selections!$E$6:$E$46,"Double Chance X2",Selections!$K$6:$K$46,"WON")+COUNTIFS(Selections!$E$6:$E$46,"Double Chance X2",Selections!$K$6:$K$46,"LOST"))=0,"n.a.",COUNTIFS(Selections!$E$6:$E$46,"Double Chance X2",Selections!$K$6:$K$46,"WON")/(COUNTIFS(Selections!$E$6:$E$46,"Double Chance X2",Selections!$K$6:$K$46,"WON")+COUNTIFS(Selections!$E$6:$E$46,"Double Chance X2",Selections!$K$6:$K$46,"LOST")))</f>
        <v>1.0</v>
      </c>
      <c r="I19" s="22">
        <f>SUMIFS(Selections!$M$6:$M$46,Selections!$E$6:$E$46,"Double Chance X2")</f>
        <v>3</v>
      </c>
      <c r="J19" s="22">
        <f>SUMIFS(Selections!$N$6:$N$46,Selections!$E$6:$E$46,"Double Chance X2")</f>
        <v>1.2099999999999997</v>
      </c>
      <c r="K19" s="20">
        <f>IF(SUMIFS(Selections!$M$6:$M$46,Selections!$E$6:$E$46,"Double Chance X2")=0,"n.a.",SUMIFS(Selections!$N$6:$N$46,Selections!$E$6:$E$46,"Double Chance X2")/SUMIFS(Selections!$M$6:$M$46,Selections!$E$6:$E$46,"Double Chance X2"))</f>
        <v>0.40333333333333327</v>
      </c>
      <c r="L19" s="21">
        <f>IF(SUMIFS(Selections!$T$6:$T$46,Selections!$E$6:$E$46,"Double Chance X2")=0,"n.a.",SUMIFS(Selections!$O$6:$O$46,Selections!$E$6:$E$46,"Double Chance X2")/SUMIFS(Selections!$T$6:$T$46,Selections!$E$6:$E$46,"Double Chance X2"))</f>
        <v>0.08317421502946969</v>
      </c>
      <c r="M19" s="20">
        <f>IF(SUMIFS(Selections!$T$6:$T$46,Selections!$E$6:$E$46,"Double Chance X2")=0,"n.a.",SUMIFS(Selections!$S$6:$S$46,Selections!$E$6:$E$46,"Double Chance X2")/SUMIFS(Selections!$T$6:$T$46,Selections!$E$6:$E$46,"Double Chance X2"))</f>
        <v>0.726895137144221</v>
      </c>
      <c r="N19" s="20">
        <f>IF(SUMIFS(Selections!$T$6:$T$46,Selections!$E$6:$E$46,"Double Chance X2")=0,"n.a.",(SUMIFS(Selections!$L$6:$L$46,Selections!$E$6:$E$46,"Double Chance X2",Selections!$T$6:$T$46,1))/SUMIFS(Selections!$T$6:$T$46,Selections!$E$6:$E$46,"Double Chance X2"))</f>
        <v>1.0</v>
      </c>
      <c r="O19" s="20">
        <f>IF(SUMIFS(Selections!$T$6:$T$46,Selections!$E$6:$E$46,"Double Chance X2")=0,"n.a.",(SUMIFS(Selections!$S$6:$S$46,Selections!$E$6:$E$46,"Double Chance X2")-(SUMIFS(Selections!$L$6:$L$46,Selections!$E$6:$E$46,"Double Chance X2",Selections!$T$6:$T$46,1)))/SUMIFS(Selections!$T$6:$T$46,Selections!$E$6:$E$46,"Double Chance X2"))</f>
        <v>-0.27310486285577895</v>
      </c>
      <c r="P19" s="19">
        <f>SUMIFS(Selections!$T$6:$T$46,Selections!$E$6:$E$46,"Double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COUNTIFS(Selections!$E$6:$E$46,"Home win")</f>
        <v>6</v>
      </c>
      <c r="D20" s="19">
        <f>(COUNTIFS(Selections!$E$6:$E$46,"Home win",Selections!$K$6:$K$46,"WON")+COUNTIFS(Selections!$E$6:$E$46,"Home win",Selections!$K$6:$K$46,"LOST"))</f>
        <v>5</v>
      </c>
      <c r="E20" s="19">
        <f>COUNTIFS(Selections!$E$6:$E$46,"Home win",Selections!$K$6:$K$46,"WON")</f>
        <v>5</v>
      </c>
      <c r="F20" s="19">
        <f>COUNTIFS(Selections!$E$6:$E$46,"Home win",Selections!$K$6:$K$46,"LOST")</f>
        <v>0</v>
      </c>
      <c r="G20" s="19">
        <f>COUNTIFS(Selections!$E$6:$E$46,"Home win")-(COUNTIFS(Selections!$E$6:$E$46,"Home win",Selections!$K$6:$K$46,"WON")+COUNTIFS(Selections!$E$6:$E$46,"Home win",Selections!$K$6:$K$46,"LOST"))</f>
        <v>1</v>
      </c>
      <c r="H20" s="20">
        <f>IF((COUNTIFS(Selections!$E$6:$E$46,"Home win",Selections!$K$6:$K$46,"WON")+COUNTIFS(Selections!$E$6:$E$46,"Home win",Selections!$K$6:$K$46,"LOST"))=0,"n.a.",COUNTIFS(Selections!$E$6:$E$46,"Home win",Selections!$K$6:$K$46,"WON")/(COUNTIFS(Selections!$E$6:$E$46,"Home win",Selections!$K$6:$K$46,"WON")+COUNTIFS(Selections!$E$6:$E$46,"Home win",Selections!$K$6:$K$46,"LOST")))</f>
        <v>1.0</v>
      </c>
      <c r="I20" s="22">
        <f>SUMIFS(Selections!$M$6:$M$46,Selections!$E$6:$E$46,"Home win")</f>
        <v>5</v>
      </c>
      <c r="J20" s="22">
        <f>SUMIFS(Selections!$N$6:$N$46,Selections!$E$6:$E$46,"Home win")</f>
        <v>2.5300000000000002</v>
      </c>
      <c r="K20" s="20">
        <f>IF(SUMIFS(Selections!$M$6:$M$46,Selections!$E$6:$E$46,"Home win")=0,"n.a.",SUMIFS(Selections!$N$6:$N$46,Selections!$E$6:$E$46,"Home win")/SUMIFS(Selections!$M$6:$M$46,Selections!$E$6:$E$46,"Home win"))</f>
        <v>0.506</v>
      </c>
      <c r="L20" s="21">
        <f>IF(SUMIFS(Selections!$T$6:$T$46,Selections!$E$6:$E$46,"Home win")=0,"n.a.",SUMIFS(Selections!$O$6:$O$46,Selections!$E$6:$E$46,"Home win")/SUMIFS(Selections!$T$6:$T$46,Selections!$E$6:$E$46,"Home win"))</f>
        <v>0.08395111444229483</v>
      </c>
      <c r="M20" s="20">
        <f>IF(SUMIFS(Selections!$T$6:$T$46,Selections!$E$6:$E$46,"Home win")=0,"n.a.",SUMIFS(Selections!$S$6:$S$46,Selections!$E$6:$E$46,"Home win")/SUMIFS(Selections!$T$6:$T$46,Selections!$E$6:$E$46,"Home win"))</f>
        <v>0.717377401189973</v>
      </c>
      <c r="N20" s="20">
        <f>IF(SUMIFS(Selections!$T$6:$T$46,Selections!$E$6:$E$46,"Home win")=0,"n.a.",(SUMIFS(Selections!$L$6:$L$46,Selections!$E$6:$E$46,"Home win",Selections!$T$6:$T$46,1))/SUMIFS(Selections!$T$6:$T$46,Selections!$E$6:$E$46,"Home win"))</f>
        <v>1.0</v>
      </c>
      <c r="O20" s="20">
        <f>IF(SUMIFS(Selections!$T$6:$T$46,Selections!$E$6:$E$46,"Home win")=0,"n.a.",(SUMIFS(Selections!$S$6:$S$46,Selections!$E$6:$E$46,"Home win")-(SUMIFS(Selections!$L$6:$L$46,Selections!$E$6:$E$46,"Home win",Selections!$T$6:$T$46,1)))/SUMIFS(Selections!$T$6:$T$46,Selections!$E$6:$E$46,"Home win"))</f>
        <v>-0.28262259881002705</v>
      </c>
      <c r="P20" s="19">
        <f>SUMIFS(Selections!$T$6:$T$46,Selections!$E$6:$E$46,"Home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COUNTIFS(Selections!$E$6:$E$46,"Over 1.5")</f>
        <v>8</v>
      </c>
      <c r="D21" s="19">
        <f>(COUNTIFS(Selections!$E$6:$E$46,"Over 1.5",Selections!$K$6:$K$46,"WON")+COUNTIFS(Selections!$E$6:$E$46,"Over 1.5",Selections!$K$6:$K$46,"LOST"))</f>
        <v>6</v>
      </c>
      <c r="E21" s="19">
        <f>COUNTIFS(Selections!$E$6:$E$46,"Over 1.5",Selections!$K$6:$K$46,"WON")</f>
        <v>5</v>
      </c>
      <c r="F21" s="19">
        <f>COUNTIFS(Selections!$E$6:$E$46,"Over 1.5",Selections!$K$6:$K$46,"LOST")</f>
        <v>1</v>
      </c>
      <c r="G21" s="19">
        <f>COUNTIFS(Selections!$E$6:$E$46,"Over 1.5")-(COUNTIFS(Selections!$E$6:$E$46,"Over 1.5",Selections!$K$6:$K$46,"WON")+COUNTIFS(Selections!$E$6:$E$46,"Over 1.5",Selections!$K$6:$K$46,"LOST"))</f>
        <v>2</v>
      </c>
      <c r="H21" s="20">
        <f>IF((COUNTIFS(Selections!$E$6:$E$46,"Over 1.5",Selections!$K$6:$K$46,"WON")+COUNTIFS(Selections!$E$6:$E$46,"Over 1.5",Selections!$K$6:$K$46,"LOST"))=0,"n.a.",COUNTIFS(Selections!$E$6:$E$46,"Over 1.5",Selections!$K$6:$K$46,"WON")/(COUNTIFS(Selections!$E$6:$E$46,"Over 1.5",Selections!$K$6:$K$46,"WON")+COUNTIFS(Selections!$E$6:$E$46,"Over 1.5",Selections!$K$6:$K$46,"LOST")))</f>
        <v>0.8333333333333334</v>
      </c>
      <c r="I21" s="22">
        <f>SUMIFS(Selections!$M$6:$M$46,Selections!$E$6:$E$46,"Over 1.5")</f>
        <v>6</v>
      </c>
      <c r="J21" s="22">
        <f>SUMIFS(Selections!$N$6:$N$46,Selections!$E$6:$E$46,"Over 1.5")</f>
        <v>0.32999999999999985</v>
      </c>
      <c r="K21" s="20">
        <f>IF(SUMIFS(Selections!$M$6:$M$46,Selections!$E$6:$E$46,"Over 1.5")=0,"n.a.",SUMIFS(Selections!$N$6:$N$46,Selections!$E$6:$E$46,"Over 1.5")/SUMIFS(Selections!$M$6:$M$46,Selections!$E$6:$E$46,"Over 1.5"))</f>
        <v>0.05499999999999997</v>
      </c>
      <c r="L21" s="21">
        <f>IF(SUMIFS(Selections!$T$6:$T$46,Selections!$E$6:$E$46,"Over 1.5")=0,"n.a.",SUMIFS(Selections!$O$6:$O$46,Selections!$E$6:$E$46,"Over 1.5")/SUMIFS(Selections!$T$6:$T$46,Selections!$E$6:$E$46,"Over 1.5"))</f>
        <v>0.11632878708164611</v>
      </c>
      <c r="M21" s="20">
        <f>IF(SUMIFS(Selections!$T$6:$T$46,Selections!$E$6:$E$46,"Over 1.5")=0,"n.a.",SUMIFS(Selections!$S$6:$S$46,Selections!$E$6:$E$46,"Over 1.5")/SUMIFS(Selections!$T$6:$T$46,Selections!$E$6:$E$46,"Over 1.5"))</f>
        <v>0.8626789824199815</v>
      </c>
      <c r="N21" s="20">
        <f>IF(SUMIFS(Selections!$T$6:$T$46,Selections!$E$6:$E$46,"Over 1.5")=0,"n.a.",(SUMIFS(Selections!$L$6:$L$46,Selections!$E$6:$E$46,"Over 1.5",Selections!$T$6:$T$46,1))/SUMIFS(Selections!$T$6:$T$46,Selections!$E$6:$E$46,"Over 1.5"))</f>
        <v>0.8333333333333334</v>
      </c>
      <c r="O21" s="20">
        <f>IF(SUMIFS(Selections!$T$6:$T$46,Selections!$E$6:$E$46,"Over 1.5")=0,"n.a.",(SUMIFS(Selections!$S$6:$S$46,Selections!$E$6:$E$46,"Over 1.5")-(SUMIFS(Selections!$L$6:$L$46,Selections!$E$6:$E$46,"Over 1.5",Selections!$T$6:$T$46,1)))/SUMIFS(Selections!$T$6:$T$46,Selections!$E$6:$E$46,"Over 1.5"))</f>
        <v>0.029345649086648162</v>
      </c>
      <c r="P21" s="19">
        <f>SUMIFS(Selections!$T$6:$T$46,Selections!$E$6:$E$46,"Over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COUNTIFS(Selections!$E$6:$E$46,"Under 3.5")</f>
        <v>5</v>
      </c>
      <c r="D22" s="19">
        <f>(COUNTIFS(Selections!$E$6:$E$46,"Under 3.5",Selections!$K$6:$K$46,"WON")+COUNTIFS(Selections!$E$6:$E$46,"Under 3.5",Selections!$K$6:$K$46,"LOST"))</f>
        <v>5</v>
      </c>
      <c r="E22" s="19">
        <f>COUNTIFS(Selections!$E$6:$E$46,"Under 3.5",Selections!$K$6:$K$46,"WON")</f>
        <v>2</v>
      </c>
      <c r="F22" s="19">
        <f>COUNTIFS(Selections!$E$6:$E$46,"Under 3.5",Selections!$K$6:$K$46,"LOST")</f>
        <v>3</v>
      </c>
      <c r="G22" s="19">
        <f>COUNTIFS(Selections!$E$6:$E$46,"Under 3.5")-(COUNTIFS(Selections!$E$6:$E$46,"Under 3.5",Selections!$K$6:$K$46,"WON")+COUNTIFS(Selections!$E$6:$E$46,"Under 3.5",Selections!$K$6:$K$46,"LOST"))</f>
        <v>0</v>
      </c>
      <c r="H22" s="20">
        <f>IF((COUNTIFS(Selections!$E$6:$E$46,"Under 3.5",Selections!$K$6:$K$46,"WON")+COUNTIFS(Selections!$E$6:$E$46,"Under 3.5",Selections!$K$6:$K$46,"LOST"))=0,"n.a.",COUNTIFS(Selections!$E$6:$E$46,"Under 3.5",Selections!$K$6:$K$46,"WON")/(COUNTIFS(Selections!$E$6:$E$46,"Under 3.5",Selections!$K$6:$K$46,"WON")+COUNTIFS(Selections!$E$6:$E$46,"Under 3.5",Selections!$K$6:$K$46,"LOST")))</f>
        <v>0.4</v>
      </c>
      <c r="I22" s="22">
        <f>SUMIFS(Selections!$M$6:$M$46,Selections!$E$6:$E$46,"Under 3.5")</f>
        <v>5</v>
      </c>
      <c r="J22" s="22">
        <f>SUMIFS(Selections!$N$6:$N$46,Selections!$E$6:$E$46,"Under 3.5")</f>
        <v>-2.3</v>
      </c>
      <c r="K22" s="20">
        <f>IF(SUMIFS(Selections!$M$6:$M$46,Selections!$E$6:$E$46,"Under 3.5")=0,"n.a.",SUMIFS(Selections!$N$6:$N$46,Selections!$E$6:$E$46,"Under 3.5")/SUMIFS(Selections!$M$6:$M$46,Selections!$E$6:$E$46,"Under 3.5"))</f>
        <v>-0.45999999999999996</v>
      </c>
      <c r="L22" s="21">
        <f>IF(SUMIFS(Selections!$T$6:$T$46,Selections!$E$6:$E$46,"Under 3.5")=0,"n.a.",SUMIFS(Selections!$O$6:$O$46,Selections!$E$6:$E$46,"Under 3.5")/SUMIFS(Selections!$T$6:$T$46,Selections!$E$6:$E$46,"Under 3.5"))</f>
        <v>0.4093699233539641</v>
      </c>
      <c r="M22" s="20">
        <f>IF(SUMIFS(Selections!$T$6:$T$46,Selections!$E$6:$E$46,"Under 3.5")=0,"n.a.",SUMIFS(Selections!$S$6:$S$46,Selections!$E$6:$E$46,"Under 3.5")/SUMIFS(Selections!$T$6:$T$46,Selections!$E$6:$E$46,"Under 3.5"))</f>
        <v>0.8049432015044351</v>
      </c>
      <c r="N22" s="20">
        <f>IF(SUMIFS(Selections!$T$6:$T$46,Selections!$E$6:$E$46,"Under 3.5")=0,"n.a.",(SUMIFS(Selections!$L$6:$L$46,Selections!$E$6:$E$46,"Under 3.5",Selections!$T$6:$T$46,1))/SUMIFS(Selections!$T$6:$T$46,Selections!$E$6:$E$46,"Under 3.5"))</f>
        <v>0.4</v>
      </c>
      <c r="O22" s="20">
        <f>IF(SUMIFS(Selections!$T$6:$T$46,Selections!$E$6:$E$46,"Under 3.5")=0,"n.a.",(SUMIFS(Selections!$S$6:$S$46,Selections!$E$6:$E$46,"Under 3.5")-(SUMIFS(Selections!$L$6:$L$46,Selections!$E$6:$E$46,"Under 3.5",Selections!$T$6:$T$46,1)))/SUMIFS(Selections!$T$6:$T$46,Selections!$E$6:$E$46,"Under 3.5"))</f>
        <v>0.4049432015044351</v>
      </c>
      <c r="P22" s="19">
        <f>SUMIFS(Selections!$T$6:$T$46,Selections!$E$6:$E$46,"Under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COUNTIFS(Selections!$G$6:$G$46,"48h-top-ten-probability-ev-no-under35-v14")</f>
        <v>19</v>
      </c>
      <c r="D23" s="19">
        <f>(COUNTIFS(Selections!$G$6:$G$46,"48h-top-ten-probability-ev-no-under35-v14",Selections!$K$6:$K$46,"WON")+COUNTIFS(Selections!$G$6:$G$46,"48h-top-ten-probability-ev-no-under35-v14",Selections!$K$6:$K$46,"LOST"))</f>
        <v>7</v>
      </c>
      <c r="E23" s="19">
        <f>COUNTIFS(Selections!$G$6:$G$46,"48h-top-ten-probability-ev-no-under35-v14",Selections!$K$6:$K$46,"WON")</f>
        <v>6</v>
      </c>
      <c r="F23" s="19">
        <f>COUNTIFS(Selections!$G$6:$G$46,"48h-top-ten-probability-ev-no-under35-v14",Selections!$K$6:$K$46,"LOST")</f>
        <v>1</v>
      </c>
      <c r="G23" s="19">
        <f>COUNTIFS(Selections!$G$6:$G$46,"48h-top-ten-probability-ev-no-under35-v14")-(COUNTIFS(Selections!$G$6:$G$46,"48h-top-ten-probability-ev-no-under35-v14",Selections!$K$6:$K$46,"WON")+COUNTIFS(Selections!$G$6:$G$46,"48h-top-ten-probability-ev-no-under35-v14",Selections!$K$6:$K$46,"LOST"))</f>
        <v>12</v>
      </c>
      <c r="H23" s="20">
        <f>IF((COUNTIFS(Selections!$G$6:$G$46,"48h-top-ten-probability-ev-no-under35-v14",Selections!$K$6:$K$46,"WON")+COUNTIFS(Selections!$G$6:$G$46,"48h-top-ten-probability-ev-no-under35-v14",Selections!$K$6:$K$46,"LOST"))=0,"n.a.",COUNTIFS(Selections!$G$6:$G$46,"48h-top-ten-probability-ev-no-under35-v14",Selections!$K$6:$K$46,"WON")/(COUNTIFS(Selections!$G$6:$G$46,"48h-top-ten-probability-ev-no-under35-v14",Selections!$K$6:$K$46,"WON")+COUNTIFS(Selections!$G$6:$G$46,"48h-top-ten-probability-ev-no-under35-v14",Selections!$K$6:$K$46,"LOST")))</f>
        <v>0.8571428571428571</v>
      </c>
      <c r="I23" s="22">
        <f>SUMIFS(Selections!$M$6:$M$46,Selections!$G$6:$G$46,"48h-top-ten-probability-ev-no-under35-v14")</f>
        <v>7</v>
      </c>
      <c r="J23" s="22">
        <f>SUMIFS(Selections!$N$6:$N$46,Selections!$G$6:$G$46,"48h-top-ten-probability-ev-no-under35-v14")</f>
        <v>1.0499999999999998</v>
      </c>
      <c r="K23" s="20">
        <f>IF(SUMIFS(Selections!$M$6:$M$46,Selections!$G$6:$G$46,"48h-top-ten-probability-ev-no-under35-v14")=0,"n.a.",SUMIFS(Selections!$N$6:$N$46,Selections!$G$6:$G$46,"48h-top-ten-probability-ev-no-under35-v14")/SUMIFS(Selections!$M$6:$M$46,Selections!$G$6:$G$46,"48h-top-ten-probability-ev-no-under35-v14"))</f>
        <v>0.14999999999999997</v>
      </c>
      <c r="L23" s="21">
        <f>IF(SUMIFS(Selections!$T$6:$T$46,Selections!$G$6:$G$46,"48h-top-ten-probability-ev-no-under35-v14")=0,"n.a.",SUMIFS(Selections!$O$6:$O$46,Selections!$G$6:$G$46,"48h-top-ten-probability-ev-no-under35-v14")/SUMIFS(Selections!$T$6:$T$46,Selections!$G$6:$G$46,"48h-top-ten-probability-ev-no-under35-v14"))</f>
        <v>0.14695610816590257</v>
      </c>
      <c r="M23" s="20">
        <f>IF(SUMIFS(Selections!$T$6:$T$46,Selections!$G$6:$G$46,"48h-top-ten-probability-ev-no-under35-v14")=0,"n.a.",SUMIFS(Selections!$S$6:$S$46,Selections!$G$6:$G$46,"48h-top-ten-probability-ev-no-under35-v14")/SUMIFS(Selections!$T$6:$T$46,Selections!$G$6:$G$46,"48h-top-ten-probability-ev-no-under35-v14"))</f>
        <v>0.7493258100280961</v>
      </c>
      <c r="N23" s="20">
        <f>IF(SUMIFS(Selections!$T$6:$T$46,Selections!$G$6:$G$46,"48h-top-ten-probability-ev-no-under35-v14")=0,"n.a.",(SUMIFS(Selections!$L$6:$L$46,Selections!$G$6:$G$46,"48h-top-ten-probability-ev-no-under35-v14",Selections!$T$6:$T$46,1))/SUMIFS(Selections!$T$6:$T$46,Selections!$G$6:$G$46,"48h-top-ten-probability-ev-no-under35-v14"))</f>
        <v>0.8571428571428571</v>
      </c>
      <c r="O23" s="20">
        <f>IF(SUMIFS(Selections!$T$6:$T$46,Selections!$G$6:$G$46,"48h-top-ten-probability-ev-no-under35-v14")=0,"n.a.",(SUMIFS(Selections!$S$6:$S$46,Selections!$G$6:$G$46,"48h-top-ten-probability-ev-no-under35-v14")-(SUMIFS(Selections!$L$6:$L$46,Selections!$G$6:$G$46,"48h-top-ten-probability-ev-no-under35-v14",Selections!$T$6:$T$46,1)))/SUMIFS(Selections!$T$6:$T$46,Selections!$G$6:$G$46,"48h-top-ten-probability-ev-no-under35-v14"))</f>
        <v>-0.10781704711476103</v>
      </c>
      <c r="P23" s="19">
        <f>SUMIFS(Selections!$T$6:$T$46,Selections!$G$6:$G$46,"48h-top-ten-probability-ev-no-under35-v14")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COUNTIFS(Selections!$G$6:$G$46,"72h-all-markets-ev15-one-book-v6")</f>
        <v>1</v>
      </c>
      <c r="D24" s="19">
        <f>(COUNTIFS(Selections!$G$6:$G$46,"72h-all-markets-ev15-one-book-v6",Selections!$K$6:$K$46,"WON")+COUNTIFS(Selections!$G$6:$G$46,"72h-all-markets-ev15-one-book-v6",Selections!$K$6:$K$46,"LOST"))</f>
        <v>1</v>
      </c>
      <c r="E24" s="19">
        <f>COUNTIFS(Selections!$G$6:$G$46,"72h-all-markets-ev15-one-book-v6",Selections!$K$6:$K$46,"WON")</f>
        <v>1</v>
      </c>
      <c r="F24" s="19">
        <f>COUNTIFS(Selections!$G$6:$G$46,"72h-all-markets-ev15-one-book-v6",Selections!$K$6:$K$46,"LOST")</f>
        <v>0</v>
      </c>
      <c r="G24" s="19">
        <f>COUNTIFS(Selections!$G$6:$G$46,"72h-all-markets-ev15-one-book-v6")-(COUNTIFS(Selections!$G$6:$G$46,"72h-all-markets-ev15-one-book-v6",Selections!$K$6:$K$46,"WON")+COUNTIFS(Selections!$G$6:$G$46,"72h-all-markets-ev15-one-book-v6",Selections!$K$6:$K$46,"LOST"))</f>
        <v>0</v>
      </c>
      <c r="H24" s="20">
        <f>IF((COUNTIFS(Selections!$G$6:$G$46,"72h-all-markets-ev15-one-book-v6",Selections!$K$6:$K$46,"WON")+COUNTIFS(Selections!$G$6:$G$46,"72h-all-markets-ev15-one-book-v6",Selections!$K$6:$K$46,"LOST"))=0,"n.a.",COUNTIFS(Selections!$G$6:$G$46,"72h-all-markets-ev15-one-book-v6",Selections!$K$6:$K$46,"WON")/(COUNTIFS(Selections!$G$6:$G$46,"72h-all-markets-ev15-one-book-v6",Selections!$K$6:$K$46,"WON")+COUNTIFS(Selections!$G$6:$G$46,"72h-all-markets-ev15-one-book-v6",Selections!$K$6:$K$46,"LOST")))</f>
        <v>1.0</v>
      </c>
      <c r="I24" s="22">
        <f>SUMIFS(Selections!$M$6:$M$46,Selections!$G$6:$G$46,"72h-all-markets-ev15-one-book-v6")</f>
        <v>1</v>
      </c>
      <c r="J24" s="22">
        <f>SUMIFS(Selections!$N$6:$N$46,Selections!$G$6:$G$46,"72h-all-markets-ev15-one-book-v6")</f>
        <v>0.44999999999999996</v>
      </c>
      <c r="K24" s="20">
        <f>IF(SUMIFS(Selections!$M$6:$M$46,Selections!$G$6:$G$46,"72h-all-markets-ev15-one-book-v6")=0,"n.a.",SUMIFS(Selections!$N$6:$N$46,Selections!$G$6:$G$46,"72h-all-markets-ev15-one-book-v6")/SUMIFS(Selections!$M$6:$M$46,Selections!$G$6:$G$46,"72h-all-markets-ev15-one-book-v6"))</f>
        <v>0.44999999999999996</v>
      </c>
      <c r="L24" s="21">
        <f>IF(SUMIFS(Selections!$T$6:$T$46,Selections!$G$6:$G$46,"72h-all-markets-ev15-one-book-v6")=0,"n.a.",SUMIFS(Selections!$O$6:$O$46,Selections!$G$6:$G$46,"72h-all-markets-ev15-one-book-v6")/SUMIFS(Selections!$T$6:$T$46,Selections!$G$6:$G$46,"72h-all-markets-ev15-one-book-v6"))</f>
        <v>0.08610395019172555</v>
      </c>
      <c r="M24" s="20">
        <f>IF(SUMIFS(Selections!$T$6:$T$46,Selections!$G$6:$G$46,"72h-all-markets-ev15-one-book-v6")=0,"n.a.",SUMIFS(Selections!$S$6:$S$46,Selections!$G$6:$G$46,"72h-all-markets-ev15-one-book-v6")/SUMIFS(Selections!$T$6:$T$46,Selections!$G$6:$G$46,"72h-all-markets-ev15-one-book-v6"))</f>
        <v>0.706565253946085</v>
      </c>
      <c r="N24" s="20">
        <f>IF(SUMIFS(Selections!$T$6:$T$46,Selections!$G$6:$G$46,"72h-all-markets-ev15-one-book-v6")=0,"n.a.",(SUMIFS(Selections!$L$6:$L$46,Selections!$G$6:$G$46,"72h-all-markets-ev15-one-book-v6",Selections!$T$6:$T$46,1))/SUMIFS(Selections!$T$6:$T$46,Selections!$G$6:$G$46,"72h-all-markets-ev15-one-book-v6"))</f>
        <v>1.0</v>
      </c>
      <c r="O24" s="20">
        <f>IF(SUMIFS(Selections!$T$6:$T$46,Selections!$G$6:$G$46,"72h-all-markets-ev15-one-book-v6")=0,"n.a.",(SUMIFS(Selections!$S$6:$S$46,Selections!$G$6:$G$46,"72h-all-markets-ev15-one-book-v6")-(SUMIFS(Selections!$L$6:$L$46,Selections!$G$6:$G$46,"72h-all-markets-ev15-one-book-v6",Selections!$T$6:$T$46,1)))/SUMIFS(Selections!$T$6:$T$46,Selections!$G$6:$G$46,"72h-all-markets-ev15-one-book-v6"))</f>
        <v>-0.29343474605391495</v>
      </c>
      <c r="P24" s="19">
        <f>SUMIFS(Selections!$T$6:$T$46,Selections!$G$6:$G$46,"72h-all-markets-ev15-one-book-v6")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COUNTIFS(Selections!$G$6:$G$46,"72h-all-markets-net-ev15-execution-v7")</f>
        <v>5</v>
      </c>
      <c r="D25" s="19">
        <f>(COUNTIFS(Selections!$G$6:$G$46,"72h-all-markets-net-ev15-execution-v7",Selections!$K$6:$K$46,"WON")+COUNTIFS(Selections!$G$6:$G$46,"72h-all-markets-net-ev15-execution-v7",Selections!$K$6:$K$46,"LOST"))</f>
        <v>4</v>
      </c>
      <c r="E25" s="19">
        <f>COUNTIFS(Selections!$G$6:$G$46,"72h-all-markets-net-ev15-execution-v7",Selections!$K$6:$K$46,"WON")</f>
        <v>4</v>
      </c>
      <c r="F25" s="19">
        <f>COUNTIFS(Selections!$G$6:$G$46,"72h-all-markets-net-ev15-execution-v7",Selections!$K$6:$K$46,"LOST")</f>
        <v>0</v>
      </c>
      <c r="G25" s="19">
        <f>COUNTIFS(Selections!$G$6:$G$46,"72h-all-markets-net-ev15-execution-v7")-(COUNTIFS(Selections!$G$6:$G$46,"72h-all-markets-net-ev15-execution-v7",Selections!$K$6:$K$46,"WON")+COUNTIFS(Selections!$G$6:$G$46,"72h-all-markets-net-ev15-execution-v7",Selections!$K$6:$K$46,"LOST"))</f>
        <v>1</v>
      </c>
      <c r="H25" s="20">
        <f>IF((COUNTIFS(Selections!$G$6:$G$46,"72h-all-markets-net-ev15-execution-v7",Selections!$K$6:$K$46,"WON")+COUNTIFS(Selections!$G$6:$G$46,"72h-all-markets-net-ev15-execution-v7",Selections!$K$6:$K$46,"LOST"))=0,"n.a.",COUNTIFS(Selections!$G$6:$G$46,"72h-all-markets-net-ev15-execution-v7",Selections!$K$6:$K$46,"WON")/(COUNTIFS(Selections!$G$6:$G$46,"72h-all-markets-net-ev15-execution-v7",Selections!$K$6:$K$46,"WON")+COUNTIFS(Selections!$G$6:$G$46,"72h-all-markets-net-ev15-execution-v7",Selections!$K$6:$K$46,"LOST")))</f>
        <v>1.0</v>
      </c>
      <c r="I25" s="22">
        <f>SUMIFS(Selections!$M$6:$M$46,Selections!$G$6:$G$46,"72h-all-markets-net-ev15-execution-v7")</f>
        <v>4</v>
      </c>
      <c r="J25" s="22">
        <f>SUMIFS(Selections!$N$6:$N$46,Selections!$G$6:$G$46,"72h-all-markets-net-ev15-execution-v7")</f>
        <v>1.74</v>
      </c>
      <c r="K25" s="20">
        <f>IF(SUMIFS(Selections!$M$6:$M$46,Selections!$G$6:$G$46,"72h-all-markets-net-ev15-execution-v7")=0,"n.a.",SUMIFS(Selections!$N$6:$N$46,Selections!$G$6:$G$46,"72h-all-markets-net-ev15-execution-v7")/SUMIFS(Selections!$M$6:$M$46,Selections!$G$6:$G$46,"72h-all-markets-net-ev15-execution-v7"))</f>
        <v>0.435</v>
      </c>
      <c r="L25" s="21">
        <f>IF(SUMIFS(Selections!$T$6:$T$46,Selections!$G$6:$G$46,"72h-all-markets-net-ev15-execution-v7")=0,"n.a.",SUMIFS(Selections!$O$6:$O$46,Selections!$G$6:$G$46,"72h-all-markets-net-ev15-execution-v7")/SUMIFS(Selections!$T$6:$T$46,Selections!$G$6:$G$46,"72h-all-markets-net-ev15-execution-v7"))</f>
        <v>0.05403053120768371</v>
      </c>
      <c r="M25" s="20">
        <f>IF(SUMIFS(Selections!$T$6:$T$46,Selections!$G$6:$G$46,"72h-all-markets-net-ev15-execution-v7")=0,"n.a.",SUMIFS(Selections!$S$6:$S$46,Selections!$G$6:$G$46,"72h-all-markets-net-ev15-execution-v7")/SUMIFS(Selections!$T$6:$T$46,Selections!$G$6:$G$46,"72h-all-markets-net-ev15-execution-v7"))</f>
        <v>0.7950551078170468</v>
      </c>
      <c r="N25" s="20">
        <f>IF(SUMIFS(Selections!$T$6:$T$46,Selections!$G$6:$G$46,"72h-all-markets-net-ev15-execution-v7")=0,"n.a.",(SUMIFS(Selections!$L$6:$L$46,Selections!$G$6:$G$46,"72h-all-markets-net-ev15-execution-v7",Selections!$T$6:$T$46,1))/SUMIFS(Selections!$T$6:$T$46,Selections!$G$6:$G$46,"72h-all-markets-net-ev15-execution-v7"))</f>
        <v>1.0</v>
      </c>
      <c r="O25" s="20">
        <f>IF(SUMIFS(Selections!$T$6:$T$46,Selections!$G$6:$G$46,"72h-all-markets-net-ev15-execution-v7")=0,"n.a.",(SUMIFS(Selections!$S$6:$S$46,Selections!$G$6:$G$46,"72h-all-markets-net-ev15-execution-v7")-(SUMIFS(Selections!$L$6:$L$46,Selections!$G$6:$G$46,"72h-all-markets-net-ev15-execution-v7",Selections!$T$6:$T$46,1)))/SUMIFS(Selections!$T$6:$T$46,Selections!$G$6:$G$46,"72h-all-markets-net-ev15-execution-v7"))</f>
        <v>-0.2049448921829532</v>
      </c>
      <c r="P25" s="19">
        <f>SUMIFS(Selections!$T$6:$T$46,Selections!$G$6:$G$46,"72h-all-markets-net-ev15-execution-v7")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COUNTIFS(Selections!$G$6:$G$46,"72h-seven-markets-fresh-references-net-ev15-v11")</f>
        <v>5</v>
      </c>
      <c r="D26" s="19">
        <f>(COUNTIFS(Selections!$G$6:$G$46,"72h-seven-markets-fresh-references-net-ev15-v11",Selections!$K$6:$K$46,"WON")+COUNTIFS(Selections!$G$6:$G$46,"72h-seven-markets-fresh-references-net-ev15-v11",Selections!$K$6:$K$46,"LOST"))</f>
        <v>5</v>
      </c>
      <c r="E26" s="19">
        <f>COUNTIFS(Selections!$G$6:$G$46,"72h-seven-markets-fresh-references-net-ev15-v11",Selections!$K$6:$K$46,"WON")</f>
        <v>4</v>
      </c>
      <c r="F26" s="19">
        <f>COUNTIFS(Selections!$G$6:$G$46,"72h-seven-markets-fresh-references-net-ev15-v11",Selections!$K$6:$K$46,"LOST")</f>
        <v>1</v>
      </c>
      <c r="G26" s="19">
        <f>COUNTIFS(Selections!$G$6:$G$46,"72h-seven-markets-fresh-references-net-ev15-v11")-(COUNTIFS(Selections!$G$6:$G$46,"72h-seven-markets-fresh-references-net-ev15-v11",Selections!$K$6:$K$46,"WON")+COUNTIFS(Selections!$G$6:$G$46,"72h-seven-markets-fresh-references-net-ev15-v11",Selections!$K$6:$K$46,"LOST"))</f>
        <v>0</v>
      </c>
      <c r="H26" s="20">
        <f>IF((COUNTIFS(Selections!$G$6:$G$46,"72h-seven-markets-fresh-references-net-ev15-v11",Selections!$K$6:$K$46,"WON")+COUNTIFS(Selections!$G$6:$G$46,"72h-seven-markets-fresh-references-net-ev15-v11",Selections!$K$6:$K$46,"LOST"))=0,"n.a.",COUNTIFS(Selections!$G$6:$G$46,"72h-seven-markets-fresh-references-net-ev15-v11",Selections!$K$6:$K$46,"WON")/(COUNTIFS(Selections!$G$6:$G$46,"72h-seven-markets-fresh-references-net-ev15-v11",Selections!$K$6:$K$46,"WON")+COUNTIFS(Selections!$G$6:$G$46,"72h-seven-markets-fresh-references-net-ev15-v11",Selections!$K$6:$K$46,"LOST")))</f>
        <v>0.8</v>
      </c>
      <c r="I26" s="22">
        <f>SUMIFS(Selections!$M$6:$M$46,Selections!$G$6:$G$46,"72h-seven-markets-fresh-references-net-ev15-v11")</f>
        <v>5</v>
      </c>
      <c r="J26" s="22">
        <f>SUMIFS(Selections!$N$6:$N$46,Selections!$G$6:$G$46,"72h-seven-markets-fresh-references-net-ev15-v11")</f>
        <v>0.3600000000000001</v>
      </c>
      <c r="K26" s="20">
        <f>IF(SUMIFS(Selections!$M$6:$M$46,Selections!$G$6:$G$46,"72h-seven-markets-fresh-references-net-ev15-v11")=0,"n.a.",SUMIFS(Selections!$N$6:$N$46,Selections!$G$6:$G$46,"72h-seven-markets-fresh-references-net-ev15-v11")/SUMIFS(Selections!$M$6:$M$46,Selections!$G$6:$G$46,"72h-seven-markets-fresh-references-net-ev15-v11"))</f>
        <v>0.07200000000000002</v>
      </c>
      <c r="L26" s="21">
        <f>IF(SUMIFS(Selections!$T$6:$T$46,Selections!$G$6:$G$46,"72h-seven-markets-fresh-references-net-ev15-v11")=0,"n.a.",SUMIFS(Selections!$O$6:$O$46,Selections!$G$6:$G$46,"72h-seven-markets-fresh-references-net-ev15-v11")/SUMIFS(Selections!$T$6:$T$46,Selections!$G$6:$G$46,"72h-seven-markets-fresh-references-net-ev15-v11"))</f>
        <v>0.12900891729637554</v>
      </c>
      <c r="M26" s="20">
        <f>IF(SUMIFS(Selections!$T$6:$T$46,Selections!$G$6:$G$46,"72h-seven-markets-fresh-references-net-ev15-v11")=0,"n.a.",SUMIFS(Selections!$S$6:$S$46,Selections!$G$6:$G$46,"72h-seven-markets-fresh-references-net-ev15-v11")/SUMIFS(Selections!$T$6:$T$46,Selections!$G$6:$G$46,"72h-seven-markets-fresh-references-net-ev15-v11"))</f>
        <v>0.7527708085856005</v>
      </c>
      <c r="N26" s="20">
        <f>IF(SUMIFS(Selections!$T$6:$T$46,Selections!$G$6:$G$46,"72h-seven-markets-fresh-references-net-ev15-v11")=0,"n.a.",(SUMIFS(Selections!$L$6:$L$46,Selections!$G$6:$G$46,"72h-seven-markets-fresh-references-net-ev15-v11",Selections!$T$6:$T$46,1))/SUMIFS(Selections!$T$6:$T$46,Selections!$G$6:$G$46,"72h-seven-markets-fresh-references-net-ev15-v11"))</f>
        <v>0.8</v>
      </c>
      <c r="O26" s="20">
        <f>IF(SUMIFS(Selections!$T$6:$T$46,Selections!$G$6:$G$46,"72h-seven-markets-fresh-references-net-ev15-v11")=0,"n.a.",(SUMIFS(Selections!$S$6:$S$46,Selections!$G$6:$G$46,"72h-seven-markets-fresh-references-net-ev15-v11")-(SUMIFS(Selections!$L$6:$L$46,Selections!$G$6:$G$46,"72h-seven-markets-fresh-references-net-ev15-v11",Selections!$T$6:$T$46,1)))/SUMIFS(Selections!$T$6:$T$46,Selections!$G$6:$G$46,"72h-seven-markets-fresh-references-net-ev15-v11"))</f>
        <v>-0.04722919141439952</v>
      </c>
      <c r="P26" s="19">
        <f>SUMIFS(Selections!$T$6:$T$46,Selections!$G$6:$G$46,"72h-seven-markets-fresh-references-net-ev15-v11")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COUNTIFS(Selections!$G$6:$G$46,"72h-ucl-v2")</f>
        <v>1</v>
      </c>
      <c r="D27" s="19">
        <f>(COUNTIFS(Selections!$G$6:$G$46,"72h-ucl-v2",Selections!$K$6:$K$46,"WON")+COUNTIFS(Selections!$G$6:$G$46,"72h-ucl-v2",Selections!$K$6:$K$46,"LOST"))</f>
        <v>1</v>
      </c>
      <c r="E27" s="19">
        <f>COUNTIFS(Selections!$G$6:$G$46,"72h-ucl-v2",Selections!$K$6:$K$46,"WON")</f>
        <v>1</v>
      </c>
      <c r="F27" s="19">
        <f>COUNTIFS(Selections!$G$6:$G$46,"72h-ucl-v2",Selections!$K$6:$K$46,"LOST")</f>
        <v>0</v>
      </c>
      <c r="G27" s="19">
        <f>COUNTIFS(Selections!$G$6:$G$46,"72h-ucl-v2")-(COUNTIFS(Selections!$G$6:$G$46,"72h-ucl-v2",Selections!$K$6:$K$46,"WON")+COUNTIFS(Selections!$G$6:$G$46,"72h-ucl-v2",Selections!$K$6:$K$46,"LOST"))</f>
        <v>0</v>
      </c>
      <c r="H27" s="20">
        <f>IF((COUNTIFS(Selections!$G$6:$G$46,"72h-ucl-v2",Selections!$K$6:$K$46,"WON")+COUNTIFS(Selections!$G$6:$G$46,"72h-ucl-v2",Selections!$K$6:$K$46,"LOST"))=0,"n.a.",COUNTIFS(Selections!$G$6:$G$46,"72h-ucl-v2",Selections!$K$6:$K$46,"WON")/(COUNTIFS(Selections!$G$6:$G$46,"72h-ucl-v2",Selections!$K$6:$K$46,"WON")+COUNTIFS(Selections!$G$6:$G$46,"72h-ucl-v2",Selections!$K$6:$K$46,"LOST")))</f>
        <v>1.0</v>
      </c>
      <c r="I27" s="22">
        <f>SUMIFS(Selections!$M$6:$M$46,Selections!$G$6:$G$46,"72h-ucl-v2")</f>
        <v>1</v>
      </c>
      <c r="J27" s="22">
        <f>SUMIFS(Selections!$N$6:$N$46,Selections!$G$6:$G$46,"72h-ucl-v2")</f>
        <v>0.28</v>
      </c>
      <c r="K27" s="20">
        <f>IF(SUMIFS(Selections!$M$6:$M$46,Selections!$G$6:$G$46,"72h-ucl-v2")=0,"n.a.",SUMIFS(Selections!$N$6:$N$46,Selections!$G$6:$G$46,"72h-ucl-v2")/SUMIFS(Selections!$M$6:$M$46,Selections!$G$6:$G$46,"72h-ucl-v2"))</f>
        <v>0.28</v>
      </c>
      <c r="L27" s="21">
        <f>IF(SUMIFS(Selections!$T$6:$T$46,Selections!$G$6:$G$46,"72h-ucl-v2")=0,"n.a.",SUMIFS(Selections!$O$6:$O$46,Selections!$G$6:$G$46,"72h-ucl-v2")/SUMIFS(Selections!$T$6:$T$46,Selections!$G$6:$G$46,"72h-ucl-v2"))</f>
        <v>0.041442876272802645</v>
      </c>
      <c r="M27" s="20">
        <f>IF(SUMIFS(Selections!$T$6:$T$46,Selections!$G$6:$G$46,"72h-ucl-v2")=0,"n.a.",SUMIFS(Selections!$S$6:$S$46,Selections!$G$6:$G$46,"72h-ucl-v2")/SUMIFS(Selections!$T$6:$T$46,Selections!$G$6:$G$46,"72h-ucl-v2"))</f>
        <v>0.7964247650798294</v>
      </c>
      <c r="N27" s="20">
        <f>IF(SUMIFS(Selections!$T$6:$T$46,Selections!$G$6:$G$46,"72h-ucl-v2")=0,"n.a.",(SUMIFS(Selections!$L$6:$L$46,Selections!$G$6:$G$46,"72h-ucl-v2",Selections!$T$6:$T$46,1))/SUMIFS(Selections!$T$6:$T$46,Selections!$G$6:$G$46,"72h-ucl-v2"))</f>
        <v>1.0</v>
      </c>
      <c r="O27" s="20">
        <f>IF(SUMIFS(Selections!$T$6:$T$46,Selections!$G$6:$G$46,"72h-ucl-v2")=0,"n.a.",(SUMIFS(Selections!$S$6:$S$46,Selections!$G$6:$G$46,"72h-ucl-v2")-(SUMIFS(Selections!$L$6:$L$46,Selections!$G$6:$G$46,"72h-ucl-v2",Selections!$T$6:$T$46,1)))/SUMIFS(Selections!$T$6:$T$46,Selections!$G$6:$G$46,"72h-ucl-v2"))</f>
        <v>-0.2035752349201706</v>
      </c>
      <c r="P27" s="19">
        <f>SUMIFS(Selections!$T$6:$T$46,Selections!$G$6:$G$46,"72h-ucl-v2")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COUNTIFS(Selections!$G$6:$G$46,"72h-ucl-v3")</f>
        <v>7</v>
      </c>
      <c r="D28" s="19">
        <f>(COUNTIFS(Selections!$G$6:$G$46,"72h-ucl-v3",Selections!$K$6:$K$46,"WON")+COUNTIFS(Selections!$G$6:$G$46,"72h-ucl-v3",Selections!$K$6:$K$46,"LOST"))</f>
        <v>6</v>
      </c>
      <c r="E28" s="19">
        <f>COUNTIFS(Selections!$G$6:$G$46,"72h-ucl-v3",Selections!$K$6:$K$46,"WON")</f>
        <v>3</v>
      </c>
      <c r="F28" s="19">
        <f>COUNTIFS(Selections!$G$6:$G$46,"72h-ucl-v3",Selections!$K$6:$K$46,"LOST")</f>
        <v>3</v>
      </c>
      <c r="G28" s="19">
        <f>COUNTIFS(Selections!$G$6:$G$46,"72h-ucl-v3")-(COUNTIFS(Selections!$G$6:$G$46,"72h-ucl-v3",Selections!$K$6:$K$46,"WON")+COUNTIFS(Selections!$G$6:$G$46,"72h-ucl-v3",Selections!$K$6:$K$46,"LOST"))</f>
        <v>1</v>
      </c>
      <c r="H28" s="20">
        <f>IF((COUNTIFS(Selections!$G$6:$G$46,"72h-ucl-v3",Selections!$K$6:$K$46,"WON")+COUNTIFS(Selections!$G$6:$G$46,"72h-ucl-v3",Selections!$K$6:$K$46,"LOST"))=0,"n.a.",COUNTIFS(Selections!$G$6:$G$46,"72h-ucl-v3",Selections!$K$6:$K$46,"WON")/(COUNTIFS(Selections!$G$6:$G$46,"72h-ucl-v3",Selections!$K$6:$K$46,"WON")+COUNTIFS(Selections!$G$6:$G$46,"72h-ucl-v3",Selections!$K$6:$K$46,"LOST")))</f>
        <v>0.5</v>
      </c>
      <c r="I28" s="22">
        <f>SUMIFS(Selections!$M$6:$M$46,Selections!$G$6:$G$46,"72h-ucl-v3")</f>
        <v>6</v>
      </c>
      <c r="J28" s="22">
        <f>SUMIFS(Selections!$N$6:$N$46,Selections!$G$6:$G$46,"72h-ucl-v3")</f>
        <v>-1.7100000000000002</v>
      </c>
      <c r="K28" s="20">
        <f>IF(SUMIFS(Selections!$M$6:$M$46,Selections!$G$6:$G$46,"72h-ucl-v3")=0,"n.a.",SUMIFS(Selections!$N$6:$N$46,Selections!$G$6:$G$46,"72h-ucl-v3")/SUMIFS(Selections!$M$6:$M$46,Selections!$G$6:$G$46,"72h-ucl-v3"))</f>
        <v>-0.28500000000000003</v>
      </c>
      <c r="L28" s="21">
        <f>IF(SUMIFS(Selections!$T$6:$T$46,Selections!$G$6:$G$46,"72h-ucl-v3")=0,"n.a.",SUMIFS(Selections!$O$6:$O$46,Selections!$G$6:$G$46,"72h-ucl-v3")/SUMIFS(Selections!$T$6:$T$46,Selections!$G$6:$G$46,"72h-ucl-v3"))</f>
        <v>0.3538657630451178</v>
      </c>
      <c r="M28" s="20">
        <f>IF(SUMIFS(Selections!$T$6:$T$46,Selections!$G$6:$G$46,"72h-ucl-v3")=0,"n.a.",SUMIFS(Selections!$S$6:$S$46,Selections!$G$6:$G$46,"72h-ucl-v3")/SUMIFS(Selections!$T$6:$T$46,Selections!$G$6:$G$46,"72h-ucl-v3"))</f>
        <v>0.7987491501653422</v>
      </c>
      <c r="N28" s="20">
        <f>IF(SUMIFS(Selections!$T$6:$T$46,Selections!$G$6:$G$46,"72h-ucl-v3")=0,"n.a.",(SUMIFS(Selections!$L$6:$L$46,Selections!$G$6:$G$46,"72h-ucl-v3",Selections!$T$6:$T$46,1))/SUMIFS(Selections!$T$6:$T$46,Selections!$G$6:$G$46,"72h-ucl-v3"))</f>
        <v>0.5</v>
      </c>
      <c r="O28" s="20">
        <f>IF(SUMIFS(Selections!$T$6:$T$46,Selections!$G$6:$G$46,"72h-ucl-v3")=0,"n.a.",(SUMIFS(Selections!$S$6:$S$46,Selections!$G$6:$G$46,"72h-ucl-v3")-(SUMIFS(Selections!$L$6:$L$46,Selections!$G$6:$G$46,"72h-ucl-v3",Selections!$T$6:$T$46,1)))/SUMIFS(Selections!$T$6:$T$46,Selections!$G$6:$G$46,"72h-ucl-v3"))</f>
        <v>0.2987491501653422</v>
      </c>
      <c r="P28" s="19">
        <f>SUMIFS(Selections!$T$6:$T$46,Selections!$G$6:$G$46,"72h-ucl-v3")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COUNTIFS(Selections!$G$6:$G$46,"legacy/unspecified")</f>
        <v>3</v>
      </c>
      <c r="D29" s="19">
        <f>(COUNTIFS(Selections!$G$6:$G$46,"legacy/unspecified",Selections!$K$6:$K$46,"WON")+COUNTIFS(Selections!$G$6:$G$46,"legacy/unspecified",Selections!$K$6:$K$46,"LOST"))</f>
        <v>2</v>
      </c>
      <c r="E29" s="19">
        <f>COUNTIFS(Selections!$G$6:$G$46,"legacy/unspecified",Selections!$K$6:$K$46,"WON")</f>
        <v>2</v>
      </c>
      <c r="F29" s="19">
        <f>COUNTIFS(Selections!$G$6:$G$46,"legacy/unspecified",Selections!$K$6:$K$46,"LOST")</f>
        <v>0</v>
      </c>
      <c r="G29" s="19">
        <f>COUNTIFS(Selections!$G$6:$G$46,"legacy/unspecified")-(COUNTIFS(Selections!$G$6:$G$46,"legacy/unspecified",Selections!$K$6:$K$46,"WON")+COUNTIFS(Selections!$G$6:$G$46,"legacy/unspecified",Selections!$K$6:$K$46,"LOST"))</f>
        <v>1</v>
      </c>
      <c r="H29" s="20">
        <f>IF((COUNTIFS(Selections!$G$6:$G$46,"legacy/unspecified",Selections!$K$6:$K$46,"WON")+COUNTIFS(Selections!$G$6:$G$46,"legacy/unspecified",Selections!$K$6:$K$46,"LOST"))=0,"n.a.",COUNTIFS(Selections!$G$6:$G$46,"legacy/unspecified",Selections!$K$6:$K$46,"WON")/(COUNTIFS(Selections!$G$6:$G$46,"legacy/unspecified",Selections!$K$6:$K$46,"WON")+COUNTIFS(Selections!$G$6:$G$46,"legacy/unspecified",Selections!$K$6:$K$46,"LOST")))</f>
        <v>1.0</v>
      </c>
      <c r="I29" s="22">
        <f>SUMIFS(Selections!$M$6:$M$46,Selections!$G$6:$G$46,"legacy/unspecified")</f>
        <v>2</v>
      </c>
      <c r="J29" s="22">
        <f>SUMIFS(Selections!$N$6:$N$46,Selections!$G$6:$G$46,"legacy/unspecified")</f>
        <v>0.6399999999999999</v>
      </c>
      <c r="K29" s="20">
        <f>IF(SUMIFS(Selections!$M$6:$M$46,Selections!$G$6:$G$46,"legacy/unspecified")=0,"n.a.",SUMIFS(Selections!$N$6:$N$46,Selections!$G$6:$G$46,"legacy/unspecified")/SUMIFS(Selections!$M$6:$M$46,Selections!$G$6:$G$46,"legacy/unspecified"))</f>
        <v>0.31999999999999995</v>
      </c>
      <c r="L29" s="21">
        <f>IF(SUMIFS(Selections!$T$6:$T$46,Selections!$G$6:$G$46,"legacy/unspecified")=0,"n.a.",SUMIFS(Selections!$O$6:$O$46,Selections!$G$6:$G$46,"legacy/unspecified")/SUMIFS(Selections!$T$6:$T$46,Selections!$G$6:$G$46,"legacy/unspecified"))</f>
        <v>0.022741501209119913</v>
      </c>
      <c r="M29" s="20">
        <f>IF(SUMIFS(Selections!$T$6:$T$46,Selections!$G$6:$G$46,"legacy/unspecified")=0,"n.a.",SUMIFS(Selections!$S$6:$S$46,Selections!$G$6:$G$46,"legacy/unspecified")/SUMIFS(Selections!$T$6:$T$46,Selections!$G$6:$G$46,"legacy/unspecified"))</f>
        <v>0.8612313600870412</v>
      </c>
      <c r="N29" s="20">
        <f>IF(SUMIFS(Selections!$T$6:$T$46,Selections!$G$6:$G$46,"legacy/unspecified")=0,"n.a.",(SUMIFS(Selections!$L$6:$L$46,Selections!$G$6:$G$46,"legacy/unspecified",Selections!$T$6:$T$46,1))/SUMIFS(Selections!$T$6:$T$46,Selections!$G$6:$G$46,"legacy/unspecified"))</f>
        <v>1.0</v>
      </c>
      <c r="O29" s="20">
        <f>IF(SUMIFS(Selections!$T$6:$T$46,Selections!$G$6:$G$46,"legacy/unspecified")=0,"n.a.",(SUMIFS(Selections!$S$6:$S$46,Selections!$G$6:$G$46,"legacy/unspecified")-(SUMIFS(Selections!$L$6:$L$46,Selections!$G$6:$G$46,"legacy/unspecified",Selections!$T$6:$T$46,1)))/SUMIFS(Selections!$T$6:$T$46,Selections!$G$6:$G$46,"legacy/unspecified"))</f>
        <v>-0.13876863991295885</v>
      </c>
      <c r="P29" s="19">
        <f>SUMIFS(Selections!$T$6:$T$46,Selections!$G$6:$G$46,"legacy/unspecified")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COUNTIFS(Selections!$P$6:$P$46,"2026-W41")</f>
        <v>5</v>
      </c>
      <c r="D30" s="19">
        <f>(COUNTIFS(Selections!$P$6:$P$46,"2026-W41",Selections!$K$6:$K$46,"WON")+COUNTIFS(Selections!$P$6:$P$46,"2026-W41",Selections!$K$6:$K$46,"LOST"))</f>
        <v>4</v>
      </c>
      <c r="E30" s="19">
        <f>COUNTIFS(Selections!$P$6:$P$46,"2026-W41",Selections!$K$6:$K$46,"WON")</f>
        <v>2</v>
      </c>
      <c r="F30" s="19">
        <f>COUNTIFS(Selections!$P$6:$P$46,"2026-W41",Selections!$K$6:$K$46,"LOST")</f>
        <v>2</v>
      </c>
      <c r="G30" s="19">
        <f>COUNTIFS(Selections!$P$6:$P$46,"2026-W41")-(COUNTIFS(Selections!$P$6:$P$46,"2026-W41",Selections!$K$6:$K$46,"WON")+COUNTIFS(Selections!$P$6:$P$46,"2026-W41",Selections!$K$6:$K$46,"LOST"))</f>
        <v>1</v>
      </c>
      <c r="H30" s="20">
        <f>IF((COUNTIFS(Selections!$P$6:$P$46,"2026-W41",Selections!$K$6:$K$46,"WON")+COUNTIFS(Selections!$P$6:$P$46,"2026-W41",Selections!$K$6:$K$46,"LOST"))=0,"n.a.",COUNTIFS(Selections!$P$6:$P$46,"2026-W41",Selections!$K$6:$K$46,"WON")/(COUNTIFS(Selections!$P$6:$P$46,"2026-W41",Selections!$K$6:$K$46,"WON")+COUNTIFS(Selections!$P$6:$P$46,"2026-W41",Selections!$K$6:$K$46,"LOST")))</f>
        <v>0.5</v>
      </c>
      <c r="I30" s="22">
        <f>SUMIFS(Selections!$M$6:$M$46,Selections!$P$6:$P$46,"2026-W41")</f>
        <v>4</v>
      </c>
      <c r="J30" s="22">
        <f>SUMIFS(Selections!$N$6:$N$46,Selections!$P$6:$P$46,"2026-W41")</f>
        <v>-1.48</v>
      </c>
      <c r="K30" s="20">
        <f>IF(SUMIFS(Selections!$M$6:$M$46,Selections!$P$6:$P$46,"2026-W41")=0,"n.a.",SUMIFS(Selections!$N$6:$N$46,Selections!$P$6:$P$46,"2026-W41")/SUMIFS(Selections!$M$6:$M$46,Selections!$P$6:$P$46,"2026-W41"))</f>
        <v>-0.37</v>
      </c>
      <c r="L30" s="21">
        <f>IF(SUMIFS(Selections!$T$6:$T$46,Selections!$P$6:$P$46,"2026-W41")=0,"n.a.",SUMIFS(Selections!$O$6:$O$46,Selections!$P$6:$P$46,"2026-W41")/SUMIFS(Selections!$T$6:$T$46,Selections!$P$6:$P$46,"2026-W41"))</f>
        <v>0.32924630276534106</v>
      </c>
      <c r="M30" s="20">
        <f>IF(SUMIFS(Selections!$T$6:$T$46,Selections!$P$6:$P$46,"2026-W41")=0,"n.a.",SUMIFS(Selections!$S$6:$S$46,Selections!$P$6:$P$46,"2026-W41")/SUMIFS(Selections!$T$6:$T$46,Selections!$P$6:$P$46,"2026-W41"))</f>
        <v>0.8212200676021444</v>
      </c>
      <c r="N30" s="20">
        <f>IF(SUMIFS(Selections!$T$6:$T$46,Selections!$P$6:$P$46,"2026-W41")=0,"n.a.",(SUMIFS(Selections!$L$6:$L$46,Selections!$P$6:$P$46,"2026-W41",Selections!$T$6:$T$46,1))/SUMIFS(Selections!$T$6:$T$46,Selections!$P$6:$P$46,"2026-W41"))</f>
        <v>0.5</v>
      </c>
      <c r="O30" s="20">
        <f>IF(SUMIFS(Selections!$T$6:$T$46,Selections!$P$6:$P$46,"2026-W41")=0,"n.a.",(SUMIFS(Selections!$S$6:$S$46,Selections!$P$6:$P$46,"2026-W41")-(SUMIFS(Selections!$L$6:$L$46,Selections!$P$6:$P$46,"2026-W41",Selections!$T$6:$T$46,1)))/SUMIFS(Selections!$T$6:$T$46,Selections!$P$6:$P$46,"2026-W41"))</f>
        <v>0.3212200676021444</v>
      </c>
      <c r="P30" s="19">
        <f>SUMIFS(Selections!$T$6:$T$46,Selections!$P$6:$P$46,"2026-W41")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COUNTIFS(Selections!$P$6:$P$46,"2026-W42")</f>
        <v>24</v>
      </c>
      <c r="D31" s="19">
        <f>(COUNTIFS(Selections!$P$6:$P$46,"2026-W42",Selections!$K$6:$K$46,"WON")+COUNTIFS(Selections!$P$6:$P$46,"2026-W42",Selections!$K$6:$K$46,"LOST"))</f>
        <v>22</v>
      </c>
      <c r="E31" s="19">
        <f>COUNTIFS(Selections!$P$6:$P$46,"2026-W42",Selections!$K$6:$K$46,"WON")</f>
        <v>19</v>
      </c>
      <c r="F31" s="19">
        <f>COUNTIFS(Selections!$P$6:$P$46,"2026-W42",Selections!$K$6:$K$46,"LOST")</f>
        <v>3</v>
      </c>
      <c r="G31" s="19">
        <f>COUNTIFS(Selections!$P$6:$P$46,"2026-W42")-(COUNTIFS(Selections!$P$6:$P$46,"2026-W42",Selections!$K$6:$K$46,"WON")+COUNTIFS(Selections!$P$6:$P$46,"2026-W42",Selections!$K$6:$K$46,"LOST"))</f>
        <v>2</v>
      </c>
      <c r="H31" s="20">
        <f>IF((COUNTIFS(Selections!$P$6:$P$46,"2026-W42",Selections!$K$6:$K$46,"WON")+COUNTIFS(Selections!$P$6:$P$46,"2026-W42",Selections!$K$6:$K$46,"LOST"))=0,"n.a.",COUNTIFS(Selections!$P$6:$P$46,"2026-W42",Selections!$K$6:$K$46,"WON")/(COUNTIFS(Selections!$P$6:$P$46,"2026-W42",Selections!$K$6:$K$46,"WON")+COUNTIFS(Selections!$P$6:$P$46,"2026-W42",Selections!$K$6:$K$46,"LOST")))</f>
        <v>0.8636363636363636</v>
      </c>
      <c r="I31" s="22">
        <f>SUMIFS(Selections!$M$6:$M$46,Selections!$P$6:$P$46,"2026-W42")</f>
        <v>22</v>
      </c>
      <c r="J31" s="22">
        <f>SUMIFS(Selections!$N$6:$N$46,Selections!$P$6:$P$46,"2026-W42")</f>
        <v>4.289999999999999</v>
      </c>
      <c r="K31" s="20">
        <f>IF(SUMIFS(Selections!$M$6:$M$46,Selections!$P$6:$P$46,"2026-W42")=0,"n.a.",SUMIFS(Selections!$N$6:$N$46,Selections!$P$6:$P$46,"2026-W42")/SUMIFS(Selections!$M$6:$M$46,Selections!$P$6:$P$46,"2026-W42"))</f>
        <v>0.19499999999999995</v>
      </c>
      <c r="L31" s="21">
        <f>IF(SUMIFS(Selections!$T$6:$T$46,Selections!$P$6:$P$46,"2026-W42")=0,"n.a.",SUMIFS(Selections!$O$6:$O$46,Selections!$P$6:$P$46,"2026-W42")/SUMIFS(Selections!$T$6:$T$46,Selections!$P$6:$P$46,"2026-W42"))</f>
        <v>0.13041357566209277</v>
      </c>
      <c r="M31" s="20">
        <f>IF(SUMIFS(Selections!$T$6:$T$46,Selections!$P$6:$P$46,"2026-W42")=0,"n.a.",SUMIFS(Selections!$S$6:$S$46,Selections!$P$6:$P$46,"2026-W42")/SUMIFS(Selections!$T$6:$T$46,Selections!$P$6:$P$46,"2026-W42"))</f>
        <v>0.7692010233716516</v>
      </c>
      <c r="N31" s="20">
        <f>IF(SUMIFS(Selections!$T$6:$T$46,Selections!$P$6:$P$46,"2026-W42")=0,"n.a.",(SUMIFS(Selections!$L$6:$L$46,Selections!$P$6:$P$46,"2026-W42",Selections!$T$6:$T$46,1))/SUMIFS(Selections!$T$6:$T$46,Selections!$P$6:$P$46,"2026-W42"))</f>
        <v>0.8636363636363636</v>
      </c>
      <c r="O31" s="20">
        <f>IF(SUMIFS(Selections!$T$6:$T$46,Selections!$P$6:$P$46,"2026-W42")=0,"n.a.",(SUMIFS(Selections!$S$6:$S$46,Selections!$P$6:$P$46,"2026-W42")-(SUMIFS(Selections!$L$6:$L$46,Selections!$P$6:$P$46,"2026-W42",Selections!$T$6:$T$46,1)))/SUMIFS(Selections!$T$6:$T$46,Selections!$P$6:$P$46,"2026-W42"))</f>
        <v>-0.09443534026471201</v>
      </c>
      <c r="P31" s="19">
        <f>SUMIFS(Selections!$T$6:$T$46,Selections!$P$6:$P$46,"2026-W42")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COUNTIFS(Selections!$P$6:$P$46,"2026-W43")</f>
        <v>12</v>
      </c>
      <c r="D32" s="19">
        <f>(COUNTIFS(Selections!$P$6:$P$46,"2026-W43",Selections!$K$6:$K$46,"WON")+COUNTIFS(Selections!$P$6:$P$46,"2026-W43",Selections!$K$6:$K$46,"LOST"))</f>
        <v>0</v>
      </c>
      <c r="E32" s="19">
        <f>COUNTIFS(Selections!$P$6:$P$46,"2026-W43",Selections!$K$6:$K$46,"WON")</f>
        <v>0</v>
      </c>
      <c r="F32" s="19">
        <f>COUNTIFS(Selections!$P$6:$P$46,"2026-W43",Selections!$K$6:$K$46,"LOST")</f>
        <v>0</v>
      </c>
      <c r="G32" s="19">
        <f>COUNTIFS(Selections!$P$6:$P$46,"2026-W43")-(COUNTIFS(Selections!$P$6:$P$46,"2026-W43",Selections!$K$6:$K$46,"WON")+COUNTIFS(Selections!$P$6:$P$46,"2026-W43",Selections!$K$6:$K$46,"LOST"))</f>
        <v>12</v>
      </c>
      <c r="H32" s="20" t="str">
        <f>IF((COUNTIFS(Selections!$P$6:$P$46,"2026-W43",Selections!$K$6:$K$46,"WON")+COUNTIFS(Selections!$P$6:$P$46,"2026-W43",Selections!$K$6:$K$46,"LOST"))=0,"n.a.",COUNTIFS(Selections!$P$6:$P$46,"2026-W43",Selections!$K$6:$K$46,"WON")/(COUNTIFS(Selections!$P$6:$P$46,"2026-W43",Selections!$K$6:$K$46,"WON")+COUNTIFS(Selections!$P$6:$P$46,"2026-W43",Selections!$K$6:$K$46,"LOST")))</f>
        <v>n.a.</v>
      </c>
      <c r="I32" s="22">
        <f>SUMIFS(Selections!$M$6:$M$46,Selections!$P$6:$P$46,"2026-W43")</f>
        <v>0</v>
      </c>
      <c r="J32" s="22">
        <f>SUMIFS(Selections!$N$6:$N$46,Selections!$P$6:$P$46,"2026-W43")</f>
        <v>0</v>
      </c>
      <c r="K32" s="20" t="str">
        <f>IF(SUMIFS(Selections!$M$6:$M$46,Selections!$P$6:$P$46,"2026-W43")=0,"n.a.",SUMIFS(Selections!$N$6:$N$46,Selections!$P$6:$P$46,"2026-W43")/SUMIFS(Selections!$M$6:$M$46,Selections!$P$6:$P$46,"2026-W43"))</f>
        <v>n.a.</v>
      </c>
      <c r="L32" s="21" t="str">
        <f>IF(SUMIFS(Selections!$T$6:$T$46,Selections!$P$6:$P$46,"2026-W43")=0,"n.a.",SUMIFS(Selections!$O$6:$O$46,Selections!$P$6:$P$46,"2026-W43")/SUMIFS(Selections!$T$6:$T$46,Selections!$P$6:$P$46,"2026-W43"))</f>
        <v>n.a.</v>
      </c>
      <c r="M32" s="20" t="str">
        <f>IF(SUMIFS(Selections!$T$6:$T$46,Selections!$P$6:$P$46,"2026-W43")=0,"n.a.",SUMIFS(Selections!$S$6:$S$46,Selections!$P$6:$P$46,"2026-W43")/SUMIFS(Selections!$T$6:$T$46,Selections!$P$6:$P$46,"2026-W43"))</f>
        <v>n.a.</v>
      </c>
      <c r="N32" s="20" t="str">
        <f>IF(SUMIFS(Selections!$T$6:$T$46,Selections!$P$6:$P$46,"2026-W43")=0,"n.a.",(SUMIFS(Selections!$L$6:$L$46,Selections!$P$6:$P$46,"2026-W43",Selections!$T$6:$T$46,1))/SUMIFS(Selections!$T$6:$T$46,Selections!$P$6:$P$46,"2026-W43"))</f>
        <v>n.a.</v>
      </c>
      <c r="O32" s="20" t="str">
        <f>IF(SUMIFS(Selections!$T$6:$T$46,Selections!$P$6:$P$46,"2026-W43")=0,"n.a.",(SUMIFS(Selections!$S$6:$S$46,Selections!$P$6:$P$46,"2026-W43")-(SUMIFS(Selections!$L$6:$L$46,Selections!$P$6:$P$46,"2026-W43",Selections!$T$6:$T$46,1)))/SUMIFS(Selections!$T$6:$T$46,Selections!$P$6:$P$46,"2026-W43"))</f>
        <v>n.a.</v>
      </c>
      <c r="P32" s="19">
        <f>SUMIFS(Selections!$T$6:$T$46,Selections!$P$6:$P$46,"2026-W43")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COUNTIFS(Selections!$S$6:$S$46,"&gt;="&amp;B6,Selections!$S$6:$S$46,"&lt;"&amp;C6,Selections!$T$6:$T$46,1)</f>
        <v>0</v>
      </c>
      <c r="E6" s="20" t="str">
        <f>IF(D6=0,"n.a.",SUMIFS(Selections!$S$6:$S$46,Selections!$S$6:$S$46,"&gt;="&amp;B6,Selections!$S$6:$S$46,"&lt;"&amp;C6,Selections!$T$6:$T$46,1)/D6)</f>
        <v>n.a.</v>
      </c>
      <c r="F6" s="20" t="str">
        <f>IF(D6=0,"n.a.",SUMIFS(Selections!$L$6:$L$46,Selections!$S$6:$S$46,"&gt;="&amp;B6,Selections!$S$6:$S$46,"&lt;"&amp;C6,Selections!$T$6:$T$46,1)/D6)</f>
        <v>n.a.</v>
      </c>
      <c r="G6" s="20" t="str">
        <f>IF(D6=0,"n.a.",E6-F6)</f>
        <v>n.a.</v>
      </c>
      <c r="H6" s="21" t="str">
        <f>IF(D6=0,"n.a.",SUMIFS(Selections!$O$6:$O$46,Selections!$S$6:$S$46,"&gt;="&amp;B6,Selections!$S$6:$S$46,"&lt;"&amp;C6,Selections!$T$6:$T$46,1)/D6)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COUNTIFS(Selections!$S$6:$S$46,"&gt;="&amp;B7,Selections!$S$6:$S$46,"&lt;"&amp;C7,Selections!$T$6:$T$46,1)</f>
        <v>0</v>
      </c>
      <c r="E7" s="20" t="str">
        <f>IF(D7=0,"n.a.",SUMIFS(Selections!$S$6:$S$46,Selections!$S$6:$S$46,"&gt;="&amp;B7,Selections!$S$6:$S$46,"&lt;"&amp;C7,Selections!$T$6:$T$46,1)/D7)</f>
        <v>n.a.</v>
      </c>
      <c r="F7" s="20" t="str">
        <f>IF(D7=0,"n.a.",SUMIFS(Selections!$L$6:$L$46,Selections!$S$6:$S$46,"&gt;="&amp;B7,Selections!$S$6:$S$46,"&lt;"&amp;C7,Selections!$T$6:$T$46,1)/D7)</f>
        <v>n.a.</v>
      </c>
      <c r="G7" s="20" t="str">
        <f>IF(D7=0,"n.a.",E7-F7)</f>
        <v>n.a.</v>
      </c>
      <c r="H7" s="21" t="str">
        <f>IF(D7=0,"n.a.",SUMIFS(Selections!$O$6:$O$46,Selections!$S$6:$S$46,"&gt;="&amp;B7,Selections!$S$6:$S$46,"&lt;"&amp;C7,Selections!$T$6:$T$46,1)/D7)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COUNTIFS(Selections!$S$6:$S$46,"&gt;="&amp;B8,Selections!$S$6:$S$46,"&lt;"&amp;C8,Selections!$T$6:$T$46,1)</f>
        <v>5</v>
      </c>
      <c r="E8" s="20">
        <f>IF(D8=0,"n.a.",SUMIFS(Selections!$S$6:$S$46,Selections!$S$6:$S$46,"&gt;="&amp;B8,Selections!$S$6:$S$46,"&lt;"&amp;C8,Selections!$T$6:$T$46,1)/D8)</f>
        <v>0.652956145664078</v>
      </c>
      <c r="F8" s="20">
        <f>IF(D8=0,"n.a.",SUMIFS(Selections!$L$6:$L$46,Selections!$S$6:$S$46,"&gt;="&amp;B8,Selections!$S$6:$S$46,"&lt;"&amp;C8,Selections!$T$6:$T$46,1)/D8)</f>
        <v>0.8</v>
      </c>
      <c r="G8" s="20">
        <f>IF(D8=0,"n.a.",E8-F8)</f>
        <v>-0.14704385433592204</v>
      </c>
      <c r="H8" s="21">
        <f>IF(D8=0,"n.a.",SUMIFS(Selections!$O$6:$O$46,Selections!$S$6:$S$46,"&gt;="&amp;B8,Selections!$S$6:$S$46,"&lt;"&amp;C8,Selections!$T$6:$T$46,1)/D8)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COUNTIFS(Selections!$S$6:$S$46,"&gt;="&amp;B9,Selections!$S$6:$S$46,"&lt;"&amp;C9,Selections!$T$6:$T$46,1)</f>
        <v>10</v>
      </c>
      <c r="E9" s="20">
        <f>IF(D9=0,"n.a.",SUMIFS(Selections!$S$6:$S$46,Selections!$S$6:$S$46,"&gt;="&amp;B9,Selections!$S$6:$S$46,"&lt;"&amp;C9,Selections!$T$6:$T$46,1)/D9)</f>
        <v>0.7555864760496519</v>
      </c>
      <c r="F9" s="20">
        <f>IF(D9=0,"n.a.",SUMIFS(Selections!$L$6:$L$46,Selections!$S$6:$S$46,"&gt;="&amp;B9,Selections!$S$6:$S$46,"&lt;"&amp;C9,Selections!$T$6:$T$46,1)/D9)</f>
        <v>0.8</v>
      </c>
      <c r="G9" s="20">
        <f>IF(D9=0,"n.a.",E9-F9)</f>
        <v>-0.044413523950348144</v>
      </c>
      <c r="H9" s="21">
        <f>IF(D9=0,"n.a.",SUMIFS(Selections!$O$6:$O$46,Selections!$S$6:$S$46,"&gt;="&amp;B9,Selections!$S$6:$S$46,"&lt;"&amp;C9,Selections!$T$6:$T$46,1)/D9)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COUNTIFS(Selections!$S$6:$S$46,"&gt;="&amp;B10,Selections!$S$6:$S$46,"&lt;"&amp;C10,Selections!$T$6:$T$46,1)</f>
        <v>9</v>
      </c>
      <c r="E10" s="20">
        <f>IF(D10=0,"n.a.",SUMIFS(Selections!$S$6:$S$46,Selections!$S$6:$S$46,"&gt;="&amp;B10,Selections!$S$6:$S$46,"&lt;"&amp;C10,Selections!$T$6:$T$46,1)/D10)</f>
        <v>0.835660279924899</v>
      </c>
      <c r="F10" s="20">
        <f>IF(D10=0,"n.a.",SUMIFS(Selections!$L$6:$L$46,Selections!$S$6:$S$46,"&gt;="&amp;B10,Selections!$S$6:$S$46,"&lt;"&amp;C10,Selections!$T$6:$T$46,1)/D10)</f>
        <v>0.7777777777777778</v>
      </c>
      <c r="G10" s="20">
        <f>IF(D10=0,"n.a.",E10-F10)</f>
        <v>0.057882502147121206</v>
      </c>
      <c r="H10" s="21">
        <f>IF(D10=0,"n.a.",SUMIFS(Selections!$O$6:$O$46,Selections!$S$6:$S$46,"&gt;="&amp;B10,Selections!$S$6:$S$46,"&lt;"&amp;C10,Selections!$T$6:$T$46,1)/D10)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COUNTIFS(Selections!$S$6:$S$46,"&gt;="&amp;B11,Selections!$S$6:$S$46,"&lt;"&amp;C11,Selections!$T$6:$T$46,1)</f>
        <v>2</v>
      </c>
      <c r="E11" s="20">
        <f>IF(D11=0,"n.a.",SUMIFS(Selections!$S$6:$S$46,Selections!$S$6:$S$46,"&gt;="&amp;B11,Selections!$S$6:$S$46,"&lt;"&amp;C11,Selections!$T$6:$T$46,1)/D11)</f>
        <v>0.9328573882219562</v>
      </c>
      <c r="F11" s="20">
        <f>IF(D11=0,"n.a.",SUMIFS(Selections!$L$6:$L$46,Selections!$S$6:$S$46,"&gt;="&amp;B11,Selections!$S$6:$S$46,"&lt;"&amp;C11,Selections!$T$6:$T$46,1)/D11)</f>
        <v>1.0</v>
      </c>
      <c r="G11" s="20">
        <f>IF(D11=0,"n.a.",E11-F11)</f>
        <v>-0.06714261177804381</v>
      </c>
      <c r="H11" s="21">
        <f>IF(D11=0,"n.a.",SUMIFS(Selections!$O$6:$O$46,Selections!$S$6:$S$46,"&gt;="&amp;B11,Selections!$S$6:$S$46,"&lt;"&amp;C11,Selections!$T$6:$T$46,1)/D11)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f7295b8c0c24a17c573629dd27429b0b04eadbc1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0.6784386194112084</v>
      </c>
      <c r="I36" s="22">
        <v>1.53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ca1e126489f9dedd7d4f5072a6bfa57835dec39c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2026-10-19T12:08:39.172353+00:00</t>
        </is>
      </c>
      <c r="W36" t="inlineStr" s="18">
        <is>
          <t>2026-10-19T13:00:42Z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League|fenerbahce|slavia prague|2026-10-20</t>
        </is>
      </c>
      <c r="B38" s="23">
        <v>46315.697916666664</v>
      </c>
      <c r="C38" s="18" t="inlineStr">
        <is>
          <t>UEFA Champions League</t>
        </is>
      </c>
      <c r="D38" s="18" t="inlineStr">
        <is>
          <t>Fenerbahce vs Slavia Praha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48h-top-ten-probability-ev-no-under35-v14</t>
        </is>
      </c>
      <c r="H38" s="20">
        <v>0.555897002263917</v>
      </c>
      <c r="I38" s="22">
        <v>2.23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ca1e126489f9dedd7d4f5072a6bfa57835dec39c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2026-10-19T12:08:39.172353+00:00</t>
        </is>
      </c>
      <c r="W38" t="inlineStr" s="18">
        <is>
          <t>2026-10-19T13:00:42Z</t>
        </is>
      </c>
    </row>
    <row r="39" ht="36" customHeight="1">
      <c r="A39" s="18" t="inlineStr">
        <is>
          <t>UEFA Champions League|sabah fk|borussia dortmund|2026-10-20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Sabah FK vs Borussia Dortmund</t>
        </is>
      </c>
      <c r="E39" s="18" t="inlineStr">
        <is>
          <t>Double Chance 12</t>
        </is>
      </c>
      <c r="F39" s="18" t="inlineStr">
        <is>
          <t>PROVISIONAL</t>
        </is>
      </c>
      <c r="G39" s="18" t="inlineStr">
        <is>
          <t>48h-top-ten-probability-ev-no-under35-v14</t>
        </is>
      </c>
      <c r="H39" s="20">
        <v>0.8354175248475373</v>
      </c>
      <c r="I39" s="22">
        <v>1.15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ca1e126489f9dedd7d4f5072a6bfa57835dec39c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2026-10-19T12:08:39.172353+00:00</t>
        </is>
      </c>
      <c r="W39" t="inlineStr" s="18">
        <is>
          <t>2026-10-19T13:00:42Z</t>
        </is>
      </c>
    </row>
    <row r="40" ht="36" customHeight="1">
      <c r="A40" s="18" t="inlineStr">
        <is>
          <t>UEFA Champions League|as roma|sk slovan bratislava|2026-10-20</t>
        </is>
      </c>
      <c r="B40" s="23">
        <v>46315.791666666664</v>
      </c>
      <c r="C40" s="18" t="inlineStr">
        <is>
          <t>UEFA Champions League</t>
        </is>
      </c>
      <c r="D40" s="18" t="inlineStr">
        <is>
          <t>AS Roma vs ŠK Slovan Bratislava</t>
        </is>
      </c>
      <c r="E40" s="18" t="inlineStr">
        <is>
          <t>Both Teams to Score - Yes</t>
        </is>
      </c>
      <c r="F40" s="18" t="inlineStr">
        <is>
          <t>PROVISIONAL</t>
        </is>
      </c>
      <c r="G40" s="18" t="inlineStr">
        <is>
          <t>48h-top-ten-probability-ev-no-under35-v14</t>
        </is>
      </c>
      <c r="H40" s="20">
        <v>0.7099183585128597</v>
      </c>
      <c r="I40" s="22">
        <v>1.81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ca1e126489f9dedd7d4f5072a6bfa57835dec39c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2026-10-19T12:08:39.172353+00:00</t>
        </is>
      </c>
      <c r="W40" t="inlineStr" s="18">
        <is>
          <t>2026-10-19T13:00:42Z</t>
        </is>
      </c>
    </row>
    <row r="41" ht="36" customHeight="1">
      <c r="A41" s="18" t="inlineStr">
        <is>
          <t>UEFA Champions League|liverpool|villarreal|2026-10-20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Liverpool vs Villarreal</t>
        </is>
      </c>
      <c r="E41" s="18" t="inlineStr">
        <is>
          <t>Double Chance 12</t>
        </is>
      </c>
      <c r="F41" s="18" t="inlineStr">
        <is>
          <t>PROVISIONAL</t>
        </is>
      </c>
      <c r="G41" s="18" t="inlineStr">
        <is>
          <t>48h-top-ten-probability-ev-no-under35-v14</t>
        </is>
      </c>
      <c r="H41" s="20">
        <v>0.8518420716141538</v>
      </c>
      <c r="I41" s="22">
        <v>1.21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ca1e126489f9dedd7d4f5072a6bfa57835dec39c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2026-10-19T12:08:39.172353+00:00</t>
        </is>
      </c>
      <c r="W41" t="inlineStr" s="18">
        <is>
          <t>2026-10-19T13:00:42Z</t>
        </is>
      </c>
    </row>
    <row r="42" ht="36" customHeight="1">
      <c r="A42" s="18" t="inlineStr">
        <is>
          <t>UEFA Champions League|man city|aek athens|2026-10-20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Manchester City vs AEK Athens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48h-top-ten-probability-ev-no-under35-v14</t>
        </is>
      </c>
      <c r="H42" s="20">
        <v>0.9102740231060544</v>
      </c>
      <c r="I42" s="22">
        <v>1.01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ca1e126489f9dedd7d4f5072a6bfa57835dec39c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2026-10-19T12:08:39.172353+00:00</t>
        </is>
      </c>
      <c r="W42" t="inlineStr" s="18">
        <is>
          <t>2026-10-19T13:00:42Z</t>
        </is>
      </c>
    </row>
    <row r="43" ht="36" customHeight="1">
      <c r="A43" s="18" t="inlineStr">
        <is>
          <t>UEFA Champions League|napoli|bod glimt|2026-10-20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Napoli vs Bodø/Glimt</t>
        </is>
      </c>
      <c r="E43" s="18" t="inlineStr">
        <is>
          <t>Double Chance 12</t>
        </is>
      </c>
      <c r="F43" s="18" t="inlineStr">
        <is>
          <t>PROVISIONAL</t>
        </is>
      </c>
      <c r="G43" s="18" t="inlineStr">
        <is>
          <t>48h-top-ten-probability-ev-no-under35-v14</t>
        </is>
      </c>
      <c r="H43" s="20">
        <v>0.7872562837592109</v>
      </c>
      <c r="I43" s="22">
        <v>1.23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ca1e126489f9dedd7d4f5072a6bfa57835dec39c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2026-10-19T12:08:39.172353+00:00</t>
        </is>
      </c>
      <c r="W43" t="inlineStr" s="18">
        <is>
          <t>2026-10-19T13:00:42Z</t>
        </is>
      </c>
    </row>
    <row r="44" ht="36" customHeight="1">
      <c r="A44" s="18" t="inlineStr">
        <is>
          <t>UEFA Champions League|paris sg|barcelona|2026-10-20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Paris Saint Germain vs Barcelona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48h-top-ten-probability-ev-no-under35-v14</t>
        </is>
      </c>
      <c r="H44" s="20">
        <v>0.8326006112526709</v>
      </c>
      <c r="I44" s="22">
        <v>1.24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ca1e126489f9dedd7d4f5072a6bfa57835dec39c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2026-10-19T12:08:39.172353+00:00</t>
        </is>
      </c>
      <c r="W44" t="inlineStr" s="18">
        <is>
          <t>2026-10-19T13:00:42Z</t>
        </is>
      </c>
    </row>
    <row r="45" ht="36" customHeight="1">
      <c r="A45" s="18" t="inlineStr">
        <is>
          <t>UEFA Champions League|porto|psv|2026-10-20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Porto vs PSV Eindhoven</t>
        </is>
      </c>
      <c r="E45" s="18" t="inlineStr">
        <is>
          <t>Double Chance 12</t>
        </is>
      </c>
      <c r="F45" s="18" t="inlineStr">
        <is>
          <t>PROVISIONAL</t>
        </is>
      </c>
      <c r="G45" s="18" t="inlineStr">
        <is>
          <t>48h-top-ten-probability-ev-no-under35-v14</t>
        </is>
      </c>
      <c r="H45" s="20">
        <v>0.802254983294598</v>
      </c>
      <c r="I45" s="22">
        <v>1.23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ca1e126489f9dedd7d4f5072a6bfa57835dec39c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2026-10-19T12:08:39.172353+00:00</t>
        </is>
      </c>
      <c r="W45" t="inlineStr" s="18">
        <is>
          <t>2026-10-19T13:00:42Z</t>
        </is>
      </c>
    </row>
    <row r="46" ht="36" customHeight="1">
      <c r="A46" s="18" t="inlineStr">
        <is>
          <t>UEFA Champions League|vfb stuttgart|ath madrid|2026-10-20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VfB Stuttgart vs Atlético Madrid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48h-top-ten-probability-ev-no-under35-v14</t>
        </is>
      </c>
      <c r="H46" s="20">
        <v>0.7786219889759226</v>
      </c>
      <c r="I46" s="22">
        <v>1.29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ca1e126489f9dedd7d4f5072a6bfa57835dec39c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2026-10-19T12:08:39.172353+00:00</t>
        </is>
      </c>
      <c r="W46" t="inlineStr" s="18">
        <is>
          <t>2026-10-19T13:00:42Z</t>
        </is>
      </c>
    </row>
  </sheetData>
  <mergeCells count="2">
    <mergeCell ref="B2:W2"/>
    <mergeCell ref="B4:W4"/>
  </mergeCells>
  <conditionalFormatting sqref="K6:K4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0.34782608695652173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18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18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19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19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19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19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18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18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COUNTIFS(Selections!$P$6:$P$46,A6,Selections!$M$6:$M$46,"&gt;0")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COUNTIFS(Selections!$P$6:$P$46,A7,Selections!$M$6:$M$46,"&gt;0")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COUNTIFS(Selections!$P$6:$P$46,A8,Selections!$M$6:$M$46,"&gt;0")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41</v>
      </c>
      <c r="B8" s="19">
        <v>26</v>
      </c>
      <c r="C8" s="19">
        <v>21</v>
      </c>
      <c r="D8" s="19">
        <v>5</v>
      </c>
      <c r="E8" s="19">
        <v>15</v>
      </c>
      <c r="F8" s="20">
        <v>0.807692</v>
      </c>
      <c r="G8" s="20">
        <v>0.108077</v>
      </c>
      <c r="H8" s="19">
        <v>2.81</v>
      </c>
      <c r="I8" s="19">
        <v>34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0</v>
      </c>
      <c r="E44" s="19">
        <v>0</v>
      </c>
      <c r="F44" s="20"/>
      <c r="G44" s="20"/>
      <c r="H44" s="18"/>
      <c r="I44" s="19">
        <v>10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0</v>
      </c>
      <c r="E45" s="19">
        <v>0</v>
      </c>
      <c r="F45" s="20"/>
      <c r="G45" s="20"/>
      <c r="H45" s="18"/>
      <c r="I45" s="19">
        <v>10</v>
      </c>
    </row>
    <row r="48">
      <c r="A48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8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2026-10-19T15:46:16.388566+00:00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12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12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0</v>
      </c>
    </row>
    <row r="35" ht="44" customHeight="1">
      <c r="A35" s="18" t="inlineStr">
        <is>
          <t>Upcoming kickoff count</t>
        </is>
      </c>
      <c r="B35" s="19">
        <v>10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24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24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20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19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17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17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38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38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11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3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NOT_INSTALLED</t>
        </is>
      </c>
    </row>
    <row r="97" ht="44" customHeight="1">
      <c r="A97" s="18" t="inlineStr">
        <is>
          <t>PyYAML</t>
        </is>
      </c>
      <c r="B97" s="18" t="inlineStr">
        <is>
          <t>NOT_INSTALLED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</sheetData>
  <autoFilter ref="A5:H43"/>
  <mergeCells count="2">
    <mergeCell ref="A2:H2"/>
    <mergeCell ref="A4:H4"/>
  </mergeCells>
</worksheet>
</file>