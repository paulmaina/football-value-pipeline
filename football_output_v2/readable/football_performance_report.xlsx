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10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10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0.5424825611764706</v>
      </c>
      <c r="C17" s="18"/>
      <c r="D17" s="18" t="inlineStr">
        <is>
          <t>Over 1.5</t>
        </is>
      </c>
      <c r="E17" s="18">
        <f>COUNT(Predictions!J6:J136)</f>
        <v>34</v>
      </c>
      <c r="F17" s="20">
        <f>IF(E17=0,"n.a.",AVERAGE(Predictions!J6:J136))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COUNT(Predictions!K6:K136)</f>
        <v>34</v>
      </c>
      <c r="F18" s="20">
        <f>IF(E18=0,"n.a.",AVERAGE(Predictions!K6:K136))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COUNT(Predictions!L6:L136)</f>
        <v>34</v>
      </c>
      <c r="F19" s="20">
        <f>IF(E19=0,"n.a.",AVERAGE(Predictions!L6:L136))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34</v>
      </c>
      <c r="F20" s="20">
        <f>IF(E20=0,"n.a.",AVERAGE(Predictions!M6:M136))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2026-10-14T21:43:01.812557+00:00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21:11:21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11</v>
      </c>
      <c r="E6" s="19">
        <f>COUNTIFS(Selections!$K$6:$K$26,"WON")</f>
        <v>8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10</v>
      </c>
      <c r="H6" s="20">
        <f>IF((COUNTIFS(Selections!$K$6:$K$26,"WON")+COUNTIFS(Selections!$K$6:$K$26,"LOST"))=0,"n.a.",COUNTIFS(Selections!$K$6:$K$26,"WON")/(COUNTIFS(Selections!$K$6:$K$26,"WON")+COUNTIFS(Selections!$K$6:$K$26,"LOST")))</f>
        <v>0.7272727272727273</v>
      </c>
      <c r="I6" s="22">
        <f>SUM(Selections!$M$6:$M$26)</f>
        <v>11</v>
      </c>
      <c r="J6" s="22">
        <f>SUM(Selections!$N$6:$N$26)</f>
        <v>0.10999999999999988</v>
      </c>
      <c r="K6" s="20">
        <f>IF(SUM(Selections!$M$6:$M$26)=0,"n.a.",SUM(Selections!$N$6:$N$26)/SUM(Selections!$M$6:$M$26))</f>
        <v>0.009999999999999988</v>
      </c>
      <c r="L6" s="21">
        <f>IF(SUM(Selections!$T$6:$T$26)=0,"n.a.",SUM(Selections!$O$6:$O$26)/SUM(Selections!$T$6:$T$26))</f>
        <v>0.21593196515478594</v>
      </c>
      <c r="M6" s="20">
        <f>IF(SUM(Selections!$T$6:$T$26)=0,"n.a.",SUM(Selections!$S$6:$S$26)/SUM(Selections!$T$6:$T$26))</f>
        <v>0.8012982506537586</v>
      </c>
      <c r="N6" s="20">
        <f>IF(SUM(Selections!$T$6:$T$26)=0,"n.a.",(SUMIFS(Selections!$L$6:$L$26,Selections!$T$6:$T$26,1))/SUM(Selections!$T$6:$T$26))</f>
        <v>0.7272727272727273</v>
      </c>
      <c r="O6" s="20">
        <f>IF(SUM(Selections!$T$6:$T$26)=0,"n.a.",(SUM(Selections!$S$6:$S$26)-(SUMIFS(Selections!$L$6:$L$26,Selections!$T$6:$T$26,1)))/SUM(Selections!$T$6:$T$26))</f>
        <v>0.0740255233810313</v>
      </c>
      <c r="P6" s="19">
        <f>SUM(Selections!$T$6:$T$26)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6</v>
      </c>
      <c r="E7" s="19">
        <f>COUNTIFS(Selections!$F$6:$F$26,"STRICT",Selections!$K$6:$K$26,"WON")</f>
        <v>6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5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6</v>
      </c>
      <c r="J7" s="22">
        <f>SUMIFS(Selections!$N$6:$N$26,Selections!$F$6:$F$26,"STRICT")</f>
        <v>2.59</v>
      </c>
      <c r="K7" s="20">
        <f>IF(SUMIFS(Selections!$M$6:$M$26,Selections!$F$6:$F$26,"STRICT")=0,"n.a.",SUMIFS(Selections!$N$6:$N$26,Selections!$F$6:$F$26,"STRICT")/SUMIFS(Selections!$M$6:$M$26,Selections!$F$6:$F$26,"STRICT"))</f>
        <v>0.43166666666666664</v>
      </c>
      <c r="L7" s="21">
        <f>IF(SUMIFS(Selections!$T$6:$T$26,Selections!$F$6:$F$26,"STRICT")=0,"n.a.",SUMIFS(Selections!$O$6:$O$26,Selections!$F$6:$F$26,"STRICT")/SUMIFS(Selections!$T$6:$T$26,Selections!$F$6:$F$26,"STRICT"))</f>
        <v>0.05977136033853501</v>
      </c>
      <c r="M7" s="20">
        <f>IF(SUMIFS(Selections!$T$6:$T$26,Selections!$F$6:$F$26,"STRICT")=0,"n.a.",SUMIFS(Selections!$S$6:$S$26,Selections!$F$6:$F$26,"STRICT")/SUMIFS(Selections!$T$6:$T$26,Selections!$F$6:$F$26,"STRICT"))</f>
        <v>0.7821551913450109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-0.21784480865498912</v>
      </c>
      <c r="P7" s="19">
        <f>SUMIFS(Selections!$T$6:$T$26,Selections!$F$6:$F$26,"STRICT")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4</v>
      </c>
      <c r="E12" s="19">
        <f>COUNTIFS(Selections!$C$6:$C$26,"UEFA Champions League",Selections!$K$6:$K$26,"WON")</f>
        <v>4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1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4</v>
      </c>
      <c r="J12" s="22">
        <f>SUMIFS(Selections!$N$6:$N$26,Selections!$C$6:$C$26,"UEFA Champions League")</f>
        <v>1.6199999999999999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0.40499999999999997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0.052539426004397115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0.8071634401961396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-0.19283655980386039</v>
      </c>
      <c r="P12" s="19">
        <f>SUMIFS(Selections!$T$6:$T$26,Selections!$C$6:$C$26,"UEFA Champions League")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2</v>
      </c>
      <c r="E15" s="19">
        <f>COUNTIFS(Selections!$E$6:$E$26,"Home win",Selections!$K$6:$K$26,"WON")</f>
        <v>2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2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2</v>
      </c>
      <c r="J15" s="22">
        <f>SUMIFS(Selections!$N$6:$N$26,Selections!$E$6:$E$26,"Home win")</f>
        <v>1.3699999999999999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0.6849999999999999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0.10707453570041733</v>
      </c>
      <c r="M15" s="20">
        <f>IF(SUMIFS(Selections!$T$6:$T$26,Selections!$E$6:$E$26,"Home win")=0,"n.a.",SUMIFS(Selections!$S$6:$S$26,Selections!$E$6:$E$26,"Home win")/SUMIFS(Selections!$T$6:$T$26,Selections!$E$6:$E$26,"Home win"))</f>
        <v>0.672911773109177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-0.32708822689082295</v>
      </c>
      <c r="P15" s="19">
        <f>SUMIFS(Selections!$T$6:$T$26,Selections!$E$6:$E$26,"Home win")</f>
        <v>2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4</v>
      </c>
      <c r="E16" s="19">
        <f>COUNTIFS(Selections!$E$6:$E$26,"Over 1.5",Selections!$K$6:$K$26,"WON")</f>
        <v>4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5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4</v>
      </c>
      <c r="J16" s="22">
        <f>SUMIFS(Selections!$N$6:$N$26,Selections!$E$6:$E$26,"Over 1.5")</f>
        <v>0.97</v>
      </c>
      <c r="K16" s="20">
        <f>IF(SUMIFS(Selections!$M$6:$M$26,Selections!$E$6:$E$26,"Over 1.5")=0,"n.a.",SUMIFS(Selections!$N$6:$N$26,Selections!$E$6:$E$26,"Over 1.5")/SUMIFS(Selections!$M$6:$M$26,Selections!$E$6:$E$26,"Over 1.5"))</f>
        <v>0.2425</v>
      </c>
      <c r="L16" s="21">
        <f>IF(SUMIFS(Selections!$T$6:$T$26,Selections!$E$6:$E$26,"Over 1.5")=0,"n.a.",SUMIFS(Selections!$O$6:$O$26,Selections!$E$6:$E$26,"Over 1.5")/SUMIFS(Selections!$T$6:$T$26,Selections!$E$6:$E$26,"Over 1.5"))</f>
        <v>0.0169853040409397</v>
      </c>
      <c r="M16" s="20">
        <f>IF(SUMIFS(Selections!$T$6:$T$26,Selections!$E$6:$E$26,"Over 1.5")=0,"n.a.",SUMIFS(Selections!$S$6:$S$26,Selections!$E$6:$E$26,"Over 1.5")/SUMIFS(Selections!$T$6:$T$26,Selections!$E$6:$E$26,"Over 1.5"))</f>
        <v>0.8852457097818759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-0.11475429021812411</v>
      </c>
      <c r="P16" s="19">
        <f>SUMIFS(Selections!$T$6:$T$26,Selections!$E$6:$E$26,"Over 1.5")</f>
        <v>4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6</v>
      </c>
      <c r="E19" s="19">
        <f>COUNTIFS(Selections!$G$6:$G$26,"72h-ucl-v3",Selections!$K$6:$K$26,"WON")</f>
        <v>5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2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0.8333333333333334</v>
      </c>
      <c r="I19" s="22">
        <f>SUMIFS(Selections!$M$6:$M$26,Selections!$G$6:$G$26,"72h-ucl-v3")</f>
        <v>6</v>
      </c>
      <c r="J19" s="22">
        <f>SUMIFS(Selections!$N$6:$N$26,Selections!$G$6:$G$26,"72h-ucl-v3")</f>
        <v>0.96</v>
      </c>
      <c r="K19" s="20">
        <f>IF(SUMIFS(Selections!$M$6:$M$26,Selections!$G$6:$G$26,"72h-ucl-v3")=0,"n.a.",SUMIFS(Selections!$N$6:$N$26,Selections!$G$6:$G$26,"72h-ucl-v3")/SUMIFS(Selections!$M$6:$M$26,Selections!$G$6:$G$26,"72h-ucl-v3"))</f>
        <v>0.16</v>
      </c>
      <c r="L19" s="21">
        <f>IF(SUMIFS(Selections!$T$6:$T$26,Selections!$G$6:$G$26,"72h-ucl-v3")=0,"n.a.",SUMIFS(Selections!$O$6:$O$26,Selections!$G$6:$G$26,"72h-ucl-v3")/SUMIFS(Selections!$T$6:$T$26,Selections!$G$6:$G$26,"72h-ucl-v3"))</f>
        <v>0.13798221541257352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0.7942949268394889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0.8333333333333334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-0.03903840649384449</v>
      </c>
      <c r="P19" s="19">
        <f>SUMIFS(Selections!$T$6:$T$26,Selections!$G$6:$G$26,"72h-ucl-v3")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7</v>
      </c>
      <c r="E22" s="19">
        <f>COUNTIFS(Selections!$P$6:$P$26,"2026-W42",Selections!$K$6:$K$26,"WON")</f>
        <v>6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8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0.8571428571428571</v>
      </c>
      <c r="I22" s="22">
        <f>SUMIFS(Selections!$M$6:$M$26,Selections!$P$6:$P$26,"2026-W42")</f>
        <v>7</v>
      </c>
      <c r="J22" s="22">
        <f>SUMIFS(Selections!$N$6:$N$26,Selections!$P$6:$P$26,"2026-W42")</f>
        <v>1.5899999999999999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0.22714285714285712</v>
      </c>
      <c r="L22" s="21">
        <f>IF(SUMIFS(Selections!$T$6:$T$26,Selections!$P$6:$P$26,"2026-W42")=0,"n.a.",SUMIFS(Selections!$O$6:$O$26,Selections!$P$6:$P$26,"2026-W42")/SUMIFS(Selections!$T$6:$T$26,Selections!$P$6:$P$26,"2026-W42"))</f>
        <v>0.15125537835041344</v>
      </c>
      <c r="M22" s="20">
        <f>IF(SUMIFS(Selections!$T$6:$T$26,Selections!$P$6:$P$26,"2026-W42")=0,"n.a.",SUMIFS(Selections!$S$6:$S$26,Selections!$P$6:$P$26,"2026-W42")/SUMIFS(Selections!$T$6:$T$26,Selections!$P$6:$P$26,"2026-W42"))</f>
        <v>0.7899552115061251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0.8571428571428571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-0.06718764563673196</v>
      </c>
      <c r="P22" s="19">
        <f>SUMIFS(Selections!$T$6:$T$26,Selections!$P$6:$P$26,"2026-W42")</f>
        <v>7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(n=7).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2</v>
      </c>
      <c r="E8" s="20">
        <f>IF(D8=0,"n.a.",SUMIFS(Selections!$S$6:$S$26,Selections!$S$6:$S$26,"&gt;="&amp;B8,Selections!$S$6:$S$26,"&lt;"&amp;C8,Selections!$T$6:$T$26,1)/D8)</f>
        <v>0.672911773109177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-0.32708822689082295</v>
      </c>
      <c r="H8" s="21">
        <f>IF(D8=0,"n.a.",SUMIFS(Selections!$O$6:$O$26,Selections!$S$6:$S$26,"&gt;="&amp;B8,Selections!$S$6:$S$26,"&lt;"&amp;C8,Selections!$T$6:$T$26,1)/D8)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2</v>
      </c>
      <c r="E11" s="20">
        <f>IF(D11=0,"n.a.",SUMIFS(Selections!$S$6:$S$26,Selections!$S$6:$S$26,"&gt;="&amp;B11,Selections!$S$6:$S$26,"&lt;"&amp;C11,Selections!$T$6:$T$26,1)/D11)</f>
        <v>0.9297203731151685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-0.07027962688483147</v>
      </c>
      <c r="H11" s="21">
        <f>IF(D11=0,"n.a.",SUMIFS(Selections!$O$6:$O$26,Selections!$S$6:$S$26,"&gt;="&amp;B11,Selections!$S$6:$S$26,"&lt;"&amp;C11,Selections!$T$6:$T$26,1)/D11)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7.0</v>
      </c>
      <c r="C7" s="19">
        <f>COUNTIFS(Selections!$P$6:$P$26,A7,Selections!$M$6:$M$26,"&gt;0")</f>
        <v>7.0</v>
      </c>
      <c r="D7" s="22">
        <f>IF(C7=0,"n.a.",Breakdowns!J22)</f>
        <v>1.5899999999999999</v>
      </c>
      <c r="E7" s="22">
        <f>IF(SUM($C$6:C7)=0,"n.a.",SUM($D$6:D7))</f>
        <v>0.10999999999999988</v>
      </c>
      <c r="F7" s="20">
        <f>Breakdowns!H22</f>
        <v>0.8571428571428571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0.10999999999999988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2026-10-14T21:43:01.812557+00:00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25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3</v>
      </c>
      <c r="E57" s="20">
        <v>0.35999999999999993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3</v>
      </c>
      <c r="E58" s="20">
        <v>0.35999999999999993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3</v>
      </c>
      <c r="E61" s="20">
        <v>0.35999999999999993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3</v>
      </c>
      <c r="E64" s="20">
        <v>0.35999999999999993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11</v>
      </c>
      <c r="C71" s="20">
        <v>0.727273</v>
      </c>
      <c r="D71" s="20">
        <v>0.01</v>
      </c>
      <c r="E71" s="21">
        <v>0.215932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python</t>
        </is>
      </c>
      <c r="B76" s="18" t="inlineStr">
        <is>
          <t>3.12.15</t>
        </is>
      </c>
    </row>
    <row r="77" ht="44" customHeight="1">
      <c r="A77" s="18" t="inlineStr">
        <is>
          <t>numpy</t>
        </is>
      </c>
      <c r="B77" s="18" t="inlineStr">
        <is>
          <t>2.5.4</t>
        </is>
      </c>
    </row>
    <row r="78" ht="44" customHeight="1">
      <c r="A78" s="18" t="inlineStr">
        <is>
          <t>pandas</t>
        </is>
      </c>
      <c r="B78" s="18" t="inlineStr">
        <is>
          <t>3.0.6</t>
        </is>
      </c>
    </row>
    <row r="79" ht="44" customHeight="1">
      <c r="A79" s="18" t="inlineStr">
        <is>
          <t>scipy</t>
        </is>
      </c>
      <c r="B79" s="18" t="inlineStr">
        <is>
          <t>1.18.1</t>
        </is>
      </c>
    </row>
    <row r="80" ht="44" customHeight="1">
      <c r="A80" s="18" t="inlineStr">
        <is>
          <t>requests</t>
        </is>
      </c>
      <c r="B80" s="18" t="inlineStr">
        <is>
          <t>2.34.2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coverage</t>
        </is>
      </c>
      <c r="B82" s="18" t="inlineStr">
        <is>
          <t>7.16.2</t>
        </is>
      </c>
    </row>
    <row r="83" ht="44" customHeight="1">
      <c r="A83" s="18" t="inlineStr">
        <is>
          <t>PyYAML</t>
        </is>
      </c>
      <c r="B83" s="18" t="inlineStr">
        <is>
          <t>6.0.3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</row>
  </sheetData>
  <autoFilter ref="A5:H30"/>
  <mergeCells count="2">
    <mergeCell ref="A2:H2"/>
    <mergeCell ref="A4:H4"/>
  </mergeCells>
</worksheet>
</file>