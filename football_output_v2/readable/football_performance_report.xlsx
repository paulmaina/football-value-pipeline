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4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9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10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0.6666666666666666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-0.09666666666666668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-0.8700000000000001</v>
      </c>
      <c r="C14" s="1"/>
      <c r="D14" s="1" t="inlineStr">
        <is>
          <t>9 settled; 10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0.25053182411845815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0.5925925925925926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0.6023758366666667</v>
      </c>
      <c r="C17" s="1"/>
      <c r="D17" s="1" t="inlineStr">
        <is>
          <t>Over 1.5</t>
        </is>
      </c>
      <c r="E17" s="1">
        <f>COUNT(Predictions!J6:J93)</f>
        <v>27</v>
      </c>
      <c r="F17" s="9">
        <f>IF(E17=0,"n.a.",AVERAGE(Predictions!J6:J93))</f>
        <v>0.9259259259259259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0.35419734749908977</v>
      </c>
      <c r="C18" s="1"/>
      <c r="D18" s="1" t="inlineStr">
        <is>
          <t>Under 3.5</t>
        </is>
      </c>
      <c r="E18" s="1">
        <f>COUNT(Predictions!K6:K93)</f>
        <v>27</v>
      </c>
      <c r="F18" s="9">
        <f>IF(E18=0,"n.a.",AVERAGE(Predictions!K6:K93))</f>
        <v>0.5925925925925926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0.879418401317257</v>
      </c>
      <c r="C19" s="1"/>
      <c r="D19" s="1" t="inlineStr">
        <is>
          <t>BTTS Yes</t>
        </is>
      </c>
      <c r="E19" s="1">
        <f>COUNT(Predictions!L6:L93)</f>
        <v>27</v>
      </c>
      <c r="F19" s="9">
        <f>IF(E19=0,"n.a.",AVERAGE(Predictions!L6:L93))</f>
        <v>0.5185185185185185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27</v>
      </c>
      <c r="F20" s="9">
        <f>IF(E20=0,"n.a.",AVERAGE(Predictions!M6:M93))</f>
        <v>0.5185185185185185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6 wins from 9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2026-10-13T23:47:05Z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WON</t>
        </is>
      </c>
      <c r="D18" s="10">
        <f>IF(ISNUMBER(Selections!M14),Selections!M14,"")</f>
        <v>1</v>
      </c>
      <c r="E18" s="10">
        <f>IF(ISNUMBER(Selections!N14),Selections!N14,"")</f>
        <v>0.1499999999999999</v>
      </c>
      <c r="F18" s="10">
        <f>SUM($E$10:E18)</f>
        <v>-1.36</v>
      </c>
      <c r="G18" s="10">
        <f>$B$4+F18</f>
        <v>98.64</v>
      </c>
      <c r="H18" s="10">
        <f>MAX($B$4,$G$10:G18)</f>
        <v>100</v>
      </c>
      <c r="I18" s="10">
        <f>H18-G18</f>
        <v>1.3599999999999994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WON</t>
        </is>
      </c>
      <c r="D19" s="10">
        <f>IF(ISNUMBER(Selections!M15),Selections!M15,"")</f>
        <v>1</v>
      </c>
      <c r="E19" s="10">
        <f>IF(ISNUMBER(Selections!N15),Selections!N15,"")</f>
        <v>0.49</v>
      </c>
      <c r="F19" s="10">
        <f>SUM($E$10:E19)</f>
        <v>-0.8700000000000001</v>
      </c>
      <c r="G19" s="10">
        <f>$B$4+F19</f>
        <v>99.13</v>
      </c>
      <c r="H19" s="10">
        <f>MAX($B$4,$G$10:G19)</f>
        <v>100</v>
      </c>
      <c r="I19" s="10">
        <f>H19-G19</f>
        <v>0.8700000000000045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-0.8700000000000001</v>
      </c>
      <c r="G20" s="10">
        <f>$B$4+F20</f>
        <v>99.13</v>
      </c>
      <c r="H20" s="10">
        <f>MAX($B$4,$G$10:G20)</f>
        <v>100</v>
      </c>
      <c r="I20" s="10">
        <f>H20-G20</f>
        <v>0.8700000000000045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-0.8700000000000001</v>
      </c>
      <c r="G21" s="10">
        <f>$B$4+F21</f>
        <v>99.13</v>
      </c>
      <c r="H21" s="10">
        <f>MAX($B$4,$G$10:G21)</f>
        <v>100</v>
      </c>
      <c r="I21" s="10">
        <f>H21-G21</f>
        <v>0.8700000000000045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-0.8700000000000001</v>
      </c>
      <c r="G22" s="10">
        <f>$B$4+F22</f>
        <v>99.13</v>
      </c>
      <c r="H22" s="10">
        <f>MAX($B$4,$G$10:G22)</f>
        <v>100</v>
      </c>
      <c r="I22" s="10">
        <f>H22-G22</f>
        <v>0.8700000000000045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-0.8700000000000001</v>
      </c>
      <c r="G23" s="10">
        <f>$B$4+F23</f>
        <v>99.13</v>
      </c>
      <c r="H23" s="10">
        <f>MAX($B$4,$G$10:G23)</f>
        <v>100</v>
      </c>
      <c r="I23" s="10">
        <f>H23-G23</f>
        <v>0.8700000000000045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-0.8700000000000001</v>
      </c>
      <c r="G24" s="10">
        <f>$B$4+F24</f>
        <v>99.13</v>
      </c>
      <c r="H24" s="10">
        <f>MAX($B$4,$G$10:G24)</f>
        <v>100</v>
      </c>
      <c r="I24" s="10">
        <f>H24-G24</f>
        <v>0.8700000000000045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-0.8700000000000001</v>
      </c>
      <c r="G25" s="10">
        <f>$B$4+F25</f>
        <v>99.13</v>
      </c>
      <c r="H25" s="10">
        <f>MAX($B$4,$G$10:G25)</f>
        <v>100</v>
      </c>
      <c r="I25" s="10">
        <f>H25-G25</f>
        <v>0.8700000000000045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-0.8700000000000001</v>
      </c>
      <c r="G26" s="10">
        <f>$B$4+F26</f>
        <v>99.13</v>
      </c>
      <c r="H26" s="10">
        <f>MAX($B$4,$G$10:G26)</f>
        <v>100</v>
      </c>
      <c r="I26" s="10">
        <f>H26-G26</f>
        <v>0.8700000000000045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-0.8700000000000001</v>
      </c>
      <c r="G27" s="10">
        <f>$B$4+F27</f>
        <v>99.13</v>
      </c>
      <c r="H27" s="10">
        <f>MAX($B$4,$G$10:G27)</f>
        <v>100</v>
      </c>
      <c r="I27" s="10">
        <f>H27-G27</f>
        <v>0.8700000000000045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-0.8700000000000001</v>
      </c>
      <c r="G28" s="10">
        <f>$B$4+F28</f>
        <v>99.13</v>
      </c>
      <c r="H28" s="10">
        <f>MAX($B$4,$G$10:G28)</f>
        <v>100</v>
      </c>
      <c r="I28" s="10">
        <f>H28-G28</f>
        <v>0.8700000000000045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9</v>
      </c>
      <c r="E6" s="12">
        <f>COUNTIFS(Selections!$K$6:$K$24,"WON")</f>
        <v>6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10</v>
      </c>
      <c r="H6" s="13">
        <f>IF((COUNTIFS(Selections!$K$6:$K$24,"WON")+COUNTIFS(Selections!$K$6:$K$24,"LOST"))=0,"n.a.",COUNTIFS(Selections!$K$6:$K$24,"WON")/(COUNTIFS(Selections!$K$6:$K$24,"WON")+COUNTIFS(Selections!$K$6:$K$24,"LOST")))</f>
        <v>0.6666666666666666</v>
      </c>
      <c r="I6" s="15">
        <f>SUM(Selections!$M$6:$M$24)</f>
        <v>9</v>
      </c>
      <c r="J6" s="15">
        <f>SUM(Selections!$N$6:$N$24)</f>
        <v>-0.8700000000000001</v>
      </c>
      <c r="K6" s="13">
        <f>IF(SUM(Selections!$M$6:$M$24)=0,"n.a.",SUM(Selections!$N$6:$N$24)/SUM(Selections!$M$6:$M$24))</f>
        <v>-0.09666666666666668</v>
      </c>
      <c r="L6" s="14">
        <f>IF(SUM(Selections!$T$6:$T$24)=0,"n.a.",SUM(Selections!$O$6:$O$24)/SUM(Selections!$T$6:$T$24))</f>
        <v>0.25053182411845815</v>
      </c>
      <c r="M6" s="13">
        <f>IF(SUM(Selections!$T$6:$T$24)=0,"n.a.",SUM(Selections!$S$6:$S$24)/SUM(Selections!$T$6:$T$24))</f>
        <v>0.8039940028539501</v>
      </c>
      <c r="N6" s="13">
        <f>IF(SUM(Selections!$T$6:$T$24)=0,"n.a.",(SUMIFS(Selections!$L$6:$L$24,Selections!$T$6:$T$24,1))/SUM(Selections!$T$6:$T$24))</f>
        <v>0.6666666666666666</v>
      </c>
      <c r="O6" s="13">
        <f>IF(SUM(Selections!$T$6:$T$24)=0,"n.a.",(SUM(Selections!$S$6:$S$24)-(SUMIFS(Selections!$L$6:$L$24,Selections!$T$6:$T$24,1)))/SUM(Selections!$T$6:$T$24))</f>
        <v>0.13732733618728343</v>
      </c>
      <c r="P6" s="12">
        <f>SUM(Selections!$T$6:$T$24)</f>
        <v>9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4</v>
      </c>
      <c r="E7" s="12">
        <f>COUNTIFS(Selections!$F$6:$F$24,"STRICT",Selections!$K$6:$K$24,"WON")</f>
        <v>4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5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4</v>
      </c>
      <c r="J7" s="15">
        <f>SUMIFS(Selections!$N$6:$N$24,Selections!$F$6:$F$24,"STRICT")</f>
        <v>1.6099999999999999</v>
      </c>
      <c r="K7" s="13">
        <f>IF(SUMIFS(Selections!$M$6:$M$24,Selections!$F$6:$F$24,"STRICT")=0,"n.a.",SUMIFS(Selections!$N$6:$N$24,Selections!$F$6:$F$24,"STRICT")/SUMIFS(Selections!$M$6:$M$24,Selections!$F$6:$F$24,"STRICT"))</f>
        <v>0.40249999999999997</v>
      </c>
      <c r="L7" s="14">
        <f>IF(SUMIFS(Selections!$T$6:$T$24,Selections!$F$6:$F$24,"STRICT")=0,"n.a.",SUMIFS(Selections!$O$6:$O$24,Selections!$F$6:$F$24,"STRICT")/SUMIFS(Selections!$T$6:$T$24,Selections!$F$6:$F$24,"STRICT"))</f>
        <v>0.05954074059867185</v>
      </c>
      <c r="M7" s="13">
        <f>IF(SUMIFS(Selections!$T$6:$T$24,Selections!$F$6:$F$24,"STRICT")=0,"n.a.",SUMIFS(Selections!$S$6:$S$24,Selections!$F$6:$F$24,"STRICT")/SUMIFS(Selections!$T$6:$T$24,Selections!$F$6:$F$24,"STRICT"))</f>
        <v>0.7786491041410677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-0.2213508958589323</v>
      </c>
      <c r="P7" s="12">
        <f>SUMIFS(Selections!$T$6:$T$24,Selections!$F$6:$F$24,"STRICT")</f>
        <v>4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2</v>
      </c>
      <c r="E12" s="12">
        <f>COUNTIFS(Selections!$C$6:$C$24,"UEFA Champions League",Selections!$K$6:$K$24,"WON")</f>
        <v>2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3</v>
      </c>
      <c r="H12" s="13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1.0</v>
      </c>
      <c r="I12" s="15">
        <f>SUMIFS(Selections!$M$6:$M$24,Selections!$C$6:$C$24,"UEFA Champions League")</f>
        <v>2</v>
      </c>
      <c r="J12" s="15">
        <f>SUMIFS(Selections!$N$6:$N$24,Selections!$C$6:$C$24,"UEFA Champions League")</f>
        <v>0.6399999999999999</v>
      </c>
      <c r="K12" s="13">
        <f>IF(SUMIFS(Selections!$M$6:$M$24,Selections!$C$6:$C$24,"UEFA Champions League")=0,"n.a.",SUMIFS(Selections!$N$6:$N$24,Selections!$C$6:$C$24,"UEFA Champions League")/SUMIFS(Selections!$M$6:$M$24,Selections!$C$6:$C$24,"UEFA Champions League"))</f>
        <v>0.31999999999999995</v>
      </c>
      <c r="L12" s="14">
        <f>IF(SUMIFS(Selections!$T$6:$T$24,Selections!$C$6:$C$24,"UEFA Champions League")=0,"n.a.",SUMIFS(Selections!$O$6:$O$24,Selections!$C$6:$C$24,"UEFA Champions League")/SUMIFS(Selections!$T$6:$T$24,Selections!$C$6:$C$24,"UEFA Champions League"))</f>
        <v>0.044846252190532905</v>
      </c>
      <c r="M12" s="13">
        <f>IF(SUMIFS(Selections!$T$6:$T$24,Selections!$C$6:$C$24,"UEFA Champions League")=0,"n.a.",SUMIFS(Selections!$S$6:$S$24,Selections!$C$6:$C$24,"UEFA Champions League")/SUMIFS(Selections!$T$6:$T$24,Selections!$C$6:$C$24,"UEFA Champions League"))</f>
        <v>0.8251595146393822</v>
      </c>
      <c r="N12" s="13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1.0</v>
      </c>
      <c r="O12" s="13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-0.1748404853606178</v>
      </c>
      <c r="P12" s="12">
        <f>SUMIFS(Selections!$T$6:$T$24,Selections!$C$6:$C$24,"UEFA Champions League")</f>
        <v>2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1</v>
      </c>
      <c r="E13" s="12">
        <f>COUNTIFS(Selections!$E$6:$E$24,"Both Teams to Score - Yes",Selections!$K$6:$K$24,"WON")</f>
        <v>1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0</v>
      </c>
      <c r="H13" s="13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1.0</v>
      </c>
      <c r="I13" s="15">
        <f>SUMIFS(Selections!$M$6:$M$24,Selections!$E$6:$E$24,"Both Teams to Score - Yes")</f>
        <v>1</v>
      </c>
      <c r="J13" s="15">
        <f>SUMIFS(Selections!$N$6:$N$24,Selections!$E$6:$E$24,"Both Teams to Score - Yes")</f>
        <v>0.49</v>
      </c>
      <c r="K13" s="13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0.49</v>
      </c>
      <c r="L13" s="14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0.08662845606019748</v>
      </c>
      <c r="M13" s="13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0.7056728757654207</v>
      </c>
      <c r="N13" s="13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1.0</v>
      </c>
      <c r="O13" s="13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-0.2943271242345793</v>
      </c>
      <c r="P13" s="12">
        <f>SUMIFS(Selections!$T$6:$T$24,Selections!$E$6:$E$24,"Both Teams to Score - Yes")</f>
        <v>1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3</v>
      </c>
      <c r="E15" s="12">
        <f>COUNTIFS(Selections!$E$6:$E$24,"Over 1.5",Selections!$K$6:$K$24,"WON")</f>
        <v>3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5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3</v>
      </c>
      <c r="J15" s="15">
        <f>SUMIFS(Selections!$N$6:$N$24,Selections!$E$6:$E$24,"Over 1.5")</f>
        <v>0.73</v>
      </c>
      <c r="K15" s="13">
        <f>IF(SUMIFS(Selections!$M$6:$M$24,Selections!$E$6:$E$24,"Over 1.5")=0,"n.a.",SUMIFS(Selections!$N$6:$N$24,Selections!$E$6:$E$24,"Over 1.5")/SUMIFS(Selections!$M$6:$M$24,Selections!$E$6:$E$24,"Over 1.5"))</f>
        <v>0.24333333333333332</v>
      </c>
      <c r="L15" s="14">
        <f>IF(SUMIFS(Selections!$T$6:$T$24,Selections!$E$6:$E$24,"Over 1.5")=0,"n.a.",SUMIFS(Selections!$O$6:$O$24,Selections!$E$6:$E$24,"Over 1.5")/SUMIFS(Selections!$T$6:$T$24,Selections!$E$6:$E$24,"Over 1.5"))</f>
        <v>0.020227084911165257</v>
      </c>
      <c r="M15" s="13">
        <f>IF(SUMIFS(Selections!$T$6:$T$24,Selections!$E$6:$E$24,"Over 1.5")=0,"n.a.",SUMIFS(Selections!$S$6:$S$24,Selections!$E$6:$E$24,"Over 1.5")/SUMIFS(Selections!$T$6:$T$24,Selections!$E$6:$E$24,"Over 1.5"))</f>
        <v>0.8753960821368366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-0.12460391786316338</v>
      </c>
      <c r="P15" s="12">
        <f>SUMIFS(Selections!$T$6:$T$24,Selections!$E$6:$E$24,"Over 1.5")</f>
        <v>3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4</v>
      </c>
      <c r="E17" s="12">
        <f>COUNTIFS(Selections!$G$6:$G$24,"72h-ucl-v3",Selections!$K$6:$K$24,"WON")</f>
        <v>3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4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0.75</v>
      </c>
      <c r="I17" s="15">
        <f>SUMIFS(Selections!$M$6:$M$24,Selections!$G$6:$G$24,"72h-ucl-v3")</f>
        <v>4</v>
      </c>
      <c r="J17" s="15">
        <f>SUMIFS(Selections!$N$6:$N$24,Selections!$G$6:$G$24,"72h-ucl-v3")</f>
        <v>-0.020000000000000018</v>
      </c>
      <c r="K17" s="13">
        <f>IF(SUMIFS(Selections!$M$6:$M$24,Selections!$G$6:$G$24,"72h-ucl-v3")=0,"n.a.",SUMIFS(Selections!$N$6:$N$24,Selections!$G$6:$G$24,"72h-ucl-v3")/SUMIFS(Selections!$M$6:$M$24,Selections!$G$6:$G$24,"72h-ucl-v3"))</f>
        <v>-0.0050000000000000044</v>
      </c>
      <c r="L17" s="14">
        <f>IF(SUMIFS(Selections!$T$6:$T$24,Selections!$G$6:$G$24,"72h-ucl-v3")=0,"n.a.",SUMIFS(Selections!$O$6:$O$24,Selections!$G$6:$G$24,"72h-ucl-v3")/SUMIFS(Selections!$T$6:$T$24,Selections!$G$6:$G$24,"72h-ucl-v3"))</f>
        <v>0.17685702320972962</v>
      </c>
      <c r="M17" s="13">
        <f>IF(SUMIFS(Selections!$T$6:$T$24,Selections!$G$6:$G$24,"72h-ucl-v3")=0,"n.a.",SUMIFS(Selections!$S$6:$S$24,Selections!$G$6:$G$24,"72h-ucl-v3")/SUMIFS(Selections!$T$6:$T$24,Selections!$G$6:$G$24,"72h-ucl-v3"))</f>
        <v>0.7968587073827849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0.75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0.04685870738278486</v>
      </c>
      <c r="P17" s="12">
        <f>SUMIFS(Selections!$T$6:$T$24,Selections!$G$6:$G$24,"72h-ucl-v3")</f>
        <v>4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5</v>
      </c>
      <c r="E20" s="12">
        <f>COUNTIFS(Selections!$P$6:$P$24,"2026-W42",Selections!$K$6:$K$24,"WON")</f>
        <v>4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8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0.8</v>
      </c>
      <c r="I20" s="15">
        <f>SUMIFS(Selections!$M$6:$M$24,Selections!$P$6:$P$24,"2026-W42")</f>
        <v>5</v>
      </c>
      <c r="J20" s="15">
        <f>SUMIFS(Selections!$N$6:$N$24,Selections!$P$6:$P$24,"2026-W42")</f>
        <v>0.6099999999999999</v>
      </c>
      <c r="K20" s="13">
        <f>IF(SUMIFS(Selections!$M$6:$M$24,Selections!$P$6:$P$24,"2026-W42")=0,"n.a.",SUMIFS(Selections!$N$6:$N$24,Selections!$P$6:$P$24,"2026-W42")/SUMIFS(Selections!$M$6:$M$24,Selections!$P$6:$P$24,"2026-W42"))</f>
        <v>0.12199999999999997</v>
      </c>
      <c r="L20" s="14">
        <f>IF(SUMIFS(Selections!$T$6:$T$24,Selections!$P$6:$P$24,"2026-W42")=0,"n.a.",SUMIFS(Selections!$O$6:$O$24,Selections!$P$6:$P$24,"2026-W42")/SUMIFS(Selections!$T$6:$T$24,Selections!$P$6:$P$24,"2026-W42"))</f>
        <v>0.18766448976327427</v>
      </c>
      <c r="M20" s="13">
        <f>IF(SUMIFS(Selections!$T$6:$T$24,Selections!$P$6:$P$24,"2026-W42")=0,"n.a.",SUMIFS(Selections!$S$6:$S$24,Selections!$P$6:$P$24,"2026-W42")/SUMIFS(Selections!$T$6:$T$24,Selections!$P$6:$P$24,"2026-W42"))</f>
        <v>0.7902703498074164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0.8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-0.00972965019258365</v>
      </c>
      <c r="P20" s="12">
        <f>SUMIFS(Selections!$T$6:$T$24,Selections!$P$6:$P$24,"2026-W42")</f>
        <v>5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4</v>
      </c>
      <c r="E9" s="13">
        <f>IF(D9=0,"n.a.",SUMIFS(Selections!$S$6:$S$24,Selections!$S$6:$S$24,"&gt;="&amp;B9,Selections!$S$6:$S$24,"&lt;"&amp;C9,Selections!$T$6:$T$24,1)/D9)</f>
        <v>0.7598033602744063</v>
      </c>
      <c r="F9" s="13">
        <f>IF(D9=0,"n.a.",SUMIFS(Selections!$L$6:$L$24,Selections!$S$6:$S$24,"&gt;="&amp;B9,Selections!$S$6:$S$24,"&lt;"&amp;C9,Selections!$T$6:$T$24,1)/D9)</f>
        <v>0.75</v>
      </c>
      <c r="G9" s="13">
        <f>IF(D9=0,"n.a.",E9-F9)</f>
        <v>0.009803360274406314</v>
      </c>
      <c r="H9" s="14">
        <f>IF(D9=0,"n.a.",SUMIFS(Selections!$O$6:$O$24,Selections!$S$6:$S$24,"&gt;="&amp;B9,Selections!$S$6:$S$24,"&lt;"&amp;C9,Selections!$T$6:$T$24,1)/D9)</f>
        <v>0.18645173019771322</v>
      </c>
      <c r="I9" s="1" t="inlineStr">
        <is>
          <t>Collect more scored forecasts (n=4).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1</v>
      </c>
      <c r="E11" s="13">
        <f>IF(D11=0,"n.a.",SUMIFS(Selections!$S$6:$S$24,Selections!$S$6:$S$24,"&gt;="&amp;B11,Selections!$S$6:$S$24,"&lt;"&amp;C11,Selections!$T$6:$T$24,1)/D11)</f>
        <v>0.9446461535133436</v>
      </c>
      <c r="F11" s="13">
        <f>IF(D11=0,"n.a.",SUMIFS(Selections!$L$6:$L$24,Selections!$S$6:$S$24,"&gt;="&amp;B11,Selections!$S$6:$S$24,"&lt;"&amp;C11,Selections!$T$6:$T$24,1)/D11)</f>
        <v>1.0</v>
      </c>
      <c r="G11" s="13">
        <f>IF(D11=0,"n.a.",E11-F11)</f>
        <v>-0.05535384648665642</v>
      </c>
      <c r="H11" s="14">
        <f>IF(D11=0,"n.a.",SUMIFS(Selections!$O$6:$O$24,Selections!$S$6:$S$24,"&gt;="&amp;B11,Selections!$S$6:$S$24,"&lt;"&amp;C11,Selections!$T$6:$T$24,1)/D11)</f>
        <v>0.0030640483208683256</v>
      </c>
      <c r="I11" s="1" t="inlineStr">
        <is>
          <t>Collect more scored forecasts (n=1).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 t="inlineStr">
        <is>
          <t>2-0</t>
        </is>
      </c>
      <c r="K14" s="1" t="inlineStr">
        <is>
          <t>WON</t>
        </is>
      </c>
      <c r="L14" s="1">
        <v>1</v>
      </c>
      <c r="M14" s="10">
        <f>IF(AND(ISNUMBER(L14),ISNUMBER(I14),I14&gt;1),'ROI Plan'!$B$5,"")</f>
        <v>1</v>
      </c>
      <c r="N14" s="10">
        <f>IF(ISNUMBER(M14),M14*(I14*L14-1-U14),"")</f>
        <v>0.1499999999999999</v>
      </c>
      <c r="O14" s="11">
        <f>IF(AND(ISNUMBER(L14),ISNUMBER(H14)),(H14-L14)^2,"")</f>
        <v>0.0030640483208683256</v>
      </c>
      <c r="P14" s="1" t="inlineStr">
        <is>
          <t>2026-W42</t>
        </is>
      </c>
      <c r="Q14" s="1" t="inlineStr">
        <is>
          <t>a2cdead106b513fd623cffd1e43a491685d68cc3</t>
        </is>
      </c>
      <c r="R14" s="1" t="inlineStr">
        <is>
          <t>football-data.org/v4</t>
        </is>
      </c>
      <c r="S14" s="9">
        <f>IF(AND(ISNUMBER(L14),ISNUMBER(H14)),H14,"")</f>
        <v>0.9446461535133436</v>
      </c>
      <c r="T14" s="1">
        <f>IF(AND(ISNUMBER(L14),ISNUMBER(H14)),1,0)</f>
        <v>1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 t="inlineStr">
        <is>
          <t>1-4</t>
        </is>
      </c>
      <c r="K15" s="1" t="inlineStr">
        <is>
          <t>WON</t>
        </is>
      </c>
      <c r="L15" s="1">
        <v>1</v>
      </c>
      <c r="M15" s="10">
        <f>IF(AND(ISNUMBER(L15),ISNUMBER(I15),I15&gt;1),'ROI Plan'!$B$5,"")</f>
        <v>1</v>
      </c>
      <c r="N15" s="10">
        <f>IF(ISNUMBER(M15),M15*(I15*L15-1-U15),"")</f>
        <v>0.49</v>
      </c>
      <c r="O15" s="11">
        <f>IF(AND(ISNUMBER(L15),ISNUMBER(H15)),(H15-L15)^2,"")</f>
        <v>0.08662845606019748</v>
      </c>
      <c r="P15" s="1" t="inlineStr">
        <is>
          <t>2026-W42</t>
        </is>
      </c>
      <c r="Q15" s="1" t="inlineStr">
        <is>
          <t>a2cdead106b513fd623cffd1e43a491685d68cc3</t>
        </is>
      </c>
      <c r="R15" s="1" t="inlineStr">
        <is>
          <t>football-data.org/v4</t>
        </is>
      </c>
      <c r="S15" s="9">
        <f>IF(AND(ISNUMBER(L15),ISNUMBER(H15)),H15,"")</f>
        <v>0.7056728757654207</v>
      </c>
      <c r="T15" s="1">
        <f>IF(AND(ISNUMBER(L15),ISNUMBER(H15)),1,0)</f>
        <v>1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GRADED</t>
        </is>
      </c>
      <c r="G27" s="1" t="inlineStr">
        <is>
          <t>0-2</t>
        </is>
      </c>
      <c r="H27" s="1">
        <v>1.0</v>
      </c>
      <c r="I27" s="11">
        <v>0.51245005</v>
      </c>
      <c r="J27" s="1">
        <v>1.0</v>
      </c>
      <c r="K27" s="1">
        <v>1.0</v>
      </c>
      <c r="L27" s="1">
        <v>0.0</v>
      </c>
      <c r="M27" s="1">
        <v>0.0</v>
      </c>
      <c r="N27" s="1" t="inlineStr">
        <is>
          <t>2026-W42</t>
        </is>
      </c>
      <c r="O27" s="1" t="inlineStr">
        <is>
          <t>2fd31d33722311d8e0155bb5eca6b3a310ac938b</t>
        </is>
      </c>
      <c r="P27" s="1" t="inlineStr">
        <is>
          <t>football-data.org/v4</t>
        </is>
      </c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GRADED</t>
        </is>
      </c>
      <c r="G28" s="1" t="inlineStr">
        <is>
          <t>2-0</t>
        </is>
      </c>
      <c r="H28" s="1">
        <v>0.0</v>
      </c>
      <c r="I28" s="11">
        <v>1.01421231</v>
      </c>
      <c r="J28" s="1">
        <v>0.0</v>
      </c>
      <c r="K28" s="1">
        <v>1.0</v>
      </c>
      <c r="L28" s="1">
        <v>1.0</v>
      </c>
      <c r="M28" s="1">
        <v>1.0</v>
      </c>
      <c r="N28" s="1" t="inlineStr">
        <is>
          <t>2026-W42</t>
        </is>
      </c>
      <c r="O28" s="1" t="inlineStr">
        <is>
          <t>2fd31d33722311d8e0155bb5eca6b3a310ac938b</t>
        </is>
      </c>
      <c r="P28" s="1" t="inlineStr">
        <is>
          <t>football-data.org/v4</t>
        </is>
      </c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GRADED</t>
        </is>
      </c>
      <c r="G29" s="1" t="inlineStr">
        <is>
          <t>3-0</t>
        </is>
      </c>
      <c r="H29" s="1">
        <v>1.0</v>
      </c>
      <c r="I29" s="11">
        <v>0.11601758</v>
      </c>
      <c r="J29" s="1">
        <v>1.0</v>
      </c>
      <c r="K29" s="1">
        <v>1.0</v>
      </c>
      <c r="L29" s="1">
        <v>1.0</v>
      </c>
      <c r="M29" s="1">
        <v>1.0</v>
      </c>
      <c r="N29" s="1" t="inlineStr">
        <is>
          <t>2026-W42</t>
        </is>
      </c>
      <c r="O29" s="1" t="inlineStr">
        <is>
          <t>2fd31d33722311d8e0155bb5eca6b3a310ac938b</t>
        </is>
      </c>
      <c r="P29" s="1" t="inlineStr">
        <is>
          <t>football-data.org/v4</t>
        </is>
      </c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GRADED</t>
        </is>
      </c>
      <c r="G30" s="1" t="inlineStr">
        <is>
          <t>2-0</t>
        </is>
      </c>
      <c r="H30" s="1">
        <v>1.0</v>
      </c>
      <c r="I30" s="11">
        <v>0.23569509</v>
      </c>
      <c r="J30" s="1">
        <v>1.0</v>
      </c>
      <c r="K30" s="1">
        <v>0.0</v>
      </c>
      <c r="L30" s="1">
        <v>0.0</v>
      </c>
      <c r="M30" s="1">
        <v>0.0</v>
      </c>
      <c r="N30" s="1" t="inlineStr">
        <is>
          <t>2026-W42</t>
        </is>
      </c>
      <c r="O30" s="1" t="inlineStr">
        <is>
          <t>2fd31d33722311d8e0155bb5eca6b3a310ac938b</t>
        </is>
      </c>
      <c r="P30" s="1" t="inlineStr">
        <is>
          <t>football-data.org/v4</t>
        </is>
      </c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GRADED</t>
        </is>
      </c>
      <c r="G31" s="1" t="inlineStr">
        <is>
          <t>1-4</t>
        </is>
      </c>
      <c r="H31" s="1">
        <v>1.0</v>
      </c>
      <c r="I31" s="11">
        <v>0.16902814</v>
      </c>
      <c r="J31" s="1">
        <v>1.0</v>
      </c>
      <c r="K31" s="1">
        <v>1.0</v>
      </c>
      <c r="L31" s="1">
        <v>1.0</v>
      </c>
      <c r="M31" s="1">
        <v>1.0</v>
      </c>
      <c r="N31" s="1" t="inlineStr">
        <is>
          <t>2026-W42</t>
        </is>
      </c>
      <c r="O31" s="1" t="inlineStr">
        <is>
          <t>2fd31d33722311d8e0155bb5eca6b3a310ac938b</t>
        </is>
      </c>
      <c r="P31" s="1" t="inlineStr">
        <is>
          <t>football-data.org/v4</t>
        </is>
      </c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GRADED</t>
        </is>
      </c>
      <c r="G32" s="1" t="inlineStr">
        <is>
          <t>3-4</t>
        </is>
      </c>
      <c r="H32" s="1">
        <v>0.0</v>
      </c>
      <c r="I32" s="11">
        <v>1.23745897</v>
      </c>
      <c r="J32" s="1">
        <v>1.0</v>
      </c>
      <c r="K32" s="1">
        <v>0.0</v>
      </c>
      <c r="L32" s="1">
        <v>1.0</v>
      </c>
      <c r="M32" s="1">
        <v>1.0</v>
      </c>
      <c r="N32" s="1" t="inlineStr">
        <is>
          <t>2026-W42</t>
        </is>
      </c>
      <c r="O32" s="1" t="inlineStr">
        <is>
          <t>2fd31d33722311d8e0155bb5eca6b3a310ac938b</t>
        </is>
      </c>
      <c r="P32" s="1" t="inlineStr">
        <is>
          <t>football-data.org/v4</t>
        </is>
      </c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GRADED</t>
        </is>
      </c>
      <c r="G33" s="1" t="inlineStr">
        <is>
          <t>1-0</t>
        </is>
      </c>
      <c r="H33" s="1">
        <v>1.0</v>
      </c>
      <c r="I33" s="11">
        <v>0.51235352</v>
      </c>
      <c r="J33" s="1">
        <v>0.0</v>
      </c>
      <c r="K33" s="1">
        <v>1.0</v>
      </c>
      <c r="L33" s="1">
        <v>0.0</v>
      </c>
      <c r="M33" s="1">
        <v>0.0</v>
      </c>
      <c r="N33" s="1" t="inlineStr">
        <is>
          <t>2026-W42</t>
        </is>
      </c>
      <c r="O33" s="1" t="inlineStr">
        <is>
          <t>2fd31d33722311d8e0155bb5eca6b3a310ac938b</t>
        </is>
      </c>
      <c r="P33" s="1" t="inlineStr">
        <is>
          <t>football-data.org/v4</t>
        </is>
      </c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GRADED</t>
        </is>
      </c>
      <c r="G34" s="1" t="inlineStr">
        <is>
          <t>3-3</t>
        </is>
      </c>
      <c r="H34" s="1">
        <v>0.0</v>
      </c>
      <c r="I34" s="11">
        <v>1.7396574</v>
      </c>
      <c r="J34" s="1">
        <v>1.0</v>
      </c>
      <c r="K34" s="1">
        <v>1.0</v>
      </c>
      <c r="L34" s="1">
        <v>0.0</v>
      </c>
      <c r="M34" s="1">
        <v>0.0</v>
      </c>
      <c r="N34" s="1" t="inlineStr">
        <is>
          <t>2026-W42</t>
        </is>
      </c>
      <c r="O34" s="1" t="inlineStr">
        <is>
          <t>2fd31d33722311d8e0155bb5eca6b3a310ac938b</t>
        </is>
      </c>
      <c r="P34" s="1" t="inlineStr">
        <is>
          <t>football-data.org/v4</t>
        </is>
      </c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GRADED</t>
        </is>
      </c>
      <c r="G35" s="1" t="inlineStr">
        <is>
          <t>3-1</t>
        </is>
      </c>
      <c r="H35" s="1">
        <v>0.0</v>
      </c>
      <c r="I35" s="11">
        <v>0.67595769</v>
      </c>
      <c r="J35" s="1">
        <v>1.0</v>
      </c>
      <c r="K35" s="1">
        <v>0.0</v>
      </c>
      <c r="L35" s="1">
        <v>0.0</v>
      </c>
      <c r="M35" s="1">
        <v>0.0</v>
      </c>
      <c r="N35" s="1" t="inlineStr">
        <is>
          <t>2026-W42</t>
        </is>
      </c>
      <c r="O35" s="1" t="inlineStr">
        <is>
          <t>2fd31d33722311d8e0155bb5eca6b3a310ac938b</t>
        </is>
      </c>
      <c r="P35" s="1" t="inlineStr">
        <is>
          <t>football-data.org/v4</t>
        </is>
      </c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  <col min="6" max="6" width="26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2026-10-13T23:47:05.809888+00:00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MODEL_BEHIND_VERIFIED_SOURCE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  <c r="E23" t="inlineStr">
        <is>
          <t>Recency</t>
        </is>
      </c>
      <c r="F23" t="inlineStr">
        <is>
          <t>Filter sensitivity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  <c r="E24" t="inlineStr">
        <is>
          <t>LEGACY_NOT_RECORDED</t>
        </is>
      </c>
      <c r="F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  <c r="E25" t="inlineStr">
        <is>
          <t>LEGACY_NOT_RECORDED</t>
        </is>
      </c>
      <c r="F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  <c r="E26" t="inlineStr">
        <is>
          <t>LEGACY_NOT_RECORDED</t>
        </is>
      </c>
      <c r="F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  <c r="E27" t="inlineStr">
        <is>
          <t>LEGACY_NOT_RECORDED</t>
        </is>
      </c>
      <c r="F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  <c r="E28" t="inlineStr">
        <is>
          <t>LEGACY_NOT_RECORDED</t>
        </is>
      </c>
      <c r="F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  <c r="E29" t="inlineStr">
        <is>
          <t>LEGACY_NOT_RECORDED</t>
        </is>
      </c>
      <c r="F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  <c r="E30" t="inlineStr">
        <is>
          <t>LEGACY_NOT_RECORDED</t>
        </is>
      </c>
      <c r="F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  <c r="E31" t="inlineStr">
        <is>
          <t>LEGACY_NOT_RECORDED</t>
        </is>
      </c>
      <c r="F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  <c r="E32" t="inlineStr">
        <is>
          <t>LEGACY_NOT_RECORDED</t>
        </is>
      </c>
      <c r="F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  <c r="E33" t="inlineStr">
        <is>
          <t>LEGACY_NOT_RECORDED</t>
        </is>
      </c>
      <c r="F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  <c r="E34" t="inlineStr">
        <is>
          <t>LEGACY_NOT_RECORDED</t>
        </is>
      </c>
      <c r="F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  <c r="E35" t="inlineStr">
        <is>
          <t>LEGACY_NOT_RECORDED</t>
        </is>
      </c>
      <c r="F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  <c r="E36" t="inlineStr">
        <is>
          <t>LEGACY_NOT_RECORDED</t>
        </is>
      </c>
      <c r="F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  <c r="E37" t="inlineStr">
        <is>
          <t>LEGACY_NOT_RECORDED</t>
        </is>
      </c>
      <c r="F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  <c r="E38" t="inlineStr">
        <is>
          <t>LEGACY_NOT_RECORDED</t>
        </is>
      </c>
      <c r="F38" t="inlineStr">
        <is>
          <t>LEGACY_NOT_RECORDED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  <c r="E39" t="inlineStr">
        <is>
          <t>LEGACY_NOT_RECORDED</t>
        </is>
      </c>
      <c r="F39" t="inlineStr">
        <is>
          <t>LEGACY_NOT_RECORDED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  <c r="E40" t="inlineStr">
        <is>
          <t>LEGACY_NOT_RECORDED</t>
        </is>
      </c>
      <c r="F40" t="inlineStr">
        <is>
          <t>LEGACY_NOT_RECORDED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  <c r="E41" t="inlineStr">
        <is>
          <t>LEGACY_NOT_RECORDED</t>
        </is>
      </c>
      <c r="F41" t="inlineStr">
        <is>
          <t>LEGACY_NOT_RECORDED</t>
        </is>
      </c>
    </row>
    <row r="42">
      <c r="A42" t="inlineStr">
        <is>
          <t>6556638142ba</t>
        </is>
      </c>
      <c r="B42" t="inlineStr">
        <is>
          <t>2026-10-13T16:06:07Z</t>
        </is>
      </c>
      <c r="C42" t="inlineStr">
        <is>
          <t>CAPTURED</t>
        </is>
      </c>
      <c r="D42" t="inlineStr">
        <is>
          <t>CAPTURED</t>
        </is>
      </c>
      <c r="E42" t="inlineStr">
        <is>
          <t>CAPTURED</t>
        </is>
      </c>
      <c r="F42" t="inlineStr">
        <is>
          <t>LEGACY_NOT_RECORDED</t>
        </is>
      </c>
    </row>
    <row r="43">
      <c r="A43" t="inlineStr">
        <is>
          <t>010ef527d5bf</t>
        </is>
      </c>
      <c r="B43" t="inlineStr">
        <is>
          <t>2026-10-13T17:05:34Z</t>
        </is>
      </c>
      <c r="C43" t="inlineStr">
        <is>
          <t>CAPTURED</t>
        </is>
      </c>
      <c r="D43" t="inlineStr">
        <is>
          <t>CAPTURED</t>
        </is>
      </c>
      <c r="E43" t="inlineStr">
        <is>
          <t>CAPTURED</t>
        </is>
      </c>
      <c r="F43" t="inlineStr">
        <is>
          <t>CAPTURED</t>
        </is>
      </c>
    </row>
    <row r="44"/>
    <row r="45">
      <c r="A45" t="inlineStr">
        <is>
          <t>Daily observations</t>
        </is>
      </c>
      <c r="B45" t="inlineStr">
        <is>
          <t>Graded</t>
        </is>
      </c>
      <c r="C45" t="inlineStr">
        <is>
          <t>Win rate</t>
        </is>
      </c>
      <c r="D45" t="inlineStr">
        <is>
          <t>Net simulated ROI</t>
        </is>
      </c>
      <c r="E45" t="inlineStr">
        <is>
          <t>Brier</t>
        </is>
      </c>
    </row>
    <row r="46">
      <c r="A46" t="inlineStr">
        <is>
          <t>2026-10-13</t>
        </is>
      </c>
      <c r="B46">
        <v>9</v>
      </c>
      <c r="C46">
        <v>0.666667</v>
      </c>
      <c r="D46">
        <v>-0.096667</v>
      </c>
      <c r="E46">
        <v>0.250532</v>
      </c>
    </row>
    <row r="47"/>
    <row r="48">
      <c r="A48" t="inlineStr">
        <is>
          <t>EV sensitivity floor</t>
        </is>
      </c>
      <c r="B48" t="inlineStr">
        <is>
          <t>Tier</t>
        </is>
      </c>
      <c r="C48" t="inlineStr">
        <is>
          <t>Selected</t>
        </is>
      </c>
      <c r="D48" t="inlineStr">
        <is>
          <t>Settled</t>
        </is>
      </c>
      <c r="E48" t="inlineStr">
        <is>
          <t>Net ROI</t>
        </is>
      </c>
      <c r="F48" t="inlineStr">
        <is>
          <t>Drawdown units</t>
        </is>
      </c>
    </row>
    <row r="49">
      <c r="A49">
        <v>0.015</v>
      </c>
      <c r="B49" t="inlineStr">
        <is>
          <t>ALL</t>
        </is>
      </c>
      <c r="C49">
        <v>4</v>
      </c>
      <c r="D49">
        <v>1</v>
      </c>
      <c r="E49">
        <v>0.17999999999999994</v>
      </c>
      <c r="F49">
        <v>0.0</v>
      </c>
    </row>
    <row r="50">
      <c r="A50">
        <v>0.015</v>
      </c>
      <c r="B50" t="inlineStr">
        <is>
          <t>STRICT</t>
        </is>
      </c>
      <c r="C50">
        <v>4</v>
      </c>
      <c r="D50">
        <v>1</v>
      </c>
      <c r="E50">
        <v>0.17999999999999994</v>
      </c>
      <c r="F50">
        <v>0.0</v>
      </c>
    </row>
    <row r="51">
      <c r="A51">
        <v>0.015</v>
      </c>
      <c r="B51" t="inlineStr">
        <is>
          <t>PROVISIONAL</t>
        </is>
      </c>
      <c r="C51">
        <v>0</v>
      </c>
      <c r="D51">
        <v>0</v>
      </c>
      <c r="E51"/>
      <c r="F51"/>
    </row>
    <row r="52">
      <c r="A52">
        <v>0.03</v>
      </c>
      <c r="B52" t="inlineStr">
        <is>
          <t>ALL</t>
        </is>
      </c>
      <c r="C52">
        <v>4</v>
      </c>
      <c r="D52">
        <v>1</v>
      </c>
      <c r="E52">
        <v>0.17999999999999994</v>
      </c>
      <c r="F52">
        <v>0.0</v>
      </c>
    </row>
    <row r="53">
      <c r="A53">
        <v>0.03</v>
      </c>
      <c r="B53" t="inlineStr">
        <is>
          <t>STRICT</t>
        </is>
      </c>
      <c r="C53">
        <v>4</v>
      </c>
      <c r="D53">
        <v>1</v>
      </c>
      <c r="E53">
        <v>0.17999999999999994</v>
      </c>
      <c r="F53">
        <v>0.0</v>
      </c>
    </row>
    <row r="54">
      <c r="A54">
        <v>0.03</v>
      </c>
      <c r="B54" t="inlineStr">
        <is>
          <t>PROVISIONAL</t>
        </is>
      </c>
      <c r="C54">
        <v>0</v>
      </c>
      <c r="D54">
        <v>0</v>
      </c>
      <c r="E54"/>
      <c r="F54"/>
    </row>
    <row r="55">
      <c r="A55">
        <v>0.05</v>
      </c>
      <c r="B55" t="inlineStr">
        <is>
          <t>ALL</t>
        </is>
      </c>
      <c r="C55">
        <v>4</v>
      </c>
      <c r="D55">
        <v>1</v>
      </c>
      <c r="E55">
        <v>0.17999999999999994</v>
      </c>
      <c r="F55">
        <v>0.0</v>
      </c>
    </row>
    <row r="56">
      <c r="A56">
        <v>0.05</v>
      </c>
      <c r="B56" t="inlineStr">
        <is>
          <t>STRICT</t>
        </is>
      </c>
      <c r="C56">
        <v>3</v>
      </c>
      <c r="D56">
        <v>1</v>
      </c>
      <c r="E56">
        <v>0.17999999999999994</v>
      </c>
      <c r="F56">
        <v>0.0</v>
      </c>
    </row>
    <row r="57">
      <c r="A57">
        <v>0.05</v>
      </c>
      <c r="B57" t="inlineStr">
        <is>
          <t>PROVISIONAL</t>
        </is>
      </c>
      <c r="C57">
        <v>1</v>
      </c>
      <c r="D57">
        <v>0</v>
      </c>
      <c r="E57"/>
      <c r="F57"/>
    </row>
    <row r="58"/>
    <row r="59">
      <c r="A59" t="inlineStr">
        <is>
          <t>Review dependency versions</t>
        </is>
      </c>
    </row>
    <row r="60">
      <c r="A60" t="inlineStr">
        <is>
          <t>python</t>
        </is>
      </c>
      <c r="B60" t="inlineStr">
        <is>
          <t>3.12.15</t>
        </is>
      </c>
    </row>
    <row r="61">
      <c r="A61" t="inlineStr">
        <is>
          <t>numpy</t>
        </is>
      </c>
      <c r="B61" t="inlineStr">
        <is>
          <t>2.5.4</t>
        </is>
      </c>
    </row>
    <row r="62">
      <c r="A62" t="inlineStr">
        <is>
          <t>pandas</t>
        </is>
      </c>
      <c r="B62" t="inlineStr">
        <is>
          <t>3.0.6</t>
        </is>
      </c>
    </row>
    <row r="63">
      <c r="A63" t="inlineStr">
        <is>
          <t>scipy</t>
        </is>
      </c>
      <c r="B63" t="inlineStr">
        <is>
          <t>1.18.1</t>
        </is>
      </c>
    </row>
    <row r="64">
      <c r="A64" t="inlineStr">
        <is>
          <t>requests</t>
        </is>
      </c>
      <c r="B64" t="inlineStr">
        <is>
          <t>2.34.2</t>
        </is>
      </c>
    </row>
    <row r="65">
      <c r="A65" t="inlineStr">
        <is>
          <t>python-dotenv</t>
        </is>
      </c>
      <c r="B65" t="inlineStr">
        <is>
          <t>1.2.4</t>
        </is>
      </c>
    </row>
    <row r="66">
      <c r="A66" t="inlineStr">
        <is>
          <t>coverage</t>
        </is>
      </c>
      <c r="B66" t="inlineStr">
        <is>
          <t>NOT_INSTALLED</t>
        </is>
      </c>
    </row>
    <row r="67">
      <c r="A67" t="inlineStr">
        <is>
          <t>PyYAML</t>
        </is>
      </c>
      <c r="B67" t="inlineStr">
        <is>
          <t>NOT_INSTALLED</t>
        </is>
      </c>
    </row>
    <row r="68"/>
    <row r="69">
      <c r="A69" t="inlineStr">
        <is>
          <t>Improvement is not established by fresher data or software changes. Compare paired forecasts and settled results.</t>
        </is>
      </c>
    </row>
    <row r="70">
      <c r="A70" t="inlineStr">
        <is>
          <t>Account access and executable stake sizes are not verified. Exchange targets require a commission/liquidity adapter.</t>
        </is>
      </c>
    </row>
  </sheetData>
</worksheet>
</file>