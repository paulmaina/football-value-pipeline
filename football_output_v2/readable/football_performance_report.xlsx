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Experiments" sheetId="7" ns1:id="rIdReadable7"/>
    <sheet name="Pipeline Health" sheetId="10" ns1:id="rIdReadable10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1" ns1:id="rIdReadable11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10.0</v>
                </pt>
                <pt idx="2">
                  <v>0.0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-0.3500000000000001</v>
                </pt>
                <pt idx="2">
                  <v>-0.3500000000000001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0.8888888888888888</c:v>
                </c:pt>
                <c:pt idx="1">
                  <c:v>0.4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Plan'!$A$10:$A$33</c:f>
              <c:strCache>
                <c:ptCount val="24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2026-10-18T16:30:00+00:00</c:v>
                </c:pt>
                <c:pt idx="22">
                  <c:v>2026-10-18T19:00:00+00:00</c:v>
                </c:pt>
                <c:pt idx="23">
                  <c:v>2026-10-19T19:00:00+00:00</c:v>
                </c:pt>
              </c:strCache>
            </c:strRef>
          </c:cat>
          <c:val>
            <c:numRef>
              <c:f>'ROI Plan'!$F$10:$F$33</c:f>
              <c:numCache>
                <c:formatCode>General</c:formatCode>
                <c:ptCount val="24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-0.51</c:v>
                </c:pt>
                <c:pt idx="7">
                  <c:v>-1.51</c:v>
                </c:pt>
                <c:pt idx="8">
                  <c:v>-1.36</c:v>
                </c:pt>
                <c:pt idx="9">
                  <c:v>-0.8700000000000001</c:v>
                </c:pt>
                <c:pt idx="10">
                  <c:v>-0.8700000000000001</c:v>
                </c:pt>
                <c:pt idx="11">
                  <c:v>-0.13000000000000012</c:v>
                </c:pt>
                <c:pt idx="12">
                  <c:v>0.10999999999999988</c:v>
                </c:pt>
                <c:pt idx="13">
                  <c:v>0.3799999999999999</c:v>
                </c:pt>
                <c:pt idx="14">
                  <c:v>-0.6200000000000001</c:v>
                </c:pt>
                <c:pt idx="15">
                  <c:v>-0.3500000000000001</c:v>
                </c:pt>
                <c:pt idx="16">
                  <c:v>-0.3500000000000001</c:v>
                </c:pt>
                <c:pt idx="17">
                  <c:v>-0.3500000000000001</c:v>
                </c:pt>
                <c:pt idx="18">
                  <c:v>-0.3500000000000001</c:v>
                </c:pt>
                <c:pt idx="19">
                  <c:v>-0.3500000000000001</c:v>
                </c:pt>
                <c:pt idx="20">
                  <c:v>-0.3500000000000001</c:v>
                </c:pt>
                <c:pt idx="21">
                  <c:v>-0.3500000000000001</c:v>
                </c:pt>
                <c:pt idx="22">
                  <c:v>-0.3500000000000001</c:v>
                </c:pt>
                <c:pt idx="23">
                  <c:v>-0.3500000000000001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2">
                  <c:v>0.6687156973609096</c:v>
                </c:pt>
                <c:pt idx="3">
                  <c:v>0.7598033602744063</c:v>
                </c:pt>
                <c:pt idx="4">
                  <c:v>0.8441068354608932</c:v>
                </c:pt>
                <c:pt idx="5">
                  <c:v>0.9297203731151685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2">
                  <c:v>0.6666666666666666</c:v>
                </c:pt>
                <c:pt idx="3">
                  <c:v>0.75</c:v>
                </c:pt>
                <c:pt idx="4">
                  <c:v>0.6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33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27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T29" headerRowCount="1" totalsRowCount="0" totalsRowShown="0">
  <tableColumns count="20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168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str">
        <v>Archived selections</v>
      </c>
      <c r="B7" s="19">
        <f>Breakdowns!C6</f>
        <v>24</v>
      </c>
      <c r="C7" s="18"/>
      <c r="D7" s="18" t="str">
        <v>STRICT</v>
      </c>
      <c r="E7" s="18">
        <f>Breakdowns!D7</f>
        <v>9</v>
      </c>
      <c r="F7" s="20">
        <f>Breakdowns!H7</f>
        <v>0.8888888888888888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str">
        <v>Settled selections</v>
      </c>
      <c r="B8" s="19">
        <f>Breakdowns!D6</f>
        <v>14</v>
      </c>
      <c r="C8" s="18"/>
      <c r="D8" s="18" t="str">
        <v>PROVISIONAL</v>
      </c>
      <c r="E8" s="18">
        <f>Breakdowns!D8</f>
        <v>5</v>
      </c>
      <c r="F8" s="20">
        <f>Breakdowns!H8</f>
        <v>0.4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10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4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10</v>
      </c>
      <c r="C11" s="18"/>
      <c r="D11" s="28" t="str">
        <f>IF(B8=0,"Awaiting verified results",IF(B8&lt;30,"Early sample: continue forward testing","Review calibration and ROI by segment"))</f>
        <v>Early sample: continue forward testing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0.7142857142857143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-0.025000000000000005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-0.3500000000000001</v>
      </c>
      <c r="C14" s="18"/>
      <c r="D14" s="18" t="inlineStr">
        <is>
          <t>14 settled; 10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0.2052426252614761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IF(COUNT(Predictions!H6:H168)=0,"n.a.",AVERAGE(Predictions!H6:H168))</f>
        <v>0.5869565217391305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IF(COUNT(Predictions!I6:I168)=0,"n.a.",AVERAGE(Predictions!I6:I168))</f>
        <v>0.5747361895652174</v>
      </c>
      <c r="C17" s="18"/>
      <c r="D17" s="18" t="inlineStr">
        <is>
          <t>Over 1.5</t>
        </is>
      </c>
      <c r="E17" s="18">
        <f>COUNT(Predictions!J6:J168)</f>
        <v>46</v>
      </c>
      <c r="F17" s="20">
        <f>IF(E17=0,"n.a.",AVERAGE(Predictions!J6:J168))</f>
        <v>0.8260869565217391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str">
        <v>Win-rate 95% lower</v>
      </c>
      <c r="B18" s="20">
        <f>IF(B8=0,"n.a.",(B12+1.96^2/(2*B8)-1.96*SQRT(B12*(1-B12)/B8+1.96^2/(4*B8^2)))/(1+1.96^2/B8))</f>
        <v>0.4535045882751561</v>
      </c>
      <c r="C18" s="18"/>
      <c r="D18" s="18" t="inlineStr">
        <is>
          <t>Under 3.5</t>
        </is>
      </c>
      <c r="E18" s="18">
        <f>COUNT(Predictions!K6:K168)</f>
        <v>46</v>
      </c>
      <c r="F18" s="20">
        <f>IF(E18=0,"n.a.",AVERAGE(Predictions!K6:K168))</f>
        <v>0.6304347826086957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str">
        <v>Win-rate 95% upper</v>
      </c>
      <c r="B19" s="20">
        <f>IF(B8=0,"n.a.",(B12+1.96^2/(2*B8)+1.96*SQRT(B12*(1-B12)/B8+1.96^2/(4*B8^2)))/(1+1.96^2/B8))</f>
        <v>0.882788120898909</v>
      </c>
      <c r="C19" s="18"/>
      <c r="D19" s="18" t="inlineStr">
        <is>
          <t>BTTS Yes</t>
        </is>
      </c>
      <c r="E19" s="18">
        <f>COUNT(Predictions!L6:L168)</f>
        <v>46</v>
      </c>
      <c r="F19" s="20">
        <f>IF(E19=0,"n.a.",AVERAGE(Predictions!L6:L168))</f>
        <v>0.5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COUNT(Predictions!M6:M168)</f>
        <v>46</v>
      </c>
      <c r="F20" s="20">
        <f>IF(E20=0,"n.a.",AVERAGE(Predictions!M6:M168))</f>
        <v>0.5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10 wins from 14 settled selections. Early evidence; do not retune from this sample.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2026-10-17T15:46:52.377489+00:00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PROVISIONAL is a research watchlist. Positive simulated ROI does not establish profitability.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Review notes use 30 scored samples as a prompt, not statistical proof. Reassess on a future holdout.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29</v>
      </c>
      <c r="C37" s="18"/>
      <c r="D37" s="18" t="inlineStr">
        <is>
          <t>Check local collection and push quotes;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2026-10-17 14:11:53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0.3400000000000001</v>
      </c>
      <c r="F16" s="22">
        <f>SUM($E$10:E16)</f>
        <v>-0.51</v>
      </c>
      <c r="G16" s="22">
        <f>$B$4+F16</f>
        <v>99.49</v>
      </c>
      <c r="H16" s="22">
        <f>MAX($B$4,$G$10:G16)</f>
        <v>100</v>
      </c>
      <c r="I16" s="22">
        <f>H16-G16</f>
        <v>0.5100000000000051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-1.51</v>
      </c>
      <c r="G17" s="22">
        <f>$B$4+F17</f>
        <v>98.49</v>
      </c>
      <c r="H17" s="22">
        <f>MAX($B$4,$G$10:G17)</f>
        <v>100</v>
      </c>
      <c r="I17" s="22">
        <f>H17-G17</f>
        <v>1.5100000000000051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0.1499999999999999</v>
      </c>
      <c r="F18" s="22">
        <f>SUM($E$10:E18)</f>
        <v>-1.36</v>
      </c>
      <c r="G18" s="22">
        <f>$B$4+F18</f>
        <v>98.64</v>
      </c>
      <c r="H18" s="22">
        <f>MAX($B$4,$G$10:G18)</f>
        <v>100</v>
      </c>
      <c r="I18" s="22">
        <f>H18-G18</f>
        <v>1.3599999999999994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0.49</v>
      </c>
      <c r="F19" s="22">
        <f>SUM($E$10:E19)</f>
        <v>-0.8700000000000001</v>
      </c>
      <c r="G19" s="22">
        <f>$B$4+F19</f>
        <v>99.13</v>
      </c>
      <c r="H19" s="22">
        <f>MAX($B$4,$G$10:G19)</f>
        <v>100</v>
      </c>
      <c r="I19" s="22">
        <f>H19-G19</f>
        <v>0.8700000000000045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-0.8700000000000001</v>
      </c>
      <c r="G20" s="22">
        <f>$B$4+F20</f>
        <v>99.13</v>
      </c>
      <c r="H20" s="22">
        <f>MAX($B$4,$G$10:G20)</f>
        <v>100</v>
      </c>
      <c r="I20" s="22">
        <f>H20-G20</f>
        <v>0.8700000000000045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0.74</v>
      </c>
      <c r="F21" s="22">
        <f>SUM($E$10:E21)</f>
        <v>-0.13000000000000012</v>
      </c>
      <c r="G21" s="22">
        <f>$B$4+F21</f>
        <v>99.87</v>
      </c>
      <c r="H21" s="22">
        <f>MAX($B$4,$G$10:G21)</f>
        <v>100</v>
      </c>
      <c r="I21" s="22">
        <f>H21-G21</f>
        <v>0.12999999999999545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0.24</v>
      </c>
      <c r="F22" s="22">
        <f>SUM($E$10:E22)</f>
        <v>0.10999999999999988</v>
      </c>
      <c r="G22" s="22">
        <f>$B$4+F22</f>
        <v>100.11</v>
      </c>
      <c r="H22" s="22">
        <f>MAX($B$4,$G$10:G22)</f>
        <v>100.11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0.3799999999999999</v>
      </c>
      <c r="G23" s="22">
        <f>$B$4+F23</f>
        <v>100.38</v>
      </c>
      <c r="H23" s="22">
        <f>MAX($B$4,$G$10:G23)</f>
        <v>100.38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LOST</t>
        </is>
      </c>
      <c r="D24" s="22">
        <f>IF(ISNUMBER(Selections!M20),Selections!M20,"")</f>
        <v>1</v>
      </c>
      <c r="E24" s="22">
        <f>IF(ISNUMBER(Selections!N20),Selections!N20,"")</f>
        <v>-1.0</v>
      </c>
      <c r="F24" s="22">
        <f>SUM($E$10:E24)</f>
        <v>-0.6200000000000001</v>
      </c>
      <c r="G24" s="22">
        <f>$B$4+F24</f>
        <v>99.38</v>
      </c>
      <c r="H24" s="22">
        <f>MAX($B$4,$G$10:G24)</f>
        <v>100.38</v>
      </c>
      <c r="I24" s="22">
        <f>H24-G24</f>
        <v>1.0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WON</t>
        </is>
      </c>
      <c r="D25" s="22">
        <f>IF(ISNUMBER(Selections!M21),Selections!M21,"")</f>
        <v>1</v>
      </c>
      <c r="E25" s="22">
        <f>IF(ISNUMBER(Selections!N21),Selections!N21,"")</f>
        <v>0.27</v>
      </c>
      <c r="F25" s="22">
        <f>SUM($E$10:E25)</f>
        <v>-0.3500000000000001</v>
      </c>
      <c r="G25" s="22">
        <f>$B$4+F25</f>
        <v>99.65</v>
      </c>
      <c r="H25" s="22">
        <f>MAX($B$4,$G$10:G25)</f>
        <v>100.38</v>
      </c>
      <c r="I25" s="22">
        <f>H25-G25</f>
        <v>0.7299999999999898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PENDING_KICKOFF_OR_FINAL_SCORE</t>
        </is>
      </c>
      <c r="D26" s="22" t="str">
        <f>IF(ISNUMBER(Selections!M22),Selections!M22,"")</f>
        <v/>
      </c>
      <c r="E26" s="22" t="str">
        <f>IF(ISNUMBER(Selections!N22),Selections!N22,"")</f>
        <v/>
      </c>
      <c r="F26" s="22">
        <f>SUM($E$10:E26)</f>
        <v>-0.3500000000000001</v>
      </c>
      <c r="G26" s="22">
        <f>$B$4+F26</f>
        <v>99.65</v>
      </c>
      <c r="H26" s="22">
        <f>MAX($B$4,$G$10:G26)</f>
        <v>100.38</v>
      </c>
      <c r="I26" s="22">
        <f>H26-G26</f>
        <v>0.7299999999999898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PENDING_KICKOFF_OR_FINAL_SCORE</t>
        </is>
      </c>
      <c r="D27" s="22" t="str">
        <f>IF(ISNUMBER(Selections!M23),Selections!M23,"")</f>
        <v/>
      </c>
      <c r="E27" s="22" t="str">
        <f>IF(ISNUMBER(Selections!N23),Selections!N23,"")</f>
        <v/>
      </c>
      <c r="F27" s="22">
        <f>SUM($E$10:E27)</f>
        <v>-0.3500000000000001</v>
      </c>
      <c r="G27" s="22">
        <f>$B$4+F27</f>
        <v>99.65</v>
      </c>
      <c r="H27" s="22">
        <f>MAX($B$4,$G$10:G27)</f>
        <v>100.38</v>
      </c>
      <c r="I27" s="22">
        <f>H27-G27</f>
        <v>0.7299999999999898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PENDING_KICKOFF_OR_FINAL_SCORE</t>
        </is>
      </c>
      <c r="D28" s="22" t="str">
        <f>IF(ISNUMBER(Selections!M24),Selections!M24,"")</f>
        <v/>
      </c>
      <c r="E28" s="22" t="str">
        <f>IF(ISNUMBER(Selections!N24),Selections!N24,"")</f>
        <v/>
      </c>
      <c r="F28" s="22">
        <f>SUM($E$10:E28)</f>
        <v>-0.3500000000000001</v>
      </c>
      <c r="G28" s="22">
        <f>$B$4+F28</f>
        <v>99.65</v>
      </c>
      <c r="H28" s="22">
        <f>MAX($B$4,$G$10:G28)</f>
        <v>100.38</v>
      </c>
      <c r="I28" s="22">
        <f>H28-G28</f>
        <v>0.7299999999999898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PENDING_KICKOFF_OR_FINAL_SCORE</t>
        </is>
      </c>
      <c r="D29" s="22" t="str">
        <f>IF(ISNUMBER(Selections!M25),Selections!M25,"")</f>
        <v/>
      </c>
      <c r="E29" s="22" t="str">
        <f>IF(ISNUMBER(Selections!N25),Selections!N25,"")</f>
        <v/>
      </c>
      <c r="F29" s="22">
        <f>SUM($E$10:E29)</f>
        <v>-0.3500000000000001</v>
      </c>
      <c r="G29" s="22">
        <f>$B$4+F29</f>
        <v>99.65</v>
      </c>
      <c r="H29" s="22">
        <f>MAX($B$4,$G$10:G29)</f>
        <v>100.38</v>
      </c>
      <c r="I29" s="22">
        <f>H29-G29</f>
        <v>0.7299999999999898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PENDING_KICKOFF_OR_FINAL_SCORE</t>
        </is>
      </c>
      <c r="D30" s="22" t="str">
        <f>IF(ISNUMBER(Selections!M26),Selections!M26,"")</f>
        <v/>
      </c>
      <c r="E30" s="22" t="str">
        <f>IF(ISNUMBER(Selections!N26),Selections!N26,"")</f>
        <v/>
      </c>
      <c r="F30" s="22">
        <f>SUM($E$10:E30)</f>
        <v>-0.3500000000000001</v>
      </c>
      <c r="G30" s="22">
        <f>$B$4+F30</f>
        <v>99.65</v>
      </c>
      <c r="H30" s="22">
        <f>MAX($B$4,$G$10:G30)</f>
        <v>100.38</v>
      </c>
      <c r="I30" s="22">
        <f>H30-G30</f>
        <v>0.7299999999999898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2026-10-18T16:30:00+00:00</t>
        </is>
      </c>
      <c r="B31" s="18" t="inlineStr">
        <is>
          <t>Málaga vs Real Sociedad</t>
        </is>
      </c>
      <c r="C31" s="18" t="inlineStr">
        <is>
          <t>PENDING_KICKOFF_OR_FINAL_SCORE</t>
        </is>
      </c>
      <c r="D31" s="22" t="str">
        <f>IF(ISNUMBER(Selections!M27),Selections!M27,"")</f>
        <v/>
      </c>
      <c r="E31" s="22" t="str">
        <f>IF(ISNUMBER(Selections!N27),Selections!N27,"")</f>
        <v/>
      </c>
      <c r="F31" s="22">
        <f>SUM($E$10:E31)</f>
        <v>-0.3500000000000001</v>
      </c>
      <c r="G31" s="22">
        <f>$B$4+F31</f>
        <v>99.65</v>
      </c>
      <c r="H31" s="22">
        <f>MAX($B$4,$G$10:G31)</f>
        <v>100.38</v>
      </c>
      <c r="I31" s="22">
        <f>H31-G31</f>
        <v>0.7299999999999898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2026-10-18T19:00:00+00:00</t>
        </is>
      </c>
      <c r="B32" s="18" t="inlineStr">
        <is>
          <t>Real Madrid vs Sevilla</t>
        </is>
      </c>
      <c r="C32" s="18" t="inlineStr">
        <is>
          <t>PENDING_KICKOFF_OR_FINAL_SCORE</t>
        </is>
      </c>
      <c r="D32" s="22" t="str">
        <f>IF(ISNUMBER(Selections!M28),Selections!M28,"")</f>
        <v/>
      </c>
      <c r="E32" s="22" t="str">
        <f>IF(ISNUMBER(Selections!N28),Selections!N28,"")</f>
        <v/>
      </c>
      <c r="F32" s="22">
        <f>SUM($E$10:E32)</f>
        <v>-0.3500000000000001</v>
      </c>
      <c r="G32" s="22">
        <f>$B$4+F32</f>
        <v>99.65</v>
      </c>
      <c r="H32" s="22">
        <f>MAX($B$4,$G$10:G32)</f>
        <v>100.38</v>
      </c>
      <c r="I32" s="22">
        <f>H32-G32</f>
        <v>0.7299999999999898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2026-10-19T19:00:00+00:00</t>
        </is>
      </c>
      <c r="B33" s="18" t="inlineStr">
        <is>
          <t>Tottenham Hotspur vs Coventry City</t>
        </is>
      </c>
      <c r="C33" s="18" t="inlineStr">
        <is>
          <t>PENDING_KICKOFF_OR_FINAL_SCORE</t>
        </is>
      </c>
      <c r="D33" s="22" t="str">
        <f>IF(ISNUMBER(Selections!M29),Selections!M29,"")</f>
        <v/>
      </c>
      <c r="E33" s="22" t="str">
        <f>IF(ISNUMBER(Selections!N29),Selections!N29,"")</f>
        <v/>
      </c>
      <c r="F33" s="22">
        <f>SUM($E$10:E33)</f>
        <v>-0.3500000000000001</v>
      </c>
      <c r="G33" s="22">
        <f>$B$4+F33</f>
        <v>99.65</v>
      </c>
      <c r="H33" s="22">
        <f>MAX($B$4,$G$10:G33)</f>
        <v>100.38</v>
      </c>
      <c r="I33" s="22">
        <f>H33-G33</f>
        <v>0.7299999999999898</v>
      </c>
      <c r="J33" s="18" t="inlineStr">
        <is>
          <t>2026-W43</t>
        </is>
      </c>
      <c r="K33" s="18"/>
      <c r="L33" s="18"/>
      <c r="M33" s="18"/>
      <c r="N33" s="18"/>
      <c r="O33" s="18"/>
      <c r="P33" s="18"/>
      <c r="Q33" s="18"/>
      <c r="R33" s="18"/>
    </row>
  </sheetData>
  <mergeCells count="1">
    <mergeCell ref="A2:J2"/>
  </mergeCells>
  <conditionalFormatting sqref="E10:E33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COUNTA(Selections!$A$6:$A$29)</f>
        <v>24</v>
      </c>
      <c r="D6" s="19">
        <f>(COUNTIFS(Selections!$K$6:$K$29,"WON")+COUNTIFS(Selections!$K$6:$K$29,"LOST"))</f>
        <v>14</v>
      </c>
      <c r="E6" s="19">
        <f>COUNTIFS(Selections!$K$6:$K$29,"WON")</f>
        <v>10</v>
      </c>
      <c r="F6" s="19">
        <f>COUNTIFS(Selections!$K$6:$K$29,"LOST")</f>
        <v>4</v>
      </c>
      <c r="G6" s="19">
        <f>COUNTA(Selections!$A$6:$A$29)-(COUNTIFS(Selections!$K$6:$K$29,"WON")+COUNTIFS(Selections!$K$6:$K$29,"LOST"))</f>
        <v>10</v>
      </c>
      <c r="H6" s="20">
        <f>IF((COUNTIFS(Selections!$K$6:$K$29,"WON")+COUNTIFS(Selections!$K$6:$K$29,"LOST"))=0,"n.a.",COUNTIFS(Selections!$K$6:$K$29,"WON")/(COUNTIFS(Selections!$K$6:$K$29,"WON")+COUNTIFS(Selections!$K$6:$K$29,"LOST")))</f>
        <v>0.7142857142857143</v>
      </c>
      <c r="I6" s="22">
        <f>SUM(Selections!$M$6:$M$29)</f>
        <v>14</v>
      </c>
      <c r="J6" s="22">
        <f>SUM(Selections!$N$6:$N$29)</f>
        <v>-0.3500000000000001</v>
      </c>
      <c r="K6" s="20">
        <f>IF(SUM(Selections!$M$6:$M$29)=0,"n.a.",SUM(Selections!$N$6:$N$29)/SUM(Selections!$M$6:$M$29))</f>
        <v>-0.025000000000000005</v>
      </c>
      <c r="L6" s="21">
        <f>IF(SUM(Selections!$T$6:$T$29)=0,"n.a.",SUM(Selections!$O$6:$O$29)/SUM(Selections!$T$6:$T$29))</f>
        <v>0.2052426252614761</v>
      </c>
      <c r="M6" s="20">
        <f>IF(SUM(Selections!$T$6:$T$29)=0,"n.a.",SUM(Selections!$S$6:$S$29)/SUM(Selections!$T$6:$T$29))</f>
        <v>0.7946668183367969</v>
      </c>
      <c r="N6" s="20">
        <f>IF(SUM(Selections!$T$6:$T$29)=0,"n.a.",(SUMIFS(Selections!$L$6:$L$29,Selections!$T$6:$T$29,1))/SUM(Selections!$T$6:$T$29))</f>
        <v>0.7142857142857143</v>
      </c>
      <c r="O6" s="20">
        <f>IF(SUM(Selections!$T$6:$T$29)=0,"n.a.",(SUM(Selections!$S$6:$S$29)-(SUMIFS(Selections!$L$6:$L$29,Selections!$T$6:$T$29,1)))/SUM(Selections!$T$6:$T$29))</f>
        <v>0.08038110405108256</v>
      </c>
      <c r="P6" s="19">
        <f>SUM(Selections!$T$6:$T$29)</f>
        <v>14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(n=14).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COUNTIFS(Selections!$F$6:$F$29,"STRICT")</f>
        <v>14</v>
      </c>
      <c r="D7" s="19">
        <f>(COUNTIFS(Selections!$F$6:$F$29,"STRICT",Selections!$K$6:$K$29,"WON")+COUNTIFS(Selections!$F$6:$F$29,"STRICT",Selections!$K$6:$K$29,"LOST"))</f>
        <v>9</v>
      </c>
      <c r="E7" s="19">
        <f>COUNTIFS(Selections!$F$6:$F$29,"STRICT",Selections!$K$6:$K$29,"WON")</f>
        <v>8</v>
      </c>
      <c r="F7" s="19">
        <f>COUNTIFS(Selections!$F$6:$F$29,"STRICT",Selections!$K$6:$K$29,"LOST")</f>
        <v>1</v>
      </c>
      <c r="G7" s="19">
        <f>COUNTIFS(Selections!$F$6:$F$29,"STRICT")-(COUNTIFS(Selections!$F$6:$F$29,"STRICT",Selections!$K$6:$K$29,"WON")+COUNTIFS(Selections!$F$6:$F$29,"STRICT",Selections!$K$6:$K$29,"LOST"))</f>
        <v>5</v>
      </c>
      <c r="H7" s="20">
        <f>IF((COUNTIFS(Selections!$F$6:$F$29,"STRICT",Selections!$K$6:$K$29,"WON")+COUNTIFS(Selections!$F$6:$F$29,"STRICT",Selections!$K$6:$K$29,"LOST"))=0,"n.a.",COUNTIFS(Selections!$F$6:$F$29,"STRICT",Selections!$K$6:$K$29,"WON")/(COUNTIFS(Selections!$F$6:$F$29,"STRICT",Selections!$K$6:$K$29,"WON")+COUNTIFS(Selections!$F$6:$F$29,"STRICT",Selections!$K$6:$K$29,"LOST")))</f>
        <v>0.8888888888888888</v>
      </c>
      <c r="I7" s="22">
        <f>SUMIFS(Selections!$M$6:$M$29,Selections!$F$6:$F$29,"STRICT")</f>
        <v>9</v>
      </c>
      <c r="J7" s="22">
        <f>SUMIFS(Selections!$N$6:$N$29,Selections!$F$6:$F$29,"STRICT")</f>
        <v>2.13</v>
      </c>
      <c r="K7" s="20">
        <f>IF(SUMIFS(Selections!$M$6:$M$29,Selections!$F$6:$F$29,"STRICT")=0,"n.a.",SUMIFS(Selections!$N$6:$N$29,Selections!$F$6:$F$29,"STRICT")/SUMIFS(Selections!$M$6:$M$29,Selections!$F$6:$F$29,"STRICT"))</f>
        <v>0.23666666666666666</v>
      </c>
      <c r="L7" s="21">
        <f>IF(SUMIFS(Selections!$T$6:$T$29,Selections!$F$6:$F$29,"STRICT")=0,"n.a.",SUMIFS(Selections!$O$6:$O$29,Selections!$F$6:$F$29,"STRICT")/SUMIFS(Selections!$T$6:$T$29,Selections!$F$6:$F$29,"STRICT"))</f>
        <v>0.09519703322102556</v>
      </c>
      <c r="M7" s="20">
        <f>IF(SUMIFS(Selections!$T$6:$T$29,Selections!$F$6:$F$29,"STRICT")=0,"n.a.",SUMIFS(Selections!$S$6:$S$29,Selections!$F$6:$F$29,"STRICT")/SUMIFS(Selections!$T$6:$T$29,Selections!$F$6:$F$29,"STRICT"))</f>
        <v>0.778220649732653</v>
      </c>
      <c r="N7" s="20">
        <f>IF(SUMIFS(Selections!$T$6:$T$29,Selections!$F$6:$F$29,"STRICT")=0,"n.a.",(SUMIFS(Selections!$L$6:$L$29,Selections!$F$6:$F$29,"STRICT",Selections!$T$6:$T$29,1))/SUMIFS(Selections!$T$6:$T$29,Selections!$F$6:$F$29,"STRICT"))</f>
        <v>0.8888888888888888</v>
      </c>
      <c r="O7" s="20">
        <f>IF(SUMIFS(Selections!$T$6:$T$29,Selections!$F$6:$F$29,"STRICT")=0,"n.a.",(SUMIFS(Selections!$S$6:$S$29,Selections!$F$6:$F$29,"STRICT")-(SUMIFS(Selections!$L$6:$L$29,Selections!$F$6:$F$29,"STRICT",Selections!$T$6:$T$29,1)))/SUMIFS(Selections!$T$6:$T$29,Selections!$F$6:$F$29,"STRICT"))</f>
        <v>-0.1106682391562358</v>
      </c>
      <c r="P7" s="19">
        <f>SUMIFS(Selections!$T$6:$T$29,Selections!$F$6:$F$29,"STRICT")</f>
        <v>9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(n=9).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COUNTIFS(Selections!$F$6:$F$29,"PROVISIONAL")</f>
        <v>10</v>
      </c>
      <c r="D8" s="19">
        <f>(COUNTIFS(Selections!$F$6:$F$29,"PROVISIONAL",Selections!$K$6:$K$29,"WON")+COUNTIFS(Selections!$F$6:$F$29,"PROVISIONAL",Selections!$K$6:$K$29,"LOST"))</f>
        <v>5</v>
      </c>
      <c r="E8" s="19">
        <f>COUNTIFS(Selections!$F$6:$F$29,"PROVISIONAL",Selections!$K$6:$K$29,"WON")</f>
        <v>2</v>
      </c>
      <c r="F8" s="19">
        <f>COUNTIFS(Selections!$F$6:$F$29,"PROVISIONAL",Selections!$K$6:$K$29,"LOST")</f>
        <v>3</v>
      </c>
      <c r="G8" s="19">
        <f>COUNTIFS(Selections!$F$6:$F$29,"PROVISIONAL")-(COUNTIFS(Selections!$F$6:$F$29,"PROVISIONAL",Selections!$K$6:$K$29,"WON")+COUNTIFS(Selections!$F$6:$F$29,"PROVISIONAL",Selections!$K$6:$K$29,"LOST"))</f>
        <v>5</v>
      </c>
      <c r="H8" s="20">
        <f>IF((COUNTIFS(Selections!$F$6:$F$29,"PROVISIONAL",Selections!$K$6:$K$29,"WON")+COUNTIFS(Selections!$F$6:$F$29,"PROVISIONAL",Selections!$K$6:$K$29,"LOST"))=0,"n.a.",COUNTIFS(Selections!$F$6:$F$29,"PROVISIONAL",Selections!$K$6:$K$29,"WON")/(COUNTIFS(Selections!$F$6:$F$29,"PROVISIONAL",Selections!$K$6:$K$29,"WON")+COUNTIFS(Selections!$F$6:$F$29,"PROVISIONAL",Selections!$K$6:$K$29,"LOST")))</f>
        <v>0.4</v>
      </c>
      <c r="I8" s="22">
        <f>SUMIFS(Selections!$M$6:$M$29,Selections!$F$6:$F$29,"PROVISIONAL")</f>
        <v>5</v>
      </c>
      <c r="J8" s="22">
        <f>SUMIFS(Selections!$N$6:$N$29,Selections!$F$6:$F$29,"PROVISIONAL")</f>
        <v>-2.48</v>
      </c>
      <c r="K8" s="20">
        <f>IF(SUMIFS(Selections!$M$6:$M$29,Selections!$F$6:$F$29,"PROVISIONAL")=0,"n.a.",SUMIFS(Selections!$N$6:$N$29,Selections!$F$6:$F$29,"PROVISIONAL")/SUMIFS(Selections!$M$6:$M$29,Selections!$F$6:$F$29,"PROVISIONAL"))</f>
        <v>-0.496</v>
      </c>
      <c r="L8" s="21">
        <f>IF(SUMIFS(Selections!$T$6:$T$29,Selections!$F$6:$F$29,"PROVISIONAL")=0,"n.a.",SUMIFS(Selections!$O$6:$O$29,Selections!$F$6:$F$29,"PROVISIONAL")/SUMIFS(Selections!$T$6:$T$29,Selections!$F$6:$F$29,"PROVISIONAL"))</f>
        <v>0.40332469093428713</v>
      </c>
      <c r="M8" s="20">
        <f>IF(SUMIFS(Selections!$T$6:$T$29,Selections!$F$6:$F$29,"PROVISIONAL")=0,"n.a.",SUMIFS(Selections!$S$6:$S$29,Selections!$F$6:$F$29,"PROVISIONAL")/SUMIFS(Selections!$T$6:$T$29,Selections!$F$6:$F$29,"PROVISIONAL"))</f>
        <v>0.824269921824256</v>
      </c>
      <c r="N8" s="20">
        <f>IF(SUMIFS(Selections!$T$6:$T$29,Selections!$F$6:$F$29,"PROVISIONAL")=0,"n.a.",(SUMIFS(Selections!$L$6:$L$29,Selections!$F$6:$F$29,"PROVISIONAL",Selections!$T$6:$T$29,1))/SUMIFS(Selections!$T$6:$T$29,Selections!$F$6:$F$29,"PROVISIONAL"))</f>
        <v>0.4</v>
      </c>
      <c r="O8" s="20">
        <f>IF(SUMIFS(Selections!$T$6:$T$29,Selections!$F$6:$F$29,"PROVISIONAL")=0,"n.a.",(SUMIFS(Selections!$S$6:$S$29,Selections!$F$6:$F$29,"PROVISIONAL")-(SUMIFS(Selections!$L$6:$L$29,Selections!$F$6:$F$29,"PROVISIONAL",Selections!$T$6:$T$29,1)))/SUMIFS(Selections!$T$6:$T$29,Selections!$F$6:$F$29,"PROVISIONAL"))</f>
        <v>0.42426992182425594</v>
      </c>
      <c r="P8" s="19">
        <f>SUMIFS(Selections!$T$6:$T$29,Selections!$F$6:$F$29,"PROVISIONAL")</f>
        <v>5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(n=5).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COUNTIFS(Selections!$C$6:$C$29,"Bundesliga")</f>
        <v>2</v>
      </c>
      <c r="D9" s="19">
        <f>(COUNTIFS(Selections!$C$6:$C$29,"Bundesliga",Selections!$K$6:$K$29,"WON")+COUNTIFS(Selections!$C$6:$C$29,"Bundesliga",Selections!$K$6:$K$29,"LOST"))</f>
        <v>1</v>
      </c>
      <c r="E9" s="19">
        <f>COUNTIFS(Selections!$C$6:$C$29,"Bundesliga",Selections!$K$6:$K$29,"WON")</f>
        <v>1</v>
      </c>
      <c r="F9" s="19">
        <f>COUNTIFS(Selections!$C$6:$C$29,"Bundesliga",Selections!$K$6:$K$29,"LOST")</f>
        <v>0</v>
      </c>
      <c r="G9" s="19">
        <f>COUNTIFS(Selections!$C$6:$C$29,"Bundesliga")-(COUNTIFS(Selections!$C$6:$C$29,"Bundesliga",Selections!$K$6:$K$29,"WON")+COUNTIFS(Selections!$C$6:$C$29,"Bundesliga",Selections!$K$6:$K$29,"LOST"))</f>
        <v>1</v>
      </c>
      <c r="H9" s="20">
        <f>IF((COUNTIFS(Selections!$C$6:$C$29,"Bundesliga",Selections!$K$6:$K$29,"WON")+COUNTIFS(Selections!$C$6:$C$29,"Bundesliga",Selections!$K$6:$K$29,"LOST"))=0,"n.a.",COUNTIFS(Selections!$C$6:$C$29,"Bundesliga",Selections!$K$6:$K$29,"WON")/(COUNTIFS(Selections!$C$6:$C$29,"Bundesliga",Selections!$K$6:$K$29,"WON")+COUNTIFS(Selections!$C$6:$C$29,"Bundesliga",Selections!$K$6:$K$29,"LOST")))</f>
        <v>1.0</v>
      </c>
      <c r="I9" s="22">
        <f>SUMIFS(Selections!$M$6:$M$29,Selections!$C$6:$C$29,"Bundesliga")</f>
        <v>1</v>
      </c>
      <c r="J9" s="22">
        <f>SUMIFS(Selections!$N$6:$N$29,Selections!$C$6:$C$29,"Bundesliga")</f>
        <v>0.27</v>
      </c>
      <c r="K9" s="20">
        <f>IF(SUMIFS(Selections!$M$6:$M$29,Selections!$C$6:$C$29,"Bundesliga")=0,"n.a.",SUMIFS(Selections!$N$6:$N$29,Selections!$C$6:$C$29,"Bundesliga")/SUMIFS(Selections!$M$6:$M$29,Selections!$C$6:$C$29,"Bundesliga"))</f>
        <v>0.27</v>
      </c>
      <c r="L9" s="21">
        <f>IF(SUMIFS(Selections!$T$6:$T$29,Selections!$C$6:$C$29,"Bundesliga")=0,"n.a.",SUMIFS(Selections!$O$6:$O$29,Selections!$C$6:$C$29,"Bundesliga")/SUMIFS(Selections!$T$6:$T$29,Selections!$C$6:$C$29,"Bundesliga"))</f>
        <v>0.03933741464046248</v>
      </c>
      <c r="M9" s="20">
        <f>IF(SUMIFS(Selections!$T$6:$T$29,Selections!$C$6:$C$29,"Bundesliga")=0,"n.a.",SUMIFS(Selections!$S$6:$S$29,Selections!$C$6:$C$29,"Bundesliga")/SUMIFS(Selections!$T$6:$T$29,Selections!$C$6:$C$29,"Bundesliga"))</f>
        <v>0.8016633804854422</v>
      </c>
      <c r="N9" s="20">
        <f>IF(SUMIFS(Selections!$T$6:$T$29,Selections!$C$6:$C$29,"Bundesliga")=0,"n.a.",(SUMIFS(Selections!$L$6:$L$29,Selections!$C$6:$C$29,"Bundesliga",Selections!$T$6:$T$29,1))/SUMIFS(Selections!$T$6:$T$29,Selections!$C$6:$C$29,"Bundesliga"))</f>
        <v>1.0</v>
      </c>
      <c r="O9" s="20">
        <f>IF(SUMIFS(Selections!$T$6:$T$29,Selections!$C$6:$C$29,"Bundesliga")=0,"n.a.",(SUMIFS(Selections!$S$6:$S$29,Selections!$C$6:$C$29,"Bundesliga")-(SUMIFS(Selections!$L$6:$L$29,Selections!$C$6:$C$29,"Bundesliga",Selections!$T$6:$T$29,1)))/SUMIFS(Selections!$T$6:$T$29,Selections!$C$6:$C$29,"Bundesliga"))</f>
        <v>-0.19833661951455783</v>
      </c>
      <c r="P9" s="19">
        <f>SUMIFS(Selections!$T$6:$T$29,Selections!$C$6:$C$29,"Bundesliga")</f>
        <v>1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(n=1).</v>
      </c>
      <c r="R9" s="18"/>
    </row>
    <row r="10" ht="36" customHeight="1">
      <c r="A10" s="18" t="inlineStr">
        <is>
          <t>League</t>
        </is>
      </c>
      <c r="B10" s="18" t="inlineStr">
        <is>
          <t>La Liga</t>
        </is>
      </c>
      <c r="C10" s="19">
        <f>COUNTIFS(Selections!$C$6:$C$29,"La Liga")</f>
        <v>7</v>
      </c>
      <c r="D10" s="19">
        <f>(COUNTIFS(Selections!$C$6:$C$29,"La Liga",Selections!$K$6:$K$29,"WON")+COUNTIFS(Selections!$C$6:$C$29,"La Liga",Selections!$K$6:$K$29,"LOST"))</f>
        <v>3</v>
      </c>
      <c r="E10" s="19">
        <f>COUNTIFS(Selections!$C$6:$C$29,"La Liga",Selections!$K$6:$K$29,"WON")</f>
        <v>3</v>
      </c>
      <c r="F10" s="19">
        <f>COUNTIFS(Selections!$C$6:$C$29,"La Liga",Selections!$K$6:$K$29,"LOST")</f>
        <v>0</v>
      </c>
      <c r="G10" s="19">
        <f>COUNTIFS(Selections!$C$6:$C$29,"La Liga")-(COUNTIFS(Selections!$C$6:$C$29,"La Liga",Selections!$K$6:$K$29,"WON")+COUNTIFS(Selections!$C$6:$C$29,"La Liga",Selections!$K$6:$K$29,"LOST"))</f>
        <v>4</v>
      </c>
      <c r="H10" s="20">
        <f>IF((COUNTIFS(Selections!$C$6:$C$29,"La Liga",Selections!$K$6:$K$29,"WON")+COUNTIFS(Selections!$C$6:$C$29,"La Liga",Selections!$K$6:$K$29,"LOST"))=0,"n.a.",COUNTIFS(Selections!$C$6:$C$29,"La Liga",Selections!$K$6:$K$29,"WON")/(COUNTIFS(Selections!$C$6:$C$29,"La Liga",Selections!$K$6:$K$29,"WON")+COUNTIFS(Selections!$C$6:$C$29,"La Liga",Selections!$K$6:$K$29,"LOST")))</f>
        <v>1.0</v>
      </c>
      <c r="I10" s="22">
        <f>SUMIFS(Selections!$M$6:$M$29,Selections!$C$6:$C$29,"La Liga")</f>
        <v>3</v>
      </c>
      <c r="J10" s="22">
        <f>SUMIFS(Selections!$N$6:$N$29,Selections!$C$6:$C$29,"La Liga")</f>
        <v>0.8500000000000001</v>
      </c>
      <c r="K10" s="20">
        <f>IF(SUMIFS(Selections!$M$6:$M$29,Selections!$C$6:$C$29,"La Liga")=0,"n.a.",SUMIFS(Selections!$N$6:$N$29,Selections!$C$6:$C$29,"La Liga")/SUMIFS(Selections!$M$6:$M$29,Selections!$C$6:$C$29,"La Liga"))</f>
        <v>0.2833333333333334</v>
      </c>
      <c r="L10" s="21">
        <f>IF(SUMIFS(Selections!$T$6:$T$29,Selections!$C$6:$C$29,"La Liga")=0,"n.a.",SUMIFS(Selections!$O$6:$O$29,Selections!$C$6:$C$29,"La Liga")/SUMIFS(Selections!$T$6:$T$29,Selections!$C$6:$C$29,"La Liga"))</f>
        <v>0.02679924783576133</v>
      </c>
      <c r="M10" s="20">
        <f>IF(SUMIFS(Selections!$T$6:$T$29,Selections!$C$6:$C$29,"La Liga")=0,"n.a.",SUMIFS(Selections!$S$6:$S$29,Selections!$C$6:$C$29,"La Liga")/SUMIFS(Selections!$T$6:$T$29,Selections!$C$6:$C$29,"La Liga"))</f>
        <v>0.8435366220237205</v>
      </c>
      <c r="N10" s="20">
        <f>IF(SUMIFS(Selections!$T$6:$T$29,Selections!$C$6:$C$29,"La Liga")=0,"n.a.",(SUMIFS(Selections!$L$6:$L$29,Selections!$C$6:$C$29,"La Liga",Selections!$T$6:$T$29,1))/SUMIFS(Selections!$T$6:$T$29,Selections!$C$6:$C$29,"La Liga"))</f>
        <v>1.0</v>
      </c>
      <c r="O10" s="20">
        <f>IF(SUMIFS(Selections!$T$6:$T$29,Selections!$C$6:$C$29,"La Liga")=0,"n.a.",(SUMIFS(Selections!$S$6:$S$29,Selections!$C$6:$C$29,"La Liga")-(SUMIFS(Selections!$L$6:$L$29,Selections!$C$6:$C$29,"La Liga",Selections!$T$6:$T$29,1)))/SUMIFS(Selections!$T$6:$T$29,Selections!$C$6:$C$29,"La Liga"))</f>
        <v>-0.15646337797627952</v>
      </c>
      <c r="P10" s="19">
        <f>SUMIFS(Selections!$T$6:$T$29,Selections!$C$6:$C$29,"La Liga")</f>
        <v>3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(n=3).</v>
      </c>
      <c r="R10" s="18"/>
    </row>
    <row r="11" ht="36" customHeight="1">
      <c r="A11" s="18" t="inlineStr">
        <is>
          <t>League</t>
        </is>
      </c>
      <c r="B11" s="18" t="inlineStr">
        <is>
          <t>Premier League</t>
        </is>
      </c>
      <c r="C11" s="19">
        <f>COUNTIFS(Selections!$C$6:$C$29,"Premier League")</f>
        <v>6</v>
      </c>
      <c r="D11" s="19">
        <f>(COUNTIFS(Selections!$C$6:$C$29,"Premier League",Selections!$K$6:$K$29,"WON")+COUNTIFS(Selections!$C$6:$C$29,"Premier League",Selections!$K$6:$K$29,"LOST"))</f>
        <v>3</v>
      </c>
      <c r="E11" s="19">
        <f>COUNTIFS(Selections!$C$6:$C$29,"Premier League",Selections!$K$6:$K$29,"WON")</f>
        <v>0</v>
      </c>
      <c r="F11" s="19">
        <f>COUNTIFS(Selections!$C$6:$C$29,"Premier League",Selections!$K$6:$K$29,"LOST")</f>
        <v>3</v>
      </c>
      <c r="G11" s="19">
        <f>COUNTIFS(Selections!$C$6:$C$29,"Premier League")-(COUNTIFS(Selections!$C$6:$C$29,"Premier League",Selections!$K$6:$K$29,"WON")+COUNTIFS(Selections!$C$6:$C$29,"Premier League",Selections!$K$6:$K$29,"LOST"))</f>
        <v>3</v>
      </c>
      <c r="H11" s="20">
        <f>IF((COUNTIFS(Selections!$C$6:$C$29,"Premier League",Selections!$K$6:$K$29,"WON")+COUNTIFS(Selections!$C$6:$C$29,"Premier League",Selections!$K$6:$K$29,"LOST"))=0,"n.a.",COUNTIFS(Selections!$C$6:$C$29,"Premier League",Selections!$K$6:$K$29,"WON")/(COUNTIFS(Selections!$C$6:$C$29,"Premier League",Selections!$K$6:$K$29,"WON")+COUNTIFS(Selections!$C$6:$C$29,"Premier League",Selections!$K$6:$K$29,"LOST")))</f>
        <v>0.0</v>
      </c>
      <c r="I11" s="22">
        <f>SUMIFS(Selections!$M$6:$M$29,Selections!$C$6:$C$29,"Premier League")</f>
        <v>3</v>
      </c>
      <c r="J11" s="22">
        <f>SUMIFS(Selections!$N$6:$N$29,Selections!$C$6:$C$29,"Premier League")</f>
        <v>-3.0</v>
      </c>
      <c r="K11" s="20">
        <f>IF(SUMIFS(Selections!$M$6:$M$29,Selections!$C$6:$C$29,"Premier League")=0,"n.a.",SUMIFS(Selections!$N$6:$N$29,Selections!$C$6:$C$29,"Premier League")/SUMIFS(Selections!$M$6:$M$29,Selections!$C$6:$C$29,"Premier League"))</f>
        <v>-1.0</v>
      </c>
      <c r="L11" s="21">
        <f>IF(SUMIFS(Selections!$T$6:$T$29,Selections!$C$6:$C$29,"Premier League")=0,"n.a.",SUMIFS(Selections!$O$6:$O$29,Selections!$C$6:$C$29,"Premier League")/SUMIFS(Selections!$T$6:$T$29,Selections!$C$6:$C$29,"Premier League"))</f>
        <v>0.6550299989350173</v>
      </c>
      <c r="M11" s="20">
        <f>IF(SUMIFS(Selections!$T$6:$T$29,Selections!$C$6:$C$29,"Premier League")=0,"n.a.",SUMIFS(Selections!$S$6:$S$29,Selections!$C$6:$C$29,"Premier League")/SUMIFS(Selections!$T$6:$T$29,Selections!$C$6:$C$29,"Premier League"))</f>
        <v>0.8084589103334122</v>
      </c>
      <c r="N11" s="20">
        <f>IF(SUMIFS(Selections!$T$6:$T$29,Selections!$C$6:$C$29,"Premier League")=0,"n.a.",(SUMIFS(Selections!$L$6:$L$29,Selections!$C$6:$C$29,"Premier League",Selections!$T$6:$T$29,1))/SUMIFS(Selections!$T$6:$T$29,Selections!$C$6:$C$29,"Premier League"))</f>
        <v>0.0</v>
      </c>
      <c r="O11" s="20">
        <f>IF(SUMIFS(Selections!$T$6:$T$29,Selections!$C$6:$C$29,"Premier League")=0,"n.a.",(SUMIFS(Selections!$S$6:$S$29,Selections!$C$6:$C$29,"Premier League")-(SUMIFS(Selections!$L$6:$L$29,Selections!$C$6:$C$29,"Premier League",Selections!$T$6:$T$29,1)))/SUMIFS(Selections!$T$6:$T$29,Selections!$C$6:$C$29,"Premier League"))</f>
        <v>0.8084589103334122</v>
      </c>
      <c r="P11" s="19">
        <f>SUMIFS(Selections!$T$6:$T$29,Selections!$C$6:$C$29,"Premier League")</f>
        <v>3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(n=3).</v>
      </c>
      <c r="R11" s="18"/>
    </row>
    <row r="12" ht="36" customHeight="1">
      <c r="A12" s="18" t="inlineStr">
        <is>
          <t>League</t>
        </is>
      </c>
      <c r="B12" s="18" t="inlineStr">
        <is>
          <t>Serie A</t>
        </is>
      </c>
      <c r="C12" s="19">
        <f>COUNTIFS(Selections!$C$6:$C$29,"Serie A")</f>
        <v>4</v>
      </c>
      <c r="D12" s="19">
        <f>(COUNTIFS(Selections!$C$6:$C$29,"Serie A",Selections!$K$6:$K$29,"WON")+COUNTIFS(Selections!$C$6:$C$29,"Serie A",Selections!$K$6:$K$29,"LOST"))</f>
        <v>3</v>
      </c>
      <c r="E12" s="19">
        <f>COUNTIFS(Selections!$C$6:$C$29,"Serie A",Selections!$K$6:$K$29,"WON")</f>
        <v>2</v>
      </c>
      <c r="F12" s="19">
        <f>COUNTIFS(Selections!$C$6:$C$29,"Serie A",Selections!$K$6:$K$29,"LOST")</f>
        <v>1</v>
      </c>
      <c r="G12" s="19">
        <f>COUNTIFS(Selections!$C$6:$C$29,"Serie A")-(COUNTIFS(Selections!$C$6:$C$29,"Serie A",Selections!$K$6:$K$29,"WON")+COUNTIFS(Selections!$C$6:$C$29,"Serie A",Selections!$K$6:$K$29,"LOST"))</f>
        <v>1</v>
      </c>
      <c r="H12" s="20">
        <f>IF((COUNTIFS(Selections!$C$6:$C$29,"Serie A",Selections!$K$6:$K$29,"WON")+COUNTIFS(Selections!$C$6:$C$29,"Serie A",Selections!$K$6:$K$29,"LOST"))=0,"n.a.",COUNTIFS(Selections!$C$6:$C$29,"Serie A",Selections!$K$6:$K$29,"WON")/(COUNTIFS(Selections!$C$6:$C$29,"Serie A",Selections!$K$6:$K$29,"WON")+COUNTIFS(Selections!$C$6:$C$29,"Serie A",Selections!$K$6:$K$29,"LOST")))</f>
        <v>0.6666666666666666</v>
      </c>
      <c r="I12" s="22">
        <f>SUMIFS(Selections!$M$6:$M$29,Selections!$C$6:$C$29,"Serie A")</f>
        <v>3</v>
      </c>
      <c r="J12" s="22">
        <f>SUMIFS(Selections!$N$6:$N$29,Selections!$C$6:$C$29,"Serie A")</f>
        <v>-0.09000000000000008</v>
      </c>
      <c r="K12" s="20">
        <f>IF(SUMIFS(Selections!$M$6:$M$29,Selections!$C$6:$C$29,"Serie A")=0,"n.a.",SUMIFS(Selections!$N$6:$N$29,Selections!$C$6:$C$29,"Serie A")/SUMIFS(Selections!$M$6:$M$29,Selections!$C$6:$C$29,"Serie A"))</f>
        <v>-0.030000000000000027</v>
      </c>
      <c r="L12" s="21">
        <f>IF(SUMIFS(Selections!$T$6:$T$29,Selections!$C$6:$C$29,"Serie A")=0,"n.a.",SUMIFS(Selections!$O$6:$O$29,Selections!$C$6:$C$29,"Serie A")/SUMIFS(Selections!$T$6:$T$29,Selections!$C$6:$C$29,"Serie A"))</f>
        <v>0.1928046315634262</v>
      </c>
      <c r="M12" s="20">
        <f>IF(SUMIFS(Selections!$T$6:$T$29,Selections!$C$6:$C$29,"Serie A")=0,"n.a.",SUMIFS(Selections!$S$6:$S$29,Selections!$C$6:$C$29,"Serie A")/SUMIFS(Selections!$T$6:$T$29,Selections!$C$6:$C$29,"Serie A"))</f>
        <v>0.7130105727912527</v>
      </c>
      <c r="N12" s="20">
        <f>IF(SUMIFS(Selections!$T$6:$T$29,Selections!$C$6:$C$29,"Serie A")=0,"n.a.",(SUMIFS(Selections!$L$6:$L$29,Selections!$C$6:$C$29,"Serie A",Selections!$T$6:$T$29,1))/SUMIFS(Selections!$T$6:$T$29,Selections!$C$6:$C$29,"Serie A"))</f>
        <v>0.6666666666666666</v>
      </c>
      <c r="O12" s="20">
        <f>IF(SUMIFS(Selections!$T$6:$T$29,Selections!$C$6:$C$29,"Serie A")=0,"n.a.",(SUMIFS(Selections!$S$6:$S$29,Selections!$C$6:$C$29,"Serie A")-(SUMIFS(Selections!$L$6:$L$29,Selections!$C$6:$C$29,"Serie A",Selections!$T$6:$T$29,1)))/SUMIFS(Selections!$T$6:$T$29,Selections!$C$6:$C$29,"Serie A"))</f>
        <v>0.046343906124586054</v>
      </c>
      <c r="P12" s="19">
        <f>SUMIFS(Selections!$T$6:$T$29,Selections!$C$6:$C$29,"Serie A")</f>
        <v>3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(n=3).</v>
      </c>
      <c r="R12" s="18"/>
    </row>
    <row r="13" ht="36" customHeight="1">
      <c r="A13" s="18" t="inlineStr">
        <is>
          <t>League</t>
        </is>
      </c>
      <c r="B13" s="18" t="inlineStr">
        <is>
          <t>UEFA Champions League</t>
        </is>
      </c>
      <c r="C13" s="19">
        <f>COUNTIFS(Selections!$C$6:$C$29,"UEFA Champions League")</f>
        <v>5</v>
      </c>
      <c r="D13" s="19">
        <f>(COUNTIFS(Selections!$C$6:$C$29,"UEFA Champions League",Selections!$K$6:$K$29,"WON")+COUNTIFS(Selections!$C$6:$C$29,"UEFA Champions League",Selections!$K$6:$K$29,"LOST"))</f>
        <v>4</v>
      </c>
      <c r="E13" s="19">
        <f>COUNTIFS(Selections!$C$6:$C$29,"UEFA Champions League",Selections!$K$6:$K$29,"WON")</f>
        <v>4</v>
      </c>
      <c r="F13" s="19">
        <f>COUNTIFS(Selections!$C$6:$C$29,"UEFA Champions League",Selections!$K$6:$K$29,"LOST")</f>
        <v>0</v>
      </c>
      <c r="G13" s="19">
        <f>COUNTIFS(Selections!$C$6:$C$29,"UEFA Champions League")-(COUNTIFS(Selections!$C$6:$C$29,"UEFA Champions League",Selections!$K$6:$K$29,"WON")+COUNTIFS(Selections!$C$6:$C$29,"UEFA Champions League",Selections!$K$6:$K$29,"LOST"))</f>
        <v>1</v>
      </c>
      <c r="H13" s="20">
        <f>IF((COUNTIFS(Selections!$C$6:$C$29,"UEFA Champions League",Selections!$K$6:$K$29,"WON")+COUNTIFS(Selections!$C$6:$C$29,"UEFA Champions League",Selections!$K$6:$K$29,"LOST"))=0,"n.a.",COUNTIFS(Selections!$C$6:$C$29,"UEFA Champions League",Selections!$K$6:$K$29,"WON")/(COUNTIFS(Selections!$C$6:$C$29,"UEFA Champions League",Selections!$K$6:$K$29,"WON")+COUNTIFS(Selections!$C$6:$C$29,"UEFA Champions League",Selections!$K$6:$K$29,"LOST")))</f>
        <v>1.0</v>
      </c>
      <c r="I13" s="22">
        <f>SUMIFS(Selections!$M$6:$M$29,Selections!$C$6:$C$29,"UEFA Champions League")</f>
        <v>4</v>
      </c>
      <c r="J13" s="22">
        <f>SUMIFS(Selections!$N$6:$N$29,Selections!$C$6:$C$29,"UEFA Champions League")</f>
        <v>1.6199999999999999</v>
      </c>
      <c r="K13" s="20">
        <f>IF(SUMIFS(Selections!$M$6:$M$29,Selections!$C$6:$C$29,"UEFA Champions League")=0,"n.a.",SUMIFS(Selections!$N$6:$N$29,Selections!$C$6:$C$29,"UEFA Champions League")/SUMIFS(Selections!$M$6:$M$29,Selections!$C$6:$C$29,"UEFA Champions League"))</f>
        <v>0.40499999999999997</v>
      </c>
      <c r="L13" s="21">
        <f>IF(SUMIFS(Selections!$T$6:$T$29,Selections!$C$6:$C$29,"UEFA Champions League")=0,"n.a.",SUMIFS(Selections!$O$6:$O$29,Selections!$C$6:$C$29,"UEFA Champions League")/SUMIFS(Selections!$T$6:$T$29,Selections!$C$6:$C$29,"UEFA Champions League"))</f>
        <v>0.052539426004397115</v>
      </c>
      <c r="M13" s="20">
        <f>IF(SUMIFS(Selections!$T$6:$T$29,Selections!$C$6:$C$29,"UEFA Champions League")=0,"n.a.",SUMIFS(Selections!$S$6:$S$29,Selections!$C$6:$C$29,"UEFA Champions League")/SUMIFS(Selections!$T$6:$T$29,Selections!$C$6:$C$29,"UEFA Champions League"))</f>
        <v>0.8071634401961396</v>
      </c>
      <c r="N13" s="20">
        <f>IF(SUMIFS(Selections!$T$6:$T$29,Selections!$C$6:$C$29,"UEFA Champions League")=0,"n.a.",(SUMIFS(Selections!$L$6:$L$29,Selections!$C$6:$C$29,"UEFA Champions League",Selections!$T$6:$T$29,1))/SUMIFS(Selections!$T$6:$T$29,Selections!$C$6:$C$29,"UEFA Champions League"))</f>
        <v>1.0</v>
      </c>
      <c r="O13" s="20">
        <f>IF(SUMIFS(Selections!$T$6:$T$29,Selections!$C$6:$C$29,"UEFA Champions League")=0,"n.a.",(SUMIFS(Selections!$S$6:$S$29,Selections!$C$6:$C$29,"UEFA Champions League")-(SUMIFS(Selections!$L$6:$L$29,Selections!$C$6:$C$29,"UEFA Champions League",Selections!$T$6:$T$29,1)))/SUMIFS(Selections!$T$6:$T$29,Selections!$C$6:$C$29,"UEFA Champions League"))</f>
        <v>-0.19283655980386039</v>
      </c>
      <c r="P13" s="19">
        <f>SUMIFS(Selections!$T$6:$T$29,Selections!$C$6:$C$29,"UEFA Champions League")</f>
        <v>4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(n=4).</v>
      </c>
      <c r="R13" s="18"/>
    </row>
    <row r="14" ht="36" customHeight="1">
      <c r="A14" s="18" t="inlineStr">
        <is>
          <t>Market</t>
        </is>
      </c>
      <c r="B14" s="18" t="inlineStr">
        <is>
          <t>Away win</t>
        </is>
      </c>
      <c r="C14" s="19">
        <f>COUNTIFS(Selections!$E$6:$E$29,"Away win")</f>
        <v>1</v>
      </c>
      <c r="D14" s="19">
        <f>(COUNTIFS(Selections!$E$6:$E$29,"Away win",Selections!$K$6:$K$29,"WON")+COUNTIFS(Selections!$E$6:$E$29,"Away win",Selections!$K$6:$K$29,"LOST"))</f>
        <v>1</v>
      </c>
      <c r="E14" s="19">
        <f>COUNTIFS(Selections!$E$6:$E$29,"Away win",Selections!$K$6:$K$29,"WON")</f>
        <v>0</v>
      </c>
      <c r="F14" s="19">
        <f>COUNTIFS(Selections!$E$6:$E$29,"Away win",Selections!$K$6:$K$29,"LOST")</f>
        <v>1</v>
      </c>
      <c r="G14" s="19">
        <f>COUNTIFS(Selections!$E$6:$E$29,"Away win")-(COUNTIFS(Selections!$E$6:$E$29,"Away win",Selections!$K$6:$K$29,"WON")+COUNTIFS(Selections!$E$6:$E$29,"Away win",Selections!$K$6:$K$29,"LOST"))</f>
        <v>0</v>
      </c>
      <c r="H14" s="20">
        <f>IF((COUNTIFS(Selections!$E$6:$E$29,"Away win",Selections!$K$6:$K$29,"WON")+COUNTIFS(Selections!$E$6:$E$29,"Away win",Selections!$K$6:$K$29,"LOST"))=0,"n.a.",COUNTIFS(Selections!$E$6:$E$29,"Away win",Selections!$K$6:$K$29,"WON")/(COUNTIFS(Selections!$E$6:$E$29,"Away win",Selections!$K$6:$K$29,"WON")+COUNTIFS(Selections!$E$6:$E$29,"Away win",Selections!$K$6:$K$29,"LOST")))</f>
        <v>0.0</v>
      </c>
      <c r="I14" s="22">
        <f>SUMIFS(Selections!$M$6:$M$29,Selections!$E$6:$E$29,"Away win")</f>
        <v>1</v>
      </c>
      <c r="J14" s="22">
        <f>SUMIFS(Selections!$N$6:$N$29,Selections!$E$6:$E$29,"Away win")</f>
        <v>-1.0</v>
      </c>
      <c r="K14" s="20">
        <f>IF(SUMIFS(Selections!$M$6:$M$29,Selections!$E$6:$E$29,"Away win")=0,"n.a.",SUMIFS(Selections!$N$6:$N$29,Selections!$E$6:$E$29,"Away win")/SUMIFS(Selections!$M$6:$M$29,Selections!$E$6:$E$29,"Away win"))</f>
        <v>-1.0</v>
      </c>
      <c r="L14" s="21">
        <f>IF(SUMIFS(Selections!$T$6:$T$29,Selections!$E$6:$E$29,"Away win")=0,"n.a.",SUMIFS(Selections!$O$6:$O$29,Selections!$E$6:$E$29,"Away win")/SUMIFS(Selections!$T$6:$T$29,Selections!$E$6:$E$29,"Away win"))</f>
        <v>0.43602718522290096</v>
      </c>
      <c r="M14" s="20">
        <f>IF(SUMIFS(Selections!$T$6:$T$29,Selections!$E$6:$E$29,"Away win")=0,"n.a.",SUMIFS(Selections!$S$6:$S$29,Selections!$E$6:$E$29,"Away win")/SUMIFS(Selections!$T$6:$T$29,Selections!$E$6:$E$29,"Away win"))</f>
        <v>0.6603235458643747</v>
      </c>
      <c r="N14" s="20">
        <f>IF(SUMIFS(Selections!$T$6:$T$29,Selections!$E$6:$E$29,"Away win")=0,"n.a.",(SUMIFS(Selections!$L$6:$L$29,Selections!$E$6:$E$29,"Away win",Selections!$T$6:$T$29,1))/SUMIFS(Selections!$T$6:$T$29,Selections!$E$6:$E$29,"Away win"))</f>
        <v>0.0</v>
      </c>
      <c r="O14" s="20">
        <f>IF(SUMIFS(Selections!$T$6:$T$29,Selections!$E$6:$E$29,"Away win")=0,"n.a.",(SUMIFS(Selections!$S$6:$S$29,Selections!$E$6:$E$29,"Away win")-(SUMIFS(Selections!$L$6:$L$29,Selections!$E$6:$E$29,"Away win",Selections!$T$6:$T$29,1)))/SUMIFS(Selections!$T$6:$T$29,Selections!$E$6:$E$29,"Away win"))</f>
        <v>0.6603235458643747</v>
      </c>
      <c r="P14" s="19">
        <f>SUMIFS(Selections!$T$6:$T$29,Selections!$E$6:$E$29,"Away win")</f>
        <v>1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(n=1).</v>
      </c>
      <c r="R14" s="18"/>
    </row>
    <row r="15" ht="36" customHeight="1">
      <c r="A15" s="18" t="inlineStr">
        <is>
          <t>Market</t>
        </is>
      </c>
      <c r="B15" s="18" t="inlineStr">
        <is>
          <t>Both Teams to Score - Yes</t>
        </is>
      </c>
      <c r="C15" s="19">
        <f>COUNTIFS(Selections!$E$6:$E$29,"Both Teams to Score - Yes")</f>
        <v>1</v>
      </c>
      <c r="D15" s="19">
        <f>(COUNTIFS(Selections!$E$6:$E$29,"Both Teams to Score - Yes",Selections!$K$6:$K$29,"WON")+COUNTIFS(Selections!$E$6:$E$29,"Both Teams to Score - Yes",Selections!$K$6:$K$29,"LOST"))</f>
        <v>1</v>
      </c>
      <c r="E15" s="19">
        <f>COUNTIFS(Selections!$E$6:$E$29,"Both Teams to Score - Yes",Selections!$K$6:$K$29,"WON")</f>
        <v>1</v>
      </c>
      <c r="F15" s="19">
        <f>COUNTIFS(Selections!$E$6:$E$29,"Both Teams to Score - Yes",Selections!$K$6:$K$29,"LOST")</f>
        <v>0</v>
      </c>
      <c r="G15" s="19">
        <f>COUNTIFS(Selections!$E$6:$E$29,"Both Teams to Score - Yes")-(COUNTIFS(Selections!$E$6:$E$29,"Both Teams to Score - Yes",Selections!$K$6:$K$29,"WON")+COUNTIFS(Selections!$E$6:$E$29,"Both Teams to Score - Yes",Selections!$K$6:$K$29,"LOST"))</f>
        <v>0</v>
      </c>
      <c r="H15" s="20">
        <f>IF((COUNTIFS(Selections!$E$6:$E$29,"Both Teams to Score - Yes",Selections!$K$6:$K$29,"WON")+COUNTIFS(Selections!$E$6:$E$29,"Both Teams to Score - Yes",Selections!$K$6:$K$29,"LOST"))=0,"n.a.",COUNTIFS(Selections!$E$6:$E$29,"Both Teams to Score - Yes",Selections!$K$6:$K$29,"WON")/(COUNTIFS(Selections!$E$6:$E$29,"Both Teams to Score - Yes",Selections!$K$6:$K$29,"WON")+COUNTIFS(Selections!$E$6:$E$29,"Both Teams to Score - Yes",Selections!$K$6:$K$29,"LOST")))</f>
        <v>1.0</v>
      </c>
      <c r="I15" s="22">
        <f>SUMIFS(Selections!$M$6:$M$29,Selections!$E$6:$E$29,"Both Teams to Score - Yes")</f>
        <v>1</v>
      </c>
      <c r="J15" s="22">
        <f>SUMIFS(Selections!$N$6:$N$29,Selections!$E$6:$E$29,"Both Teams to Score - Yes")</f>
        <v>0.49</v>
      </c>
      <c r="K15" s="20">
        <f>IF(SUMIFS(Selections!$M$6:$M$29,Selections!$E$6:$E$29,"Both Teams to Score - Yes")=0,"n.a.",SUMIFS(Selections!$N$6:$N$29,Selections!$E$6:$E$29,"Both Teams to Score - Yes")/SUMIFS(Selections!$M$6:$M$29,Selections!$E$6:$E$29,"Both Teams to Score - Yes"))</f>
        <v>0.49</v>
      </c>
      <c r="L15" s="21">
        <f>IF(SUMIFS(Selections!$T$6:$T$29,Selections!$E$6:$E$29,"Both Teams to Score - Yes")=0,"n.a.",SUMIFS(Selections!$O$6:$O$29,Selections!$E$6:$E$29,"Both Teams to Score - Yes")/SUMIFS(Selections!$T$6:$T$29,Selections!$E$6:$E$29,"Both Teams to Score - Yes"))</f>
        <v>0.08662845606019748</v>
      </c>
      <c r="M15" s="20">
        <f>IF(SUMIFS(Selections!$T$6:$T$29,Selections!$E$6:$E$29,"Both Teams to Score - Yes")=0,"n.a.",SUMIFS(Selections!$S$6:$S$29,Selections!$E$6:$E$29,"Both Teams to Score - Yes")/SUMIFS(Selections!$T$6:$T$29,Selections!$E$6:$E$29,"Both Teams to Score - Yes"))</f>
        <v>0.7056728757654207</v>
      </c>
      <c r="N15" s="20">
        <f>IF(SUMIFS(Selections!$T$6:$T$29,Selections!$E$6:$E$29,"Both Teams to Score - Yes")=0,"n.a.",(SUMIFS(Selections!$L$6:$L$29,Selections!$E$6:$E$29,"Both Teams to Score - Yes",Selections!$T$6:$T$29,1))/SUMIFS(Selections!$T$6:$T$29,Selections!$E$6:$E$29,"Both Teams to Score - Yes"))</f>
        <v>1.0</v>
      </c>
      <c r="O15" s="20">
        <f>IF(SUMIFS(Selections!$T$6:$T$29,Selections!$E$6:$E$29,"Both Teams to Score - Yes")=0,"n.a.",(SUMIFS(Selections!$S$6:$S$29,Selections!$E$6:$E$29,"Both Teams to Score - Yes")-(SUMIFS(Selections!$L$6:$L$29,Selections!$E$6:$E$29,"Both Teams to Score - Yes",Selections!$T$6:$T$29,1)))/SUMIFS(Selections!$T$6:$T$29,Selections!$E$6:$E$29,"Both Teams to Score - Yes"))</f>
        <v>-0.2943271242345793</v>
      </c>
      <c r="P15" s="19">
        <f>SUMIFS(Selections!$T$6:$T$29,Selections!$E$6:$E$29,"Both Teams to Score - Yes")</f>
        <v>1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(n=1).</v>
      </c>
      <c r="R15" s="18"/>
    </row>
    <row r="16" ht="36" customHeight="1">
      <c r="A16" s="18" t="inlineStr">
        <is>
          <t>Market</t>
        </is>
      </c>
      <c r="B16" s="18" t="inlineStr">
        <is>
          <t>Double Chance 1X</t>
        </is>
      </c>
      <c r="C16" s="19">
        <f>COUNTIFS(Selections!$E$6:$E$29,"Double Chance 1X")</f>
        <v>2</v>
      </c>
      <c r="D16" s="19">
        <f>(COUNTIFS(Selections!$E$6:$E$29,"Double Chance 1X",Selections!$K$6:$K$29,"WON")+COUNTIFS(Selections!$E$6:$E$29,"Double Chance 1X",Selections!$K$6:$K$29,"LOST"))</f>
        <v>1</v>
      </c>
      <c r="E16" s="19">
        <f>COUNTIFS(Selections!$E$6:$E$29,"Double Chance 1X",Selections!$K$6:$K$29,"WON")</f>
        <v>1</v>
      </c>
      <c r="F16" s="19">
        <f>COUNTIFS(Selections!$E$6:$E$29,"Double Chance 1X",Selections!$K$6:$K$29,"LOST")</f>
        <v>0</v>
      </c>
      <c r="G16" s="19">
        <f>COUNTIFS(Selections!$E$6:$E$29,"Double Chance 1X")-(COUNTIFS(Selections!$E$6:$E$29,"Double Chance 1X",Selections!$K$6:$K$29,"WON")+COUNTIFS(Selections!$E$6:$E$29,"Double Chance 1X",Selections!$K$6:$K$29,"LOST"))</f>
        <v>1</v>
      </c>
      <c r="H16" s="20">
        <f>IF((COUNTIFS(Selections!$E$6:$E$29,"Double Chance 1X",Selections!$K$6:$K$29,"WON")+COUNTIFS(Selections!$E$6:$E$29,"Double Chance 1X",Selections!$K$6:$K$29,"LOST"))=0,"n.a.",COUNTIFS(Selections!$E$6:$E$29,"Double Chance 1X",Selections!$K$6:$K$29,"WON")/(COUNTIFS(Selections!$E$6:$E$29,"Double Chance 1X",Selections!$K$6:$K$29,"WON")+COUNTIFS(Selections!$E$6:$E$29,"Double Chance 1X",Selections!$K$6:$K$29,"LOST")))</f>
        <v>1.0</v>
      </c>
      <c r="I16" s="22">
        <f>SUMIFS(Selections!$M$6:$M$29,Selections!$E$6:$E$29,"Double Chance 1X")</f>
        <v>1</v>
      </c>
      <c r="J16" s="22">
        <f>SUMIFS(Selections!$N$6:$N$29,Selections!$E$6:$E$29,"Double Chance 1X")</f>
        <v>0.27</v>
      </c>
      <c r="K16" s="20">
        <f>IF(SUMIFS(Selections!$M$6:$M$29,Selections!$E$6:$E$29,"Double Chance 1X")=0,"n.a.",SUMIFS(Selections!$N$6:$N$29,Selections!$E$6:$E$29,"Double Chance 1X")/SUMIFS(Selections!$M$6:$M$29,Selections!$E$6:$E$29,"Double Chance 1X"))</f>
        <v>0.27</v>
      </c>
      <c r="L16" s="21">
        <f>IF(SUMIFS(Selections!$T$6:$T$29,Selections!$E$6:$E$29,"Double Chance 1X")=0,"n.a.",SUMIFS(Selections!$O$6:$O$29,Selections!$E$6:$E$29,"Double Chance 1X")/SUMIFS(Selections!$T$6:$T$29,Selections!$E$6:$E$29,"Double Chance 1X"))</f>
        <v>0.03933741464046248</v>
      </c>
      <c r="M16" s="20">
        <f>IF(SUMIFS(Selections!$T$6:$T$29,Selections!$E$6:$E$29,"Double Chance 1X")=0,"n.a.",SUMIFS(Selections!$S$6:$S$29,Selections!$E$6:$E$29,"Double Chance 1X")/SUMIFS(Selections!$T$6:$T$29,Selections!$E$6:$E$29,"Double Chance 1X"))</f>
        <v>0.8016633804854422</v>
      </c>
      <c r="N16" s="20">
        <f>IF(SUMIFS(Selections!$T$6:$T$29,Selections!$E$6:$E$29,"Double Chance 1X")=0,"n.a.",(SUMIFS(Selections!$L$6:$L$29,Selections!$E$6:$E$29,"Double Chance 1X",Selections!$T$6:$T$29,1))/SUMIFS(Selections!$T$6:$T$29,Selections!$E$6:$E$29,"Double Chance 1X"))</f>
        <v>1.0</v>
      </c>
      <c r="O16" s="20">
        <f>IF(SUMIFS(Selections!$T$6:$T$29,Selections!$E$6:$E$29,"Double Chance 1X")=0,"n.a.",(SUMIFS(Selections!$S$6:$S$29,Selections!$E$6:$E$29,"Double Chance 1X")-(SUMIFS(Selections!$L$6:$L$29,Selections!$E$6:$E$29,"Double Chance 1X",Selections!$T$6:$T$29,1)))/SUMIFS(Selections!$T$6:$T$29,Selections!$E$6:$E$29,"Double Chance 1X"))</f>
        <v>-0.19833661951455783</v>
      </c>
      <c r="P16" s="19">
        <f>SUMIFS(Selections!$T$6:$T$29,Selections!$E$6:$E$29,"Double Chance 1X")</f>
        <v>1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(n=1).</v>
      </c>
      <c r="R16" s="18"/>
    </row>
    <row r="17" ht="36" customHeight="1">
      <c r="A17" s="18" t="inlineStr">
        <is>
          <t>Market</t>
        </is>
      </c>
      <c r="B17" s="18" t="inlineStr">
        <is>
          <t>Home win</t>
        </is>
      </c>
      <c r="C17" s="19">
        <f>COUNTIFS(Selections!$E$6:$E$29,"Home win")</f>
        <v>5</v>
      </c>
      <c r="D17" s="19">
        <f>(COUNTIFS(Selections!$E$6:$E$29,"Home win",Selections!$K$6:$K$29,"WON")+COUNTIFS(Selections!$E$6:$E$29,"Home win",Selections!$K$6:$K$29,"LOST"))</f>
        <v>2</v>
      </c>
      <c r="E17" s="19">
        <f>COUNTIFS(Selections!$E$6:$E$29,"Home win",Selections!$K$6:$K$29,"WON")</f>
        <v>2</v>
      </c>
      <c r="F17" s="19">
        <f>COUNTIFS(Selections!$E$6:$E$29,"Home win",Selections!$K$6:$K$29,"LOST")</f>
        <v>0</v>
      </c>
      <c r="G17" s="19">
        <f>COUNTIFS(Selections!$E$6:$E$29,"Home win")-(COUNTIFS(Selections!$E$6:$E$29,"Home win",Selections!$K$6:$K$29,"WON")+COUNTIFS(Selections!$E$6:$E$29,"Home win",Selections!$K$6:$K$29,"LOST"))</f>
        <v>3</v>
      </c>
      <c r="H17" s="20">
        <f>IF((COUNTIFS(Selections!$E$6:$E$29,"Home win",Selections!$K$6:$K$29,"WON")+COUNTIFS(Selections!$E$6:$E$29,"Home win",Selections!$K$6:$K$29,"LOST"))=0,"n.a.",COUNTIFS(Selections!$E$6:$E$29,"Home win",Selections!$K$6:$K$29,"WON")/(COUNTIFS(Selections!$E$6:$E$29,"Home win",Selections!$K$6:$K$29,"WON")+COUNTIFS(Selections!$E$6:$E$29,"Home win",Selections!$K$6:$K$29,"LOST")))</f>
        <v>1.0</v>
      </c>
      <c r="I17" s="22">
        <f>SUMIFS(Selections!$M$6:$M$29,Selections!$E$6:$E$29,"Home win")</f>
        <v>2</v>
      </c>
      <c r="J17" s="22">
        <f>SUMIFS(Selections!$N$6:$N$29,Selections!$E$6:$E$29,"Home win")</f>
        <v>1.3699999999999999</v>
      </c>
      <c r="K17" s="20">
        <f>IF(SUMIFS(Selections!$M$6:$M$29,Selections!$E$6:$E$29,"Home win")=0,"n.a.",SUMIFS(Selections!$N$6:$N$29,Selections!$E$6:$E$29,"Home win")/SUMIFS(Selections!$M$6:$M$29,Selections!$E$6:$E$29,"Home win"))</f>
        <v>0.6849999999999999</v>
      </c>
      <c r="L17" s="21">
        <f>IF(SUMIFS(Selections!$T$6:$T$29,Selections!$E$6:$E$29,"Home win")=0,"n.a.",SUMIFS(Selections!$O$6:$O$29,Selections!$E$6:$E$29,"Home win")/SUMIFS(Selections!$T$6:$T$29,Selections!$E$6:$E$29,"Home win"))</f>
        <v>0.10707453570041733</v>
      </c>
      <c r="M17" s="20">
        <f>IF(SUMIFS(Selections!$T$6:$T$29,Selections!$E$6:$E$29,"Home win")=0,"n.a.",SUMIFS(Selections!$S$6:$S$29,Selections!$E$6:$E$29,"Home win")/SUMIFS(Selections!$T$6:$T$29,Selections!$E$6:$E$29,"Home win"))</f>
        <v>0.672911773109177</v>
      </c>
      <c r="N17" s="20">
        <f>IF(SUMIFS(Selections!$T$6:$T$29,Selections!$E$6:$E$29,"Home win")=0,"n.a.",(SUMIFS(Selections!$L$6:$L$29,Selections!$E$6:$E$29,"Home win",Selections!$T$6:$T$29,1))/SUMIFS(Selections!$T$6:$T$29,Selections!$E$6:$E$29,"Home win"))</f>
        <v>1.0</v>
      </c>
      <c r="O17" s="20">
        <f>IF(SUMIFS(Selections!$T$6:$T$29,Selections!$E$6:$E$29,"Home win")=0,"n.a.",(SUMIFS(Selections!$S$6:$S$29,Selections!$E$6:$E$29,"Home win")-(SUMIFS(Selections!$L$6:$L$29,Selections!$E$6:$E$29,"Home win",Selections!$T$6:$T$29,1)))/SUMIFS(Selections!$T$6:$T$29,Selections!$E$6:$E$29,"Home win"))</f>
        <v>-0.32708822689082295</v>
      </c>
      <c r="P17" s="19">
        <f>SUMIFS(Selections!$T$6:$T$29,Selections!$E$6:$E$29,"Home win")</f>
        <v>2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(n=2).</v>
      </c>
      <c r="R17" s="18"/>
    </row>
    <row r="18" ht="36" customHeight="1">
      <c r="A18" s="18" t="inlineStr">
        <is>
          <t>Market</t>
        </is>
      </c>
      <c r="B18" s="18" t="inlineStr">
        <is>
          <t>Over 1.5</t>
        </is>
      </c>
      <c r="C18" s="19">
        <f>COUNTIFS(Selections!$E$6:$E$29,"Over 1.5")</f>
        <v>9</v>
      </c>
      <c r="D18" s="19">
        <f>(COUNTIFS(Selections!$E$6:$E$29,"Over 1.5",Selections!$K$6:$K$29,"WON")+COUNTIFS(Selections!$E$6:$E$29,"Over 1.5",Selections!$K$6:$K$29,"LOST"))</f>
        <v>5</v>
      </c>
      <c r="E18" s="19">
        <f>COUNTIFS(Selections!$E$6:$E$29,"Over 1.5",Selections!$K$6:$K$29,"WON")</f>
        <v>5</v>
      </c>
      <c r="F18" s="19">
        <f>COUNTIFS(Selections!$E$6:$E$29,"Over 1.5",Selections!$K$6:$K$29,"LOST")</f>
        <v>0</v>
      </c>
      <c r="G18" s="19">
        <f>COUNTIFS(Selections!$E$6:$E$29,"Over 1.5")-(COUNTIFS(Selections!$E$6:$E$29,"Over 1.5",Selections!$K$6:$K$29,"WON")+COUNTIFS(Selections!$E$6:$E$29,"Over 1.5",Selections!$K$6:$K$29,"LOST"))</f>
        <v>4</v>
      </c>
      <c r="H18" s="20">
        <f>IF((COUNTIFS(Selections!$E$6:$E$29,"Over 1.5",Selections!$K$6:$K$29,"WON")+COUNTIFS(Selections!$E$6:$E$29,"Over 1.5",Selections!$K$6:$K$29,"LOST"))=0,"n.a.",COUNTIFS(Selections!$E$6:$E$29,"Over 1.5",Selections!$K$6:$K$29,"WON")/(COUNTIFS(Selections!$E$6:$E$29,"Over 1.5",Selections!$K$6:$K$29,"WON")+COUNTIFS(Selections!$E$6:$E$29,"Over 1.5",Selections!$K$6:$K$29,"LOST")))</f>
        <v>1.0</v>
      </c>
      <c r="I18" s="22">
        <f>SUMIFS(Selections!$M$6:$M$29,Selections!$E$6:$E$29,"Over 1.5")</f>
        <v>5</v>
      </c>
      <c r="J18" s="22">
        <f>SUMIFS(Selections!$N$6:$N$29,Selections!$E$6:$E$29,"Over 1.5")</f>
        <v>1.24</v>
      </c>
      <c r="K18" s="20">
        <f>IF(SUMIFS(Selections!$M$6:$M$29,Selections!$E$6:$E$29,"Over 1.5")=0,"n.a.",SUMIFS(Selections!$N$6:$N$29,Selections!$E$6:$E$29,"Over 1.5")/SUMIFS(Selections!$M$6:$M$29,Selections!$E$6:$E$29,"Over 1.5"))</f>
        <v>0.248</v>
      </c>
      <c r="L18" s="21">
        <f>IF(SUMIFS(Selections!$T$6:$T$29,Selections!$E$6:$E$29,"Over 1.5")=0,"n.a.",SUMIFS(Selections!$O$6:$O$29,Selections!$E$6:$E$29,"Over 1.5")/SUMIFS(Selections!$T$6:$T$29,Selections!$E$6:$E$29,"Over 1.5"))</f>
        <v>0.018144350651683065</v>
      </c>
      <c r="M18" s="20">
        <f>IF(SUMIFS(Selections!$T$6:$T$29,Selections!$E$6:$E$29,"Over 1.5")=0,"n.a.",SUMIFS(Selections!$S$6:$S$29,Selections!$E$6:$E$29,"Over 1.5")/SUMIFS(Selections!$T$6:$T$29,Selections!$E$6:$E$29,"Over 1.5"))</f>
        <v>0.8780101224602997</v>
      </c>
      <c r="N18" s="20">
        <f>IF(SUMIFS(Selections!$T$6:$T$29,Selections!$E$6:$E$29,"Over 1.5")=0,"n.a.",(SUMIFS(Selections!$L$6:$L$29,Selections!$E$6:$E$29,"Over 1.5",Selections!$T$6:$T$29,1))/SUMIFS(Selections!$T$6:$T$29,Selections!$E$6:$E$29,"Over 1.5"))</f>
        <v>1.0</v>
      </c>
      <c r="O18" s="20">
        <f>IF(SUMIFS(Selections!$T$6:$T$29,Selections!$E$6:$E$29,"Over 1.5")=0,"n.a.",(SUMIFS(Selections!$S$6:$S$29,Selections!$E$6:$E$29,"Over 1.5")-(SUMIFS(Selections!$L$6:$L$29,Selections!$E$6:$E$29,"Over 1.5",Selections!$T$6:$T$29,1)))/SUMIFS(Selections!$T$6:$T$29,Selections!$E$6:$E$29,"Over 1.5"))</f>
        <v>-0.12198987753970025</v>
      </c>
      <c r="P18" s="19">
        <f>SUMIFS(Selections!$T$6:$T$29,Selections!$E$6:$E$29,"Over 1.5")</f>
        <v>5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(n=5).</v>
      </c>
      <c r="R18" s="18"/>
    </row>
    <row r="19" ht="36" customHeight="1">
      <c r="A19" s="18" t="inlineStr">
        <is>
          <t>Market</t>
        </is>
      </c>
      <c r="B19" s="18" t="inlineStr">
        <is>
          <t>Under 3.5</t>
        </is>
      </c>
      <c r="C19" s="19">
        <f>COUNTIFS(Selections!$E$6:$E$29,"Under 3.5")</f>
        <v>6</v>
      </c>
      <c r="D19" s="19">
        <f>(COUNTIFS(Selections!$E$6:$E$29,"Under 3.5",Selections!$K$6:$K$29,"WON")+COUNTIFS(Selections!$E$6:$E$29,"Under 3.5",Selections!$K$6:$K$29,"LOST"))</f>
        <v>4</v>
      </c>
      <c r="E19" s="19">
        <f>COUNTIFS(Selections!$E$6:$E$29,"Under 3.5",Selections!$K$6:$K$29,"WON")</f>
        <v>1</v>
      </c>
      <c r="F19" s="19">
        <f>COUNTIFS(Selections!$E$6:$E$29,"Under 3.5",Selections!$K$6:$K$29,"LOST")</f>
        <v>3</v>
      </c>
      <c r="G19" s="19">
        <f>COUNTIFS(Selections!$E$6:$E$29,"Under 3.5")-(COUNTIFS(Selections!$E$6:$E$29,"Under 3.5",Selections!$K$6:$K$29,"WON")+COUNTIFS(Selections!$E$6:$E$29,"Under 3.5",Selections!$K$6:$K$29,"LOST"))</f>
        <v>2</v>
      </c>
      <c r="H19" s="20">
        <f>IF((COUNTIFS(Selections!$E$6:$E$29,"Under 3.5",Selections!$K$6:$K$29,"WON")+COUNTIFS(Selections!$E$6:$E$29,"Under 3.5",Selections!$K$6:$K$29,"LOST"))=0,"n.a.",COUNTIFS(Selections!$E$6:$E$29,"Under 3.5",Selections!$K$6:$K$29,"WON")/(COUNTIFS(Selections!$E$6:$E$29,"Under 3.5",Selections!$K$6:$K$29,"WON")+COUNTIFS(Selections!$E$6:$E$29,"Under 3.5",Selections!$K$6:$K$29,"LOST")))</f>
        <v>0.25</v>
      </c>
      <c r="I19" s="22">
        <f>SUMIFS(Selections!$M$6:$M$29,Selections!$E$6:$E$29,"Under 3.5")</f>
        <v>4</v>
      </c>
      <c r="J19" s="22">
        <f>SUMIFS(Selections!$N$6:$N$29,Selections!$E$6:$E$29,"Under 3.5")</f>
        <v>-2.7199999999999998</v>
      </c>
      <c r="K19" s="20">
        <f>IF(SUMIFS(Selections!$M$6:$M$29,Selections!$E$6:$E$29,"Under 3.5")=0,"n.a.",SUMIFS(Selections!$N$6:$N$29,Selections!$E$6:$E$29,"Under 3.5")/SUMIFS(Selections!$M$6:$M$29,Selections!$E$6:$E$29,"Under 3.5"))</f>
        <v>-0.6799999999999999</v>
      </c>
      <c r="L19" s="21">
        <f>IF(SUMIFS(Selections!$T$6:$T$29,Selections!$E$6:$E$29,"Under 3.5")=0,"n.a.",SUMIFS(Selections!$O$6:$O$29,Selections!$E$6:$E$29,"Under 3.5")/SUMIFS(Selections!$T$6:$T$29,Selections!$E$6:$E$29,"Under 3.5"))</f>
        <v>0.5016332182694637</v>
      </c>
      <c r="M19" s="20">
        <f>IF(SUMIFS(Selections!$T$6:$T$29,Selections!$E$6:$E$29,"Under 3.5")=0,"n.a.",SUMIFS(Selections!$S$6:$S$29,Selections!$E$6:$E$29,"Under 3.5")/SUMIFS(Selections!$T$6:$T$29,Selections!$E$6:$E$29,"Under 3.5"))</f>
        <v>0.8054503740200165</v>
      </c>
      <c r="N19" s="20">
        <f>IF(SUMIFS(Selections!$T$6:$T$29,Selections!$E$6:$E$29,"Under 3.5")=0,"n.a.",(SUMIFS(Selections!$L$6:$L$29,Selections!$E$6:$E$29,"Under 3.5",Selections!$T$6:$T$29,1))/SUMIFS(Selections!$T$6:$T$29,Selections!$E$6:$E$29,"Under 3.5"))</f>
        <v>0.25</v>
      </c>
      <c r="O19" s="20">
        <f>IF(SUMIFS(Selections!$T$6:$T$29,Selections!$E$6:$E$29,"Under 3.5")=0,"n.a.",(SUMIFS(Selections!$S$6:$S$29,Selections!$E$6:$E$29,"Under 3.5")-(SUMIFS(Selections!$L$6:$L$29,Selections!$E$6:$E$29,"Under 3.5",Selections!$T$6:$T$29,1)))/SUMIFS(Selections!$T$6:$T$29,Selections!$E$6:$E$29,"Under 3.5"))</f>
        <v>0.5554503740200165</v>
      </c>
      <c r="P19" s="19">
        <f>SUMIFS(Selections!$T$6:$T$29,Selections!$E$6:$E$29,"Under 3.5")</f>
        <v>4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(n=4).</v>
      </c>
      <c r="R19" s="18"/>
    </row>
    <row r="20" ht="36" customHeight="1">
      <c r="A20" s="18" t="inlineStr">
        <is>
          <t>Policy</t>
        </is>
      </c>
      <c r="B20" s="18" t="inlineStr">
        <is>
          <t>72h-all-markets-net-ev15-execution-v7</t>
        </is>
      </c>
      <c r="C20" s="19">
        <f>COUNTIFS(Selections!$G$6:$G$29,"72h-all-markets-net-ev15-execution-v7")</f>
        <v>2</v>
      </c>
      <c r="D20" s="19">
        <f>(COUNTIFS(Selections!$G$6:$G$29,"72h-all-markets-net-ev15-execution-v7",Selections!$K$6:$K$29,"WON")+COUNTIFS(Selections!$G$6:$G$29,"72h-all-markets-net-ev15-execution-v7",Selections!$K$6:$K$29,"LOST"))</f>
        <v>2</v>
      </c>
      <c r="E20" s="19">
        <f>COUNTIFS(Selections!$G$6:$G$29,"72h-all-markets-net-ev15-execution-v7",Selections!$K$6:$K$29,"WON")</f>
        <v>1</v>
      </c>
      <c r="F20" s="19">
        <f>COUNTIFS(Selections!$G$6:$G$29,"72h-all-markets-net-ev15-execution-v7",Selections!$K$6:$K$29,"LOST")</f>
        <v>1</v>
      </c>
      <c r="G20" s="19">
        <f>COUNTIFS(Selections!$G$6:$G$29,"72h-all-markets-net-ev15-execution-v7")-(COUNTIFS(Selections!$G$6:$G$29,"72h-all-markets-net-ev15-execution-v7",Selections!$K$6:$K$29,"WON")+COUNTIFS(Selections!$G$6:$G$29,"72h-all-markets-net-ev15-execution-v7",Selections!$K$6:$K$29,"LOST"))</f>
        <v>0</v>
      </c>
      <c r="H20" s="20">
        <f>IF((COUNTIFS(Selections!$G$6:$G$29,"72h-all-markets-net-ev15-execution-v7",Selections!$K$6:$K$29,"WON")+COUNTIFS(Selections!$G$6:$G$29,"72h-all-markets-net-ev15-execution-v7",Selections!$K$6:$K$29,"LOST"))=0,"n.a.",COUNTIFS(Selections!$G$6:$G$29,"72h-all-markets-net-ev15-execution-v7",Selections!$K$6:$K$29,"WON")/(COUNTIFS(Selections!$G$6:$G$29,"72h-all-markets-net-ev15-execution-v7",Selections!$K$6:$K$29,"WON")+COUNTIFS(Selections!$G$6:$G$29,"72h-all-markets-net-ev15-execution-v7",Selections!$K$6:$K$29,"LOST")))</f>
        <v>0.5</v>
      </c>
      <c r="I20" s="22">
        <f>SUMIFS(Selections!$M$6:$M$29,Selections!$G$6:$G$29,"72h-all-markets-net-ev15-execution-v7")</f>
        <v>2</v>
      </c>
      <c r="J20" s="22">
        <f>SUMIFS(Selections!$N$6:$N$29,Selections!$G$6:$G$29,"72h-all-markets-net-ev15-execution-v7")</f>
        <v>-0.73</v>
      </c>
      <c r="K20" s="20">
        <f>IF(SUMIFS(Selections!$M$6:$M$29,Selections!$G$6:$G$29,"72h-all-markets-net-ev15-execution-v7")=0,"n.a.",SUMIFS(Selections!$N$6:$N$29,Selections!$G$6:$G$29,"72h-all-markets-net-ev15-execution-v7")/SUMIFS(Selections!$M$6:$M$29,Selections!$G$6:$G$29,"72h-all-markets-net-ev15-execution-v7"))</f>
        <v>-0.365</v>
      </c>
      <c r="L20" s="21">
        <f>IF(SUMIFS(Selections!$T$6:$T$29,Selections!$G$6:$G$29,"72h-all-markets-net-ev15-execution-v7")=0,"n.a.",SUMIFS(Selections!$O$6:$O$29,Selections!$G$6:$G$29,"72h-all-markets-net-ev15-execution-v7")/SUMIFS(Selections!$T$6:$T$29,Selections!$G$6:$G$29,"72h-all-markets-net-ev15-execution-v7"))</f>
        <v>0.22940386115877875</v>
      </c>
      <c r="M20" s="20">
        <f>IF(SUMIFS(Selections!$T$6:$T$29,Selections!$G$6:$G$29,"72h-all-markets-net-ev15-execution-v7")=0,"n.a.",SUMIFS(Selections!$S$6:$S$29,Selections!$G$6:$G$29,"72h-all-markets-net-ev15-execution-v7")/SUMIFS(Selections!$T$6:$T$29,Selections!$G$6:$G$29,"72h-all-markets-net-ev15-execution-v7"))</f>
        <v>0.7546956595191849</v>
      </c>
      <c r="N20" s="20">
        <f>IF(SUMIFS(Selections!$T$6:$T$29,Selections!$G$6:$G$29,"72h-all-markets-net-ev15-execution-v7")=0,"n.a.",(SUMIFS(Selections!$L$6:$L$29,Selections!$G$6:$G$29,"72h-all-markets-net-ev15-execution-v7",Selections!$T$6:$T$29,1))/SUMIFS(Selections!$T$6:$T$29,Selections!$G$6:$G$29,"72h-all-markets-net-ev15-execution-v7"))</f>
        <v>0.5</v>
      </c>
      <c r="O20" s="20">
        <f>IF(SUMIFS(Selections!$T$6:$T$29,Selections!$G$6:$G$29,"72h-all-markets-net-ev15-execution-v7")=0,"n.a.",(SUMIFS(Selections!$S$6:$S$29,Selections!$G$6:$G$29,"72h-all-markets-net-ev15-execution-v7")-(SUMIFS(Selections!$L$6:$L$29,Selections!$G$6:$G$29,"72h-all-markets-net-ev15-execution-v7",Selections!$T$6:$T$29,1)))/SUMIFS(Selections!$T$6:$T$29,Selections!$G$6:$G$29,"72h-all-markets-net-ev15-execution-v7"))</f>
        <v>0.25469565951918494</v>
      </c>
      <c r="P20" s="19">
        <f>SUMIFS(Selections!$T$6:$T$29,Selections!$G$6:$G$29,"72h-all-markets-net-ev15-execution-v7")</f>
        <v>2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(n=2).</v>
      </c>
      <c r="R20" s="18"/>
    </row>
    <row r="21" ht="36" customHeight="1">
      <c r="A21" s="18" t="inlineStr">
        <is>
          <t>Policy</t>
        </is>
      </c>
      <c r="B21" s="18" t="inlineStr">
        <is>
          <t>72h-seven-markets-fresh-references-net-ev15-v11</t>
        </is>
      </c>
      <c r="C21" s="19">
        <f>COUNTIFS(Selections!$G$6:$G$29,"72h-seven-markets-fresh-references-net-ev15-v11")</f>
        <v>2</v>
      </c>
      <c r="D21" s="19">
        <f>(COUNTIFS(Selections!$G$6:$G$29,"72h-seven-markets-fresh-references-net-ev15-v11",Selections!$K$6:$K$29,"WON")+COUNTIFS(Selections!$G$6:$G$29,"72h-seven-markets-fresh-references-net-ev15-v11",Selections!$K$6:$K$29,"LOST"))</f>
        <v>0</v>
      </c>
      <c r="E21" s="19">
        <f>COUNTIFS(Selections!$G$6:$G$29,"72h-seven-markets-fresh-references-net-ev15-v11",Selections!$K$6:$K$29,"WON")</f>
        <v>0</v>
      </c>
      <c r="F21" s="19">
        <f>COUNTIFS(Selections!$G$6:$G$29,"72h-seven-markets-fresh-references-net-ev15-v11",Selections!$K$6:$K$29,"LOST")</f>
        <v>0</v>
      </c>
      <c r="G21" s="19">
        <f>COUNTIFS(Selections!$G$6:$G$29,"72h-seven-markets-fresh-references-net-ev15-v11")-(COUNTIFS(Selections!$G$6:$G$29,"72h-seven-markets-fresh-references-net-ev15-v11",Selections!$K$6:$K$29,"WON")+COUNTIFS(Selections!$G$6:$G$29,"72h-seven-markets-fresh-references-net-ev15-v11",Selections!$K$6:$K$29,"LOST"))</f>
        <v>2</v>
      </c>
      <c r="H21" s="20" t="str">
        <f>IF((COUNTIFS(Selections!$G$6:$G$29,"72h-seven-markets-fresh-references-net-ev15-v11",Selections!$K$6:$K$29,"WON")+COUNTIFS(Selections!$G$6:$G$29,"72h-seven-markets-fresh-references-net-ev15-v11",Selections!$K$6:$K$29,"LOST"))=0,"n.a.",COUNTIFS(Selections!$G$6:$G$29,"72h-seven-markets-fresh-references-net-ev15-v11",Selections!$K$6:$K$29,"WON")/(COUNTIFS(Selections!$G$6:$G$29,"72h-seven-markets-fresh-references-net-ev15-v11",Selections!$K$6:$K$29,"WON")+COUNTIFS(Selections!$G$6:$G$29,"72h-seven-markets-fresh-references-net-ev15-v11",Selections!$K$6:$K$29,"LOST")))</f>
        <v>n.a.</v>
      </c>
      <c r="I21" s="22">
        <f>SUMIFS(Selections!$M$6:$M$29,Selections!$G$6:$G$29,"72h-seven-markets-fresh-references-net-ev15-v11")</f>
        <v>0</v>
      </c>
      <c r="J21" s="22">
        <f>SUMIFS(Selections!$N$6:$N$29,Selections!$G$6:$G$29,"72h-seven-markets-fresh-references-net-ev15-v11")</f>
        <v>0</v>
      </c>
      <c r="K21" s="20" t="str">
        <f>IF(SUMIFS(Selections!$M$6:$M$29,Selections!$G$6:$G$29,"72h-seven-markets-fresh-references-net-ev15-v11")=0,"n.a.",SUMIFS(Selections!$N$6:$N$29,Selections!$G$6:$G$29,"72h-seven-markets-fresh-references-net-ev15-v11")/SUMIFS(Selections!$M$6:$M$29,Selections!$G$6:$G$29,"72h-seven-markets-fresh-references-net-ev15-v11"))</f>
        <v>n.a.</v>
      </c>
      <c r="L21" s="21" t="str">
        <f>IF(SUMIFS(Selections!$T$6:$T$29,Selections!$G$6:$G$29,"72h-seven-markets-fresh-references-net-ev15-v11")=0,"n.a.",SUMIFS(Selections!$O$6:$O$29,Selections!$G$6:$G$29,"72h-seven-markets-fresh-references-net-ev15-v11")/SUMIFS(Selections!$T$6:$T$29,Selections!$G$6:$G$29,"72h-seven-markets-fresh-references-net-ev15-v11"))</f>
        <v>n.a.</v>
      </c>
      <c r="M21" s="20" t="str">
        <f>IF(SUMIFS(Selections!$T$6:$T$29,Selections!$G$6:$G$29,"72h-seven-markets-fresh-references-net-ev15-v11")=0,"n.a.",SUMIFS(Selections!$S$6:$S$29,Selections!$G$6:$G$29,"72h-seven-markets-fresh-references-net-ev15-v11")/SUMIFS(Selections!$T$6:$T$29,Selections!$G$6:$G$29,"72h-seven-markets-fresh-references-net-ev15-v11"))</f>
        <v>n.a.</v>
      </c>
      <c r="N21" s="20" t="str">
        <f>IF(SUMIFS(Selections!$T$6:$T$29,Selections!$G$6:$G$29,"72h-seven-markets-fresh-references-net-ev15-v11")=0,"n.a.",(SUMIFS(Selections!$L$6:$L$29,Selections!$G$6:$G$29,"72h-seven-markets-fresh-references-net-ev15-v11",Selections!$T$6:$T$29,1))/SUMIFS(Selections!$T$6:$T$29,Selections!$G$6:$G$29,"72h-seven-markets-fresh-references-net-ev15-v11"))</f>
        <v>n.a.</v>
      </c>
      <c r="O21" s="20" t="str">
        <f>IF(SUMIFS(Selections!$T$6:$T$29,Selections!$G$6:$G$29,"72h-seven-markets-fresh-references-net-ev15-v11")=0,"n.a.",(SUMIFS(Selections!$S$6:$S$29,Selections!$G$6:$G$29,"72h-seven-markets-fresh-references-net-ev15-v11")-(SUMIFS(Selections!$L$6:$L$29,Selections!$G$6:$G$29,"72h-seven-markets-fresh-references-net-ev15-v11",Selections!$T$6:$T$29,1)))/SUMIFS(Selections!$T$6:$T$29,Selections!$G$6:$G$29,"72h-seven-markets-fresh-references-net-ev15-v11"))</f>
        <v>n.a.</v>
      </c>
      <c r="P21" s="19">
        <f>SUMIFS(Selections!$T$6:$T$29,Selections!$G$6:$G$29,"72h-seven-markets-fresh-references-net-ev15-v11")</f>
        <v>0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(n=0).</v>
      </c>
      <c r="R21" s="18"/>
    </row>
    <row r="22" ht="36" customHeight="1">
      <c r="A22" s="18" t="inlineStr">
        <is>
          <t>Policy</t>
        </is>
      </c>
      <c r="B22" s="18" t="inlineStr">
        <is>
          <t>72h-six-markets-dc12-probability-odds-net-ev15-v9</t>
        </is>
      </c>
      <c r="C22" s="19">
        <f>COUNTIFS(Selections!$G$6:$G$29,"72h-six-markets-dc12-probability-odds-net-ev15-v9")</f>
        <v>1</v>
      </c>
      <c r="D22" s="19">
        <f>(COUNTIFS(Selections!$G$6:$G$29,"72h-six-markets-dc12-probability-odds-net-ev15-v9",Selections!$K$6:$K$29,"WON")+COUNTIFS(Selections!$G$6:$G$29,"72h-six-markets-dc12-probability-odds-net-ev15-v9",Selections!$K$6:$K$29,"LOST"))</f>
        <v>1</v>
      </c>
      <c r="E22" s="19">
        <f>COUNTIFS(Selections!$G$6:$G$29,"72h-six-markets-dc12-probability-odds-net-ev15-v9",Selections!$K$6:$K$29,"WON")</f>
        <v>1</v>
      </c>
      <c r="F22" s="19">
        <f>COUNTIFS(Selections!$G$6:$G$29,"72h-six-markets-dc12-probability-odds-net-ev15-v9",Selections!$K$6:$K$29,"LOST")</f>
        <v>0</v>
      </c>
      <c r="G22" s="19">
        <f>COUNTIFS(Selections!$G$6:$G$29,"72h-six-markets-dc12-probability-odds-net-ev15-v9")-(COUNTIFS(Selections!$G$6:$G$29,"72h-six-markets-dc12-probability-odds-net-ev15-v9",Selections!$K$6:$K$29,"WON")+COUNTIFS(Selections!$G$6:$G$29,"72h-six-markets-dc12-probability-odds-net-ev15-v9",Selections!$K$6:$K$29,"LOST"))</f>
        <v>0</v>
      </c>
      <c r="H22" s="20">
        <f>IF((COUNTIFS(Selections!$G$6:$G$29,"72h-six-markets-dc12-probability-odds-net-ev15-v9",Selections!$K$6:$K$29,"WON")+COUNTIFS(Selections!$G$6:$G$29,"72h-six-markets-dc12-probability-odds-net-ev15-v9",Selections!$K$6:$K$29,"LOST"))=0,"n.a.",COUNTIFS(Selections!$G$6:$G$29,"72h-six-markets-dc12-probability-odds-net-ev15-v9",Selections!$K$6:$K$29,"WON")/(COUNTIFS(Selections!$G$6:$G$29,"72h-six-markets-dc12-probability-odds-net-ev15-v9",Selections!$K$6:$K$29,"WON")+COUNTIFS(Selections!$G$6:$G$29,"72h-six-markets-dc12-probability-odds-net-ev15-v9",Selections!$K$6:$K$29,"LOST")))</f>
        <v>1.0</v>
      </c>
      <c r="I22" s="22">
        <f>SUMIFS(Selections!$M$6:$M$29,Selections!$G$6:$G$29,"72h-six-markets-dc12-probability-odds-net-ev15-v9")</f>
        <v>1</v>
      </c>
      <c r="J22" s="22">
        <f>SUMIFS(Selections!$N$6:$N$29,Selections!$G$6:$G$29,"72h-six-markets-dc12-probability-odds-net-ev15-v9")</f>
        <v>0.27</v>
      </c>
      <c r="K22" s="20">
        <f>IF(SUMIFS(Selections!$M$6:$M$29,Selections!$G$6:$G$29,"72h-six-markets-dc12-probability-odds-net-ev15-v9")=0,"n.a.",SUMIFS(Selections!$N$6:$N$29,Selections!$G$6:$G$29,"72h-six-markets-dc12-probability-odds-net-ev15-v9")/SUMIFS(Selections!$M$6:$M$29,Selections!$G$6:$G$29,"72h-six-markets-dc12-probability-odds-net-ev15-v9"))</f>
        <v>0.27</v>
      </c>
      <c r="L22" s="21">
        <f>IF(SUMIFS(Selections!$T$6:$T$29,Selections!$G$6:$G$29,"72h-six-markets-dc12-probability-odds-net-ev15-v9")=0,"n.a.",SUMIFS(Selections!$O$6:$O$29,Selections!$G$6:$G$29,"72h-six-markets-dc12-probability-odds-net-ev15-v9")/SUMIFS(Selections!$T$6:$T$29,Selections!$G$6:$G$29,"72h-six-markets-dc12-probability-odds-net-ev15-v9"))</f>
        <v>0.03933741464046248</v>
      </c>
      <c r="M22" s="20">
        <f>IF(SUMIFS(Selections!$T$6:$T$29,Selections!$G$6:$G$29,"72h-six-markets-dc12-probability-odds-net-ev15-v9")=0,"n.a.",SUMIFS(Selections!$S$6:$S$29,Selections!$G$6:$G$29,"72h-six-markets-dc12-probability-odds-net-ev15-v9")/SUMIFS(Selections!$T$6:$T$29,Selections!$G$6:$G$29,"72h-six-markets-dc12-probability-odds-net-ev15-v9"))</f>
        <v>0.8016633804854422</v>
      </c>
      <c r="N22" s="20">
        <f>IF(SUMIFS(Selections!$T$6:$T$29,Selections!$G$6:$G$29,"72h-six-markets-dc12-probability-odds-net-ev15-v9")=0,"n.a.",(SUMIFS(Selections!$L$6:$L$29,Selections!$G$6:$G$29,"72h-six-markets-dc12-probability-odds-net-ev15-v9",Selections!$T$6:$T$29,1))/SUMIFS(Selections!$T$6:$T$29,Selections!$G$6:$G$29,"72h-six-markets-dc12-probability-odds-net-ev15-v9"))</f>
        <v>1.0</v>
      </c>
      <c r="O22" s="20">
        <f>IF(SUMIFS(Selections!$T$6:$T$29,Selections!$G$6:$G$29,"72h-six-markets-dc12-probability-odds-net-ev15-v9")=0,"n.a.",(SUMIFS(Selections!$S$6:$S$29,Selections!$G$6:$G$29,"72h-six-markets-dc12-probability-odds-net-ev15-v9")-(SUMIFS(Selections!$L$6:$L$29,Selections!$G$6:$G$29,"72h-six-markets-dc12-probability-odds-net-ev15-v9",Selections!$T$6:$T$29,1)))/SUMIFS(Selections!$T$6:$T$29,Selections!$G$6:$G$29,"72h-six-markets-dc12-probability-odds-net-ev15-v9"))</f>
        <v>-0.19833661951455783</v>
      </c>
      <c r="P22" s="19">
        <f>SUMIFS(Selections!$T$6:$T$29,Selections!$G$6:$G$29,"72h-six-markets-dc12-probability-odds-net-ev15-v9")</f>
        <v>1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(n=1).</v>
      </c>
      <c r="R22" s="18"/>
    </row>
    <row r="23" ht="36" customHeight="1">
      <c r="A23" s="18" t="inlineStr">
        <is>
          <t>Policy</t>
        </is>
      </c>
      <c r="B23" s="18" t="inlineStr">
        <is>
          <t>72h-ucl-v3</t>
        </is>
      </c>
      <c r="C23" s="19">
        <f>COUNTIFS(Selections!$G$6:$G$29,"72h-ucl-v3")</f>
        <v>8</v>
      </c>
      <c r="D23" s="19">
        <f>(COUNTIFS(Selections!$G$6:$G$29,"72h-ucl-v3",Selections!$K$6:$K$29,"WON")+COUNTIFS(Selections!$G$6:$G$29,"72h-ucl-v3",Selections!$K$6:$K$29,"LOST"))</f>
        <v>6</v>
      </c>
      <c r="E23" s="19">
        <f>COUNTIFS(Selections!$G$6:$G$29,"72h-ucl-v3",Selections!$K$6:$K$29,"WON")</f>
        <v>5</v>
      </c>
      <c r="F23" s="19">
        <f>COUNTIFS(Selections!$G$6:$G$29,"72h-ucl-v3",Selections!$K$6:$K$29,"LOST")</f>
        <v>1</v>
      </c>
      <c r="G23" s="19">
        <f>COUNTIFS(Selections!$G$6:$G$29,"72h-ucl-v3")-(COUNTIFS(Selections!$G$6:$G$29,"72h-ucl-v3",Selections!$K$6:$K$29,"WON")+COUNTIFS(Selections!$G$6:$G$29,"72h-ucl-v3",Selections!$K$6:$K$29,"LOST"))</f>
        <v>2</v>
      </c>
      <c r="H23" s="20">
        <f>IF((COUNTIFS(Selections!$G$6:$G$29,"72h-ucl-v3",Selections!$K$6:$K$29,"WON")+COUNTIFS(Selections!$G$6:$G$29,"72h-ucl-v3",Selections!$K$6:$K$29,"LOST"))=0,"n.a.",COUNTIFS(Selections!$G$6:$G$29,"72h-ucl-v3",Selections!$K$6:$K$29,"WON")/(COUNTIFS(Selections!$G$6:$G$29,"72h-ucl-v3",Selections!$K$6:$K$29,"WON")+COUNTIFS(Selections!$G$6:$G$29,"72h-ucl-v3",Selections!$K$6:$K$29,"LOST")))</f>
        <v>0.8333333333333334</v>
      </c>
      <c r="I23" s="22">
        <f>SUMIFS(Selections!$M$6:$M$29,Selections!$G$6:$G$29,"72h-ucl-v3")</f>
        <v>6</v>
      </c>
      <c r="J23" s="22">
        <f>SUMIFS(Selections!$N$6:$N$29,Selections!$G$6:$G$29,"72h-ucl-v3")</f>
        <v>0.96</v>
      </c>
      <c r="K23" s="20">
        <f>IF(SUMIFS(Selections!$M$6:$M$29,Selections!$G$6:$G$29,"72h-ucl-v3")=0,"n.a.",SUMIFS(Selections!$N$6:$N$29,Selections!$G$6:$G$29,"72h-ucl-v3")/SUMIFS(Selections!$M$6:$M$29,Selections!$G$6:$G$29,"72h-ucl-v3"))</f>
        <v>0.16</v>
      </c>
      <c r="L23" s="21">
        <f>IF(SUMIFS(Selections!$T$6:$T$29,Selections!$G$6:$G$29,"72h-ucl-v3")=0,"n.a.",SUMIFS(Selections!$O$6:$O$29,Selections!$G$6:$G$29,"72h-ucl-v3")/SUMIFS(Selections!$T$6:$T$29,Selections!$G$6:$G$29,"72h-ucl-v3"))</f>
        <v>0.13798221541257352</v>
      </c>
      <c r="M23" s="20">
        <f>IF(SUMIFS(Selections!$T$6:$T$29,Selections!$G$6:$G$29,"72h-ucl-v3")=0,"n.a.",SUMIFS(Selections!$S$6:$S$29,Selections!$G$6:$G$29,"72h-ucl-v3")/SUMIFS(Selections!$T$6:$T$29,Selections!$G$6:$G$29,"72h-ucl-v3"))</f>
        <v>0.7942949268394889</v>
      </c>
      <c r="N23" s="20">
        <f>IF(SUMIFS(Selections!$T$6:$T$29,Selections!$G$6:$G$29,"72h-ucl-v3")=0,"n.a.",(SUMIFS(Selections!$L$6:$L$29,Selections!$G$6:$G$29,"72h-ucl-v3",Selections!$T$6:$T$29,1))/SUMIFS(Selections!$T$6:$T$29,Selections!$G$6:$G$29,"72h-ucl-v3"))</f>
        <v>0.8333333333333334</v>
      </c>
      <c r="O23" s="20">
        <f>IF(SUMIFS(Selections!$T$6:$T$29,Selections!$G$6:$G$29,"72h-ucl-v3")=0,"n.a.",(SUMIFS(Selections!$S$6:$S$29,Selections!$G$6:$G$29,"72h-ucl-v3")-(SUMIFS(Selections!$L$6:$L$29,Selections!$G$6:$G$29,"72h-ucl-v3",Selections!$T$6:$T$29,1)))/SUMIFS(Selections!$T$6:$T$29,Selections!$G$6:$G$29,"72h-ucl-v3"))</f>
        <v>-0.03903840649384449</v>
      </c>
      <c r="P23" s="19">
        <f>SUMIFS(Selections!$T$6:$T$29,Selections!$G$6:$G$29,"72h-ucl-v3")</f>
        <v>6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(n=6).</v>
      </c>
      <c r="R23" s="18"/>
    </row>
    <row r="24" ht="36" customHeight="1">
      <c r="A24" s="18" t="inlineStr">
        <is>
          <t>Policy</t>
        </is>
      </c>
      <c r="B24" s="18" t="inlineStr">
        <is>
          <t>legacy/unspecified</t>
        </is>
      </c>
      <c r="C24" s="19">
        <f>COUNTIFS(Selections!$G$6:$G$29,"legacy/unspecified")</f>
        <v>11</v>
      </c>
      <c r="D24" s="19">
        <f>(COUNTIFS(Selections!$G$6:$G$29,"legacy/unspecified",Selections!$K$6:$K$29,"WON")+COUNTIFS(Selections!$G$6:$G$29,"legacy/unspecified",Selections!$K$6:$K$29,"LOST"))</f>
        <v>5</v>
      </c>
      <c r="E24" s="19">
        <f>COUNTIFS(Selections!$G$6:$G$29,"legacy/unspecified",Selections!$K$6:$K$29,"WON")</f>
        <v>3</v>
      </c>
      <c r="F24" s="19">
        <f>COUNTIFS(Selections!$G$6:$G$29,"legacy/unspecified",Selections!$K$6:$K$29,"LOST")</f>
        <v>2</v>
      </c>
      <c r="G24" s="19">
        <f>COUNTIFS(Selections!$G$6:$G$29,"legacy/unspecified")-(COUNTIFS(Selections!$G$6:$G$29,"legacy/unspecified",Selections!$K$6:$K$29,"WON")+COUNTIFS(Selections!$G$6:$G$29,"legacy/unspecified",Selections!$K$6:$K$29,"LOST"))</f>
        <v>6</v>
      </c>
      <c r="H24" s="20">
        <f>IF((COUNTIFS(Selections!$G$6:$G$29,"legacy/unspecified",Selections!$K$6:$K$29,"WON")+COUNTIFS(Selections!$G$6:$G$29,"legacy/unspecified",Selections!$K$6:$K$29,"LOST"))=0,"n.a.",COUNTIFS(Selections!$G$6:$G$29,"legacy/unspecified",Selections!$K$6:$K$29,"WON")/(COUNTIFS(Selections!$G$6:$G$29,"legacy/unspecified",Selections!$K$6:$K$29,"WON")+COUNTIFS(Selections!$G$6:$G$29,"legacy/unspecified",Selections!$K$6:$K$29,"LOST")))</f>
        <v>0.6</v>
      </c>
      <c r="I24" s="22">
        <f>SUMIFS(Selections!$M$6:$M$29,Selections!$G$6:$G$29,"legacy/unspecified")</f>
        <v>5</v>
      </c>
      <c r="J24" s="22">
        <f>SUMIFS(Selections!$N$6:$N$29,Selections!$G$6:$G$29,"legacy/unspecified")</f>
        <v>-0.8500000000000001</v>
      </c>
      <c r="K24" s="20">
        <f>IF(SUMIFS(Selections!$M$6:$M$29,Selections!$G$6:$G$29,"legacy/unspecified")=0,"n.a.",SUMIFS(Selections!$N$6:$N$29,Selections!$G$6:$G$29,"legacy/unspecified")/SUMIFS(Selections!$M$6:$M$29,Selections!$G$6:$G$29,"legacy/unspecified"))</f>
        <v>-0.17</v>
      </c>
      <c r="L24" s="21">
        <f>IF(SUMIFS(Selections!$T$6:$T$29,Selections!$G$6:$G$29,"legacy/unspecified")=0,"n.a.",SUMIFS(Selections!$O$6:$O$29,Selections!$G$6:$G$29,"legacy/unspecified")/SUMIFS(Selections!$T$6:$T$29,Selections!$G$6:$G$29,"legacy/unspecified"))</f>
        <v>0.30947166484544086</v>
      </c>
      <c r="M24" s="20">
        <f>IF(SUMIFS(Selections!$T$6:$T$29,Selections!$G$6:$G$29,"legacy/unspecified")=0,"n.a.",SUMIFS(Selections!$S$6:$S$29,Selections!$G$6:$G$29,"legacy/unspecified")/SUMIFS(Selections!$T$6:$T$29,Selections!$G$6:$G$29,"legacy/unspecified"))</f>
        <v>0.8097022392308822</v>
      </c>
      <c r="N24" s="20">
        <f>IF(SUMIFS(Selections!$T$6:$T$29,Selections!$G$6:$G$29,"legacy/unspecified")=0,"n.a.",(SUMIFS(Selections!$L$6:$L$29,Selections!$G$6:$G$29,"legacy/unspecified",Selections!$T$6:$T$29,1))/SUMIFS(Selections!$T$6:$T$29,Selections!$G$6:$G$29,"legacy/unspecified"))</f>
        <v>0.6</v>
      </c>
      <c r="O24" s="20">
        <f>IF(SUMIFS(Selections!$T$6:$T$29,Selections!$G$6:$G$29,"legacy/unspecified")=0,"n.a.",(SUMIFS(Selections!$S$6:$S$29,Selections!$G$6:$G$29,"legacy/unspecified")-(SUMIFS(Selections!$L$6:$L$29,Selections!$G$6:$G$29,"legacy/unspecified",Selections!$T$6:$T$29,1)))/SUMIFS(Selections!$T$6:$T$29,Selections!$G$6:$G$29,"legacy/unspecified"))</f>
        <v>0.20970223923088227</v>
      </c>
      <c r="P24" s="19">
        <f>SUMIFS(Selections!$T$6:$T$29,Selections!$G$6:$G$29,"legacy/unspecified")</f>
        <v>5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(n=5).</v>
      </c>
      <c r="R24" s="18"/>
    </row>
    <row r="25" ht="36" customHeight="1">
      <c r="A25" s="18" t="inlineStr">
        <is>
          <t>Week</t>
        </is>
      </c>
      <c r="B25" s="18" t="inlineStr">
        <is>
          <t>2026-W41</t>
        </is>
      </c>
      <c r="C25" s="19">
        <f>COUNTIFS(Selections!$P$6:$P$29,"2026-W41")</f>
        <v>5</v>
      </c>
      <c r="D25" s="19">
        <f>(COUNTIFS(Selections!$P$6:$P$29,"2026-W41",Selections!$K$6:$K$29,"WON")+COUNTIFS(Selections!$P$6:$P$29,"2026-W41",Selections!$K$6:$K$29,"LOST"))</f>
        <v>4</v>
      </c>
      <c r="E25" s="19">
        <f>COUNTIFS(Selections!$P$6:$P$29,"2026-W41",Selections!$K$6:$K$29,"WON")</f>
        <v>2</v>
      </c>
      <c r="F25" s="19">
        <f>COUNTIFS(Selections!$P$6:$P$29,"2026-W41",Selections!$K$6:$K$29,"LOST")</f>
        <v>2</v>
      </c>
      <c r="G25" s="19">
        <f>COUNTIFS(Selections!$P$6:$P$29,"2026-W41")-(COUNTIFS(Selections!$P$6:$P$29,"2026-W41",Selections!$K$6:$K$29,"WON")+COUNTIFS(Selections!$P$6:$P$29,"2026-W41",Selections!$K$6:$K$29,"LOST"))</f>
        <v>1</v>
      </c>
      <c r="H25" s="20">
        <f>IF((COUNTIFS(Selections!$P$6:$P$29,"2026-W41",Selections!$K$6:$K$29,"WON")+COUNTIFS(Selections!$P$6:$P$29,"2026-W41",Selections!$K$6:$K$29,"LOST"))=0,"n.a.",COUNTIFS(Selections!$P$6:$P$29,"2026-W41",Selections!$K$6:$K$29,"WON")/(COUNTIFS(Selections!$P$6:$P$29,"2026-W41",Selections!$K$6:$K$29,"WON")+COUNTIFS(Selections!$P$6:$P$29,"2026-W41",Selections!$K$6:$K$29,"LOST")))</f>
        <v>0.5</v>
      </c>
      <c r="I25" s="22">
        <f>SUMIFS(Selections!$M$6:$M$29,Selections!$P$6:$P$29,"2026-W41")</f>
        <v>4</v>
      </c>
      <c r="J25" s="22">
        <f>SUMIFS(Selections!$N$6:$N$29,Selections!$P$6:$P$29,"2026-W41")</f>
        <v>-1.48</v>
      </c>
      <c r="K25" s="20">
        <f>IF(SUMIFS(Selections!$M$6:$M$29,Selections!$P$6:$P$29,"2026-W41")=0,"n.a.",SUMIFS(Selections!$N$6:$N$29,Selections!$P$6:$P$29,"2026-W41")/SUMIFS(Selections!$M$6:$M$29,Selections!$P$6:$P$29,"2026-W41"))</f>
        <v>-0.37</v>
      </c>
      <c r="L25" s="21">
        <f>IF(SUMIFS(Selections!$T$6:$T$29,Selections!$P$6:$P$29,"2026-W41")=0,"n.a.",SUMIFS(Selections!$O$6:$O$29,Selections!$P$6:$P$29,"2026-W41")/SUMIFS(Selections!$T$6:$T$29,Selections!$P$6:$P$29,"2026-W41"))</f>
        <v>0.32911599206243786</v>
      </c>
      <c r="M25" s="20">
        <f>IF(SUMIFS(Selections!$T$6:$T$29,Selections!$P$6:$P$29,"2026-W41")=0,"n.a.",SUMIFS(Selections!$S$6:$S$29,Selections!$P$6:$P$29,"2026-W41")/SUMIFS(Selections!$T$6:$T$29,Selections!$P$6:$P$29,"2026-W41"))</f>
        <v>0.8211485691621172</v>
      </c>
      <c r="N25" s="20">
        <f>IF(SUMIFS(Selections!$T$6:$T$29,Selections!$P$6:$P$29,"2026-W41")=0,"n.a.",(SUMIFS(Selections!$L$6:$L$29,Selections!$P$6:$P$29,"2026-W41",Selections!$T$6:$T$29,1))/SUMIFS(Selections!$T$6:$T$29,Selections!$P$6:$P$29,"2026-W41"))</f>
        <v>0.5</v>
      </c>
      <c r="O25" s="20">
        <f>IF(SUMIFS(Selections!$T$6:$T$29,Selections!$P$6:$P$29,"2026-W41")=0,"n.a.",(SUMIFS(Selections!$S$6:$S$29,Selections!$P$6:$P$29,"2026-W41")-(SUMIFS(Selections!$L$6:$L$29,Selections!$P$6:$P$29,"2026-W41",Selections!$T$6:$T$29,1)))/SUMIFS(Selections!$T$6:$T$29,Selections!$P$6:$P$29,"2026-W41"))</f>
        <v>0.3211485691621172</v>
      </c>
      <c r="P25" s="19">
        <f>SUMIFS(Selections!$T$6:$T$29,Selections!$P$6:$P$29,"2026-W41")</f>
        <v>4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(n=4).</v>
      </c>
      <c r="R25" s="18"/>
    </row>
    <row r="26" ht="36" customHeight="1">
      <c r="A26" s="18" t="inlineStr">
        <is>
          <t>Week</t>
        </is>
      </c>
      <c r="B26" s="18" t="inlineStr">
        <is>
          <t>2026-W42</t>
        </is>
      </c>
      <c r="C26" s="19">
        <f>COUNTIFS(Selections!$P$6:$P$29,"2026-W42")</f>
        <v>18</v>
      </c>
      <c r="D26" s="19">
        <f>(COUNTIFS(Selections!$P$6:$P$29,"2026-W42",Selections!$K$6:$K$29,"WON")+COUNTIFS(Selections!$P$6:$P$29,"2026-W42",Selections!$K$6:$K$29,"LOST"))</f>
        <v>10</v>
      </c>
      <c r="E26" s="19">
        <f>COUNTIFS(Selections!$P$6:$P$29,"2026-W42",Selections!$K$6:$K$29,"WON")</f>
        <v>8</v>
      </c>
      <c r="F26" s="19">
        <f>COUNTIFS(Selections!$P$6:$P$29,"2026-W42",Selections!$K$6:$K$29,"LOST")</f>
        <v>2</v>
      </c>
      <c r="G26" s="19">
        <f>COUNTIFS(Selections!$P$6:$P$29,"2026-W42")-(COUNTIFS(Selections!$P$6:$P$29,"2026-W42",Selections!$K$6:$K$29,"WON")+COUNTIFS(Selections!$P$6:$P$29,"2026-W42",Selections!$K$6:$K$29,"LOST"))</f>
        <v>8</v>
      </c>
      <c r="H26" s="20">
        <f>IF((COUNTIFS(Selections!$P$6:$P$29,"2026-W42",Selections!$K$6:$K$29,"WON")+COUNTIFS(Selections!$P$6:$P$29,"2026-W42",Selections!$K$6:$K$29,"LOST"))=0,"n.a.",COUNTIFS(Selections!$P$6:$P$29,"2026-W42",Selections!$K$6:$K$29,"WON")/(COUNTIFS(Selections!$P$6:$P$29,"2026-W42",Selections!$K$6:$K$29,"WON")+COUNTIFS(Selections!$P$6:$P$29,"2026-W42",Selections!$K$6:$K$29,"LOST")))</f>
        <v>0.8</v>
      </c>
      <c r="I26" s="22">
        <f>SUMIFS(Selections!$M$6:$M$29,Selections!$P$6:$P$29,"2026-W42")</f>
        <v>10</v>
      </c>
      <c r="J26" s="22">
        <f>SUMIFS(Selections!$N$6:$N$29,Selections!$P$6:$P$29,"2026-W42")</f>
        <v>1.13</v>
      </c>
      <c r="K26" s="20">
        <f>IF(SUMIFS(Selections!$M$6:$M$29,Selections!$P$6:$P$29,"2026-W42")=0,"n.a.",SUMIFS(Selections!$N$6:$N$29,Selections!$P$6:$P$29,"2026-W42")/SUMIFS(Selections!$M$6:$M$29,Selections!$P$6:$P$29,"2026-W42"))</f>
        <v>0.11299999999999999</v>
      </c>
      <c r="L26" s="21">
        <f>IF(SUMIFS(Selections!$T$6:$T$29,Selections!$P$6:$P$29,"2026-W42")=0,"n.a.",SUMIFS(Selections!$O$6:$O$29,Selections!$P$6:$P$29,"2026-W42")/SUMIFS(Selections!$T$6:$T$29,Selections!$P$6:$P$29,"2026-W42"))</f>
        <v>0.1556932785410914</v>
      </c>
      <c r="M26" s="20">
        <f>IF(SUMIFS(Selections!$T$6:$T$29,Selections!$P$6:$P$29,"2026-W42")=0,"n.a.",SUMIFS(Selections!$S$6:$S$29,Selections!$P$6:$P$29,"2026-W42")/SUMIFS(Selections!$T$6:$T$29,Selections!$P$6:$P$29,"2026-W42"))</f>
        <v>0.7840741180066688</v>
      </c>
      <c r="N26" s="20">
        <f>IF(SUMIFS(Selections!$T$6:$T$29,Selections!$P$6:$P$29,"2026-W42")=0,"n.a.",(SUMIFS(Selections!$L$6:$L$29,Selections!$P$6:$P$29,"2026-W42",Selections!$T$6:$T$29,1))/SUMIFS(Selections!$T$6:$T$29,Selections!$P$6:$P$29,"2026-W42"))</f>
        <v>0.8</v>
      </c>
      <c r="O26" s="20">
        <f>IF(SUMIFS(Selections!$T$6:$T$29,Selections!$P$6:$P$29,"2026-W42")=0,"n.a.",(SUMIFS(Selections!$S$6:$S$29,Selections!$P$6:$P$29,"2026-W42")-(SUMIFS(Selections!$L$6:$L$29,Selections!$P$6:$P$29,"2026-W42",Selections!$T$6:$T$29,1)))/SUMIFS(Selections!$T$6:$T$29,Selections!$P$6:$P$29,"2026-W42"))</f>
        <v>-0.015925881993331226</v>
      </c>
      <c r="P26" s="19">
        <f>SUMIFS(Selections!$T$6:$T$29,Selections!$P$6:$P$29,"2026-W42")</f>
        <v>10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(n=10).</v>
      </c>
      <c r="R26" s="18"/>
    </row>
    <row r="27" ht="36" customHeight="1">
      <c r="A27" s="18" t="inlineStr">
        <is>
          <t>Week</t>
        </is>
      </c>
      <c r="B27" s="18" t="inlineStr">
        <is>
          <t>2026-W43</t>
        </is>
      </c>
      <c r="C27" s="19">
        <f>COUNTIFS(Selections!$P$6:$P$29,"2026-W43")</f>
        <v>1</v>
      </c>
      <c r="D27" s="19">
        <f>(COUNTIFS(Selections!$P$6:$P$29,"2026-W43",Selections!$K$6:$K$29,"WON")+COUNTIFS(Selections!$P$6:$P$29,"2026-W43",Selections!$K$6:$K$29,"LOST"))</f>
        <v>0</v>
      </c>
      <c r="E27" s="19">
        <f>COUNTIFS(Selections!$P$6:$P$29,"2026-W43",Selections!$K$6:$K$29,"WON")</f>
        <v>0</v>
      </c>
      <c r="F27" s="19">
        <f>COUNTIFS(Selections!$P$6:$P$29,"2026-W43",Selections!$K$6:$K$29,"LOST")</f>
        <v>0</v>
      </c>
      <c r="G27" s="19">
        <f>COUNTIFS(Selections!$P$6:$P$29,"2026-W43")-(COUNTIFS(Selections!$P$6:$P$29,"2026-W43",Selections!$K$6:$K$29,"WON")+COUNTIFS(Selections!$P$6:$P$29,"2026-W43",Selections!$K$6:$K$29,"LOST"))</f>
        <v>1</v>
      </c>
      <c r="H27" s="20" t="str">
        <f>IF((COUNTIFS(Selections!$P$6:$P$29,"2026-W43",Selections!$K$6:$K$29,"WON")+COUNTIFS(Selections!$P$6:$P$29,"2026-W43",Selections!$K$6:$K$29,"LOST"))=0,"n.a.",COUNTIFS(Selections!$P$6:$P$29,"2026-W43",Selections!$K$6:$K$29,"WON")/(COUNTIFS(Selections!$P$6:$P$29,"2026-W43",Selections!$K$6:$K$29,"WON")+COUNTIFS(Selections!$P$6:$P$29,"2026-W43",Selections!$K$6:$K$29,"LOST")))</f>
        <v>n.a.</v>
      </c>
      <c r="I27" s="22">
        <f>SUMIFS(Selections!$M$6:$M$29,Selections!$P$6:$P$29,"2026-W43")</f>
        <v>0</v>
      </c>
      <c r="J27" s="22">
        <f>SUMIFS(Selections!$N$6:$N$29,Selections!$P$6:$P$29,"2026-W43")</f>
        <v>0</v>
      </c>
      <c r="K27" s="20" t="str">
        <f>IF(SUMIFS(Selections!$M$6:$M$29,Selections!$P$6:$P$29,"2026-W43")=0,"n.a.",SUMIFS(Selections!$N$6:$N$29,Selections!$P$6:$P$29,"2026-W43")/SUMIFS(Selections!$M$6:$M$29,Selections!$P$6:$P$29,"2026-W43"))</f>
        <v>n.a.</v>
      </c>
      <c r="L27" s="21" t="str">
        <f>IF(SUMIFS(Selections!$T$6:$T$29,Selections!$P$6:$P$29,"2026-W43")=0,"n.a.",SUMIFS(Selections!$O$6:$O$29,Selections!$P$6:$P$29,"2026-W43")/SUMIFS(Selections!$T$6:$T$29,Selections!$P$6:$P$29,"2026-W43"))</f>
        <v>n.a.</v>
      </c>
      <c r="M27" s="20" t="str">
        <f>IF(SUMIFS(Selections!$T$6:$T$29,Selections!$P$6:$P$29,"2026-W43")=0,"n.a.",SUMIFS(Selections!$S$6:$S$29,Selections!$P$6:$P$29,"2026-W43")/SUMIFS(Selections!$T$6:$T$29,Selections!$P$6:$P$29,"2026-W43"))</f>
        <v>n.a.</v>
      </c>
      <c r="N27" s="20" t="str">
        <f>IF(SUMIFS(Selections!$T$6:$T$29,Selections!$P$6:$P$29,"2026-W43")=0,"n.a.",(SUMIFS(Selections!$L$6:$L$29,Selections!$P$6:$P$29,"2026-W43",Selections!$T$6:$T$29,1))/SUMIFS(Selections!$T$6:$T$29,Selections!$P$6:$P$29,"2026-W43"))</f>
        <v>n.a.</v>
      </c>
      <c r="O27" s="20" t="str">
        <f>IF(SUMIFS(Selections!$T$6:$T$29,Selections!$P$6:$P$29,"2026-W43")=0,"n.a.",(SUMIFS(Selections!$S$6:$S$29,Selections!$P$6:$P$29,"2026-W43")-(SUMIFS(Selections!$L$6:$L$29,Selections!$P$6:$P$29,"2026-W43",Selections!$T$6:$T$29,1)))/SUMIFS(Selections!$T$6:$T$29,Selections!$P$6:$P$29,"2026-W43"))</f>
        <v>n.a.</v>
      </c>
      <c r="P27" s="19">
        <f>SUMIFS(Selections!$T$6:$T$29,Selections!$P$6:$P$29,"2026-W43")</f>
        <v>0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(n=0).</v>
      </c>
      <c r="R27" s="18"/>
    </row>
  </sheetData>
  <mergeCells count="2">
    <mergeCell ref="A2:Q2"/>
    <mergeCell ref="A4:Q4"/>
  </mergeCells>
  <conditionalFormatting sqref="K6:K27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COUNTIFS(Selections!$S$6:$S$29,"&gt;="&amp;B6,Selections!$S$6:$S$29,"&lt;"&amp;C6,Selections!$T$6:$T$29,1)</f>
        <v>0</v>
      </c>
      <c r="E6" s="20" t="str">
        <f>IF(D6=0,"n.a.",SUMIFS(Selections!$S$6:$S$29,Selections!$S$6:$S$29,"&gt;="&amp;B6,Selections!$S$6:$S$29,"&lt;"&amp;C6,Selections!$T$6:$T$29,1)/D6)</f>
        <v>n.a.</v>
      </c>
      <c r="F6" s="20" t="str">
        <f>IF(D6=0,"n.a.",SUMIFS(Selections!$L$6:$L$29,Selections!$S$6:$S$29,"&gt;="&amp;B6,Selections!$S$6:$S$29,"&lt;"&amp;C6,Selections!$T$6:$T$29,1)/D6)</f>
        <v>n.a.</v>
      </c>
      <c r="G6" s="20" t="str">
        <f>IF(D6=0,"n.a.",E6-F6)</f>
        <v>n.a.</v>
      </c>
      <c r="H6" s="21" t="str">
        <f>IF(D6=0,"n.a.",SUMIFS(Selections!$O$6:$O$29,Selections!$S$6:$S$29,"&gt;="&amp;B6,Selections!$S$6:$S$29,"&lt;"&amp;C6,Selections!$T$6:$T$29,1)/D6)</f>
        <v>n.a.</v>
      </c>
      <c r="I6" s="18" t="inlineStr">
        <is>
          <t>Collect more scored forecasts (n=0).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COUNTIFS(Selections!$S$6:$S$29,"&gt;="&amp;B7,Selections!$S$6:$S$29,"&lt;"&amp;C7,Selections!$T$6:$T$29,1)</f>
        <v>0</v>
      </c>
      <c r="E7" s="20" t="str">
        <f>IF(D7=0,"n.a.",SUMIFS(Selections!$S$6:$S$29,Selections!$S$6:$S$29,"&gt;="&amp;B7,Selections!$S$6:$S$29,"&lt;"&amp;C7,Selections!$T$6:$T$29,1)/D7)</f>
        <v>n.a.</v>
      </c>
      <c r="F7" s="20" t="str">
        <f>IF(D7=0,"n.a.",SUMIFS(Selections!$L$6:$L$29,Selections!$S$6:$S$29,"&gt;="&amp;B7,Selections!$S$6:$S$29,"&lt;"&amp;C7,Selections!$T$6:$T$29,1)/D7)</f>
        <v>n.a.</v>
      </c>
      <c r="G7" s="20" t="str">
        <f>IF(D7=0,"n.a.",E7-F7)</f>
        <v>n.a.</v>
      </c>
      <c r="H7" s="21" t="str">
        <f>IF(D7=0,"n.a.",SUMIFS(Selections!$O$6:$O$29,Selections!$S$6:$S$29,"&gt;="&amp;B7,Selections!$S$6:$S$29,"&lt;"&amp;C7,Selections!$T$6:$T$29,1)/D7)</f>
        <v>n.a.</v>
      </c>
      <c r="I7" s="18" t="inlineStr">
        <is>
          <t>Collect more scored forecasts (n=0).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COUNTIFS(Selections!$S$6:$S$29,"&gt;="&amp;B8,Selections!$S$6:$S$29,"&lt;"&amp;C8,Selections!$T$6:$T$29,1)</f>
        <v>3</v>
      </c>
      <c r="E8" s="20">
        <f>IF(D8=0,"n.a.",SUMIFS(Selections!$S$6:$S$29,Selections!$S$6:$S$29,"&gt;="&amp;B8,Selections!$S$6:$S$29,"&lt;"&amp;C8,Selections!$T$6:$T$29,1)/D8)</f>
        <v>0.6687156973609096</v>
      </c>
      <c r="F8" s="20">
        <f>IF(D8=0,"n.a.",SUMIFS(Selections!$L$6:$L$29,Selections!$S$6:$S$29,"&gt;="&amp;B8,Selections!$S$6:$S$29,"&lt;"&amp;C8,Selections!$T$6:$T$29,1)/D8)</f>
        <v>0.6666666666666666</v>
      </c>
      <c r="G8" s="20">
        <f>IF(D8=0,"n.a.",E8-F8)</f>
        <v>0.0020490306942430037</v>
      </c>
      <c r="H8" s="21">
        <f>IF(D8=0,"n.a.",SUMIFS(Selections!$O$6:$O$29,Selections!$S$6:$S$29,"&gt;="&amp;B8,Selections!$S$6:$S$29,"&lt;"&amp;C8,Selections!$T$6:$T$29,1)/D8)</f>
        <v>0.21672541887457855</v>
      </c>
      <c r="I8" s="18" t="inlineStr">
        <is>
          <t>Collect more scored forecasts (n=3).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COUNTIFS(Selections!$S$6:$S$29,"&gt;="&amp;B9,Selections!$S$6:$S$29,"&lt;"&amp;C9,Selections!$T$6:$T$29,1)</f>
        <v>4</v>
      </c>
      <c r="E9" s="20">
        <f>IF(D9=0,"n.a.",SUMIFS(Selections!$S$6:$S$29,Selections!$S$6:$S$29,"&gt;="&amp;B9,Selections!$S$6:$S$29,"&lt;"&amp;C9,Selections!$T$6:$T$29,1)/D9)</f>
        <v>0.7598033602744063</v>
      </c>
      <c r="F9" s="20">
        <f>IF(D9=0,"n.a.",SUMIFS(Selections!$L$6:$L$29,Selections!$S$6:$S$29,"&gt;="&amp;B9,Selections!$S$6:$S$29,"&lt;"&amp;C9,Selections!$T$6:$T$29,1)/D9)</f>
        <v>0.75</v>
      </c>
      <c r="G9" s="20">
        <f>IF(D9=0,"n.a.",E9-F9)</f>
        <v>0.009803360274406314</v>
      </c>
      <c r="H9" s="21">
        <f>IF(D9=0,"n.a.",SUMIFS(Selections!$O$6:$O$29,Selections!$S$6:$S$29,"&gt;="&amp;B9,Selections!$S$6:$S$29,"&lt;"&amp;C9,Selections!$T$6:$T$29,1)/D9)</f>
        <v>0.18645173019771322</v>
      </c>
      <c r="I9" s="18" t="inlineStr">
        <is>
          <t>Collect more scored forecasts (n=4).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COUNTIFS(Selections!$S$6:$S$29,"&gt;="&amp;B10,Selections!$S$6:$S$29,"&lt;"&amp;C10,Selections!$T$6:$T$29,1)</f>
        <v>5</v>
      </c>
      <c r="E10" s="20">
        <f>IF(D10=0,"n.a.",SUMIFS(Selections!$S$6:$S$29,Selections!$S$6:$S$29,"&gt;="&amp;B10,Selections!$S$6:$S$29,"&lt;"&amp;C10,Selections!$T$6:$T$29,1)/D10)</f>
        <v>0.8441068354608932</v>
      </c>
      <c r="F10" s="20">
        <f>IF(D10=0,"n.a.",SUMIFS(Selections!$L$6:$L$29,Selections!$S$6:$S$29,"&gt;="&amp;B10,Selections!$S$6:$S$29,"&lt;"&amp;C10,Selections!$T$6:$T$29,1)/D10)</f>
        <v>0.6</v>
      </c>
      <c r="G10" s="20">
        <f>IF(D10=0,"n.a.",E10-F10)</f>
        <v>0.24410683546089318</v>
      </c>
      <c r="H10" s="21">
        <f>IF(D10=0,"n.a.",SUMIFS(Selections!$O$6:$O$29,Selections!$S$6:$S$29,"&gt;="&amp;B10,Selections!$S$6:$S$29,"&lt;"&amp;C10,Selections!$T$6:$T$29,1)/D10)</f>
        <v>0.29341791329898914</v>
      </c>
      <c r="I10" s="18" t="inlineStr">
        <is>
          <t>Collect more scored forecasts (n=5).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COUNTIFS(Selections!$S$6:$S$29,"&gt;="&amp;B11,Selections!$S$6:$S$29,"&lt;"&amp;C11,Selections!$T$6:$T$29,1)</f>
        <v>2</v>
      </c>
      <c r="E11" s="20">
        <f>IF(D11=0,"n.a.",SUMIFS(Selections!$S$6:$S$29,Selections!$S$6:$S$29,"&gt;="&amp;B11,Selections!$S$6:$S$29,"&lt;"&amp;C11,Selections!$T$6:$T$29,1)/D11)</f>
        <v>0.9297203731151685</v>
      </c>
      <c r="F11" s="20">
        <f>IF(D11=0,"n.a.",SUMIFS(Selections!$L$6:$L$29,Selections!$S$6:$S$29,"&gt;="&amp;B11,Selections!$S$6:$S$29,"&lt;"&amp;C11,Selections!$T$6:$T$29,1)/D11)</f>
        <v>1.0</v>
      </c>
      <c r="G11" s="20">
        <f>IF(D11=0,"n.a.",E11-F11)</f>
        <v>-0.07027962688483147</v>
      </c>
      <c r="H11" s="21">
        <f>IF(D11=0,"n.a.",SUMIFS(Selections!$O$6:$O$29,Selections!$S$6:$S$29,"&gt;="&amp;B11,Selections!$S$6:$S$29,"&lt;"&amp;C11,Selections!$T$6:$T$29,1)/D11)</f>
        <v>0.005162004875565673</v>
      </c>
      <c r="I11" s="18" t="inlineStr">
        <is>
          <t>Collect more scored forecasts (n=2).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Frozen selections. Technical fields are grouped; expand them for source details. Kickoff times are UTC.</t>
        </is>
      </c>
      <c r="B4" s="27" t="inlineStr">
        <is>
          <t>Frozen selections. Technical fields are grouped; expand them for source details. Kickoff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0.8013506483291103</v>
      </c>
      <c r="I6" s="22">
        <v>1.35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IF(ISNUMBER(M6),M6*(I6*L6-1-U6),"")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a2cdead106b513fd623cffd1e43a491685d68cc3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0.755121820396422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IF(ISNUMBER(M7),M7*(I7*L7-1-U7),"")</f>
        <v>-1.0</v>
      </c>
      <c r="O7" s="21">
        <f>IF(AND(ISNUMBER(L7),ISNUMBER(H7)),(H7-L7)^2,"")</f>
        <v>0.5702089636388061</v>
      </c>
      <c r="P7" s="18" t="inlineStr">
        <is>
          <t>2026-W41</t>
        </is>
      </c>
      <c r="Q7" s="18" t="inlineStr">
        <is>
          <t>a2cdead106b513fd623cffd1e43a491685d68cc3</t>
        </is>
      </c>
      <c r="R7" s="18" t="inlineStr">
        <is>
          <t>football-data.org/v4</t>
        </is>
      </c>
      <c r="S7" s="20">
        <f>IF(AND(ISNUMBER(L7),ISNUMBER(H7)),H7,"")</f>
        <v>0.755121820396422</v>
      </c>
      <c r="T7" s="19">
        <f>IF(AND(ISNUMBER(L7),ISNUMBER(H7)),1,0)</f>
        <v>1</v>
      </c>
      <c r="U7" s="22">
        <v>0.0</v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legacy/unspecified</t>
        </is>
      </c>
      <c r="H8" s="20">
        <v>0.8334995781310042</v>
      </c>
      <c r="I8" s="22">
        <v>1.32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IF(ISNUMBER(M8),M8*(I8*L8-1-U8),"")</f>
        <v>-1.0</v>
      </c>
      <c r="O8" s="21">
        <f>IF(AND(ISNUMBER(L8),ISNUMBER(H8)),(H8-L8)^2,"")</f>
        <v>0.6947215467445619</v>
      </c>
      <c r="P8" s="18" t="inlineStr">
        <is>
          <t>2026-W41</t>
        </is>
      </c>
      <c r="Q8" s="18" t="inlineStr">
        <is>
          <t>bdc690a8c70643c93f1595d53c067b7d91325270</t>
        </is>
      </c>
      <c r="R8" s="18" t="inlineStr">
        <is>
          <t>football-data.org/v4</t>
        </is>
      </c>
      <c r="S8" s="20">
        <f>IF(AND(ISNUMBER(L8),ISNUMBER(H8)),H8,"")</f>
        <v>0.8334995781310042</v>
      </c>
      <c r="T8" s="19">
        <f>IF(AND(ISNUMBER(L8),ISNUMBER(H8)),1,0)</f>
        <v>1</v>
      </c>
      <c r="U8" s="22">
        <v>0.0</v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legacy/unspecified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IF(ISNUMBER(M9),M9*(I9*L9-1-U9),"")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bdc690a8c70643c93f1595d53c067b7d91325270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legacy/unspecified</t>
        </is>
      </c>
      <c r="H10" s="20">
        <v>0.8995481130412133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IF(ISNUMBER(M10),M10*(I10*L10-1-U10),"")</f>
        <v>0.24</v>
      </c>
      <c r="O10" s="21">
        <f>IF(AND(ISNUMBER(L10),ISNUMBER(H10)),(H10-L10)^2,"")</f>
        <v>0.010090581593580863</v>
      </c>
      <c r="P10" s="18" t="inlineStr">
        <is>
          <t>2026-W41</t>
        </is>
      </c>
      <c r="Q10" s="18" t="inlineStr">
        <is>
          <t>bdc690a8c70643c93f1595d53c067b7d91325270</t>
        </is>
      </c>
      <c r="R10" s="18" t="inlineStr">
        <is>
          <t>football-data.org/v4</t>
        </is>
      </c>
      <c r="S10" s="20">
        <f>IF(AND(ISNUMBER(L10),ISNUMBER(H10)),H10,"")</f>
        <v>0.8995481130412133</v>
      </c>
      <c r="T10" s="19">
        <f>IF(AND(ISNUMBER(L10),ISNUMBER(H10)),1,0)</f>
        <v>1</v>
      </c>
      <c r="U10" s="22">
        <v>0.0</v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legacy/unspecified</t>
        </is>
      </c>
      <c r="H11" s="20">
        <v>0.6822834074295536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IF(ISNUMBER(M11),M11*(I11*L11-1-U11),"")</f>
        <v>0.6299999999999999</v>
      </c>
      <c r="O11" s="21">
        <f>IF(AND(ISNUMBER(L11),ISNUMBER(H11)),(H11-L11)^2,"")</f>
        <v>0.10094383319457502</v>
      </c>
      <c r="P11" s="18" t="inlineStr">
        <is>
          <t>2026-W42</t>
        </is>
      </c>
      <c r="Q11" s="18" t="inlineStr">
        <is>
          <t>bdc690a8c70643c93f1595d53c067b7d91325270</t>
        </is>
      </c>
      <c r="R11" s="18" t="inlineStr">
        <is>
          <t>football-data.org/v4</t>
        </is>
      </c>
      <c r="S11" s="20">
        <f>IF(AND(ISNUMBER(L11),ISNUMBER(H11)),H11,"")</f>
        <v>0.6822834074295536</v>
      </c>
      <c r="T11" s="19">
        <f>IF(AND(ISNUMBER(L11),ISNUMBER(H11)),1,0)</f>
        <v>1</v>
      </c>
      <c r="U11" s="22">
        <v>0.0</v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0.7819939798559531</v>
      </c>
      <c r="I12" s="22">
        <v>1.34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IF(ISNUMBER(M12),M12*(I12*L12-1-U12),"")</f>
        <v>0.3400000000000001</v>
      </c>
      <c r="O12" s="21">
        <f>IF(AND(ISNUMBER(L12),ISNUMBER(H12)),(H12-L12)^2,"")</f>
        <v>0.047526624819046584</v>
      </c>
      <c r="P12" s="18" t="inlineStr">
        <is>
          <t>2026-W42</t>
        </is>
      </c>
      <c r="Q12" s="18" t="inlineStr">
        <is>
          <t>a2cdead106b513fd623cffd1e43a491685d68cc3</t>
        </is>
      </c>
      <c r="R12" s="18" t="inlineStr">
        <is>
          <t>football-data.org/v4</t>
        </is>
      </c>
      <c r="S12" s="20">
        <f>IF(AND(ISNUMBER(L12),ISNUMBER(H12)),H12,"")</f>
        <v>0.7819939798559531</v>
      </c>
      <c r="T12" s="19">
        <f>IF(AND(ISNUMBER(L12),ISNUMBER(H12)),1,0)</f>
        <v>1</v>
      </c>
      <c r="U12" s="22">
        <v>0.0</v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legacy/unspecified</t>
        </is>
      </c>
      <c r="H13" s="20">
        <v>0.8367553324728108</v>
      </c>
      <c r="I13" s="22">
        <v>1.5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IF(ISNUMBER(M13),M13*(I13*L13-1-U13),"")</f>
        <v>-1.0</v>
      </c>
      <c r="O13" s="21">
        <f>IF(AND(ISNUMBER(L13),ISNUMBER(H13)),(H13-L13)^2,"")</f>
        <v>0.700159486421684</v>
      </c>
      <c r="P13" s="18" t="inlineStr">
        <is>
          <t>2026-W42</t>
        </is>
      </c>
      <c r="Q13" s="18" t="inlineStr">
        <is>
          <t>bdc690a8c70643c93f1595d53c067b7d91325270</t>
        </is>
      </c>
      <c r="R13" s="18" t="inlineStr">
        <is>
          <t>football-data.org/v4</t>
        </is>
      </c>
      <c r="S13" s="20">
        <f>IF(AND(ISNUMBER(L13),ISNUMBER(H13)),H13,"")</f>
        <v>0.8367553324728108</v>
      </c>
      <c r="T13" s="19">
        <f>IF(AND(ISNUMBER(L13),ISNUMBER(H13)),1,0)</f>
        <v>1</v>
      </c>
      <c r="U13" s="22">
        <v>0.0</v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72h-ucl-v3</t>
        </is>
      </c>
      <c r="H14" s="20">
        <v>0.9446461535133436</v>
      </c>
      <c r="I14" s="22">
        <v>1.15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IF(ISNUMBER(M14),M14*(I14*L14-1-U14),"")</f>
        <v>0.1499999999999999</v>
      </c>
      <c r="O14" s="21">
        <f>IF(AND(ISNUMBER(L14),ISNUMBER(H14)),(H14-L14)^2,"")</f>
        <v>0.0030640483208683256</v>
      </c>
      <c r="P14" s="18" t="inlineStr">
        <is>
          <t>2026-W42</t>
        </is>
      </c>
      <c r="Q14" s="18" t="inlineStr">
        <is>
          <t>a2cdead106b513fd623cffd1e43a491685d68cc3</t>
        </is>
      </c>
      <c r="R14" s="18" t="inlineStr">
        <is>
          <t>football-data.org/v4</t>
        </is>
      </c>
      <c r="S14" s="20">
        <f>IF(AND(ISNUMBER(L14),ISNUMBER(H14)),H14,"")</f>
        <v>0.9446461535133436</v>
      </c>
      <c r="T14" s="19">
        <f>IF(AND(ISNUMBER(L14),ISNUMBER(H14)),1,0)</f>
        <v>1</v>
      </c>
      <c r="U14" s="22">
        <v>0.0</v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72h-ucl-v3</t>
        </is>
      </c>
      <c r="H15" s="20">
        <v>0.7056728757654207</v>
      </c>
      <c r="I15" s="22">
        <v>1.49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IF(ISNUMBER(M15),M15*(I15*L15-1-U15),"")</f>
        <v>0.49</v>
      </c>
      <c r="O15" s="21">
        <f>IF(AND(ISNUMBER(L15),ISNUMBER(H15)),(H15-L15)^2,"")</f>
        <v>0.08662845606019748</v>
      </c>
      <c r="P15" s="18" t="inlineStr">
        <is>
          <t>2026-W42</t>
        </is>
      </c>
      <c r="Q15" s="18" t="inlineStr">
        <is>
          <t>a2cdead106b513fd623cffd1e43a491685d68cc3</t>
        </is>
      </c>
      <c r="R15" s="18" t="inlineStr">
        <is>
          <t>football-data.org/v4</t>
        </is>
      </c>
      <c r="S15" s="20">
        <f>IF(AND(ISNUMBER(L15),ISNUMBER(H15)),H15,"")</f>
        <v>0.7056728757654207</v>
      </c>
      <c r="T15" s="19">
        <f>IF(AND(ISNUMBER(L15),ISNUMBER(H15)),1,0)</f>
        <v>1</v>
      </c>
      <c r="U15" s="22">
        <v>0.0</v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72h-ucl-v3</t>
        </is>
      </c>
      <c r="H16" s="20">
        <v>0.9558088803119968</v>
      </c>
      <c r="I16" s="22">
        <v>1.14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IF(ISNUMBER(M16),M16*(I16*L16-1-U16),"")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4f7af2f470a0b5cdb7b8ae974c859f87b0236fc4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72h-ucl-v3</t>
        </is>
      </c>
      <c r="H17" s="20">
        <v>0.6635401387888005</v>
      </c>
      <c r="I17" s="22">
        <v>1.74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IF(ISNUMBER(M17),M17*(I17*L17-1-U17),"")</f>
        <v>0.74</v>
      </c>
      <c r="O17" s="21">
        <f>IF(AND(ISNUMBER(L17),ISNUMBER(H17)),(H17-L17)^2,"")</f>
        <v>0.11320523820625965</v>
      </c>
      <c r="P17" s="18" t="inlineStr">
        <is>
          <t>2026-W42</t>
        </is>
      </c>
      <c r="Q17" s="18" t="inlineStr">
        <is>
          <t>4f7af2f470a0b5cdb7b8ae974c859f87b0236fc4</t>
        </is>
      </c>
      <c r="R17" s="18" t="inlineStr">
        <is>
          <t>football-data.org/v4</t>
        </is>
      </c>
      <c r="S17" s="20">
        <f>IF(AND(ISNUMBER(L17),ISNUMBER(H17)),H17,"")</f>
        <v>0.6635401387888005</v>
      </c>
      <c r="T17" s="19">
        <f>IF(AND(ISNUMBER(L17),ISNUMBER(H17)),1,0)</f>
        <v>1</v>
      </c>
      <c r="U17" s="22">
        <v>0.0</v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Over 1.5</t>
        </is>
      </c>
      <c r="F18" s="18" t="inlineStr">
        <is>
          <t>STRICT</t>
        </is>
      </c>
      <c r="G18" s="18" t="inlineStr">
        <is>
          <t>72h-ucl-v3</t>
        </is>
      </c>
      <c r="H18" s="20">
        <v>0.9147945927169935</v>
      </c>
      <c r="I18" s="22">
        <v>1.24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IF(ISNUMBER(M18),M18*(I18*L18-1-U18),"")</f>
        <v>0.24</v>
      </c>
      <c r="O18" s="21">
        <f>IF(AND(ISNUMBER(L18),ISNUMBER(H18)),(H18-L18)^2,"")</f>
        <v>0.00725996143026302</v>
      </c>
      <c r="P18" s="18" t="inlineStr">
        <is>
          <t>2026-W42</t>
        </is>
      </c>
      <c r="Q18" s="18" t="inlineStr">
        <is>
          <t>4f7af2f470a0b5cdb7b8ae974c859f87b0236fc4</t>
        </is>
      </c>
      <c r="R18" s="18" t="inlineStr">
        <is>
          <t>football-data.org/v4</t>
        </is>
      </c>
      <c r="S18" s="20">
        <f>IF(AND(ISNUMBER(L18),ISNUMBER(H18)),H18,"")</f>
        <v>0.9147945927169935</v>
      </c>
      <c r="T18" s="19">
        <f>IF(AND(ISNUMBER(L18),ISNUMBER(H18)),1,0)</f>
        <v>1</v>
      </c>
      <c r="U18" s="22">
        <v>0.0</v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0.8490677731739953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IF(ISNUMBER(M19),M19*(I19*L19-1-U19),"")</f>
        <v>0.27</v>
      </c>
      <c r="O19" s="21">
        <f>IF(AND(ISNUMBER(L19),ISNUMBER(H19)),(H19-L19)^2,"")</f>
        <v>0.022780537094656536</v>
      </c>
      <c r="P19" s="18" t="inlineStr">
        <is>
          <t>2026-W42</t>
        </is>
      </c>
      <c r="Q19" s="18" t="inlineStr">
        <is>
          <t>d3f12df5a2a20809c3ac84f9a31766ba965813e3</t>
        </is>
      </c>
      <c r="R19" s="18" t="inlineStr">
        <is>
          <t>football-data.org/v4</t>
        </is>
      </c>
      <c r="S19" s="20">
        <f>IF(AND(ISNUMBER(L19),ISNUMBER(H19)),H19,"")</f>
        <v>0.8490677731739953</v>
      </c>
      <c r="T19" s="19">
        <f>IF(AND(ISNUMBER(L19),ISNUMBER(H19)),1,0)</f>
        <v>1</v>
      </c>
      <c r="U19" s="22">
        <v>0.0</v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72h-all-markets-net-ev15-execution-v7</t>
        </is>
      </c>
      <c r="H20" s="20">
        <v>0.6603235458643747</v>
      </c>
      <c r="I20" s="22">
        <v>1.71</v>
      </c>
      <c r="J20" s="18" t="inlineStr">
        <is>
          <t>1-0</t>
        </is>
      </c>
      <c r="K20" s="18" t="inlineStr">
        <is>
          <t>LOST</t>
        </is>
      </c>
      <c r="L20" s="19">
        <v>0</v>
      </c>
      <c r="M20" s="22">
        <f>IF(AND(ISNUMBER(L20),ISNUMBER(I20),I20&gt;1),'ROI Plan'!$B$5,"")</f>
        <v>1</v>
      </c>
      <c r="N20" s="22">
        <f>IF(ISNUMBER(M20),M20*(I20*L20-1-U20),"")</f>
        <v>-1.0</v>
      </c>
      <c r="O20" s="21">
        <f>IF(AND(ISNUMBER(L20),ISNUMBER(H20)),(H20-L20)^2,"")</f>
        <v>0.43602718522290096</v>
      </c>
      <c r="P20" s="18" t="inlineStr">
        <is>
          <t>2026-W42</t>
        </is>
      </c>
      <c r="Q20" s="18" t="inlineStr">
        <is>
          <t>54bb8a2c2c957dda77ef247b3e042f6a945bda8f</t>
        </is>
      </c>
      <c r="R20" s="18" t="inlineStr">
        <is>
          <t>football-data.org/v4</t>
        </is>
      </c>
      <c r="S20" s="20">
        <f>IF(AND(ISNUMBER(L20),ISNUMBER(H20)),H20,"")</f>
        <v>0.6603235458643747</v>
      </c>
      <c r="T20" s="19">
        <f>IF(AND(ISNUMBER(L20),ISNUMBER(H20)),1,0)</f>
        <v>1</v>
      </c>
      <c r="U20" s="22">
        <v>0.0</v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72h-six-markets-dc12-probability-odds-net-ev15-v9</t>
        </is>
      </c>
      <c r="H21" s="20">
        <v>0.8016633804854422</v>
      </c>
      <c r="I21" s="22">
        <v>1.27</v>
      </c>
      <c r="J21" s="18" t="inlineStr">
        <is>
          <t>2-2</t>
        </is>
      </c>
      <c r="K21" s="18" t="inlineStr">
        <is>
          <t>WON</t>
        </is>
      </c>
      <c r="L21" s="19">
        <v>1</v>
      </c>
      <c r="M21" s="22">
        <f>IF(AND(ISNUMBER(L21),ISNUMBER(I21),I21&gt;1),'ROI Plan'!$B$5,"")</f>
        <v>1</v>
      </c>
      <c r="N21" s="22">
        <f>IF(ISNUMBER(M21),M21*(I21*L21-1-U21),"")</f>
        <v>0.27</v>
      </c>
      <c r="O21" s="21">
        <f>IF(AND(ISNUMBER(L21),ISNUMBER(H21)),(H21-L21)^2,"")</f>
        <v>0.03933741464046248</v>
      </c>
      <c r="P21" s="18" t="inlineStr">
        <is>
          <t>2026-W42</t>
        </is>
      </c>
      <c r="Q21" s="18" t="inlineStr">
        <is>
          <t>b57f98f7704eb71a9d1b11eddf359e66786ea2fe</t>
        </is>
      </c>
      <c r="R21" s="18" t="inlineStr">
        <is>
          <t>football-data.org/v4</t>
        </is>
      </c>
      <c r="S21" s="20">
        <f>IF(AND(ISNUMBER(L21),ISNUMBER(H21)),H21,"")</f>
        <v>0.8016633804854422</v>
      </c>
      <c r="T21" s="19">
        <f>IF(AND(ISNUMBER(L21),ISNUMBER(H21)),1,0)</f>
        <v>1</v>
      </c>
      <c r="U21" s="22">
        <v>0.0</v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/>
      <c r="K22" s="18" t="inlineStr">
        <is>
          <t>PENDING_KICKOFF_OR_FINAL_SCORE</t>
        </is>
      </c>
      <c r="L22" s="18"/>
      <c r="M22" s="22" t="str">
        <f>IF(AND(ISNUMBER(L22),ISNUMBER(I22),I22&gt;1),'ROI Plan'!$B$5,"")</f>
        <v/>
      </c>
      <c r="N22" s="22" t="str">
        <f>IF(ISNUMBER(M22),M22*(I22*L22-1-U22),"")</f>
        <v/>
      </c>
      <c r="O22" s="21">
        <f>IF(AND(ISNUMBER(L22),ISNUMBER(H22)),(H22-L22)^2,"")</f>
      </c>
      <c r="P22" s="18" t="inlineStr">
        <is>
          <t>2026-W42</t>
        </is>
      </c>
      <c r="Q22" s="18" t="inlineStr">
        <is>
          <t>bdc690a8c70643c93f1595d53c067b7d91325270</t>
        </is>
      </c>
      <c r="R22" s="18"/>
      <c r="S22" s="20">
        <f>IF(AND(ISNUMBER(L22),ISNUMBER(H22)),H22,"")</f>
      </c>
      <c r="T22" s="19">
        <f>IF(AND(ISNUMBER(L22),ISNUMBER(H22)),1,0)</f>
        <v>0</v>
      </c>
      <c r="U22" s="22">
        <v>0.0</v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Over 1.5</t>
        </is>
      </c>
      <c r="F23" s="18" t="inlineStr">
        <is>
          <t>PROVISIONAL</t>
        </is>
      </c>
      <c r="G23" s="18" t="inlineStr">
        <is>
          <t>legacy/unspecified</t>
        </is>
      </c>
      <c r="H23" s="20">
        <v>0.9163621198072895</v>
      </c>
      <c r="I23" s="22">
        <v>1.11</v>
      </c>
      <c r="J23" s="18"/>
      <c r="K23" s="18" t="inlineStr">
        <is>
          <t>PENDING_KICKOFF_OR_FINAL_SCORE</t>
        </is>
      </c>
      <c r="L23" s="18"/>
      <c r="M23" s="22" t="str">
        <f>IF(AND(ISNUMBER(L23),ISNUMBER(I23),I23&gt;1),'ROI Plan'!$B$5,"")</f>
        <v/>
      </c>
      <c r="N23" s="22" t="str">
        <f>IF(ISNUMBER(M23),M23*(I23*L23-1-U23),"")</f>
        <v/>
      </c>
      <c r="O23" s="21">
        <f>IF(AND(ISNUMBER(L23),ISNUMBER(H23)),(H23-L23)^2,"")</f>
      </c>
      <c r="P23" s="18" t="inlineStr">
        <is>
          <t>2026-W42</t>
        </is>
      </c>
      <c r="Q23" s="18" t="inlineStr">
        <is>
          <t>bdc690a8c70643c93f1595d53c067b7d91325270</t>
        </is>
      </c>
      <c r="R23" s="18"/>
      <c r="S23" s="20">
        <f>IF(AND(ISNUMBER(L23),ISNUMBER(H23)),H23,"")</f>
      </c>
      <c r="T23" s="19">
        <f>IF(AND(ISNUMBER(L23),ISNUMBER(H23)),1,0)</f>
        <v>0</v>
      </c>
      <c r="U23" s="22">
        <v>0.0</v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0.6535202115547794</v>
      </c>
      <c r="I24" s="22">
        <v>1.58</v>
      </c>
      <c r="J24" s="18"/>
      <c r="K24" s="18" t="inlineStr">
        <is>
          <t>PENDING_KICKOFF_OR_FINAL_SCORE</t>
        </is>
      </c>
      <c r="L24" s="18"/>
      <c r="M24" s="22" t="str">
        <f>IF(AND(ISNUMBER(L24),ISNUMBER(I24),I24&gt;1),'ROI Plan'!$B$5,"")</f>
        <v/>
      </c>
      <c r="N24" s="22" t="str">
        <f>IF(ISNUMBER(M24),M24*(I24*L24-1-U24),"")</f>
        <v/>
      </c>
      <c r="O24" s="21">
        <f>IF(AND(ISNUMBER(L24),ISNUMBER(H24)),(H24-L24)^2,"")</f>
      </c>
      <c r="P24" s="18" t="inlineStr">
        <is>
          <t>2026-W42</t>
        </is>
      </c>
      <c r="Q24" s="18" t="inlineStr">
        <is>
          <t>7a6c9d44b7c20308d3ed85270f7cabc2a98df58e</t>
        </is>
      </c>
      <c r="R24" s="18"/>
      <c r="S24" s="20">
        <f>IF(AND(ISNUMBER(L24),ISNUMBER(H24)),H24,"")</f>
      </c>
      <c r="T24" s="19">
        <f>IF(AND(ISNUMBER(L24),ISNUMBER(H24)),1,0)</f>
        <v>0</v>
      </c>
      <c r="U24" s="22">
        <v>0.0</v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/>
      <c r="K25" s="18" t="inlineStr">
        <is>
          <t>PENDING_KICKOFF_OR_FINAL_SCORE</t>
        </is>
      </c>
      <c r="L25" s="18"/>
      <c r="M25" s="22" t="str">
        <f>IF(AND(ISNUMBER(L25),ISNUMBER(I25),I25&gt;1),'ROI Plan'!$B$5,"")</f>
        <v/>
      </c>
      <c r="N25" s="22" t="str">
        <f>IF(ISNUMBER(M25),M25*(I25*L25-1-U25),"")</f>
        <v/>
      </c>
      <c r="O25" s="21">
        <f>IF(AND(ISNUMBER(L25),ISNUMBER(H25)),(H25-L25)^2,"")</f>
      </c>
      <c r="P25" s="18" t="inlineStr">
        <is>
          <t>2026-W42</t>
        </is>
      </c>
      <c r="Q25" s="18" t="inlineStr">
        <is>
          <t>bdc690a8c70643c93f1595d53c067b7d91325270</t>
        </is>
      </c>
      <c r="R25" s="18"/>
      <c r="S25" s="20">
        <f>IF(AND(ISNUMBER(L25),ISNUMBER(H25)),H25,"")</f>
      </c>
      <c r="T25" s="19">
        <f>IF(AND(ISNUMBER(L25),ISNUMBER(H25)),1,0)</f>
        <v>0</v>
      </c>
      <c r="U25" s="22">
        <v>0.0</v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0.8234367931835674</v>
      </c>
      <c r="I26" s="22">
        <v>1.24</v>
      </c>
      <c r="J26" s="18"/>
      <c r="K26" s="18" t="inlineStr">
        <is>
          <t>PENDING_KICKOFF_OR_FINAL_SCORE</t>
        </is>
      </c>
      <c r="L26" s="18"/>
      <c r="M26" s="22" t="str">
        <f>IF(AND(ISNUMBER(L26),ISNUMBER(I26),I26&gt;1),'ROI Plan'!$B$5,"")</f>
        <v/>
      </c>
      <c r="N26" s="22" t="str">
        <f>IF(ISNUMBER(M26),M26*(I26*L26-1-U26),"")</f>
        <v/>
      </c>
      <c r="O26" s="21">
        <f>IF(AND(ISNUMBER(L26),ISNUMBER(H26)),(H26-L26)^2,"")</f>
      </c>
      <c r="P26" s="18" t="inlineStr">
        <is>
          <t>2026-W42</t>
        </is>
      </c>
      <c r="Q26" s="18" t="inlineStr">
        <is>
          <t>9425e536c27cdb34914535517891f53a7af4191b</t>
        </is>
      </c>
      <c r="R26" s="18"/>
      <c r="S26" s="20">
        <f>IF(AND(ISNUMBER(L26),ISNUMBER(H26)),H26,"")</f>
      </c>
      <c r="T26" s="19">
        <f>IF(AND(ISNUMBER(L26),ISNUMBER(H26)),1,0)</f>
        <v>0</v>
      </c>
      <c r="U26" s="22">
        <v>0.0</v>
      </c>
    </row>
    <row r="27" ht="36" customHeight="1">
      <c r="A27" s="18" t="inlineStr">
        <is>
          <t>La Liga|malaga|real sociedad|2026-10-18</t>
        </is>
      </c>
      <c r="B27" s="23">
        <v>46313.6875</v>
      </c>
      <c r="C27" s="18" t="inlineStr">
        <is>
          <t>La Liga</t>
        </is>
      </c>
      <c r="D27" s="18" t="inlineStr">
        <is>
          <t>Málaga vs Real Sociedad</t>
        </is>
      </c>
      <c r="E27" s="18" t="inlineStr">
        <is>
          <t>Under 3.5</t>
        </is>
      </c>
      <c r="F27" s="18" t="inlineStr">
        <is>
          <t>STRICT</t>
        </is>
      </c>
      <c r="G27" s="18" t="inlineStr">
        <is>
          <t>legacy/unspecified</t>
        </is>
      </c>
      <c r="H27" s="20">
        <v>0.8261247842244344</v>
      </c>
      <c r="I27" s="22">
        <v>1.41</v>
      </c>
      <c r="J27" s="18"/>
      <c r="K27" s="18" t="inlineStr">
        <is>
          <t>PENDING_KICKOFF_OR_FINAL_SCORE</t>
        </is>
      </c>
      <c r="L27" s="18"/>
      <c r="M27" s="22" t="str">
        <f>IF(AND(ISNUMBER(L27),ISNUMBER(I27),I27&gt;1),'ROI Plan'!$B$5,"")</f>
        <v/>
      </c>
      <c r="N27" s="22" t="str">
        <f>IF(ISNUMBER(M27),M27*(I27*L27-1-U27),"")</f>
        <v/>
      </c>
      <c r="O27" s="21">
        <f>IF(AND(ISNUMBER(L27),ISNUMBER(H27)),(H27-L27)^2,"")</f>
      </c>
      <c r="P27" s="18" t="inlineStr">
        <is>
          <t>2026-W42</t>
        </is>
      </c>
      <c r="Q27" s="18" t="inlineStr">
        <is>
          <t>bdc690a8c70643c93f1595d53c067b7d91325270</t>
        </is>
      </c>
      <c r="R27" s="18"/>
      <c r="S27" s="20">
        <f>IF(AND(ISNUMBER(L27),ISNUMBER(H27)),H27,"")</f>
      </c>
      <c r="T27" s="19">
        <f>IF(AND(ISNUMBER(L27),ISNUMBER(H27)),1,0)</f>
        <v>0</v>
      </c>
      <c r="U27" s="22">
        <v>0.0</v>
      </c>
    </row>
    <row r="28" ht="36" customHeight="1">
      <c r="A28" s="18" t="inlineStr">
        <is>
          <t>La Liga|real madrid|sevilla|2026-10-18</t>
        </is>
      </c>
      <c r="B28" s="23">
        <v>46313.791666666664</v>
      </c>
      <c r="C28" s="18" t="inlineStr">
        <is>
          <t>La Liga</t>
        </is>
      </c>
      <c r="D28" s="18" t="inlineStr">
        <is>
          <t>Real Madrid vs Sevilla</t>
        </is>
      </c>
      <c r="E28" s="18" t="inlineStr">
        <is>
          <t>Home win</t>
        </is>
      </c>
      <c r="F28" s="18" t="inlineStr">
        <is>
          <t>PROVISIONAL</t>
        </is>
      </c>
      <c r="G28" s="18" t="inlineStr">
        <is>
          <t>legacy/unspecified</t>
        </is>
      </c>
      <c r="H28" s="20">
        <v>0.78842217536022</v>
      </c>
      <c r="I28" s="22">
        <v>1.3</v>
      </c>
      <c r="J28" s="18"/>
      <c r="K28" s="18" t="inlineStr">
        <is>
          <t>PENDING_KICKOFF_OR_FINAL_SCORE</t>
        </is>
      </c>
      <c r="L28" s="18"/>
      <c r="M28" s="22" t="str">
        <f>IF(AND(ISNUMBER(L28),ISNUMBER(I28),I28&gt;1),'ROI Plan'!$B$5,"")</f>
        <v/>
      </c>
      <c r="N28" s="22" t="str">
        <f>IF(ISNUMBER(M28),M28*(I28*L28-1-U28),"")</f>
        <v/>
      </c>
      <c r="O28" s="21">
        <f>IF(AND(ISNUMBER(L28),ISNUMBER(H28)),(H28-L28)^2,"")</f>
      </c>
      <c r="P28" s="18" t="inlineStr">
        <is>
          <t>2026-W42</t>
        </is>
      </c>
      <c r="Q28" s="18" t="inlineStr">
        <is>
          <t>bdc690a8c70643c93f1595d53c067b7d91325270</t>
        </is>
      </c>
      <c r="R28" s="18"/>
      <c r="S28" s="20">
        <f>IF(AND(ISNUMBER(L28),ISNUMBER(H28)),H28,"")</f>
      </c>
      <c r="T28" s="19">
        <f>IF(AND(ISNUMBER(L28),ISNUMBER(H28)),1,0)</f>
        <v>0</v>
      </c>
      <c r="U28" s="22">
        <v>0.0</v>
      </c>
    </row>
    <row r="29" ht="36" customHeight="1">
      <c r="A29" s="18" t="inlineStr">
        <is>
          <t>Premier League|tottenham|coventry city|2026-10-19</t>
        </is>
      </c>
      <c r="B29" s="23">
        <v>46314.791666666664</v>
      </c>
      <c r="C29" s="18" t="inlineStr">
        <is>
          <t>Premier League</t>
        </is>
      </c>
      <c r="D29" s="18" t="inlineStr">
        <is>
          <t>Tottenham Hotspur vs Coventry City</t>
        </is>
      </c>
      <c r="E29" s="18" t="inlineStr">
        <is>
          <t>Home win</t>
        </is>
      </c>
      <c r="F29" s="18" t="inlineStr">
        <is>
          <t>PROVISIONAL</t>
        </is>
      </c>
      <c r="G29" s="18" t="inlineStr">
        <is>
          <t>legacy/unspecified</t>
        </is>
      </c>
      <c r="H29" s="20">
        <v>0.6624411929150106</v>
      </c>
      <c r="I29" s="22">
        <v>1.54</v>
      </c>
      <c r="J29" s="18"/>
      <c r="K29" s="18" t="inlineStr">
        <is>
          <t>PENDING_KICKOFF_OR_FINAL_SCORE</t>
        </is>
      </c>
      <c r="L29" s="18"/>
      <c r="M29" s="22" t="str">
        <f>IF(AND(ISNUMBER(L29),ISNUMBER(I29),I29&gt;1),'ROI Plan'!$B$5,"")</f>
        <v/>
      </c>
      <c r="N29" s="22" t="str">
        <f>IF(ISNUMBER(M29),M29*(I29*L29-1-U29),"")</f>
        <v/>
      </c>
      <c r="O29" s="21">
        <f>IF(AND(ISNUMBER(L29),ISNUMBER(H29)),(H29-L29)^2,"")</f>
      </c>
      <c r="P29" s="18" t="inlineStr">
        <is>
          <t>2026-W43</t>
        </is>
      </c>
      <c r="Q29" s="18" t="inlineStr">
        <is>
          <t>b9c15c09504aaf57de5ad0957adb91c0e9b37243</t>
        </is>
      </c>
      <c r="R29" s="18"/>
      <c r="S29" s="20">
        <f>IF(AND(ISNUMBER(L29),ISNUMBER(H29)),H29,"")</f>
      </c>
      <c r="T29" s="19">
        <f>IF(AND(ISNUMBER(L29),ISNUMBER(H29)),1,0)</f>
        <v>0</v>
      </c>
      <c r="U29" s="22">
        <v>0.0</v>
      </c>
    </row>
  </sheetData>
  <mergeCells count="2">
    <mergeCell ref="B2:U2"/>
    <mergeCell ref="B4:U4"/>
  </mergeCells>
  <conditionalFormatting sqref="K6:K29">
    <cfRule type="expression" priority="101" dxfId="5">
      <formula>OR(K6="WON")</formula>
    </cfRule>
    <cfRule type="expression" priority="102" dxfId="4">
      <formula>OR(K6="LOST")</formula>
    </cfRule>
    <cfRule type="expression" priority="103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GRADED</t>
        </is>
      </c>
      <c r="G49" s="18" t="inlineStr">
        <is>
          <t>0-2</t>
        </is>
      </c>
      <c r="H49" s="19">
        <v>1.0</v>
      </c>
      <c r="I49" s="21">
        <v>0.55930972</v>
      </c>
      <c r="J49" s="19">
        <v>1.0</v>
      </c>
      <c r="K49" s="19">
        <v>1.0</v>
      </c>
      <c r="L49" s="19">
        <v>0.0</v>
      </c>
      <c r="M49" s="19">
        <v>0.0</v>
      </c>
      <c r="N49" s="18" t="inlineStr">
        <is>
          <t>2026-W42</t>
        </is>
      </c>
      <c r="O49" s="18" t="inlineStr">
        <is>
          <t>2fd31d33722311d8e0155bb5eca6b3a310ac938b</t>
        </is>
      </c>
      <c r="P49" s="18" t="inlineStr">
        <is>
          <t>football-data.org/v4</t>
        </is>
      </c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GRADED</t>
        </is>
      </c>
      <c r="G50" s="18" t="inlineStr">
        <is>
          <t>0-1</t>
        </is>
      </c>
      <c r="H50" s="19">
        <v>1.0</v>
      </c>
      <c r="I50" s="21">
        <v>0.34219158</v>
      </c>
      <c r="J50" s="19">
        <v>0.0</v>
      </c>
      <c r="K50" s="19">
        <v>1.0</v>
      </c>
      <c r="L50" s="19">
        <v>0.0</v>
      </c>
      <c r="M50" s="19">
        <v>0.0</v>
      </c>
      <c r="N50" s="18" t="inlineStr">
        <is>
          <t>2026-W42</t>
        </is>
      </c>
      <c r="O50" s="18" t="inlineStr">
        <is>
          <t>2fd31d33722311d8e0155bb5eca6b3a310ac938b</t>
        </is>
      </c>
      <c r="P50" s="18" t="inlineStr">
        <is>
          <t>football-data.org/v4</t>
        </is>
      </c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GRADED</t>
        </is>
      </c>
      <c r="G51" s="18" t="inlineStr">
        <is>
          <t>1-0</t>
        </is>
      </c>
      <c r="H51" s="19">
        <v>0.0</v>
      </c>
      <c r="I51" s="21">
        <v>1.17297119</v>
      </c>
      <c r="J51" s="19">
        <v>0.0</v>
      </c>
      <c r="K51" s="19">
        <v>1.0</v>
      </c>
      <c r="L51" s="19">
        <v>1.0</v>
      </c>
      <c r="M51" s="19">
        <v>1.0</v>
      </c>
      <c r="N51" s="18" t="inlineStr">
        <is>
          <t>2026-W42</t>
        </is>
      </c>
      <c r="O51" s="18" t="inlineStr">
        <is>
          <t>2fd31d33722311d8e0155bb5eca6b3a310ac938b</t>
        </is>
      </c>
      <c r="P51" s="18" t="inlineStr">
        <is>
          <t>football-data.org/v4</t>
        </is>
      </c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GRADED</t>
        </is>
      </c>
      <c r="G52" s="18" t="inlineStr">
        <is>
          <t>4-3</t>
        </is>
      </c>
      <c r="H52" s="19">
        <v>1.0</v>
      </c>
      <c r="I52" s="21">
        <v>0.28775918</v>
      </c>
      <c r="J52" s="19">
        <v>1.0</v>
      </c>
      <c r="K52" s="19">
        <v>1.0</v>
      </c>
      <c r="L52" s="19">
        <v>1.0</v>
      </c>
      <c r="M52" s="19">
        <v>1.0</v>
      </c>
      <c r="N52" s="18" t="inlineStr">
        <is>
          <t>2026-W42</t>
        </is>
      </c>
      <c r="O52" s="18" t="inlineStr">
        <is>
          <t>2fd31d33722311d8e0155bb5eca6b3a310ac938b</t>
        </is>
      </c>
      <c r="P52" s="18" t="inlineStr">
        <is>
          <t>football-data.org/v4</t>
        </is>
      </c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GRADED</t>
        </is>
      </c>
      <c r="G53" s="18" t="inlineStr">
        <is>
          <t>1-0</t>
        </is>
      </c>
      <c r="H53" s="19">
        <v>0.0</v>
      </c>
      <c r="I53" s="21">
        <v>0.9628056</v>
      </c>
      <c r="J53" s="19">
        <v>0.0</v>
      </c>
      <c r="K53" s="19">
        <v>1.0</v>
      </c>
      <c r="L53" s="19">
        <v>0.0</v>
      </c>
      <c r="M53" s="19">
        <v>0.0</v>
      </c>
      <c r="N53" s="18" t="inlineStr">
        <is>
          <t>2026-W42</t>
        </is>
      </c>
      <c r="O53" s="18" t="inlineStr">
        <is>
          <t>2fd31d33722311d8e0155bb5eca6b3a310ac938b</t>
        </is>
      </c>
      <c r="P53" s="18" t="inlineStr">
        <is>
          <t>football-data.org/v4</t>
        </is>
      </c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GRADED</t>
        </is>
      </c>
      <c r="G54" s="18" t="inlineStr">
        <is>
          <t>0-1</t>
        </is>
      </c>
      <c r="H54" s="19">
        <v>0.0</v>
      </c>
      <c r="I54" s="21">
        <v>0.66104531</v>
      </c>
      <c r="J54" s="19">
        <v>1.0</v>
      </c>
      <c r="K54" s="19">
        <v>1.0</v>
      </c>
      <c r="L54" s="19">
        <v>1.0</v>
      </c>
      <c r="M54" s="19">
        <v>1.0</v>
      </c>
      <c r="N54" s="18" t="inlineStr">
        <is>
          <t>2026-W42</t>
        </is>
      </c>
      <c r="O54" s="18" t="inlineStr">
        <is>
          <t>2fd31d33722311d8e0155bb5eca6b3a310ac938b</t>
        </is>
      </c>
      <c r="P54" s="18" t="inlineStr">
        <is>
          <t>football-data.org/v4</t>
        </is>
      </c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GRADED</t>
        </is>
      </c>
      <c r="G55" s="18" t="inlineStr">
        <is>
          <t>0-0</t>
        </is>
      </c>
      <c r="H55" s="19">
        <v>0.0</v>
      </c>
      <c r="I55" s="21">
        <v>0.99470856</v>
      </c>
      <c r="J55" s="19">
        <v>0.0</v>
      </c>
      <c r="K55" s="19">
        <v>1.0</v>
      </c>
      <c r="L55" s="19">
        <v>0.0</v>
      </c>
      <c r="M55" s="19">
        <v>0.0</v>
      </c>
      <c r="N55" s="18" t="inlineStr">
        <is>
          <t>2026-W42</t>
        </is>
      </c>
      <c r="O55" s="18" t="inlineStr">
        <is>
          <t>2fd31d33722311d8e0155bb5eca6b3a310ac938b</t>
        </is>
      </c>
      <c r="P55" s="18" t="inlineStr">
        <is>
          <t>football-data.org/v4</t>
        </is>
      </c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GRADED</t>
        </is>
      </c>
      <c r="G56" s="18" t="inlineStr">
        <is>
          <t>2-2</t>
        </is>
      </c>
      <c r="H56" s="19">
        <v>0.0</v>
      </c>
      <c r="I56" s="21">
        <v>0.81903144</v>
      </c>
      <c r="J56" s="19">
        <v>1.0</v>
      </c>
      <c r="K56" s="19">
        <v>0.0</v>
      </c>
      <c r="L56" s="19">
        <v>0.0</v>
      </c>
      <c r="M56" s="19">
        <v>0.0</v>
      </c>
      <c r="N56" s="18" t="inlineStr">
        <is>
          <t>2026-W42</t>
        </is>
      </c>
      <c r="O56" s="18" t="inlineStr">
        <is>
          <t>2fd31d33722311d8e0155bb5eca6b3a310ac938b</t>
        </is>
      </c>
      <c r="P56" s="18" t="inlineStr">
        <is>
          <t>football-data.org/v4</t>
        </is>
      </c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PENDING_KICKOFF_OR_FINAL_SCORE</t>
        </is>
      </c>
      <c r="G57" s="18"/>
      <c r="H57" s="18"/>
      <c r="I57" s="21"/>
      <c r="J57" s="18"/>
      <c r="K57" s="18"/>
      <c r="L57" s="18"/>
      <c r="M57" s="18"/>
      <c r="N57" s="18" t="inlineStr">
        <is>
          <t>2026-W42</t>
        </is>
      </c>
      <c r="O57" s="18" t="inlineStr">
        <is>
          <t>2fd31d33722311d8e0155bb5eca6b3a310ac938b</t>
        </is>
      </c>
      <c r="P57" s="18"/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PENDING_KICKOFF_OR_FINAL_SCORE</t>
        </is>
      </c>
      <c r="G58" s="18"/>
      <c r="H58" s="18"/>
      <c r="I58" s="21"/>
      <c r="J58" s="18"/>
      <c r="K58" s="18"/>
      <c r="L58" s="18"/>
      <c r="M58" s="18"/>
      <c r="N58" s="18" t="inlineStr">
        <is>
          <t>2026-W42</t>
        </is>
      </c>
      <c r="O58" s="18" t="inlineStr">
        <is>
          <t>2fd31d33722311d8e0155bb5eca6b3a310ac938b</t>
        </is>
      </c>
      <c r="P58" s="18"/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PENDING_KICKOFF_OR_FINAL_SCORE</t>
        </is>
      </c>
      <c r="G59" s="18"/>
      <c r="H59" s="18"/>
      <c r="I59" s="21"/>
      <c r="J59" s="18"/>
      <c r="K59" s="18"/>
      <c r="L59" s="18"/>
      <c r="M59" s="18"/>
      <c r="N59" s="18" t="inlineStr">
        <is>
          <t>2026-W42</t>
        </is>
      </c>
      <c r="O59" s="18" t="inlineStr">
        <is>
          <t>2fd31d33722311d8e0155bb5eca6b3a310ac938b</t>
        </is>
      </c>
      <c r="P59" s="18"/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PENDING_KICKOFF_OR_FINAL_SCORE</t>
        </is>
      </c>
      <c r="G60" s="18"/>
      <c r="H60" s="18"/>
      <c r="I60" s="21"/>
      <c r="J60" s="18"/>
      <c r="K60" s="18"/>
      <c r="L60" s="18"/>
      <c r="M60" s="18"/>
      <c r="N60" s="18" t="inlineStr">
        <is>
          <t>2026-W42</t>
        </is>
      </c>
      <c r="O60" s="18" t="inlineStr">
        <is>
          <t>2fd31d33722311d8e0155bb5eca6b3a310ac938b</t>
        </is>
      </c>
      <c r="P60" s="18"/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PENDING_KICKOFF_OR_FINAL_SCORE</t>
        </is>
      </c>
      <c r="G61" s="18"/>
      <c r="H61" s="18"/>
      <c r="I61" s="21"/>
      <c r="J61" s="18"/>
      <c r="K61" s="18"/>
      <c r="L61" s="18"/>
      <c r="M61" s="18"/>
      <c r="N61" s="18" t="inlineStr">
        <is>
          <t>2026-W42</t>
        </is>
      </c>
      <c r="O61" s="18" t="inlineStr">
        <is>
          <t>2fd31d33722311d8e0155bb5eca6b3a310ac938b</t>
        </is>
      </c>
      <c r="P61" s="18"/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PENDING_KICKOFF_OR_FINAL_SCORE</t>
        </is>
      </c>
      <c r="G62" s="18"/>
      <c r="H62" s="18"/>
      <c r="I62" s="21"/>
      <c r="J62" s="18"/>
      <c r="K62" s="18"/>
      <c r="L62" s="18"/>
      <c r="M62" s="18"/>
      <c r="N62" s="18" t="inlineStr">
        <is>
          <t>2026-W42</t>
        </is>
      </c>
      <c r="O62" s="18" t="inlineStr">
        <is>
          <t>2fd31d33722311d8e0155bb5eca6b3a310ac938b</t>
        </is>
      </c>
      <c r="P62" s="18"/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PENDING_KICKOFF_OR_FINAL_SCORE</t>
        </is>
      </c>
      <c r="G63" s="18"/>
      <c r="H63" s="18"/>
      <c r="I63" s="21"/>
      <c r="J63" s="18"/>
      <c r="K63" s="18"/>
      <c r="L63" s="18"/>
      <c r="M63" s="18"/>
      <c r="N63" s="18" t="inlineStr">
        <is>
          <t>2026-W42</t>
        </is>
      </c>
      <c r="O63" s="18" t="inlineStr">
        <is>
          <t>2fd31d33722311d8e0155bb5eca6b3a310ac938b</t>
        </is>
      </c>
      <c r="P63" s="18"/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PENDING_KICKOFF_OR_FINAL_SCORE</t>
        </is>
      </c>
      <c r="G64" s="18"/>
      <c r="H64" s="18"/>
      <c r="I64" s="21"/>
      <c r="J64" s="18"/>
      <c r="K64" s="18"/>
      <c r="L64" s="18"/>
      <c r="M64" s="18"/>
      <c r="N64" s="18" t="inlineStr">
        <is>
          <t>2026-W42</t>
        </is>
      </c>
      <c r="O64" s="18" t="inlineStr">
        <is>
          <t>2fd31d33722311d8e0155bb5eca6b3a310ac938b</t>
        </is>
      </c>
      <c r="P64" s="18"/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PENDING_KICKOFF_OR_FINAL_SCORE</t>
        </is>
      </c>
      <c r="G65" s="18"/>
      <c r="H65" s="18"/>
      <c r="I65" s="21"/>
      <c r="J65" s="18"/>
      <c r="K65" s="18"/>
      <c r="L65" s="18"/>
      <c r="M65" s="18"/>
      <c r="N65" s="18" t="inlineStr">
        <is>
          <t>2026-W42</t>
        </is>
      </c>
      <c r="O65" s="18" t="inlineStr">
        <is>
          <t>2fd31d33722311d8e0155bb5eca6b3a310ac938b</t>
        </is>
      </c>
      <c r="P65" s="18"/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PENDING_KICKOFF_OR_FINAL_SCORE</t>
        </is>
      </c>
      <c r="G66" s="18"/>
      <c r="H66" s="18"/>
      <c r="I66" s="21"/>
      <c r="J66" s="18"/>
      <c r="K66" s="18"/>
      <c r="L66" s="18"/>
      <c r="M66" s="18"/>
      <c r="N66" s="18" t="inlineStr">
        <is>
          <t>2026-W42</t>
        </is>
      </c>
      <c r="O66" s="18" t="inlineStr">
        <is>
          <t>2fd31d33722311d8e0155bb5eca6b3a310ac938b</t>
        </is>
      </c>
      <c r="P66" s="18"/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PENDING_KICKOFF_OR_FINAL_SCORE</t>
        </is>
      </c>
      <c r="G67" s="18"/>
      <c r="H67" s="18"/>
      <c r="I67" s="21"/>
      <c r="J67" s="18"/>
      <c r="K67" s="18"/>
      <c r="L67" s="18"/>
      <c r="M67" s="18"/>
      <c r="N67" s="18" t="inlineStr">
        <is>
          <t>2026-W42</t>
        </is>
      </c>
      <c r="O67" s="18" t="inlineStr">
        <is>
          <t>2fd31d33722311d8e0155bb5eca6b3a310ac938b</t>
        </is>
      </c>
      <c r="P67" s="18"/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PENDING_KICKOFF_OR_FINAL_SCORE</t>
        </is>
      </c>
      <c r="G68" s="18"/>
      <c r="H68" s="18"/>
      <c r="I68" s="21"/>
      <c r="J68" s="18"/>
      <c r="K68" s="18"/>
      <c r="L68" s="18"/>
      <c r="M68" s="18"/>
      <c r="N68" s="18" t="inlineStr">
        <is>
          <t>2026-W42</t>
        </is>
      </c>
      <c r="O68" s="18" t="inlineStr">
        <is>
          <t>2fd31d33722311d8e0155bb5eca6b3a310ac938b</t>
        </is>
      </c>
      <c r="P68" s="18"/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PENDING_KICKOFF_OR_FINAL_SCORE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PENDING_KICKOFF_OR_FINAL_SCORE</t>
        </is>
      </c>
      <c r="G70" s="18"/>
      <c r="H70" s="18"/>
      <c r="I70" s="21"/>
      <c r="J70" s="18"/>
      <c r="K70" s="18"/>
      <c r="L70" s="18"/>
      <c r="M70" s="18"/>
      <c r="N70" s="18" t="inlineStr">
        <is>
          <t>2026-W42</t>
        </is>
      </c>
      <c r="O70" s="18" t="inlineStr">
        <is>
          <t>2fd31d33722311d8e0155bb5eca6b3a310ac938b</t>
        </is>
      </c>
      <c r="P70" s="18"/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PENDING_KICKOFF_OR_FINAL_SCORE</t>
        </is>
      </c>
      <c r="G71" s="18"/>
      <c r="H71" s="18"/>
      <c r="I71" s="21"/>
      <c r="J71" s="18"/>
      <c r="K71" s="18"/>
      <c r="L71" s="18"/>
      <c r="M71" s="18"/>
      <c r="N71" s="18" t="inlineStr">
        <is>
          <t>2026-W42</t>
        </is>
      </c>
      <c r="O71" s="18" t="inlineStr">
        <is>
          <t>2fd31d33722311d8e0155bb5eca6b3a310ac938b</t>
        </is>
      </c>
      <c r="P71" s="18"/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PENDING_KICKOFF_OR_FINAL_SCORE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PENDING_KICKOFF_OR_FINAL_SCORE</t>
        </is>
      </c>
      <c r="G73" s="18"/>
      <c r="H73" s="18"/>
      <c r="I73" s="21"/>
      <c r="J73" s="18"/>
      <c r="K73" s="18"/>
      <c r="L73" s="18"/>
      <c r="M73" s="18"/>
      <c r="N73" s="18" t="inlineStr">
        <is>
          <t>2026-W42</t>
        </is>
      </c>
      <c r="O73" s="18" t="inlineStr">
        <is>
          <t>2fd31d33722311d8e0155bb5eca6b3a310ac938b</t>
        </is>
      </c>
      <c r="P73" s="18"/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PENDING_KICKOFF_OR_FINAL_SCORE</t>
        </is>
      </c>
      <c r="G74" s="18"/>
      <c r="H74" s="18"/>
      <c r="I74" s="21"/>
      <c r="J74" s="18"/>
      <c r="K74" s="18"/>
      <c r="L74" s="18"/>
      <c r="M74" s="18"/>
      <c r="N74" s="18" t="inlineStr">
        <is>
          <t>2026-W42</t>
        </is>
      </c>
      <c r="O74" s="18" t="inlineStr">
        <is>
          <t>2fd31d33722311d8e0155bb5eca6b3a310ac938b</t>
        </is>
      </c>
      <c r="P74" s="18"/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PENDING_KICKOFF_OR_FINAL_SCORE</t>
        </is>
      </c>
      <c r="G75" s="18"/>
      <c r="H75" s="18"/>
      <c r="I75" s="21"/>
      <c r="J75" s="18"/>
      <c r="K75" s="18"/>
      <c r="L75" s="18"/>
      <c r="M75" s="18"/>
      <c r="N75" s="18" t="inlineStr">
        <is>
          <t>2026-W42</t>
        </is>
      </c>
      <c r="O75" s="18" t="inlineStr">
        <is>
          <t>2fd31d33722311d8e0155bb5eca6b3a310ac938b</t>
        </is>
      </c>
      <c r="P75" s="18"/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PENDING_KICKOFF_OR_FINAL_SCORE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PENDING_KICKOFF_OR_FINAL_SCORE</t>
        </is>
      </c>
      <c r="G77" s="18"/>
      <c r="H77" s="18"/>
      <c r="I77" s="21"/>
      <c r="J77" s="18"/>
      <c r="K77" s="18"/>
      <c r="L77" s="18"/>
      <c r="M77" s="18"/>
      <c r="N77" s="18" t="inlineStr">
        <is>
          <t>2026-W42</t>
        </is>
      </c>
      <c r="O77" s="18" t="inlineStr">
        <is>
          <t>2fd31d33722311d8e0155bb5eca6b3a310ac938b</t>
        </is>
      </c>
      <c r="P77" s="18"/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PENDING_KICKOFF_OR_FINAL_SCORE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PENDING_KICKOFF_OR_FINAL_SCORE</t>
        </is>
      </c>
      <c r="G79" s="18"/>
      <c r="H79" s="18"/>
      <c r="I79" s="21"/>
      <c r="J79" s="18"/>
      <c r="K79" s="18"/>
      <c r="L79" s="18"/>
      <c r="M79" s="18"/>
      <c r="N79" s="18" t="inlineStr">
        <is>
          <t>2026-W42</t>
        </is>
      </c>
      <c r="O79" s="18" t="inlineStr">
        <is>
          <t>2fd31d33722311d8e0155bb5eca6b3a310ac938b</t>
        </is>
      </c>
      <c r="P79" s="18"/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PENDING_KICKOFF_OR_FINAL_SCORE</t>
        </is>
      </c>
      <c r="G80" s="18"/>
      <c r="H80" s="18"/>
      <c r="I80" s="21"/>
      <c r="J80" s="18"/>
      <c r="K80" s="18"/>
      <c r="L80" s="18"/>
      <c r="M80" s="18"/>
      <c r="N80" s="18" t="inlineStr">
        <is>
          <t>2026-W42</t>
        </is>
      </c>
      <c r="O80" s="18" t="inlineStr">
        <is>
          <t>2fd31d33722311d8e0155bb5eca6b3a310ac938b</t>
        </is>
      </c>
      <c r="P80" s="18"/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PENDING_KICKOFF_OR_FINAL_SCORE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PENDING_KICKOFF_OR_FINAL_SCORE</t>
        </is>
      </c>
      <c r="G82" s="18"/>
      <c r="H82" s="18"/>
      <c r="I82" s="21"/>
      <c r="J82" s="18"/>
      <c r="K82" s="18"/>
      <c r="L82" s="18"/>
      <c r="M82" s="18"/>
      <c r="N82" s="18" t="inlineStr">
        <is>
          <t>2026-W42</t>
        </is>
      </c>
      <c r="O82" s="18" t="inlineStr">
        <is>
          <t>2fd31d33722311d8e0155bb5eca6b3a310ac938b</t>
        </is>
      </c>
      <c r="P82" s="18"/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PENDING_KICKOFF_OR_FINAL_SCORE</t>
        </is>
      </c>
      <c r="G83" s="18"/>
      <c r="H83" s="18"/>
      <c r="I83" s="21"/>
      <c r="J83" s="18"/>
      <c r="K83" s="18"/>
      <c r="L83" s="18"/>
      <c r="M83" s="18"/>
      <c r="N83" s="18" t="inlineStr">
        <is>
          <t>2026-W42</t>
        </is>
      </c>
      <c r="O83" s="18" t="inlineStr">
        <is>
          <t>2fd31d33722311d8e0155bb5eca6b3a310ac938b</t>
        </is>
      </c>
      <c r="P83" s="18"/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PENDING_KICKOFF_OR_FINAL_SCORE</t>
        </is>
      </c>
      <c r="G84" s="18"/>
      <c r="H84" s="18"/>
      <c r="I84" s="21"/>
      <c r="J84" s="18"/>
      <c r="K84" s="18"/>
      <c r="L84" s="18"/>
      <c r="M84" s="18"/>
      <c r="N84" s="18" t="inlineStr">
        <is>
          <t>2026-W42</t>
        </is>
      </c>
      <c r="O84" s="18" t="inlineStr">
        <is>
          <t>2fd31d33722311d8e0155bb5eca6b3a310ac938b</t>
        </is>
      </c>
      <c r="P84" s="18"/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PENDING_KICKOFF_OR_FINAL_SCORE</t>
        </is>
      </c>
      <c r="G85" s="18"/>
      <c r="H85" s="18"/>
      <c r="I85" s="21"/>
      <c r="J85" s="18"/>
      <c r="K85" s="18"/>
      <c r="L85" s="18"/>
      <c r="M85" s="18"/>
      <c r="N85" s="18" t="inlineStr">
        <is>
          <t>2026-W42</t>
        </is>
      </c>
      <c r="O85" s="18" t="inlineStr">
        <is>
          <t>2fd31d33722311d8e0155bb5eca6b3a310ac938b</t>
        </is>
      </c>
      <c r="P85" s="18"/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PENDING_KICKOFF_OR_FINAL_SCORE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PENDING_KICKOFF_OR_FINAL_SCORE</t>
        </is>
      </c>
      <c r="G87" s="18"/>
      <c r="H87" s="18"/>
      <c r="I87" s="21"/>
      <c r="J87" s="18"/>
      <c r="K87" s="18"/>
      <c r="L87" s="18"/>
      <c r="M87" s="18"/>
      <c r="N87" s="18" t="inlineStr">
        <is>
          <t>2026-W42</t>
        </is>
      </c>
      <c r="O87" s="18" t="inlineStr">
        <is>
          <t>2fd31d33722311d8e0155bb5eca6b3a310ac938b</t>
        </is>
      </c>
      <c r="P87" s="18"/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PENDING_KICKOFF_OR_FINAL_SCORE</t>
        </is>
      </c>
      <c r="G88" s="18"/>
      <c r="H88" s="18"/>
      <c r="I88" s="21"/>
      <c r="J88" s="18"/>
      <c r="K88" s="18"/>
      <c r="L88" s="18"/>
      <c r="M88" s="18"/>
      <c r="N88" s="18" t="inlineStr">
        <is>
          <t>2026-W42</t>
        </is>
      </c>
      <c r="O88" s="18" t="inlineStr">
        <is>
          <t>2fd31d33722311d8e0155bb5eca6b3a310ac938b</t>
        </is>
      </c>
      <c r="P88" s="18"/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PENDING_KICKOFF_OR_FINAL_SCORE</t>
        </is>
      </c>
      <c r="G89" s="18"/>
      <c r="H89" s="18"/>
      <c r="I89" s="21"/>
      <c r="J89" s="18"/>
      <c r="K89" s="18"/>
      <c r="L89" s="18"/>
      <c r="M89" s="18"/>
      <c r="N89" s="18" t="inlineStr">
        <is>
          <t>2026-W43</t>
        </is>
      </c>
      <c r="O89" s="18" t="inlineStr">
        <is>
          <t>b9c15c09504aaf57de5ad0957adb91c0e9b37243</t>
        </is>
      </c>
      <c r="P89" s="18"/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PENDING_KICKOFF_OR_FINAL_SCORE</t>
        </is>
      </c>
      <c r="G90" s="18"/>
      <c r="H90" s="18"/>
      <c r="I90" s="21"/>
      <c r="J90" s="18"/>
      <c r="K90" s="18"/>
      <c r="L90" s="18"/>
      <c r="M90" s="18"/>
      <c r="N90" s="18" t="inlineStr">
        <is>
          <t>2026-W43</t>
        </is>
      </c>
      <c r="O90" s="18" t="inlineStr">
        <is>
          <t>b9c15c09504aaf57de5ad0957adb91c0e9b37243</t>
        </is>
      </c>
      <c r="P90" s="18"/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PENDING_KICKOFF_OR_FINAL_SCORE</t>
        </is>
      </c>
      <c r="G91" s="18"/>
      <c r="H91" s="18"/>
      <c r="I91" s="21"/>
      <c r="J91" s="18"/>
      <c r="K91" s="18"/>
      <c r="L91" s="18"/>
      <c r="M91" s="18"/>
      <c r="N91" s="18" t="inlineStr">
        <is>
          <t>2026-W43</t>
        </is>
      </c>
      <c r="O91" s="18" t="inlineStr">
        <is>
          <t>b9c15c09504aaf57de5ad0957adb91c0e9b37243</t>
        </is>
      </c>
      <c r="P91" s="18"/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PENDING_KICKOFF_OR_FINAL_SCORE</t>
        </is>
      </c>
      <c r="G92" s="18"/>
      <c r="H92" s="18"/>
      <c r="I92" s="21"/>
      <c r="J92" s="18"/>
      <c r="K92" s="18"/>
      <c r="L92" s="18"/>
      <c r="M92" s="18"/>
      <c r="N92" s="18" t="inlineStr">
        <is>
          <t>2026-W43</t>
        </is>
      </c>
      <c r="O92" s="18" t="inlineStr">
        <is>
          <t>b9c15c09504aaf57de5ad0957adb91c0e9b37243</t>
        </is>
      </c>
      <c r="P92" s="18"/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PENDING_KICKOFF_OR_FINAL_SCORE</t>
        </is>
      </c>
      <c r="G93" s="18"/>
      <c r="H93" s="18"/>
      <c r="I93" s="21"/>
      <c r="J93" s="18"/>
      <c r="K93" s="18"/>
      <c r="L93" s="18"/>
      <c r="M93" s="18"/>
      <c r="N93" s="18" t="inlineStr">
        <is>
          <t>2026-W43</t>
        </is>
      </c>
      <c r="O93" s="18" t="inlineStr">
        <is>
          <t>a98524037f736c1c589800f3bd4b329ab00983f7</t>
        </is>
      </c>
      <c r="P93" s="18"/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PENDING_KICKOFF_OR_FINAL_SCORE</t>
        </is>
      </c>
      <c r="G94" s="18"/>
      <c r="H94" s="18"/>
      <c r="I94" s="21"/>
      <c r="J94" s="18"/>
      <c r="K94" s="18"/>
      <c r="L94" s="18"/>
      <c r="M94" s="18"/>
      <c r="N94" s="18" t="inlineStr">
        <is>
          <t>2026-W43</t>
        </is>
      </c>
      <c r="O94" s="18" t="inlineStr">
        <is>
          <t>376b9f9ba8a8b03ea259c57729113f873b0b980d</t>
        </is>
      </c>
      <c r="P94" s="18"/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PENDING_KICKOFF_OR_FINAL_SCORE</t>
        </is>
      </c>
      <c r="G95" s="18"/>
      <c r="H95" s="18"/>
      <c r="I95" s="21"/>
      <c r="J95" s="18"/>
      <c r="K95" s="18"/>
      <c r="L95" s="18"/>
      <c r="M95" s="18"/>
      <c r="N95" s="18" t="inlineStr">
        <is>
          <t>2026-W43</t>
        </is>
      </c>
      <c r="O95" s="18" t="inlineStr">
        <is>
          <t>a98524037f736c1c589800f3bd4b329ab00983f7</t>
        </is>
      </c>
      <c r="P95" s="18"/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PENDING_KICKOFF_OR_FINAL_SCORE</t>
        </is>
      </c>
      <c r="G96" s="18"/>
      <c r="H96" s="18"/>
      <c r="I96" s="21"/>
      <c r="J96" s="18"/>
      <c r="K96" s="18"/>
      <c r="L96" s="18"/>
      <c r="M96" s="18"/>
      <c r="N96" s="18" t="inlineStr">
        <is>
          <t>2026-W43</t>
        </is>
      </c>
      <c r="O96" s="18" t="inlineStr">
        <is>
          <t>a98524037f736c1c589800f3bd4b329ab00983f7</t>
        </is>
      </c>
      <c r="P96" s="18"/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PENDING_KICKOFF_OR_FINAL_SCORE</t>
        </is>
      </c>
      <c r="G97" s="18"/>
      <c r="H97" s="18"/>
      <c r="I97" s="21"/>
      <c r="J97" s="18"/>
      <c r="K97" s="18"/>
      <c r="L97" s="18"/>
      <c r="M97" s="18"/>
      <c r="N97" s="18" t="inlineStr">
        <is>
          <t>2026-W43</t>
        </is>
      </c>
      <c r="O97" s="18" t="inlineStr">
        <is>
          <t>a98524037f736c1c589800f3bd4b329ab00983f7</t>
        </is>
      </c>
      <c r="P97" s="18"/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PENDING_KICKOFF_OR_FINAL_SCORE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PENDING_KICKOFF_OR_FINAL_SCORE</t>
        </is>
      </c>
      <c r="G99" s="18"/>
      <c r="H99" s="18"/>
      <c r="I99" s="21"/>
      <c r="J99" s="18"/>
      <c r="K99" s="18"/>
      <c r="L99" s="18"/>
      <c r="M99" s="18"/>
      <c r="N99" s="18" t="inlineStr">
        <is>
          <t>2026-W43</t>
        </is>
      </c>
      <c r="O99" s="18" t="inlineStr">
        <is>
          <t>a98524037f736c1c589800f3bd4b329ab00983f7</t>
        </is>
      </c>
      <c r="P99" s="18"/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PENDING_KICKOFF_OR_FINAL_SCORE</t>
        </is>
      </c>
      <c r="G100" s="18"/>
      <c r="H100" s="18"/>
      <c r="I100" s="21"/>
      <c r="J100" s="18"/>
      <c r="K100" s="18"/>
      <c r="L100" s="18"/>
      <c r="M100" s="18"/>
      <c r="N100" s="18" t="inlineStr">
        <is>
          <t>2026-W43</t>
        </is>
      </c>
      <c r="O100" s="18" t="inlineStr">
        <is>
          <t>376b9f9ba8a8b03ea259c57729113f873b0b980d</t>
        </is>
      </c>
      <c r="P100" s="18"/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PENDING_KICKOFF_OR_FINAL_SCORE</t>
        </is>
      </c>
      <c r="G101" s="18"/>
      <c r="H101" s="18"/>
      <c r="I101" s="21"/>
      <c r="J101" s="18"/>
      <c r="K101" s="18"/>
      <c r="L101" s="18"/>
      <c r="M101" s="18"/>
      <c r="N101" s="18" t="inlineStr">
        <is>
          <t>2026-W43</t>
        </is>
      </c>
      <c r="O101" s="18" t="inlineStr">
        <is>
          <t>a98524037f736c1c589800f3bd4b329ab00983f7</t>
        </is>
      </c>
      <c r="P101" s="18"/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PENDING_KICKOFF_OR_FINAL_SCORE</t>
        </is>
      </c>
      <c r="G102" s="18"/>
      <c r="H102" s="18"/>
      <c r="I102" s="21"/>
      <c r="J102" s="18"/>
      <c r="K102" s="18"/>
      <c r="L102" s="18"/>
      <c r="M102" s="18"/>
      <c r="N102" s="18" t="inlineStr">
        <is>
          <t>2026-W43</t>
        </is>
      </c>
      <c r="O102" s="18" t="inlineStr">
        <is>
          <t>a98524037f736c1c589800f3bd4b329ab00983f7</t>
        </is>
      </c>
      <c r="P102" s="18"/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PENDING_KICKOFF_OR_FINAL_SCORE</t>
        </is>
      </c>
      <c r="G103" s="18"/>
      <c r="H103" s="18"/>
      <c r="I103" s="21"/>
      <c r="J103" s="18"/>
      <c r="K103" s="18"/>
      <c r="L103" s="18"/>
      <c r="M103" s="18"/>
      <c r="N103" s="18" t="inlineStr">
        <is>
          <t>2026-W43</t>
        </is>
      </c>
      <c r="O103" s="18" t="inlineStr">
        <is>
          <t>a98524037f736c1c589800f3bd4b329ab00983f7</t>
        </is>
      </c>
      <c r="P103" s="18"/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PENDING_KICKOFF_OR_FINAL_SCORE</t>
        </is>
      </c>
      <c r="G104" s="18"/>
      <c r="H104" s="18"/>
      <c r="I104" s="21"/>
      <c r="J104" s="18"/>
      <c r="K104" s="18"/>
      <c r="L104" s="18"/>
      <c r="M104" s="18"/>
      <c r="N104" s="18" t="inlineStr">
        <is>
          <t>2026-W43</t>
        </is>
      </c>
      <c r="O104" s="18" t="inlineStr">
        <is>
          <t>a98524037f736c1c589800f3bd4b329ab00983f7</t>
        </is>
      </c>
      <c r="P104" s="18"/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PENDING_KICKOFF_OR_FINAL_SCORE</t>
        </is>
      </c>
      <c r="G105" s="18"/>
      <c r="H105" s="18"/>
      <c r="I105" s="21"/>
      <c r="J105" s="18"/>
      <c r="K105" s="18"/>
      <c r="L105" s="18"/>
      <c r="M105" s="18"/>
      <c r="N105" s="18" t="inlineStr">
        <is>
          <t>2026-W43</t>
        </is>
      </c>
      <c r="O105" s="18" t="inlineStr">
        <is>
          <t>a98524037f736c1c589800f3bd4b329ab00983f7</t>
        </is>
      </c>
      <c r="P105" s="18"/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PENDING_KICKOFF_OR_FINAL_SCORE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PENDING_KICKOFF_OR_FINAL_SCORE</t>
        </is>
      </c>
      <c r="G107" s="18"/>
      <c r="H107" s="18"/>
      <c r="I107" s="21"/>
      <c r="J107" s="18"/>
      <c r="K107" s="18"/>
      <c r="L107" s="18"/>
      <c r="M107" s="18"/>
      <c r="N107" s="18" t="inlineStr">
        <is>
          <t>2026-W43</t>
        </is>
      </c>
      <c r="O107" s="18" t="inlineStr">
        <is>
          <t>a98524037f736c1c589800f3bd4b329ab00983f7</t>
        </is>
      </c>
      <c r="P107" s="18"/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PENDING_KICKOFF_OR_FINAL_SCORE</t>
        </is>
      </c>
      <c r="G108" s="18"/>
      <c r="H108" s="18"/>
      <c r="I108" s="21"/>
      <c r="J108" s="18"/>
      <c r="K108" s="18"/>
      <c r="L108" s="18"/>
      <c r="M108" s="18"/>
      <c r="N108" s="18" t="inlineStr">
        <is>
          <t>2026-W43</t>
        </is>
      </c>
      <c r="O108" s="18" t="inlineStr">
        <is>
          <t>376b9f9ba8a8b03ea259c57729113f873b0b980d</t>
        </is>
      </c>
      <c r="P108" s="18"/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PENDING_KICKOFF_OR_FINAL_SCORE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PENDING_KICKOFF_OR_FINAL_SCORE</t>
        </is>
      </c>
      <c r="G110" s="18"/>
      <c r="H110" s="18"/>
      <c r="I110" s="21"/>
      <c r="J110" s="18"/>
      <c r="K110" s="18"/>
      <c r="L110" s="18"/>
      <c r="M110" s="18"/>
      <c r="N110" s="18" t="inlineStr">
        <is>
          <t>2026-W43</t>
        </is>
      </c>
      <c r="O110" s="18" t="inlineStr">
        <is>
          <t>a98524037f736c1c589800f3bd4b329ab00983f7</t>
        </is>
      </c>
      <c r="P110" s="18"/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PENDING_KICKOFF_OR_FINAL_SCORE</t>
        </is>
      </c>
      <c r="G111" s="18"/>
      <c r="H111" s="18"/>
      <c r="I111" s="21"/>
      <c r="J111" s="18"/>
      <c r="K111" s="18"/>
      <c r="L111" s="18"/>
      <c r="M111" s="18"/>
      <c r="N111" s="18" t="inlineStr">
        <is>
          <t>2026-W43</t>
        </is>
      </c>
      <c r="O111" s="18" t="inlineStr">
        <is>
          <t>a98524037f736c1c589800f3bd4b329ab00983f7</t>
        </is>
      </c>
      <c r="P111" s="18"/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PENDING_KICKOFF_OR_FINAL_SCORE</t>
        </is>
      </c>
      <c r="G112" s="18"/>
      <c r="H112" s="18"/>
      <c r="I112" s="21"/>
      <c r="J112" s="18"/>
      <c r="K112" s="18"/>
      <c r="L112" s="18"/>
      <c r="M112" s="18"/>
      <c r="N112" s="18" t="inlineStr">
        <is>
          <t>2026-W43</t>
        </is>
      </c>
      <c r="O112" s="18" t="inlineStr">
        <is>
          <t>a98524037f736c1c589800f3bd4b329ab00983f7</t>
        </is>
      </c>
      <c r="P112" s="18"/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PENDING_KICKOFF_OR_FINAL_SCORE</t>
        </is>
      </c>
      <c r="G113" s="18"/>
      <c r="H113" s="18"/>
      <c r="I113" s="21"/>
      <c r="J113" s="18"/>
      <c r="K113" s="18"/>
      <c r="L113" s="18"/>
      <c r="M113" s="18"/>
      <c r="N113" s="18" t="inlineStr">
        <is>
          <t>2026-W43</t>
        </is>
      </c>
      <c r="O113" s="18" t="inlineStr">
        <is>
          <t>376b9f9ba8a8b03ea259c57729113f873b0b980d</t>
        </is>
      </c>
      <c r="P113" s="18"/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PENDING_KICKOFF_OR_FINAL_SCORE</t>
        </is>
      </c>
      <c r="G114" s="18"/>
      <c r="H114" s="18"/>
      <c r="I114" s="21"/>
      <c r="J114" s="18"/>
      <c r="K114" s="18"/>
      <c r="L114" s="18"/>
      <c r="M114" s="18"/>
      <c r="N114" s="18" t="inlineStr">
        <is>
          <t>2026-W43</t>
        </is>
      </c>
      <c r="O114" s="18" t="inlineStr">
        <is>
          <t>a98524037f736c1c589800f3bd4b329ab00983f7</t>
        </is>
      </c>
      <c r="P114" s="18"/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PENDING_KICKOFF_OR_FINAL_SCORE</t>
        </is>
      </c>
      <c r="G115" s="18"/>
      <c r="H115" s="18"/>
      <c r="I115" s="21"/>
      <c r="J115" s="18"/>
      <c r="K115" s="18"/>
      <c r="L115" s="18"/>
      <c r="M115" s="18"/>
      <c r="N115" s="18" t="inlineStr">
        <is>
          <t>2026-W43</t>
        </is>
      </c>
      <c r="O115" s="18" t="inlineStr">
        <is>
          <t>376b9f9ba8a8b03ea259c57729113f873b0b980d</t>
        </is>
      </c>
      <c r="P115" s="18"/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PENDING_KICKOFF_OR_FINAL_SCORE</t>
        </is>
      </c>
      <c r="G116" s="18"/>
      <c r="H116" s="18"/>
      <c r="I116" s="21"/>
      <c r="J116" s="18"/>
      <c r="K116" s="18"/>
      <c r="L116" s="18"/>
      <c r="M116" s="18"/>
      <c r="N116" s="18" t="inlineStr">
        <is>
          <t>2026-W43</t>
        </is>
      </c>
      <c r="O116" s="18" t="inlineStr">
        <is>
          <t>a98524037f736c1c589800f3bd4b329ab00983f7</t>
        </is>
      </c>
      <c r="P116" s="18"/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PENDING_KICKOFF_OR_FINAL_SCORE</t>
        </is>
      </c>
      <c r="G117" s="18"/>
      <c r="H117" s="18"/>
      <c r="I117" s="21"/>
      <c r="J117" s="18"/>
      <c r="K117" s="18"/>
      <c r="L117" s="18"/>
      <c r="M117" s="18"/>
      <c r="N117" s="18" t="inlineStr">
        <is>
          <t>2026-W43</t>
        </is>
      </c>
      <c r="O117" s="18" t="inlineStr">
        <is>
          <t>376b9f9ba8a8b03ea259c57729113f873b0b980d</t>
        </is>
      </c>
      <c r="P117" s="18"/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PENDING_KICKOFF_OR_FINAL_SCORE</t>
        </is>
      </c>
      <c r="G118" s="18"/>
      <c r="H118" s="18"/>
      <c r="I118" s="21"/>
      <c r="J118" s="18"/>
      <c r="K118" s="18"/>
      <c r="L118" s="18"/>
      <c r="M118" s="18"/>
      <c r="N118" s="18" t="inlineStr">
        <is>
          <t>2026-W43</t>
        </is>
      </c>
      <c r="O118" s="18" t="inlineStr">
        <is>
          <t>a98524037f736c1c589800f3bd4b329ab00983f7</t>
        </is>
      </c>
      <c r="P118" s="18"/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PENDING_KICKOFF_OR_FINAL_SCORE</t>
        </is>
      </c>
      <c r="G119" s="18"/>
      <c r="H119" s="18"/>
      <c r="I119" s="21"/>
      <c r="J119" s="18"/>
      <c r="K119" s="18"/>
      <c r="L119" s="18"/>
      <c r="M119" s="18"/>
      <c r="N119" s="18" t="inlineStr">
        <is>
          <t>2026-W43</t>
        </is>
      </c>
      <c r="O119" s="18" t="inlineStr">
        <is>
          <t>a98524037f736c1c589800f3bd4b329ab00983f7</t>
        </is>
      </c>
      <c r="P119" s="18"/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PENDING_KICKOFF_OR_FINAL_SCORE</t>
        </is>
      </c>
      <c r="G120" s="18"/>
      <c r="H120" s="18"/>
      <c r="I120" s="21"/>
      <c r="J120" s="18"/>
      <c r="K120" s="18"/>
      <c r="L120" s="18"/>
      <c r="M120" s="18"/>
      <c r="N120" s="18" t="inlineStr">
        <is>
          <t>2026-W43</t>
        </is>
      </c>
      <c r="O120" s="18" t="inlineStr">
        <is>
          <t>376b9f9ba8a8b03ea259c57729113f873b0b980d</t>
        </is>
      </c>
      <c r="P120" s="18"/>
      <c r="Q120" s="18"/>
      <c r="R120" s="18"/>
    </row>
    <row r="121" ht="36" customHeight="1">
      <c r="A121" s="18" t="inlineStr">
        <is>
          <t>Bundesliga|vfb stuttgart|m gladbach|2026-10-23</t>
        </is>
      </c>
      <c r="B121" s="23">
        <v>46318.770833333336</v>
      </c>
      <c r="C121" s="18" t="inlineStr">
        <is>
          <t>Bundesliga</t>
        </is>
      </c>
      <c r="D121" s="18" t="inlineStr">
        <is>
          <t>VfB Stuttgart vs Borussia Monchengladbach</t>
        </is>
      </c>
      <c r="E121" s="18" t="inlineStr">
        <is>
          <t>72h-all-markets-net-ev15-execution-v7</t>
        </is>
      </c>
      <c r="F121" s="18" t="inlineStr">
        <is>
          <t>PENDING_KICKOFF_OR_FINAL_SCORE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d3f12df5a2a20809c3ac84f9a31766ba965813e3</t>
        </is>
      </c>
      <c r="P121" s="18"/>
      <c r="Q121" s="18"/>
      <c r="R121" s="18"/>
    </row>
    <row r="122" ht="36" customHeight="1">
      <c r="A122" s="18" t="inlineStr">
        <is>
          <t>Ligue 1|brest|nice|2026-10-23</t>
        </is>
      </c>
      <c r="B122" s="23">
        <v>46318.78125</v>
      </c>
      <c r="C122" s="18" t="inlineStr">
        <is>
          <t>Ligue 1</t>
        </is>
      </c>
      <c r="D122" s="18" t="inlineStr">
        <is>
          <t>Brest vs Nice</t>
        </is>
      </c>
      <c r="E122" s="18" t="inlineStr">
        <is>
          <t>72h-all-markets-net-ev15-execution-v7</t>
        </is>
      </c>
      <c r="F122" s="18" t="inlineStr">
        <is>
          <t>PENDING_KICKOFF_OR_FINAL_SCORE</t>
        </is>
      </c>
      <c r="G122" s="18"/>
      <c r="H122" s="18"/>
      <c r="I122" s="21"/>
      <c r="J122" s="18"/>
      <c r="K122" s="18"/>
      <c r="L122" s="18"/>
      <c r="M122" s="18"/>
      <c r="N122" s="18" t="inlineStr">
        <is>
          <t>2026-W43</t>
        </is>
      </c>
      <c r="O122" s="18" t="inlineStr">
        <is>
          <t>d3f12df5a2a20809c3ac84f9a31766ba965813e3</t>
        </is>
      </c>
      <c r="P122" s="18"/>
      <c r="Q122" s="18"/>
      <c r="R122" s="18"/>
    </row>
    <row r="123" ht="36" customHeight="1">
      <c r="A123" s="18" t="inlineStr">
        <is>
          <t>Serie A|torino|monza|2026-10-23</t>
        </is>
      </c>
      <c r="B123" s="23">
        <v>46318.78125</v>
      </c>
      <c r="C123" s="18" t="inlineStr">
        <is>
          <t>Serie A</t>
        </is>
      </c>
      <c r="D123" s="18" t="inlineStr">
        <is>
          <t>Torino vs Monza</t>
        </is>
      </c>
      <c r="E123" s="18" t="inlineStr">
        <is>
          <t>72h-all-markets-net-ev15-execution-v7</t>
        </is>
      </c>
      <c r="F123" s="18" t="inlineStr">
        <is>
          <t>PENDING_KICKOFF_OR_FINAL_SCORE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d3f12df5a2a20809c3ac84f9a31766ba965813e3</t>
        </is>
      </c>
      <c r="P123" s="18"/>
      <c r="Q123" s="18"/>
      <c r="R123" s="18"/>
    </row>
    <row r="124" ht="36" customHeight="1">
      <c r="A124" s="18" t="inlineStr">
        <is>
          <t>La Liga|alaves|malaga|2026-10-23</t>
        </is>
      </c>
      <c r="B124" s="23">
        <v>46318.791666666664</v>
      </c>
      <c r="C124" s="18" t="inlineStr">
        <is>
          <t>La Liga</t>
        </is>
      </c>
      <c r="D124" s="18" t="inlineStr">
        <is>
          <t>Alavés vs Málaga</t>
        </is>
      </c>
      <c r="E124" s="18" t="inlineStr">
        <is>
          <t>72h-all-markets-net-ev15-execution-v7</t>
        </is>
      </c>
      <c r="F124" s="18" t="inlineStr">
        <is>
          <t>PENDING_KICKOFF_OR_FINAL_SCORE</t>
        </is>
      </c>
      <c r="G124" s="18"/>
      <c r="H124" s="18"/>
      <c r="I124" s="21"/>
      <c r="J124" s="18"/>
      <c r="K124" s="18"/>
      <c r="L124" s="18"/>
      <c r="M124" s="18"/>
      <c r="N124" s="18" t="inlineStr">
        <is>
          <t>2026-W43</t>
        </is>
      </c>
      <c r="O124" s="18" t="inlineStr">
        <is>
          <t>d3f12df5a2a20809c3ac84f9a31766ba965813e3</t>
        </is>
      </c>
      <c r="P124" s="18"/>
      <c r="Q124" s="18"/>
      <c r="R124" s="18"/>
    </row>
    <row r="125" ht="36" customHeight="1">
      <c r="A125" s="18" t="inlineStr">
        <is>
          <t>Premier League|ipswich town|nott m forest|2026-10-23</t>
        </is>
      </c>
      <c r="B125" s="23">
        <v>46318.791666666664</v>
      </c>
      <c r="C125" s="18" t="inlineStr">
        <is>
          <t>Premier League</t>
        </is>
      </c>
      <c r="D125" s="18" t="inlineStr">
        <is>
          <t>Ipswich Town vs Nottingham Forest</t>
        </is>
      </c>
      <c r="E125" s="18" t="inlineStr">
        <is>
          <t>72h-all-markets-net-ev15-execution-v7</t>
        </is>
      </c>
      <c r="F125" s="18" t="inlineStr">
        <is>
          <t>PENDING_KICKOFF_OR_FINAL_SCORE</t>
        </is>
      </c>
      <c r="G125" s="18"/>
      <c r="H125" s="18"/>
      <c r="I125" s="21"/>
      <c r="J125" s="18"/>
      <c r="K125" s="18"/>
      <c r="L125" s="18"/>
      <c r="M125" s="18"/>
      <c r="N125" s="18" t="inlineStr">
        <is>
          <t>2026-W43</t>
        </is>
      </c>
      <c r="O125" s="18" t="inlineStr">
        <is>
          <t>d3f12df5a2a20809c3ac84f9a31766ba965813e3</t>
        </is>
      </c>
      <c r="P125" s="18"/>
      <c r="Q125" s="18"/>
      <c r="R125" s="18"/>
    </row>
    <row r="126" ht="36" customHeight="1">
      <c r="A126" s="18" t="inlineStr">
        <is>
          <t>Premier League|aston villa|man city|2026-10-24</t>
        </is>
      </c>
      <c r="B126" s="23">
        <v>46319.479166666664</v>
      </c>
      <c r="C126" s="18" t="inlineStr">
        <is>
          <t>Premier League</t>
        </is>
      </c>
      <c r="D126" s="18" t="inlineStr">
        <is>
          <t>Aston Villa vs Manchester City</t>
        </is>
      </c>
      <c r="E126" s="18" t="inlineStr">
        <is>
          <t>72h-all-markets-net-ev15-execution-v7</t>
        </is>
      </c>
      <c r="F126" s="18" t="inlineStr">
        <is>
          <t>PENDING_KICKOFF_OR_FINAL_SCORE</t>
        </is>
      </c>
      <c r="G126" s="18"/>
      <c r="H126" s="18"/>
      <c r="I126" s="21"/>
      <c r="J126" s="18"/>
      <c r="K126" s="18"/>
      <c r="L126" s="18"/>
      <c r="M126" s="18"/>
      <c r="N126" s="18" t="inlineStr">
        <is>
          <t>2026-W43</t>
        </is>
      </c>
      <c r="O126" s="18" t="inlineStr">
        <is>
          <t>54bb8a2c2c957dda77ef247b3e042f6a945bda8f</t>
        </is>
      </c>
      <c r="P126" s="18"/>
      <c r="Q126" s="18"/>
      <c r="R126" s="18"/>
    </row>
    <row r="127" ht="36" customHeight="1">
      <c r="A127" s="18" t="inlineStr">
        <is>
          <t>La Liga|rayo vallecano|elche|2026-10-24</t>
        </is>
      </c>
      <c r="B127" s="23">
        <v>46319.5</v>
      </c>
      <c r="C127" s="18" t="inlineStr">
        <is>
          <t>La Liga</t>
        </is>
      </c>
      <c r="D127" s="18" t="inlineStr">
        <is>
          <t>Rayo Vallecano vs Elche CF</t>
        </is>
      </c>
      <c r="E127" s="18" t="inlineStr">
        <is>
          <t>72h-all-markets-net-ev15-execution-v7</t>
        </is>
      </c>
      <c r="F127" s="18" t="inlineStr">
        <is>
          <t>PENDING_KICKOFF_OR_FINAL_SCORE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54bb8a2c2c957dda77ef247b3e042f6a945bda8f</t>
        </is>
      </c>
      <c r="P127" s="18"/>
      <c r="Q127" s="18"/>
      <c r="R127" s="18"/>
    </row>
    <row r="128" ht="36" customHeight="1">
      <c r="A128" s="18" t="inlineStr">
        <is>
          <t>Serie A|cagliari|bologna|2026-10-24</t>
        </is>
      </c>
      <c r="B128" s="23">
        <v>46319.541666666664</v>
      </c>
      <c r="C128" s="18" t="inlineStr">
        <is>
          <t>Serie A</t>
        </is>
      </c>
      <c r="D128" s="18" t="inlineStr">
        <is>
          <t>Cagliari vs Bologna</t>
        </is>
      </c>
      <c r="E128" s="18" t="inlineStr">
        <is>
          <t>72h-all-markets-net-ev15-execution-v7</t>
        </is>
      </c>
      <c r="F128" s="18" t="inlineStr">
        <is>
          <t>PENDING_KICKOFF_OR_FINAL_SCORE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54bb8a2c2c957dda77ef247b3e042f6a945bda8f</t>
        </is>
      </c>
      <c r="P128" s="18"/>
      <c r="Q128" s="18"/>
      <c r="R128" s="18"/>
    </row>
    <row r="129" ht="36" customHeight="1">
      <c r="A129" s="18" t="inlineStr">
        <is>
          <t>Serie A|como|sassuolo|2026-10-24</t>
        </is>
      </c>
      <c r="B129" s="23">
        <v>46319.541666666664</v>
      </c>
      <c r="C129" s="18" t="inlineStr">
        <is>
          <t>Serie A</t>
        </is>
      </c>
      <c r="D129" s="18" t="inlineStr">
        <is>
          <t>Como vs Sassuolo</t>
        </is>
      </c>
      <c r="E129" s="18" t="inlineStr">
        <is>
          <t>72h-all-markets-net-ev15-execution-v7</t>
        </is>
      </c>
      <c r="F129" s="18" t="inlineStr">
        <is>
          <t>PENDING_KICKOFF_OR_FINAL_SCORE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54bb8a2c2c957dda77ef247b3e042f6a945bda8f</t>
        </is>
      </c>
      <c r="P129" s="18"/>
      <c r="Q129" s="18"/>
      <c r="R129" s="18"/>
    </row>
    <row r="130" ht="36" customHeight="1">
      <c r="A130" s="18" t="inlineStr">
        <is>
          <t>Bundesliga|1 koln|schalke|2026-10-24</t>
        </is>
      </c>
      <c r="B130" s="23">
        <v>46319.5625</v>
      </c>
      <c r="C130" s="18" t="inlineStr">
        <is>
          <t>Bundesliga</t>
        </is>
      </c>
      <c r="D130" s="18" t="inlineStr">
        <is>
          <t>1. FC Köln vs FC Schalke 04</t>
        </is>
      </c>
      <c r="E130" s="18" t="inlineStr">
        <is>
          <t>72h-all-markets-net-ev15-execution-v7</t>
        </is>
      </c>
      <c r="F130" s="18" t="inlineStr">
        <is>
          <t>PENDING_KICKOFF_OR_FINAL_SCORE</t>
        </is>
      </c>
      <c r="G130" s="18"/>
      <c r="H130" s="18"/>
      <c r="I130" s="21"/>
      <c r="J130" s="18"/>
      <c r="K130" s="18"/>
      <c r="L130" s="18"/>
      <c r="M130" s="18"/>
      <c r="N130" s="18" t="inlineStr">
        <is>
          <t>2026-W43</t>
        </is>
      </c>
      <c r="O130" s="18" t="inlineStr">
        <is>
          <t>54bb8a2c2c957dda77ef247b3e042f6a945bda8f</t>
        </is>
      </c>
      <c r="P130" s="18"/>
      <c r="Q130" s="18"/>
      <c r="R130" s="18"/>
    </row>
    <row r="131" ht="36" customHeight="1">
      <c r="A131" s="18" t="inlineStr">
        <is>
          <t>Bundesliga|augsburg|union berlin|2026-10-24</t>
        </is>
      </c>
      <c r="B131" s="23">
        <v>46319.5625</v>
      </c>
      <c r="C131" s="18" t="inlineStr">
        <is>
          <t>Bundesliga</t>
        </is>
      </c>
      <c r="D131" s="18" t="inlineStr">
        <is>
          <t>Augsburg vs Union Berlin</t>
        </is>
      </c>
      <c r="E131" s="18" t="inlineStr">
        <is>
          <t>72h-all-markets-net-ev15-execution-v7</t>
        </is>
      </c>
      <c r="F131" s="18" t="inlineStr">
        <is>
          <t>PENDING_KICKOFF_OR_FINAL_SCORE</t>
        </is>
      </c>
      <c r="G131" s="18"/>
      <c r="H131" s="18"/>
      <c r="I131" s="21"/>
      <c r="J131" s="18"/>
      <c r="K131" s="18"/>
      <c r="L131" s="18"/>
      <c r="M131" s="18"/>
      <c r="N131" s="18" t="inlineStr">
        <is>
          <t>2026-W43</t>
        </is>
      </c>
      <c r="O131" s="18" t="inlineStr">
        <is>
          <t>54bb8a2c2c957dda77ef247b3e042f6a945bda8f</t>
        </is>
      </c>
      <c r="P131" s="18"/>
      <c r="Q131" s="18"/>
      <c r="R131" s="18"/>
    </row>
    <row r="132" ht="36" customHeight="1">
      <c r="A132" s="18" t="inlineStr">
        <is>
          <t>Bundesliga|fsv mainz|werder bremen|2026-10-24</t>
        </is>
      </c>
      <c r="B132" s="23">
        <v>46319.5625</v>
      </c>
      <c r="C132" s="18" t="inlineStr">
        <is>
          <t>Bundesliga</t>
        </is>
      </c>
      <c r="D132" s="18" t="inlineStr">
        <is>
          <t>FSV Mainz 05 vs Werder Bremen</t>
        </is>
      </c>
      <c r="E132" s="18" t="inlineStr">
        <is>
          <t>72h-all-markets-net-ev15-execution-v7</t>
        </is>
      </c>
      <c r="F132" s="18" t="inlineStr">
        <is>
          <t>PENDING_KICKOFF_OR_FINAL_SCORE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54bb8a2c2c957dda77ef247b3e042f6a945bda8f</t>
        </is>
      </c>
      <c r="P132" s="18"/>
      <c r="Q132" s="18"/>
      <c r="R132" s="18"/>
    </row>
    <row r="133" ht="36" customHeight="1">
      <c r="A133" s="18" t="inlineStr">
        <is>
          <t>Bundesliga|paderborn|hamburger|2026-10-24</t>
        </is>
      </c>
      <c r="B133" s="23">
        <v>46319.5625</v>
      </c>
      <c r="C133" s="18" t="inlineStr">
        <is>
          <t>Bundesliga</t>
        </is>
      </c>
      <c r="D133" s="18" t="inlineStr">
        <is>
          <t>SC Paderborn vs Hamburger SV</t>
        </is>
      </c>
      <c r="E133" s="18" t="inlineStr">
        <is>
          <t>72h-all-markets-net-ev15-execution-v7</t>
        </is>
      </c>
      <c r="F133" s="18" t="inlineStr">
        <is>
          <t>PENDING_KICKOFF_OR_FINAL_SCORE</t>
        </is>
      </c>
      <c r="G133" s="18"/>
      <c r="H133" s="18"/>
      <c r="I133" s="21"/>
      <c r="J133" s="18"/>
      <c r="K133" s="18"/>
      <c r="L133" s="18"/>
      <c r="M133" s="18"/>
      <c r="N133" s="18" t="inlineStr">
        <is>
          <t>2026-W43</t>
        </is>
      </c>
      <c r="O133" s="18" t="inlineStr">
        <is>
          <t>54bb8a2c2c957dda77ef247b3e042f6a945bda8f</t>
        </is>
      </c>
      <c r="P133" s="18"/>
      <c r="Q133" s="18"/>
      <c r="R133" s="18"/>
    </row>
    <row r="134" ht="36" customHeight="1">
      <c r="A134" s="18" t="inlineStr">
        <is>
          <t>Bundesliga|rb leipzig|elversberg|2026-10-24</t>
        </is>
      </c>
      <c r="B134" s="23">
        <v>46319.5625</v>
      </c>
      <c r="C134" s="18" t="inlineStr">
        <is>
          <t>Bundesliga</t>
        </is>
      </c>
      <c r="D134" s="18" t="inlineStr">
        <is>
          <t>RB Leipzig vs Elversberg</t>
        </is>
      </c>
      <c r="E134" s="18" t="inlineStr">
        <is>
          <t>72h-all-markets-net-ev15-execution-v7</t>
        </is>
      </c>
      <c r="F134" s="18" t="inlineStr">
        <is>
          <t>PENDING_KICKOFF_OR_FINAL_SCORE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54bb8a2c2c957dda77ef247b3e042f6a945bda8f</t>
        </is>
      </c>
      <c r="P134" s="18"/>
      <c r="Q134" s="18"/>
      <c r="R134" s="18"/>
    </row>
    <row r="135" ht="36" customHeight="1">
      <c r="A135" s="18" t="inlineStr">
        <is>
          <t>Premier League|arsenal|everton|2026-10-24</t>
        </is>
      </c>
      <c r="B135" s="23">
        <v>46319.583333333336</v>
      </c>
      <c r="C135" s="18" t="inlineStr">
        <is>
          <t>Premier League</t>
        </is>
      </c>
      <c r="D135" s="18" t="inlineStr">
        <is>
          <t>Arsenal vs Everton</t>
        </is>
      </c>
      <c r="E135" s="18" t="inlineStr">
        <is>
          <t>72h-all-markets-net-ev15-execution-v7</t>
        </is>
      </c>
      <c r="F135" s="18" t="inlineStr">
        <is>
          <t>PENDING_KICKOFF_OR_FINAL_SCORE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54bb8a2c2c957dda77ef247b3e042f6a945bda8f</t>
        </is>
      </c>
      <c r="P135" s="18"/>
      <c r="Q135" s="18"/>
      <c r="R135" s="18"/>
    </row>
    <row r="136" ht="36" customHeight="1">
      <c r="A136" s="18" t="inlineStr">
        <is>
          <t>Premier League|coventry city|fulham|2026-10-24</t>
        </is>
      </c>
      <c r="B136" s="23">
        <v>46319.583333333336</v>
      </c>
      <c r="C136" s="18" t="inlineStr">
        <is>
          <t>Premier League</t>
        </is>
      </c>
      <c r="D136" s="18" t="inlineStr">
        <is>
          <t>Coventry City vs Fulham</t>
        </is>
      </c>
      <c r="E136" s="18" t="inlineStr">
        <is>
          <t>72h-all-markets-net-ev15-execution-v7</t>
        </is>
      </c>
      <c r="F136" s="18" t="inlineStr">
        <is>
          <t>PENDING_KICKOFF_OR_FINAL_SCORE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54bb8a2c2c957dda77ef247b3e042f6a945bda8f</t>
        </is>
      </c>
      <c r="P136" s="18"/>
      <c r="Q136" s="18"/>
      <c r="R136" s="18"/>
    </row>
    <row r="137" ht="36" customHeight="1">
      <c r="A137" s="18" t="inlineStr">
        <is>
          <t>La Liga|real racing santander|espanyol|2026-10-24</t>
        </is>
      </c>
      <c r="B137" s="23">
        <v>46319.59375</v>
      </c>
      <c r="C137" s="18" t="inlineStr">
        <is>
          <t>La Liga</t>
        </is>
      </c>
      <c r="D137" s="18" t="inlineStr">
        <is>
          <t>Real Racing Club de Santander vs Espanyol</t>
        </is>
      </c>
      <c r="E137" s="18" t="inlineStr">
        <is>
          <t>72h-all-markets-net-ev15-execution-v7</t>
        </is>
      </c>
      <c r="F137" s="18" t="inlineStr">
        <is>
          <t>PENDING_KICKOFF_OR_FINAL_SCORE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54bb8a2c2c957dda77ef247b3e042f6a945bda8f</t>
        </is>
      </c>
      <c r="P137" s="18"/>
      <c r="Q137" s="18"/>
      <c r="R137" s="18"/>
    </row>
    <row r="138" ht="36" customHeight="1">
      <c r="A138" s="18" t="inlineStr">
        <is>
          <t>Ligue 1|toulouse|troyes|2026-10-24</t>
        </is>
      </c>
      <c r="B138" s="23">
        <v>46319.635416666664</v>
      </c>
      <c r="C138" s="18" t="inlineStr">
        <is>
          <t>Ligue 1</t>
        </is>
      </c>
      <c r="D138" s="18" t="inlineStr">
        <is>
          <t>Toulouse vs Troyes</t>
        </is>
      </c>
      <c r="E138" s="18" t="inlineStr">
        <is>
          <t>72h-all-markets-net-ev15-execution-v7</t>
        </is>
      </c>
      <c r="F138" s="18" t="inlineStr">
        <is>
          <t>PENDING_KICKOFF_OR_FINAL_SCORE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54bb8a2c2c957dda77ef247b3e042f6a945bda8f</t>
        </is>
      </c>
      <c r="P138" s="18"/>
      <c r="Q138" s="18"/>
      <c r="R138" s="18"/>
    </row>
    <row r="139" ht="36" customHeight="1">
      <c r="A139" s="18" t="inlineStr">
        <is>
          <t>Serie A|napoli|as roma|2026-10-24</t>
        </is>
      </c>
      <c r="B139" s="23">
        <v>46319.666666666664</v>
      </c>
      <c r="C139" s="18" t="inlineStr">
        <is>
          <t>Serie A</t>
        </is>
      </c>
      <c r="D139" s="18" t="inlineStr">
        <is>
          <t>Napoli vs AS Roma</t>
        </is>
      </c>
      <c r="E139" s="18" t="inlineStr">
        <is>
          <t>72h-all-markets-net-ev15-execution-v7</t>
        </is>
      </c>
      <c r="F139" s="18" t="inlineStr">
        <is>
          <t>PENDING_KICKOFF_OR_FINAL_SCORE</t>
        </is>
      </c>
      <c r="G139" s="18"/>
      <c r="H139" s="18"/>
      <c r="I139" s="21"/>
      <c r="J139" s="18"/>
      <c r="K139" s="18"/>
      <c r="L139" s="18"/>
      <c r="M139" s="18"/>
      <c r="N139" s="18" t="inlineStr">
        <is>
          <t>2026-W43</t>
        </is>
      </c>
      <c r="O139" s="18" t="inlineStr">
        <is>
          <t>54bb8a2c2c957dda77ef247b3e042f6a945bda8f</t>
        </is>
      </c>
      <c r="P139" s="18"/>
      <c r="Q139" s="18"/>
      <c r="R139" s="18"/>
    </row>
    <row r="140" ht="36" customHeight="1">
      <c r="A140" s="18" t="inlineStr">
        <is>
          <t>Bundesliga|borussia dortmund|eintracht frankfurt|2026-10-24</t>
        </is>
      </c>
      <c r="B140" s="23">
        <v>46319.6875</v>
      </c>
      <c r="C140" s="18" t="inlineStr">
        <is>
          <t>Bundesliga</t>
        </is>
      </c>
      <c r="D140" s="18" t="inlineStr">
        <is>
          <t>Borussia Dortmund vs Eintracht Frankfurt</t>
        </is>
      </c>
      <c r="E140" s="18" t="inlineStr">
        <is>
          <t>72h-all-markets-net-ev15-execution-v7</t>
        </is>
      </c>
      <c r="F140" s="18" t="inlineStr">
        <is>
          <t>PENDING_KICKOFF_OR_FINAL_SCORE</t>
        </is>
      </c>
      <c r="G140" s="18"/>
      <c r="H140" s="18"/>
      <c r="I140" s="21"/>
      <c r="J140" s="18"/>
      <c r="K140" s="18"/>
      <c r="L140" s="18"/>
      <c r="M140" s="18"/>
      <c r="N140" s="18" t="inlineStr">
        <is>
          <t>2026-W43</t>
        </is>
      </c>
      <c r="O140" s="18" t="inlineStr">
        <is>
          <t>54bb8a2c2c957dda77ef247b3e042f6a945bda8f</t>
        </is>
      </c>
      <c r="P140" s="18"/>
      <c r="Q140" s="18"/>
      <c r="R140" s="18"/>
    </row>
    <row r="141" ht="36" customHeight="1">
      <c r="A141" s="18" t="inlineStr">
        <is>
          <t>La Liga|valencia|villarreal|2026-10-24</t>
        </is>
      </c>
      <c r="B141" s="23">
        <v>46319.6875</v>
      </c>
      <c r="C141" s="18" t="inlineStr">
        <is>
          <t>La Liga</t>
        </is>
      </c>
      <c r="D141" s="18" t="inlineStr">
        <is>
          <t>Valencia vs Villarreal</t>
        </is>
      </c>
      <c r="E141" s="18" t="inlineStr">
        <is>
          <t>72h-all-markets-net-ev15-execution-v7</t>
        </is>
      </c>
      <c r="F141" s="18" t="inlineStr">
        <is>
          <t>PENDING_KICKOFF_OR_FINAL_SCORE</t>
        </is>
      </c>
      <c r="G141" s="18"/>
      <c r="H141" s="18"/>
      <c r="I141" s="21"/>
      <c r="J141" s="18"/>
      <c r="K141" s="18"/>
      <c r="L141" s="18"/>
      <c r="M141" s="18"/>
      <c r="N141" s="18" t="inlineStr">
        <is>
          <t>2026-W43</t>
        </is>
      </c>
      <c r="O141" s="18" t="inlineStr">
        <is>
          <t>54bb8a2c2c957dda77ef247b3e042f6a945bda8f</t>
        </is>
      </c>
      <c r="P141" s="18"/>
      <c r="Q141" s="18"/>
      <c r="R141" s="18"/>
    </row>
    <row r="142" ht="36" customHeight="1">
      <c r="A142" s="18" t="inlineStr">
        <is>
          <t>Premier League|chelsea|tottenham|2026-10-24</t>
        </is>
      </c>
      <c r="B142" s="23">
        <v>46319.6875</v>
      </c>
      <c r="C142" s="18" t="inlineStr">
        <is>
          <t>Premier League</t>
        </is>
      </c>
      <c r="D142" s="18" t="inlineStr">
        <is>
          <t>Chelsea vs Tottenham Hotspur</t>
        </is>
      </c>
      <c r="E142" s="18" t="inlineStr">
        <is>
          <t>72h-all-markets-net-ev15-execution-v7</t>
        </is>
      </c>
      <c r="F142" s="18" t="inlineStr">
        <is>
          <t>PENDING_KICKOFF_OR_FINAL_SCORE</t>
        </is>
      </c>
      <c r="G142" s="18"/>
      <c r="H142" s="18"/>
      <c r="I142" s="21"/>
      <c r="J142" s="18"/>
      <c r="K142" s="18"/>
      <c r="L142" s="18"/>
      <c r="M142" s="18"/>
      <c r="N142" s="18" t="inlineStr">
        <is>
          <t>2026-W43</t>
        </is>
      </c>
      <c r="O142" s="18" t="inlineStr">
        <is>
          <t>54bb8a2c2c957dda77ef247b3e042f6a945bda8f</t>
        </is>
      </c>
      <c r="P142" s="18"/>
      <c r="Q142" s="18"/>
      <c r="R142" s="18"/>
    </row>
    <row r="143" ht="36" customHeight="1">
      <c r="A143" s="18" t="inlineStr">
        <is>
          <t>Ligue 1|rc lens|paris|2026-10-24</t>
        </is>
      </c>
      <c r="B143" s="23">
        <v>46319.78125</v>
      </c>
      <c r="C143" s="18" t="inlineStr">
        <is>
          <t>Ligue 1</t>
        </is>
      </c>
      <c r="D143" s="18" t="inlineStr">
        <is>
          <t>RC Lens vs Paris FC</t>
        </is>
      </c>
      <c r="E143" s="18" t="inlineStr">
        <is>
          <t>72h-all-markets-net-ev15-execution-v7</t>
        </is>
      </c>
      <c r="F143" s="18" t="inlineStr">
        <is>
          <t>PENDING_KICKOFF_OR_FINAL_SCORE</t>
        </is>
      </c>
      <c r="G143" s="18"/>
      <c r="H143" s="18"/>
      <c r="I143" s="21"/>
      <c r="J143" s="18"/>
      <c r="K143" s="18"/>
      <c r="L143" s="18"/>
      <c r="M143" s="18"/>
      <c r="N143" s="18" t="inlineStr">
        <is>
          <t>2026-W43</t>
        </is>
      </c>
      <c r="O143" s="18" t="inlineStr">
        <is>
          <t>a98524037f736c1c589800f3bd4b329ab00983f7</t>
        </is>
      </c>
      <c r="P143" s="18"/>
      <c r="Q143" s="18"/>
      <c r="R143" s="18"/>
    </row>
    <row r="144" ht="36" customHeight="1">
      <c r="A144" s="18" t="inlineStr">
        <is>
          <t>Serie A|lazio|parma|2026-10-24</t>
        </is>
      </c>
      <c r="B144" s="23">
        <v>46319.78125</v>
      </c>
      <c r="C144" s="18" t="inlineStr">
        <is>
          <t>Serie A</t>
        </is>
      </c>
      <c r="D144" s="18" t="inlineStr">
        <is>
          <t>Lazio vs Parma</t>
        </is>
      </c>
      <c r="E144" s="18" t="inlineStr">
        <is>
          <t>72h-all-markets-net-ev15-execution-v7</t>
        </is>
      </c>
      <c r="F144" s="18" t="inlineStr">
        <is>
          <t>PENDING_KICKOFF_OR_FINAL_SCORE</t>
        </is>
      </c>
      <c r="G144" s="18"/>
      <c r="H144" s="18"/>
      <c r="I144" s="21"/>
      <c r="J144" s="18"/>
      <c r="K144" s="18"/>
      <c r="L144" s="18"/>
      <c r="M144" s="18"/>
      <c r="N144" s="18" t="inlineStr">
        <is>
          <t>2026-W43</t>
        </is>
      </c>
      <c r="O144" s="18" t="inlineStr">
        <is>
          <t>a98524037f736c1c589800f3bd4b329ab00983f7</t>
        </is>
      </c>
      <c r="P144" s="18"/>
      <c r="Q144" s="18"/>
      <c r="R144" s="18"/>
    </row>
    <row r="145" ht="36" customHeight="1">
      <c r="A145" s="18" t="inlineStr">
        <is>
          <t>La Liga|ath madrid|deportivo la coruna|2026-10-24</t>
        </is>
      </c>
      <c r="B145" s="23">
        <v>46319.791666666664</v>
      </c>
      <c r="C145" s="18" t="inlineStr">
        <is>
          <t>La Liga</t>
        </is>
      </c>
      <c r="D145" s="18" t="inlineStr">
        <is>
          <t>Atlético Madrid vs Deportivo La Coruña</t>
        </is>
      </c>
      <c r="E145" s="18" t="inlineStr">
        <is>
          <t>72h-all-markets-net-ev15-execution-v7</t>
        </is>
      </c>
      <c r="F145" s="18" t="inlineStr">
        <is>
          <t>PENDING_KICKOFF_OR_FINAL_SCORE</t>
        </is>
      </c>
      <c r="G145" s="18"/>
      <c r="H145" s="18"/>
      <c r="I145" s="21"/>
      <c r="J145" s="18"/>
      <c r="K145" s="18"/>
      <c r="L145" s="18"/>
      <c r="M145" s="18"/>
      <c r="N145" s="18" t="inlineStr">
        <is>
          <t>2026-W43</t>
        </is>
      </c>
      <c r="O145" s="18" t="inlineStr">
        <is>
          <t>a98524037f736c1c589800f3bd4b329ab00983f7</t>
        </is>
      </c>
      <c r="P145" s="18"/>
      <c r="Q145" s="18"/>
      <c r="R145" s="18"/>
    </row>
    <row r="146" ht="36" customHeight="1">
      <c r="A146" s="18" t="inlineStr">
        <is>
          <t>Serie A|inter|fiorentina|2026-10-25</t>
        </is>
      </c>
      <c r="B146" s="23">
        <v>46320.479166666664</v>
      </c>
      <c r="C146" s="18" t="inlineStr">
        <is>
          <t>Serie A</t>
        </is>
      </c>
      <c r="D146" s="18" t="inlineStr">
        <is>
          <t>Inter Milan vs Fiorentina</t>
        </is>
      </c>
      <c r="E146" s="18" t="inlineStr">
        <is>
          <t>72h-seven-markets-dc12-btts-probability-odds-net-ev15-v10</t>
        </is>
      </c>
      <c r="F146" s="18" t="inlineStr">
        <is>
          <t>PENDING_KICKOFF_OR_FINAL_SCORE</t>
        </is>
      </c>
      <c r="G146" s="18"/>
      <c r="H146" s="18"/>
      <c r="I146" s="21"/>
      <c r="J146" s="18"/>
      <c r="K146" s="18"/>
      <c r="L146" s="18"/>
      <c r="M146" s="18"/>
      <c r="N146" s="18" t="inlineStr">
        <is>
          <t>2026-W43</t>
        </is>
      </c>
      <c r="O146" s="18" t="inlineStr">
        <is>
          <t>2db2af40cdce5284e5f00551472a6cbbd381dbcd</t>
        </is>
      </c>
      <c r="P146" s="18"/>
      <c r="Q146" s="18"/>
      <c r="R146" s="18"/>
    </row>
    <row r="147" ht="36" customHeight="1">
      <c r="A147" s="18" t="inlineStr">
        <is>
          <t>La Liga|ath bilbao|getafe|2026-10-25</t>
        </is>
      </c>
      <c r="B147" s="23">
        <v>46320.541666666664</v>
      </c>
      <c r="C147" s="18" t="inlineStr">
        <is>
          <t>La Liga</t>
        </is>
      </c>
      <c r="D147" s="18" t="inlineStr">
        <is>
          <t>Athletic Bilbao vs Getafe</t>
        </is>
      </c>
      <c r="E147" s="18" t="inlineStr">
        <is>
          <t>72h-seven-markets-dc12-btts-probability-odds-net-ev15-v10</t>
        </is>
      </c>
      <c r="F147" s="18" t="inlineStr">
        <is>
          <t>PENDING_KICKOFF_OR_FINAL_SCORE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2db2af40cdce5284e5f00551472a6cbbd381dbcd</t>
        </is>
      </c>
      <c r="P147" s="18"/>
      <c r="Q147" s="18"/>
      <c r="R147" s="18"/>
    </row>
    <row r="148" ht="36" customHeight="1">
      <c r="A148" s="18" t="inlineStr">
        <is>
          <t>Ligue 1|as monaco|lille|2026-10-25</t>
        </is>
      </c>
      <c r="B148" s="23">
        <v>46320.583333333336</v>
      </c>
      <c r="C148" s="18" t="inlineStr">
        <is>
          <t>Ligue 1</t>
        </is>
      </c>
      <c r="D148" s="18" t="inlineStr">
        <is>
          <t>AS Monaco vs Lille</t>
        </is>
      </c>
      <c r="E148" s="18" t="inlineStr">
        <is>
          <t>72h-seven-markets-fresh-references-net-ev15-v11</t>
        </is>
      </c>
      <c r="F148" s="18" t="inlineStr">
        <is>
          <t>PENDING_KICKOFF_OR_FINAL_SCORE</t>
        </is>
      </c>
      <c r="G148" s="18"/>
      <c r="H148" s="18"/>
      <c r="I148" s="21"/>
      <c r="J148" s="18"/>
      <c r="K148" s="18"/>
      <c r="L148" s="18"/>
      <c r="M148" s="18"/>
      <c r="N148" s="18" t="inlineStr">
        <is>
          <t>2026-W43</t>
        </is>
      </c>
      <c r="O148" s="18" t="inlineStr">
        <is>
          <t>9425e536c27cdb34914535517891f53a7af4191b</t>
        </is>
      </c>
      <c r="P148" s="18"/>
      <c r="Q148" s="18"/>
      <c r="R148" s="18"/>
    </row>
    <row r="149" ht="36" customHeight="1">
      <c r="A149" s="18" t="inlineStr">
        <is>
          <t>Premier League|crystal palace|newcastle|2026-10-25</t>
        </is>
      </c>
      <c r="B149" s="23">
        <v>46320.583333333336</v>
      </c>
      <c r="C149" s="18" t="inlineStr">
        <is>
          <t>Premier League</t>
        </is>
      </c>
      <c r="D149" s="18" t="inlineStr">
        <is>
          <t>Crystal Palace vs Newcastle United</t>
        </is>
      </c>
      <c r="E149" s="18" t="inlineStr">
        <is>
          <t>72h-seven-markets-fresh-references-net-ev15-v11</t>
        </is>
      </c>
      <c r="F149" s="18" t="inlineStr">
        <is>
          <t>PENDING_KICKOFF_OR_FINAL_SCORE</t>
        </is>
      </c>
      <c r="G149" s="18"/>
      <c r="H149" s="18"/>
      <c r="I149" s="21"/>
      <c r="J149" s="18"/>
      <c r="K149" s="18"/>
      <c r="L149" s="18"/>
      <c r="M149" s="18"/>
      <c r="N149" s="18" t="inlineStr">
        <is>
          <t>2026-W43</t>
        </is>
      </c>
      <c r="O149" s="18" t="inlineStr">
        <is>
          <t>9425e536c27cdb34914535517891f53a7af4191b</t>
        </is>
      </c>
      <c r="P149" s="18"/>
      <c r="Q149" s="18"/>
      <c r="R149" s="18"/>
    </row>
    <row r="150" ht="36" customHeight="1">
      <c r="A150" s="18" t="inlineStr">
        <is>
          <t>Premier League|hull city|brentford|2026-10-25</t>
        </is>
      </c>
      <c r="B150" s="23">
        <v>46320.583333333336</v>
      </c>
      <c r="C150" s="18" t="inlineStr">
        <is>
          <t>Premier League</t>
        </is>
      </c>
      <c r="D150" s="18" t="inlineStr">
        <is>
          <t>Hull City vs Brentford</t>
        </is>
      </c>
      <c r="E150" s="18" t="inlineStr">
        <is>
          <t>72h-seven-markets-fresh-references-net-ev15-v11</t>
        </is>
      </c>
      <c r="F150" s="18" t="inlineStr">
        <is>
          <t>PENDING_KICKOFF_OR_FINAL_SCORE</t>
        </is>
      </c>
      <c r="G150" s="18"/>
      <c r="H150" s="18"/>
      <c r="I150" s="21"/>
      <c r="J150" s="18"/>
      <c r="K150" s="18"/>
      <c r="L150" s="18"/>
      <c r="M150" s="18"/>
      <c r="N150" s="18" t="inlineStr">
        <is>
          <t>2026-W43</t>
        </is>
      </c>
      <c r="O150" s="18" t="inlineStr">
        <is>
          <t>9425e536c27cdb34914535517891f53a7af4191b</t>
        </is>
      </c>
      <c r="P150" s="18"/>
      <c r="Q150" s="18"/>
      <c r="R150" s="18"/>
    </row>
    <row r="151" ht="36" customHeight="1">
      <c r="A151" s="18" t="inlineStr">
        <is>
          <t>Premier League|liverpool|brighton|2026-10-25</t>
        </is>
      </c>
      <c r="B151" s="23">
        <v>46320.583333333336</v>
      </c>
      <c r="C151" s="18" t="inlineStr">
        <is>
          <t>Premier League</t>
        </is>
      </c>
      <c r="D151" s="18" t="inlineStr">
        <is>
          <t>Liverpool vs Brighton and Hove Albion</t>
        </is>
      </c>
      <c r="E151" s="18" t="inlineStr">
        <is>
          <t>72h-seven-markets-fresh-references-net-ev15-v11</t>
        </is>
      </c>
      <c r="F151" s="18" t="inlineStr">
        <is>
          <t>PENDING_KICKOFF_OR_FINAL_SCORE</t>
        </is>
      </c>
      <c r="G151" s="18"/>
      <c r="H151" s="18"/>
      <c r="I151" s="21"/>
      <c r="J151" s="18"/>
      <c r="K151" s="18"/>
      <c r="L151" s="18"/>
      <c r="M151" s="18"/>
      <c r="N151" s="18" t="inlineStr">
        <is>
          <t>2026-W43</t>
        </is>
      </c>
      <c r="O151" s="18" t="inlineStr">
        <is>
          <t>9425e536c27cdb34914535517891f53a7af4191b</t>
        </is>
      </c>
      <c r="P151" s="18"/>
      <c r="Q151" s="18"/>
      <c r="R151" s="18"/>
    </row>
    <row r="152" ht="36" customHeight="1">
      <c r="A152" s="18" t="inlineStr">
        <is>
          <t>Premier League|man united|bournemouth|2026-10-25</t>
        </is>
      </c>
      <c r="B152" s="23">
        <v>46320.583333333336</v>
      </c>
      <c r="C152" s="18" t="inlineStr">
        <is>
          <t>Premier League</t>
        </is>
      </c>
      <c r="D152" s="18" t="inlineStr">
        <is>
          <t>Manchester United vs Bournemouth</t>
        </is>
      </c>
      <c r="E152" s="18" t="inlineStr">
        <is>
          <t>72h-seven-markets-fresh-references-net-ev15-v11</t>
        </is>
      </c>
      <c r="F152" s="18" t="inlineStr">
        <is>
          <t>PENDING_KICKOFF_OR_FINAL_SCORE</t>
        </is>
      </c>
      <c r="G152" s="18"/>
      <c r="H152" s="18"/>
      <c r="I152" s="21"/>
      <c r="J152" s="18"/>
      <c r="K152" s="18"/>
      <c r="L152" s="18"/>
      <c r="M152" s="18"/>
      <c r="N152" s="18" t="inlineStr">
        <is>
          <t>2026-W43</t>
        </is>
      </c>
      <c r="O152" s="18" t="inlineStr">
        <is>
          <t>9425e536c27cdb34914535517891f53a7af4191b</t>
        </is>
      </c>
      <c r="P152" s="18"/>
      <c r="Q152" s="18"/>
      <c r="R152" s="18"/>
    </row>
    <row r="153" ht="36" customHeight="1">
      <c r="A153" s="18" t="inlineStr">
        <is>
          <t>Serie A|atalanta bc|frosinone|2026-10-25</t>
        </is>
      </c>
      <c r="B153" s="23">
        <v>46320.583333333336</v>
      </c>
      <c r="C153" s="18" t="inlineStr">
        <is>
          <t>Serie A</t>
        </is>
      </c>
      <c r="D153" s="18" t="inlineStr">
        <is>
          <t>Atalanta BC vs Frosinone</t>
        </is>
      </c>
      <c r="E153" s="18" t="inlineStr">
        <is>
          <t>72h-seven-markets-fresh-references-net-ev15-v11</t>
        </is>
      </c>
      <c r="F153" s="18" t="inlineStr">
        <is>
          <t>PENDING_KICKOFF_OR_FINAL_SCORE</t>
        </is>
      </c>
      <c r="G153" s="18"/>
      <c r="H153" s="18"/>
      <c r="I153" s="21"/>
      <c r="J153" s="18"/>
      <c r="K153" s="18"/>
      <c r="L153" s="18"/>
      <c r="M153" s="18"/>
      <c r="N153" s="18" t="inlineStr">
        <is>
          <t>2026-W43</t>
        </is>
      </c>
      <c r="O153" s="18" t="inlineStr">
        <is>
          <t>9425e536c27cdb34914535517891f53a7af4191b</t>
        </is>
      </c>
      <c r="P153" s="18"/>
      <c r="Q153" s="18"/>
      <c r="R153" s="18"/>
    </row>
    <row r="154" ht="36" customHeight="1">
      <c r="A154" s="18" t="inlineStr">
        <is>
          <t>Serie A|genoa|venezia|2026-10-25</t>
        </is>
      </c>
      <c r="B154" s="23">
        <v>46320.583333333336</v>
      </c>
      <c r="C154" s="18" t="inlineStr">
        <is>
          <t>Serie A</t>
        </is>
      </c>
      <c r="D154" s="18" t="inlineStr">
        <is>
          <t>Genoa vs Venezia</t>
        </is>
      </c>
      <c r="E154" s="18" t="inlineStr">
        <is>
          <t>72h-seven-markets-fresh-references-net-ev15-v11</t>
        </is>
      </c>
      <c r="F154" s="18" t="inlineStr">
        <is>
          <t>PENDING_KICKOFF_OR_FINAL_SCORE</t>
        </is>
      </c>
      <c r="G154" s="18"/>
      <c r="H154" s="18"/>
      <c r="I154" s="21"/>
      <c r="J154" s="18"/>
      <c r="K154" s="18"/>
      <c r="L154" s="18"/>
      <c r="M154" s="18"/>
      <c r="N154" s="18" t="inlineStr">
        <is>
          <t>2026-W43</t>
        </is>
      </c>
      <c r="O154" s="18" t="inlineStr">
        <is>
          <t>9425e536c27cdb34914535517891f53a7af4191b</t>
        </is>
      </c>
      <c r="P154" s="18"/>
      <c r="Q154" s="18"/>
      <c r="R154" s="18"/>
    </row>
    <row r="155" ht="36" customHeight="1">
      <c r="A155" s="18" t="inlineStr">
        <is>
          <t>Bundesliga|tsg hoffenheim|bayer leverkusen|2026-10-25</t>
        </is>
      </c>
      <c r="B155" s="23">
        <v>46320.604166666664</v>
      </c>
      <c r="C155" s="18" t="inlineStr">
        <is>
          <t>Bundesliga</t>
        </is>
      </c>
      <c r="D155" s="18" t="inlineStr">
        <is>
          <t>TSG Hoffenheim vs Bayer Leverkusen</t>
        </is>
      </c>
      <c r="E155" s="18" t="inlineStr">
        <is>
          <t>72h-seven-markets-fresh-references-net-ev15-v11</t>
        </is>
      </c>
      <c r="F155" s="18" t="inlineStr">
        <is>
          <t>PENDING_KICKOFF_OR_FINAL_SCORE</t>
        </is>
      </c>
      <c r="G155" s="18"/>
      <c r="H155" s="18"/>
      <c r="I155" s="21"/>
      <c r="J155" s="18"/>
      <c r="K155" s="18"/>
      <c r="L155" s="18"/>
      <c r="M155" s="18"/>
      <c r="N155" s="18" t="inlineStr">
        <is>
          <t>2026-W43</t>
        </is>
      </c>
      <c r="O155" s="18" t="inlineStr">
        <is>
          <t>9425e536c27cdb34914535517891f53a7af4191b</t>
        </is>
      </c>
      <c r="P155" s="18"/>
      <c r="Q155" s="18"/>
      <c r="R155" s="18"/>
    </row>
    <row r="156" ht="36" customHeight="1">
      <c r="A156" s="18" t="inlineStr">
        <is>
          <t>La Liga|celta vigo|real betis|2026-10-25</t>
        </is>
      </c>
      <c r="B156" s="23">
        <v>46320.635416666664</v>
      </c>
      <c r="C156" s="18" t="inlineStr">
        <is>
          <t>La Liga</t>
        </is>
      </c>
      <c r="D156" s="18" t="inlineStr">
        <is>
          <t>Celta Vigo vs Real Betis</t>
        </is>
      </c>
      <c r="E156" s="18" t="inlineStr">
        <is>
          <t>72h-seven-markets-fresh-references-net-ev15-v11</t>
        </is>
      </c>
      <c r="F156" s="18" t="inlineStr">
        <is>
          <t>PENDING_KICKOFF_OR_FINAL_SCORE</t>
        </is>
      </c>
      <c r="G156" s="18"/>
      <c r="H156" s="18"/>
      <c r="I156" s="21"/>
      <c r="J156" s="18"/>
      <c r="K156" s="18"/>
      <c r="L156" s="18"/>
      <c r="M156" s="18"/>
      <c r="N156" s="18" t="inlineStr">
        <is>
          <t>2026-W43</t>
        </is>
      </c>
      <c r="O156" s="18" t="inlineStr">
        <is>
          <t>9425e536c27cdb34914535517891f53a7af4191b</t>
        </is>
      </c>
      <c r="P156" s="18"/>
      <c r="Q156" s="18"/>
      <c r="R156" s="18"/>
    </row>
    <row r="157" ht="36" customHeight="1">
      <c r="A157" s="18" t="inlineStr">
        <is>
          <t>Ligue 1|angers|lorient|2026-10-25</t>
        </is>
      </c>
      <c r="B157" s="23">
        <v>46320.677083333336</v>
      </c>
      <c r="C157" s="18" t="inlineStr">
        <is>
          <t>Ligue 1</t>
        </is>
      </c>
      <c r="D157" s="18" t="inlineStr">
        <is>
          <t>Angers vs Lorient</t>
        </is>
      </c>
      <c r="E157" s="18" t="inlineStr">
        <is>
          <t>72h-seven-markets-fresh-references-net-ev15-v11</t>
        </is>
      </c>
      <c r="F157" s="18" t="inlineStr">
        <is>
          <t>PENDING_KICKOFF_OR_FINAL_SCORE</t>
        </is>
      </c>
      <c r="G157" s="18"/>
      <c r="H157" s="18"/>
      <c r="I157" s="21"/>
      <c r="J157" s="18"/>
      <c r="K157" s="18"/>
      <c r="L157" s="18"/>
      <c r="M157" s="18"/>
      <c r="N157" s="18" t="inlineStr">
        <is>
          <t>2026-W43</t>
        </is>
      </c>
      <c r="O157" s="18" t="inlineStr">
        <is>
          <t>7a6c9d44b7c20308d3ed85270f7cabc2a98df58e</t>
        </is>
      </c>
      <c r="P157" s="18"/>
      <c r="Q157" s="18"/>
      <c r="R157" s="18"/>
    </row>
    <row r="158" ht="36" customHeight="1">
      <c r="A158" s="18" t="inlineStr">
        <is>
          <t>Ligue 1|auxerre|le mans|2026-10-25</t>
        </is>
      </c>
      <c r="B158" s="23">
        <v>46320.677083333336</v>
      </c>
      <c r="C158" s="18" t="inlineStr">
        <is>
          <t>Ligue 1</t>
        </is>
      </c>
      <c r="D158" s="18" t="inlineStr">
        <is>
          <t>Auxerre vs Le Mans FC</t>
        </is>
      </c>
      <c r="E158" s="18" t="inlineStr">
        <is>
          <t>72h-seven-markets-fresh-references-net-ev15-v11</t>
        </is>
      </c>
      <c r="F158" s="18" t="inlineStr">
        <is>
          <t>PENDING_KICKOFF_OR_FINAL_SCORE</t>
        </is>
      </c>
      <c r="G158" s="18"/>
      <c r="H158" s="18"/>
      <c r="I158" s="21"/>
      <c r="J158" s="18"/>
      <c r="K158" s="18"/>
      <c r="L158" s="18"/>
      <c r="M158" s="18"/>
      <c r="N158" s="18" t="inlineStr">
        <is>
          <t>2026-W43</t>
        </is>
      </c>
      <c r="O158" s="18" t="inlineStr">
        <is>
          <t>7a6c9d44b7c20308d3ed85270f7cabc2a98df58e</t>
        </is>
      </c>
      <c r="P158" s="18"/>
      <c r="Q158" s="18"/>
      <c r="R158" s="18"/>
    </row>
    <row r="159" ht="36" customHeight="1">
      <c r="A159" s="18" t="inlineStr">
        <is>
          <t>Ligue 1|marseille|le havre|2026-10-25</t>
        </is>
      </c>
      <c r="B159" s="23">
        <v>46320.677083333336</v>
      </c>
      <c r="C159" s="18" t="inlineStr">
        <is>
          <t>Ligue 1</t>
        </is>
      </c>
      <c r="D159" s="18" t="inlineStr">
        <is>
          <t>Marseille vs Le Havre</t>
        </is>
      </c>
      <c r="E159" s="18" t="inlineStr">
        <is>
          <t>72h-seven-markets-fresh-references-net-ev15-v11</t>
        </is>
      </c>
      <c r="F159" s="18" t="inlineStr">
        <is>
          <t>PENDING_KICKOFF_OR_FINAL_SCORE</t>
        </is>
      </c>
      <c r="G159" s="18"/>
      <c r="H159" s="18"/>
      <c r="I159" s="21"/>
      <c r="J159" s="18"/>
      <c r="K159" s="18"/>
      <c r="L159" s="18"/>
      <c r="M159" s="18"/>
      <c r="N159" s="18" t="inlineStr">
        <is>
          <t>2026-W43</t>
        </is>
      </c>
      <c r="O159" s="18" t="inlineStr">
        <is>
          <t>7a6c9d44b7c20308d3ed85270f7cabc2a98df58e</t>
        </is>
      </c>
      <c r="P159" s="18"/>
      <c r="Q159" s="18"/>
      <c r="R159" s="18"/>
    </row>
    <row r="160" ht="36" customHeight="1">
      <c r="A160" s="18" t="inlineStr">
        <is>
          <t>Ligue 1|rennes|strasbourg|2026-10-25</t>
        </is>
      </c>
      <c r="B160" s="23">
        <v>46320.677083333336</v>
      </c>
      <c r="C160" s="18" t="inlineStr">
        <is>
          <t>Ligue 1</t>
        </is>
      </c>
      <c r="D160" s="18" t="inlineStr">
        <is>
          <t>Rennes vs Strasbourg</t>
        </is>
      </c>
      <c r="E160" s="18" t="inlineStr">
        <is>
          <t>72h-seven-markets-fresh-references-net-ev15-v11</t>
        </is>
      </c>
      <c r="F160" s="18" t="inlineStr">
        <is>
          <t>PENDING_KICKOFF_OR_FINAL_SCORE</t>
        </is>
      </c>
      <c r="G160" s="18"/>
      <c r="H160" s="18"/>
      <c r="I160" s="21"/>
      <c r="J160" s="18"/>
      <c r="K160" s="18"/>
      <c r="L160" s="18"/>
      <c r="M160" s="18"/>
      <c r="N160" s="18" t="inlineStr">
        <is>
          <t>2026-W43</t>
        </is>
      </c>
      <c r="O160" s="18" t="inlineStr">
        <is>
          <t>7a6c9d44b7c20308d3ed85270f7cabc2a98df58e</t>
        </is>
      </c>
      <c r="P160" s="18"/>
      <c r="Q160" s="18"/>
      <c r="R160" s="18"/>
    </row>
    <row r="161" ht="36" customHeight="1">
      <c r="A161" s="18" t="inlineStr">
        <is>
          <t>Bundesliga|freiburg|bayern munich|2026-10-25</t>
        </is>
      </c>
      <c r="B161" s="23">
        <v>46320.6875</v>
      </c>
      <c r="C161" s="18" t="inlineStr">
        <is>
          <t>Bundesliga</t>
        </is>
      </c>
      <c r="D161" s="18" t="inlineStr">
        <is>
          <t>SC Freiburg vs Bayern Munich</t>
        </is>
      </c>
      <c r="E161" s="18" t="inlineStr">
        <is>
          <t>72h-seven-markets-fresh-references-net-ev15-v11</t>
        </is>
      </c>
      <c r="F161" s="18" t="inlineStr">
        <is>
          <t>PENDING_KICKOFF_OR_FINAL_SCORE</t>
        </is>
      </c>
      <c r="G161" s="18"/>
      <c r="H161" s="18"/>
      <c r="I161" s="21"/>
      <c r="J161" s="18"/>
      <c r="K161" s="18"/>
      <c r="L161" s="18"/>
      <c r="M161" s="18"/>
      <c r="N161" s="18" t="inlineStr">
        <is>
          <t>2026-W43</t>
        </is>
      </c>
      <c r="O161" s="18" t="inlineStr">
        <is>
          <t>7a6c9d44b7c20308d3ed85270f7cabc2a98df58e</t>
        </is>
      </c>
      <c r="P161" s="18"/>
      <c r="Q161" s="18"/>
      <c r="R161" s="18"/>
    </row>
    <row r="162" ht="36" customHeight="1">
      <c r="A162" s="18" t="inlineStr">
        <is>
          <t>Premier League|sunderland|leeds|2026-10-25</t>
        </is>
      </c>
      <c r="B162" s="23">
        <v>46320.6875</v>
      </c>
      <c r="C162" s="18" t="inlineStr">
        <is>
          <t>Premier League</t>
        </is>
      </c>
      <c r="D162" s="18" t="inlineStr">
        <is>
          <t>Sunderland vs Leeds United</t>
        </is>
      </c>
      <c r="E162" s="18" t="inlineStr">
        <is>
          <t>72h-seven-markets-fresh-references-net-ev15-v11</t>
        </is>
      </c>
      <c r="F162" s="18" t="inlineStr">
        <is>
          <t>PENDING_KICKOFF_OR_FINAL_SCORE</t>
        </is>
      </c>
      <c r="G162" s="18"/>
      <c r="H162" s="18"/>
      <c r="I162" s="21"/>
      <c r="J162" s="18"/>
      <c r="K162" s="18"/>
      <c r="L162" s="18"/>
      <c r="M162" s="18"/>
      <c r="N162" s="18" t="inlineStr">
        <is>
          <t>2026-W43</t>
        </is>
      </c>
      <c r="O162" s="18" t="inlineStr">
        <is>
          <t>7a6c9d44b7c20308d3ed85270f7cabc2a98df58e</t>
        </is>
      </c>
      <c r="P162" s="18"/>
      <c r="Q162" s="18"/>
      <c r="R162" s="18"/>
    </row>
    <row r="163" ht="36" customHeight="1">
      <c r="A163" s="18" t="inlineStr">
        <is>
          <t>Serie A|lecce|juventus|2026-10-25</t>
        </is>
      </c>
      <c r="B163" s="23">
        <v>46320.708333333336</v>
      </c>
      <c r="C163" s="18" t="inlineStr">
        <is>
          <t>Serie A</t>
        </is>
      </c>
      <c r="D163" s="18" t="inlineStr">
        <is>
          <t>Lecce vs Juventus</t>
        </is>
      </c>
      <c r="E163" s="18" t="inlineStr">
        <is>
          <t>72h-seven-markets-fresh-references-net-ev15-v11</t>
        </is>
      </c>
      <c r="F163" s="18" t="inlineStr">
        <is>
          <t>PENDING_KICKOFF_OR_FINAL_SCORE</t>
        </is>
      </c>
      <c r="G163" s="18"/>
      <c r="H163" s="18"/>
      <c r="I163" s="21"/>
      <c r="J163" s="18"/>
      <c r="K163" s="18"/>
      <c r="L163" s="18"/>
      <c r="M163" s="18"/>
      <c r="N163" s="18" t="inlineStr">
        <is>
          <t>2026-W43</t>
        </is>
      </c>
      <c r="O163" s="18" t="inlineStr">
        <is>
          <t>7a6c9d44b7c20308d3ed85270f7cabc2a98df58e</t>
        </is>
      </c>
      <c r="P163" s="18"/>
      <c r="Q163" s="18"/>
      <c r="R163" s="18"/>
    </row>
    <row r="164" ht="36" customHeight="1">
      <c r="A164" s="18" t="inlineStr">
        <is>
          <t>La Liga|real sociedad|levante|2026-10-25</t>
        </is>
      </c>
      <c r="B164" s="23">
        <v>46320.729166666664</v>
      </c>
      <c r="C164" s="18" t="inlineStr">
        <is>
          <t>La Liga</t>
        </is>
      </c>
      <c r="D164" s="18" t="inlineStr">
        <is>
          <t>Real Sociedad vs Levante</t>
        </is>
      </c>
      <c r="E164" s="18" t="inlineStr">
        <is>
          <t>72h-seven-markets-fresh-references-net-ev15-v11</t>
        </is>
      </c>
      <c r="F164" s="18" t="inlineStr">
        <is>
          <t>PENDING_KICKOFF_OR_FINAL_SCORE</t>
        </is>
      </c>
      <c r="G164" s="18"/>
      <c r="H164" s="18"/>
      <c r="I164" s="21"/>
      <c r="J164" s="18"/>
      <c r="K164" s="18"/>
      <c r="L164" s="18"/>
      <c r="M164" s="18"/>
      <c r="N164" s="18" t="inlineStr">
        <is>
          <t>2026-W43</t>
        </is>
      </c>
      <c r="O164" s="18" t="inlineStr">
        <is>
          <t>7a6c9d44b7c20308d3ed85270f7cabc2a98df58e</t>
        </is>
      </c>
      <c r="P164" s="18"/>
      <c r="Q164" s="18"/>
      <c r="R164" s="18"/>
    </row>
    <row r="165" ht="36" customHeight="1">
      <c r="A165" s="18" t="inlineStr">
        <is>
          <t>Ligue 1|paris sg|lyon|2026-10-25</t>
        </is>
      </c>
      <c r="B165" s="23">
        <v>46320.822916666664</v>
      </c>
      <c r="C165" s="18" t="inlineStr">
        <is>
          <t>Ligue 1</t>
        </is>
      </c>
      <c r="D165" s="18" t="inlineStr">
        <is>
          <t>Paris Saint Germain vs Lyon</t>
        </is>
      </c>
      <c r="E165" s="18" t="inlineStr">
        <is>
          <t>72h-seven-markets-fresh-references-net-ev15-v11</t>
        </is>
      </c>
      <c r="F165" s="18" t="inlineStr">
        <is>
          <t>PENDING_KICKOFF_OR_FINAL_SCORE</t>
        </is>
      </c>
      <c r="G165" s="18"/>
      <c r="H165" s="18"/>
      <c r="I165" s="21"/>
      <c r="J165" s="18"/>
      <c r="K165" s="18"/>
      <c r="L165" s="18"/>
      <c r="M165" s="18"/>
      <c r="N165" s="18" t="inlineStr">
        <is>
          <t>2026-W43</t>
        </is>
      </c>
      <c r="O165" s="18" t="inlineStr">
        <is>
          <t>7a6c9d44b7c20308d3ed85270f7cabc2a98df58e</t>
        </is>
      </c>
      <c r="P165" s="18"/>
      <c r="Q165" s="18"/>
      <c r="R165" s="18"/>
    </row>
    <row r="166" ht="36" customHeight="1">
      <c r="A166" s="18" t="inlineStr">
        <is>
          <t>Serie A|udinese|milan|2026-10-25</t>
        </is>
      </c>
      <c r="B166" s="23">
        <v>46320.822916666664</v>
      </c>
      <c r="C166" s="18" t="inlineStr">
        <is>
          <t>Serie A</t>
        </is>
      </c>
      <c r="D166" s="18" t="inlineStr">
        <is>
          <t>Udinese vs AC Milan</t>
        </is>
      </c>
      <c r="E166" s="18" t="inlineStr">
        <is>
          <t>72h-seven-markets-fresh-references-net-ev15-v11</t>
        </is>
      </c>
      <c r="F166" s="18" t="inlineStr">
        <is>
          <t>PENDING_KICKOFF_OR_FINAL_SCORE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7a6c9d44b7c20308d3ed85270f7cabc2a98df58e</t>
        </is>
      </c>
      <c r="P166" s="18"/>
      <c r="Q166" s="18"/>
      <c r="R166" s="18"/>
    </row>
    <row r="167" ht="36" customHeight="1">
      <c r="A167" s="18" t="inlineStr">
        <is>
          <t>La Liga|barcelona|real madrid|2026-10-25</t>
        </is>
      </c>
      <c r="B167" s="23">
        <v>46320.833333333336</v>
      </c>
      <c r="C167" s="18" t="inlineStr">
        <is>
          <t>La Liga</t>
        </is>
      </c>
      <c r="D167" s="18" t="inlineStr">
        <is>
          <t>Barcelona vs Real Madrid</t>
        </is>
      </c>
      <c r="E167" s="18" t="inlineStr">
        <is>
          <t>72h-seven-markets-fresh-references-net-ev15-v11</t>
        </is>
      </c>
      <c r="F167" s="18" t="inlineStr">
        <is>
          <t>PENDING_KICKOFF_OR_FINAL_SCORE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7a6c9d44b7c20308d3ed85270f7cabc2a98df58e</t>
        </is>
      </c>
      <c r="P167" s="18"/>
      <c r="Q167" s="18"/>
      <c r="R167" s="18"/>
    </row>
    <row r="168" ht="36" customHeight="1">
      <c r="A168" s="18" t="inlineStr">
        <is>
          <t>La Liga|sevilla|ca osasuna|2026-10-26</t>
        </is>
      </c>
      <c r="B168" s="23">
        <v>46321.833333333336</v>
      </c>
      <c r="C168" s="18" t="inlineStr">
        <is>
          <t>La Liga</t>
        </is>
      </c>
      <c r="D168" s="18" t="inlineStr">
        <is>
          <t>Sevilla vs CA Osasuna</t>
        </is>
      </c>
      <c r="E168" s="18" t="inlineStr">
        <is>
          <t>72h-seven-markets-fresh-references-net-ev15-v11</t>
        </is>
      </c>
      <c r="F168" s="18" t="inlineStr">
        <is>
          <t>PENDING_KICKOFF_OR_FINAL_SCORE</t>
        </is>
      </c>
      <c r="G168" s="18"/>
      <c r="H168" s="18"/>
      <c r="I168" s="21"/>
      <c r="J168" s="18"/>
      <c r="K168" s="18"/>
      <c r="L168" s="18"/>
      <c r="M168" s="18"/>
      <c r="N168" s="18" t="inlineStr">
        <is>
          <t>2026-W44</t>
        </is>
      </c>
      <c r="O168" s="18" t="inlineStr">
        <is>
          <t>7a6c9d44b7c20308d3ed85270f7cabc2a98df58e</t>
        </is>
      </c>
      <c r="P168" s="18"/>
      <c r="Q168" s="18"/>
      <c r="R168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48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4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24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32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4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24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50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3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25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5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3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25 more observations; 25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10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1 / 6 ISO weeks</t>
        </is>
      </c>
      <c r="G10" s="20">
        <v>0.8333333333333334</v>
      </c>
      <c r="H10" s="18" t="inlineStr">
        <is>
          <t>Approval review</t>
        </is>
      </c>
      <c r="I10" s="18" t="inlineStr">
        <is>
          <t>290 more paired fixtures; 5 more ISO weeks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1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1 / 6 ISO weeks</t>
        </is>
      </c>
      <c r="G11" s="20">
        <v>0.08333333333333333</v>
      </c>
      <c r="H11" s="18" t="inlineStr">
        <is>
          <t>Approval review</t>
        </is>
      </c>
      <c r="I11" s="18" t="inlineStr">
        <is>
          <t>299 more paired fixtures; 5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10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1 / 6 ISO weeks</t>
        </is>
      </c>
      <c r="G12" s="20">
        <v>0.8333333333333334</v>
      </c>
      <c r="H12" s="18" t="inlineStr">
        <is>
          <t>Approval review</t>
        </is>
      </c>
      <c r="I12" s="18" t="inlineStr">
        <is>
          <t>290 more paired fixtures; 5 more ISO weeks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10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1 / 6 ISO weeks</t>
        </is>
      </c>
      <c r="G13" s="20">
        <v>0.8333333333333334</v>
      </c>
      <c r="H13" s="18" t="inlineStr">
        <is>
          <t>Approval review</t>
        </is>
      </c>
      <c r="I13" s="18" t="inlineStr">
        <is>
          <t>290 more paired fixtures; 5 more ISO weeks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12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1 / 6 ISO weeks</t>
        </is>
      </c>
      <c r="G14" s="20">
        <v>0.25</v>
      </c>
      <c r="H14" s="18" t="inlineStr">
        <is>
          <t>Approval review</t>
        </is>
      </c>
      <c r="I14" s="18" t="inlineStr">
        <is>
          <t>288 more paired fixtures; 5 more ISO weeks; Coverage below 80%</t>
        </is>
      </c>
      <c r="J14" s="18" t="inlineStr">
        <is>
          <t>Initial review only</t>
        </is>
      </c>
    </row>
    <row r="16">
      <c r="A16" s="27" t="inlineStr">
        <is>
          <t>The original four sidecars count observations, not necessarily independent fixtures. Do not add their sample counts together.</t>
        </is>
      </c>
    </row>
    <row r="17">
      <c r="A17" s="27" t="inlineStr">
        <is>
          <t>Coverage and time gates must also pass. Reaching a sample count alone does not make a candidate ready.</t>
        </is>
      </c>
    </row>
    <row r="19">
      <c r="A19" s="31" t="inlineStr">
        <is>
          <t>Back to dashboard</t>
        </is>
      </c>
    </row>
    <row r="22">
      <c r="A22" s="26" t="inlineStr">
        <is>
          <t>Probability and calibration policies — fixed comparisons</t>
        </is>
      </c>
    </row>
    <row r="23" ht="44">
      <c r="A23" s="27" t="inlineStr">
        <is>
          <t>STRICT is primary. ROI is simulated; different selected cohorts are not paired forecast tests. See the detailed report before drawing conclusions.</t>
        </is>
      </c>
    </row>
    <row r="24" ht="34" customHeight="1">
      <c r="A24" s="24" t="inlineStr">
        <is>
          <t>Variant</t>
        </is>
      </c>
      <c r="B24" s="24" t="inlineStr">
        <is>
          <t>Tier</t>
        </is>
      </c>
      <c r="C24" s="24" t="inlineStr">
        <is>
          <t>Selected</t>
        </is>
      </c>
      <c r="D24" s="24" t="inlineStr">
        <is>
          <t>Settled</t>
        </is>
      </c>
      <c r="E24" s="24" t="inlineStr">
        <is>
          <t>Net ROI</t>
        </is>
      </c>
      <c r="F24" s="24" t="inlineStr">
        <is>
          <t>Brier</t>
        </is>
      </c>
      <c r="G24" s="24" t="inlineStr">
        <is>
          <t>Log loss</t>
        </is>
      </c>
      <c r="H24" s="24" t="inlineStr">
        <is>
          <t>Calibration gap</t>
        </is>
      </c>
      <c r="I24" s="24" t="inlineStr">
        <is>
          <t>Drawdown (units)</t>
        </is>
      </c>
      <c r="J24" s="24" t="inlineStr">
        <is>
          <t>Strict profit delta / fixture 95% interval</t>
        </is>
      </c>
    </row>
    <row r="25" ht="30" customHeight="1">
      <c r="A25" s="18" t="inlineStr">
        <is>
          <t>control</t>
        </is>
      </c>
      <c r="B25" s="18" t="inlineStr">
        <is>
          <t>STRICT</t>
        </is>
      </c>
      <c r="C25" s="19">
        <v>2</v>
      </c>
      <c r="D25" s="19">
        <v>1</v>
      </c>
      <c r="E25" s="20">
        <v>0.27</v>
      </c>
      <c r="F25" s="19">
        <v>0.03881635967862205</v>
      </c>
      <c r="G25" s="19">
        <v>0.219423826204877</v>
      </c>
      <c r="H25" s="20">
        <v>-0.19701867850186705</v>
      </c>
      <c r="I25" s="19">
        <v>0.0</v>
      </c>
      <c r="J25" s="18" t="inlineStr">
        <is>
          <t>Collect more data</t>
        </is>
      </c>
    </row>
    <row r="26" ht="30" customHeight="1">
      <c r="A26" s="18" t="inlineStr">
        <is>
          <t>control</t>
        </is>
      </c>
      <c r="B26" s="18" t="inlineStr">
        <is>
          <t>PROVISIONAL</t>
        </is>
      </c>
      <c r="C26" s="19">
        <v>1</v>
      </c>
      <c r="D26" s="19">
        <v>0</v>
      </c>
      <c r="E26" s="20" t="inlineStr">
        <is>
          <t>Unavailable</t>
        </is>
      </c>
      <c r="F26" s="18" t="inlineStr">
        <is>
          <t>Unavailable</t>
        </is>
      </c>
      <c r="G26" s="18" t="inlineStr">
        <is>
          <t>Unavailable</t>
        </is>
      </c>
      <c r="H26" s="20" t="inlineStr">
        <is>
          <t>Unavailable</t>
        </is>
      </c>
      <c r="I26" s="18" t="inlineStr">
        <is>
          <t>Unavailable</t>
        </is>
      </c>
      <c r="J26" s="18" t="inlineStr">
        <is>
          <t>Not applicable</t>
        </is>
      </c>
    </row>
    <row r="27" ht="30" customHeight="1">
      <c r="A27" s="18" t="inlineStr">
        <is>
          <t>control</t>
        </is>
      </c>
      <c r="B27" s="18" t="inlineStr">
        <is>
          <t>ALL</t>
        </is>
      </c>
      <c r="C27" s="19">
        <v>3</v>
      </c>
      <c r="D27" s="19">
        <v>1</v>
      </c>
      <c r="E27" s="20">
        <v>0.27</v>
      </c>
      <c r="F27" s="19">
        <v>0.03881635967862205</v>
      </c>
      <c r="G27" s="19">
        <v>0.219423826204877</v>
      </c>
      <c r="H27" s="20">
        <v>-0.19701867850186705</v>
      </c>
      <c r="I27" s="19">
        <v>0.0</v>
      </c>
      <c r="J27" s="18" t="inlineStr">
        <is>
          <t>Not applicable</t>
        </is>
      </c>
    </row>
    <row r="28" ht="30" customHeight="1">
      <c r="A28" s="18" t="inlineStr">
        <is>
          <t>blended_lower</t>
        </is>
      </c>
      <c r="B28" s="18" t="inlineStr">
        <is>
          <t>STRICT</t>
        </is>
      </c>
      <c r="C28" s="19">
        <v>4</v>
      </c>
      <c r="D28" s="19">
        <v>2</v>
      </c>
      <c r="E28" s="20">
        <v>0.27</v>
      </c>
      <c r="F28" s="19">
        <v>0.039415431583242254</v>
      </c>
      <c r="G28" s="19">
        <v>0.22130634891896533</v>
      </c>
      <c r="H28" s="20">
        <v>-0.19852746696769108</v>
      </c>
      <c r="I28" s="19">
        <v>0.0</v>
      </c>
      <c r="J28" s="18" t="inlineStr">
        <is>
          <t>Collect more data</t>
        </is>
      </c>
    </row>
    <row r="29" ht="30" customHeight="1">
      <c r="A29" s="18" t="inlineStr">
        <is>
          <t>blended_lower</t>
        </is>
      </c>
      <c r="B29" s="18" t="inlineStr">
        <is>
          <t>PROVISIONAL</t>
        </is>
      </c>
      <c r="C29" s="19">
        <v>1</v>
      </c>
      <c r="D29" s="19">
        <v>0</v>
      </c>
      <c r="E29" s="20" t="inlineStr">
        <is>
          <t>Unavailable</t>
        </is>
      </c>
      <c r="F29" s="18" t="inlineStr">
        <is>
          <t>Unavailable</t>
        </is>
      </c>
      <c r="G29" s="18" t="inlineStr">
        <is>
          <t>Unavailable</t>
        </is>
      </c>
      <c r="H29" s="20" t="inlineStr">
        <is>
          <t>Unavailable</t>
        </is>
      </c>
      <c r="I29" s="18" t="inlineStr">
        <is>
          <t>Unavailable</t>
        </is>
      </c>
      <c r="J29" s="18" t="inlineStr">
        <is>
          <t>Not applicable</t>
        </is>
      </c>
    </row>
    <row r="30" ht="30" customHeight="1">
      <c r="A30" s="18" t="inlineStr">
        <is>
          <t>blended_lower</t>
        </is>
      </c>
      <c r="B30" s="18" t="inlineStr">
        <is>
          <t>ALL</t>
        </is>
      </c>
      <c r="C30" s="19">
        <v>5</v>
      </c>
      <c r="D30" s="19">
        <v>2</v>
      </c>
      <c r="E30" s="20">
        <v>0.27</v>
      </c>
      <c r="F30" s="19">
        <v>0.039415431583242254</v>
      </c>
      <c r="G30" s="19">
        <v>0.22130634891896533</v>
      </c>
      <c r="H30" s="20">
        <v>-0.19852746696769108</v>
      </c>
      <c r="I30" s="19">
        <v>0.0</v>
      </c>
      <c r="J30" s="18" t="inlineStr">
        <is>
          <t>Not applicable</t>
        </is>
      </c>
    </row>
    <row r="31" ht="30" customHeight="1">
      <c r="A31" s="18" t="inlineStr">
        <is>
          <t>blended_higher</t>
        </is>
      </c>
      <c r="B31" s="18" t="inlineStr">
        <is>
          <t>STRICT</t>
        </is>
      </c>
      <c r="C31" s="19">
        <v>0</v>
      </c>
      <c r="D31" s="19">
        <v>0</v>
      </c>
      <c r="E31" s="20" t="inlineStr">
        <is>
          <t>Unavailable</t>
        </is>
      </c>
      <c r="F31" s="18" t="inlineStr">
        <is>
          <t>Unavailable</t>
        </is>
      </c>
      <c r="G31" s="18" t="inlineStr">
        <is>
          <t>Unavailable</t>
        </is>
      </c>
      <c r="H31" s="20" t="inlineStr">
        <is>
          <t>Unavailable</t>
        </is>
      </c>
      <c r="I31" s="18" t="inlineStr">
        <is>
          <t>Unavailable</t>
        </is>
      </c>
      <c r="J31" s="18" t="inlineStr">
        <is>
          <t>Collect more data</t>
        </is>
      </c>
    </row>
    <row r="32" ht="30" customHeight="1">
      <c r="A32" s="18" t="inlineStr">
        <is>
          <t>blended_higher</t>
        </is>
      </c>
      <c r="B32" s="18" t="inlineStr">
        <is>
          <t>PROVISIONAL</t>
        </is>
      </c>
      <c r="C32" s="19">
        <v>1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Not applicable</t>
        </is>
      </c>
    </row>
    <row r="33" ht="30" customHeight="1">
      <c r="A33" s="18" t="inlineStr">
        <is>
          <t>blended_higher</t>
        </is>
      </c>
      <c r="B33" s="18" t="inlineStr">
        <is>
          <t>ALL</t>
        </is>
      </c>
      <c r="C33" s="19">
        <v>1</v>
      </c>
      <c r="D33" s="19">
        <v>0</v>
      </c>
      <c r="E33" s="20" t="inlineStr">
        <is>
          <t>Unavailable</t>
        </is>
      </c>
      <c r="F33" s="18" t="inlineStr">
        <is>
          <t>Unavailable</t>
        </is>
      </c>
      <c r="G33" s="18" t="inlineStr">
        <is>
          <t>Unavailable</t>
        </is>
      </c>
      <c r="H33" s="20" t="inlineStr">
        <is>
          <t>Unavailable</t>
        </is>
      </c>
      <c r="I33" s="18" t="inlineStr">
        <is>
          <t>Unavailable</t>
        </is>
      </c>
      <c r="J33" s="18" t="inlineStr">
        <is>
          <t>Not applicable</t>
        </is>
      </c>
    </row>
    <row r="34" ht="30" customHeight="1">
      <c r="A34" s="18" t="inlineStr">
        <is>
          <t>raw_lower</t>
        </is>
      </c>
      <c r="B34" s="18" t="inlineStr">
        <is>
          <t>STRICT</t>
        </is>
      </c>
      <c r="C34" s="19">
        <v>2</v>
      </c>
      <c r="D34" s="19">
        <v>1</v>
      </c>
      <c r="E34" s="20">
        <v>0.27</v>
      </c>
      <c r="F34" s="19">
        <v>0.03881635967862205</v>
      </c>
      <c r="G34" s="19">
        <v>0.219423826204877</v>
      </c>
      <c r="H34" s="20">
        <v>-0.19701867850186705</v>
      </c>
      <c r="I34" s="19">
        <v>0.0</v>
      </c>
      <c r="J34" s="18" t="inlineStr">
        <is>
          <t>Collect more data</t>
        </is>
      </c>
    </row>
    <row r="35" ht="30" customHeight="1">
      <c r="A35" s="18" t="inlineStr">
        <is>
          <t>raw_lower</t>
        </is>
      </c>
      <c r="B35" s="18" t="inlineStr">
        <is>
          <t>PROVISIONAL</t>
        </is>
      </c>
      <c r="C35" s="19">
        <v>1</v>
      </c>
      <c r="D35" s="19">
        <v>0</v>
      </c>
      <c r="E35" s="20" t="inlineStr">
        <is>
          <t>Unavailable</t>
        </is>
      </c>
      <c r="F35" s="18" t="inlineStr">
        <is>
          <t>Unavailable</t>
        </is>
      </c>
      <c r="G35" s="18" t="inlineStr">
        <is>
          <t>Unavailable</t>
        </is>
      </c>
      <c r="H35" s="20" t="inlineStr">
        <is>
          <t>Unavailable</t>
        </is>
      </c>
      <c r="I35" s="18" t="inlineStr">
        <is>
          <t>Unavailable</t>
        </is>
      </c>
      <c r="J35" s="18" t="inlineStr">
        <is>
          <t>Not applicable</t>
        </is>
      </c>
    </row>
    <row r="36" ht="30" customHeight="1">
      <c r="A36" s="18" t="inlineStr">
        <is>
          <t>raw_lower</t>
        </is>
      </c>
      <c r="B36" s="18" t="inlineStr">
        <is>
          <t>ALL</t>
        </is>
      </c>
      <c r="C36" s="19">
        <v>3</v>
      </c>
      <c r="D36" s="19">
        <v>1</v>
      </c>
      <c r="E36" s="20">
        <v>0.27</v>
      </c>
      <c r="F36" s="19">
        <v>0.03881635967862205</v>
      </c>
      <c r="G36" s="19">
        <v>0.219423826204877</v>
      </c>
      <c r="H36" s="20">
        <v>-0.19701867850186705</v>
      </c>
      <c r="I36" s="19">
        <v>0.0</v>
      </c>
      <c r="J36" s="18" t="inlineStr">
        <is>
          <t>Not applicable</t>
        </is>
      </c>
    </row>
    <row r="37" ht="30" customHeight="1">
      <c r="A37" s="18" t="inlineStr">
        <is>
          <t>raw_higher</t>
        </is>
      </c>
      <c r="B37" s="18" t="inlineStr">
        <is>
          <t>STRICT</t>
        </is>
      </c>
      <c r="C37" s="19">
        <v>2</v>
      </c>
      <c r="D37" s="19">
        <v>1</v>
      </c>
      <c r="E37" s="20">
        <v>0.27</v>
      </c>
      <c r="F37" s="19">
        <v>0.03881635967862205</v>
      </c>
      <c r="G37" s="19">
        <v>0.219423826204877</v>
      </c>
      <c r="H37" s="20">
        <v>-0.19701867850186705</v>
      </c>
      <c r="I37" s="19">
        <v>0.0</v>
      </c>
      <c r="J37" s="18" t="inlineStr">
        <is>
          <t>Collect more data</t>
        </is>
      </c>
    </row>
    <row r="38" ht="30" customHeight="1">
      <c r="A38" s="18" t="inlineStr">
        <is>
          <t>raw_higher</t>
        </is>
      </c>
      <c r="B38" s="18" t="inlineStr">
        <is>
          <t>PROVISIONAL</t>
        </is>
      </c>
      <c r="C38" s="19">
        <v>1</v>
      </c>
      <c r="D38" s="19">
        <v>0</v>
      </c>
      <c r="E38" s="20" t="inlineStr">
        <is>
          <t>Unavailable</t>
        </is>
      </c>
      <c r="F38" s="18" t="inlineStr">
        <is>
          <t>Unavailable</t>
        </is>
      </c>
      <c r="G38" s="18" t="inlineStr">
        <is>
          <t>Unavailable</t>
        </is>
      </c>
      <c r="H38" s="20" t="inlineStr">
        <is>
          <t>Unavailable</t>
        </is>
      </c>
      <c r="I38" s="18" t="inlineStr">
        <is>
          <t>Unavailable</t>
        </is>
      </c>
      <c r="J38" s="18" t="inlineStr">
        <is>
          <t>Not applicable</t>
        </is>
      </c>
    </row>
    <row r="39" ht="30" customHeight="1">
      <c r="A39" s="18" t="inlineStr">
        <is>
          <t>raw_higher</t>
        </is>
      </c>
      <c r="B39" s="18" t="inlineStr">
        <is>
          <t>ALL</t>
        </is>
      </c>
      <c r="C39" s="19">
        <v>3</v>
      </c>
      <c r="D39" s="19">
        <v>1</v>
      </c>
      <c r="E39" s="20">
        <v>0.27</v>
      </c>
      <c r="F39" s="19">
        <v>0.03881635967862205</v>
      </c>
      <c r="G39" s="19">
        <v>0.219423826204877</v>
      </c>
      <c r="H39" s="20">
        <v>-0.19701867850186705</v>
      </c>
      <c r="I39" s="19">
        <v>0.0</v>
      </c>
      <c r="J39" s="18" t="inlineStr">
        <is>
          <t>Not applicable</t>
        </is>
      </c>
    </row>
    <row r="40" ht="30" customHeight="1">
      <c r="A40" s="18" t="inlineStr">
        <is>
          <t>adjusted_lower</t>
        </is>
      </c>
      <c r="B40" s="18" t="inlineStr">
        <is>
          <t>STRICT</t>
        </is>
      </c>
      <c r="C40" s="19">
        <v>2</v>
      </c>
      <c r="D40" s="19">
        <v>1</v>
      </c>
      <c r="E40" s="20">
        <v>0.27</v>
      </c>
      <c r="F40" s="19">
        <v>0.03881635967862205</v>
      </c>
      <c r="G40" s="19">
        <v>0.219423826204877</v>
      </c>
      <c r="H40" s="20">
        <v>-0.19701867850186705</v>
      </c>
      <c r="I40" s="19">
        <v>0.0</v>
      </c>
      <c r="J40" s="18" t="inlineStr">
        <is>
          <t>Collect more data</t>
        </is>
      </c>
    </row>
    <row r="41" ht="30" customHeight="1">
      <c r="A41" s="18" t="inlineStr">
        <is>
          <t>adjusted_lower</t>
        </is>
      </c>
      <c r="B41" s="18" t="inlineStr">
        <is>
          <t>PROVISIONAL</t>
        </is>
      </c>
      <c r="C41" s="19">
        <v>1</v>
      </c>
      <c r="D41" s="19">
        <v>0</v>
      </c>
      <c r="E41" s="20" t="inlineStr">
        <is>
          <t>Unavailable</t>
        </is>
      </c>
      <c r="F41" s="18" t="inlineStr">
        <is>
          <t>Unavailable</t>
        </is>
      </c>
      <c r="G41" s="18" t="inlineStr">
        <is>
          <t>Unavailable</t>
        </is>
      </c>
      <c r="H41" s="20" t="inlineStr">
        <is>
          <t>Unavailable</t>
        </is>
      </c>
      <c r="I41" s="18" t="inlineStr">
        <is>
          <t>Unavailable</t>
        </is>
      </c>
      <c r="J41" s="18" t="inlineStr">
        <is>
          <t>Not applicable</t>
        </is>
      </c>
    </row>
    <row r="42" ht="30" customHeight="1">
      <c r="A42" s="18" t="inlineStr">
        <is>
          <t>adjusted_lower</t>
        </is>
      </c>
      <c r="B42" s="18" t="inlineStr">
        <is>
          <t>ALL</t>
        </is>
      </c>
      <c r="C42" s="19">
        <v>3</v>
      </c>
      <c r="D42" s="19">
        <v>1</v>
      </c>
      <c r="E42" s="20">
        <v>0.27</v>
      </c>
      <c r="F42" s="19">
        <v>0.03881635967862205</v>
      </c>
      <c r="G42" s="19">
        <v>0.219423826204877</v>
      </c>
      <c r="H42" s="20">
        <v>-0.19701867850186705</v>
      </c>
      <c r="I42" s="19">
        <v>0.0</v>
      </c>
      <c r="J42" s="18" t="inlineStr">
        <is>
          <t>Not applicable</t>
        </is>
      </c>
    </row>
    <row r="43" ht="30" customHeight="1">
      <c r="A43" s="18" t="inlineStr">
        <is>
          <t>adjusted_higher</t>
        </is>
      </c>
      <c r="B43" s="18" t="inlineStr">
        <is>
          <t>STRICT</t>
        </is>
      </c>
      <c r="C43" s="19">
        <v>2</v>
      </c>
      <c r="D43" s="19">
        <v>1</v>
      </c>
      <c r="E43" s="20">
        <v>0.27</v>
      </c>
      <c r="F43" s="19">
        <v>0.03881635967862205</v>
      </c>
      <c r="G43" s="19">
        <v>0.219423826204877</v>
      </c>
      <c r="H43" s="20">
        <v>-0.19701867850186705</v>
      </c>
      <c r="I43" s="19">
        <v>0.0</v>
      </c>
      <c r="J43" s="18" t="inlineStr">
        <is>
          <t>Collect more data</t>
        </is>
      </c>
    </row>
    <row r="44" ht="30" customHeight="1">
      <c r="A44" s="18" t="inlineStr">
        <is>
          <t>adjusted_higher</t>
        </is>
      </c>
      <c r="B44" s="18" t="inlineStr">
        <is>
          <t>PROVISIONAL</t>
        </is>
      </c>
      <c r="C44" s="19">
        <v>1</v>
      </c>
      <c r="D44" s="19">
        <v>0</v>
      </c>
      <c r="E44" s="20" t="inlineStr">
        <is>
          <t>Unavailable</t>
        </is>
      </c>
      <c r="F44" s="18" t="inlineStr">
        <is>
          <t>Unavailable</t>
        </is>
      </c>
      <c r="G44" s="18" t="inlineStr">
        <is>
          <t>Unavailable</t>
        </is>
      </c>
      <c r="H44" s="20" t="inlineStr">
        <is>
          <t>Unavailable</t>
        </is>
      </c>
      <c r="I44" s="18" t="inlineStr">
        <is>
          <t>Unavailable</t>
        </is>
      </c>
      <c r="J44" s="18" t="inlineStr">
        <is>
          <t>Not applicable</t>
        </is>
      </c>
    </row>
    <row r="45" ht="30" customHeight="1">
      <c r="A45" s="18" t="inlineStr">
        <is>
          <t>adjusted_higher</t>
        </is>
      </c>
      <c r="B45" s="18" t="inlineStr">
        <is>
          <t>ALL</t>
        </is>
      </c>
      <c r="C45" s="19">
        <v>3</v>
      </c>
      <c r="D45" s="19">
        <v>1</v>
      </c>
      <c r="E45" s="20">
        <v>0.27</v>
      </c>
      <c r="F45" s="19">
        <v>0.03881635967862205</v>
      </c>
      <c r="G45" s="19">
        <v>0.219423826204877</v>
      </c>
      <c r="H45" s="20">
        <v>-0.19701867850186705</v>
      </c>
      <c r="I45" s="19">
        <v>0.0</v>
      </c>
      <c r="J45" s="18" t="inlineStr">
        <is>
          <t>Not applicable</t>
        </is>
      </c>
    </row>
    <row r="46" ht="30" customHeight="1">
      <c r="A46" s="18" t="inlineStr">
        <is>
          <t>penalty_half</t>
        </is>
      </c>
      <c r="B46" s="18" t="inlineStr">
        <is>
          <t>STRICT</t>
        </is>
      </c>
      <c r="C46" s="19">
        <v>2</v>
      </c>
      <c r="D46" s="19">
        <v>1</v>
      </c>
      <c r="E46" s="20">
        <v>0.27</v>
      </c>
      <c r="F46" s="19">
        <v>0.03881635967862205</v>
      </c>
      <c r="G46" s="19">
        <v>0.219423826204877</v>
      </c>
      <c r="H46" s="20">
        <v>-0.19701867850186705</v>
      </c>
      <c r="I46" s="19">
        <v>0.0</v>
      </c>
      <c r="J46" s="18" t="inlineStr">
        <is>
          <t>Collect more data</t>
        </is>
      </c>
    </row>
    <row r="47" ht="30" customHeight="1">
      <c r="A47" s="18" t="inlineStr">
        <is>
          <t>penalty_half</t>
        </is>
      </c>
      <c r="B47" s="18" t="inlineStr">
        <is>
          <t>PROVISIONAL</t>
        </is>
      </c>
      <c r="C47" s="19">
        <v>1</v>
      </c>
      <c r="D47" s="19">
        <v>0</v>
      </c>
      <c r="E47" s="20" t="inlineStr">
        <is>
          <t>Unavailable</t>
        </is>
      </c>
      <c r="F47" s="18" t="inlineStr">
        <is>
          <t>Unavailable</t>
        </is>
      </c>
      <c r="G47" s="18" t="inlineStr">
        <is>
          <t>Unavailable</t>
        </is>
      </c>
      <c r="H47" s="20" t="inlineStr">
        <is>
          <t>Unavailable</t>
        </is>
      </c>
      <c r="I47" s="18" t="inlineStr">
        <is>
          <t>Unavailable</t>
        </is>
      </c>
      <c r="J47" s="18" t="inlineStr">
        <is>
          <t>Not applicable</t>
        </is>
      </c>
    </row>
    <row r="48" ht="30" customHeight="1">
      <c r="A48" s="18" t="inlineStr">
        <is>
          <t>penalty_half</t>
        </is>
      </c>
      <c r="B48" s="18" t="inlineStr">
        <is>
          <t>ALL</t>
        </is>
      </c>
      <c r="C48" s="19">
        <v>3</v>
      </c>
      <c r="D48" s="19">
        <v>1</v>
      </c>
      <c r="E48" s="20">
        <v>0.27</v>
      </c>
      <c r="F48" s="19">
        <v>0.03881635967862205</v>
      </c>
      <c r="G48" s="19">
        <v>0.219423826204877</v>
      </c>
      <c r="H48" s="20">
        <v>-0.19701867850186705</v>
      </c>
      <c r="I48" s="19">
        <v>0.0</v>
      </c>
      <c r="J48" s="18" t="inlineStr">
        <is>
          <t>Not applicable</t>
        </is>
      </c>
    </row>
    <row r="49" ht="30" customHeight="1">
      <c r="A49" s="18" t="inlineStr">
        <is>
          <t>penalty_stronger</t>
        </is>
      </c>
      <c r="B49" s="18" t="inlineStr">
        <is>
          <t>STRICT</t>
        </is>
      </c>
      <c r="C49" s="19">
        <v>2</v>
      </c>
      <c r="D49" s="19">
        <v>1</v>
      </c>
      <c r="E49" s="20">
        <v>0.27</v>
      </c>
      <c r="F49" s="19">
        <v>0.03881635967862205</v>
      </c>
      <c r="G49" s="19">
        <v>0.219423826204877</v>
      </c>
      <c r="H49" s="20">
        <v>-0.19701867850186705</v>
      </c>
      <c r="I49" s="19">
        <v>0.0</v>
      </c>
      <c r="J49" s="18" t="inlineStr">
        <is>
          <t>Collect more data</t>
        </is>
      </c>
    </row>
    <row r="50" ht="30" customHeight="1">
      <c r="A50" s="18" t="inlineStr">
        <is>
          <t>penalty_stronger</t>
        </is>
      </c>
      <c r="B50" s="18" t="inlineStr">
        <is>
          <t>PROVISIONAL</t>
        </is>
      </c>
      <c r="C50" s="19">
        <v>1</v>
      </c>
      <c r="D50" s="19">
        <v>0</v>
      </c>
      <c r="E50" s="20" t="inlineStr">
        <is>
          <t>Unavailable</t>
        </is>
      </c>
      <c r="F50" s="18" t="inlineStr">
        <is>
          <t>Unavailable</t>
        </is>
      </c>
      <c r="G50" s="18" t="inlineStr">
        <is>
          <t>Unavailable</t>
        </is>
      </c>
      <c r="H50" s="20" t="inlineStr">
        <is>
          <t>Unavailable</t>
        </is>
      </c>
      <c r="I50" s="18" t="inlineStr">
        <is>
          <t>Unavailable</t>
        </is>
      </c>
      <c r="J50" s="18" t="inlineStr">
        <is>
          <t>Not applicable</t>
        </is>
      </c>
    </row>
    <row r="51" ht="30" customHeight="1">
      <c r="A51" s="18" t="inlineStr">
        <is>
          <t>penalty_stronger</t>
        </is>
      </c>
      <c r="B51" s="18" t="inlineStr">
        <is>
          <t>ALL</t>
        </is>
      </c>
      <c r="C51" s="19">
        <v>3</v>
      </c>
      <c r="D51" s="19">
        <v>1</v>
      </c>
      <c r="E51" s="20">
        <v>0.27</v>
      </c>
      <c r="F51" s="19">
        <v>0.03881635967862205</v>
      </c>
      <c r="G51" s="19">
        <v>0.219423826204877</v>
      </c>
      <c r="H51" s="20">
        <v>-0.19701867850186705</v>
      </c>
      <c r="I51" s="19">
        <v>0.0</v>
      </c>
      <c r="J51" s="18" t="inlineStr">
        <is>
          <t>Not applicable</t>
        </is>
      </c>
    </row>
  </sheetData>
  <autoFilter ref="A5:J14"/>
  <mergeCells count="6">
    <mergeCell ref="A2:J2"/>
    <mergeCell ref="A4:J4"/>
    <mergeCell ref="A16:J16"/>
    <mergeCell ref="A17:J17"/>
    <mergeCell ref="A22:J22"/>
    <mergeCell ref="A23:J23"/>
  </mergeCells>
  <conditionalFormatting sqref="B6:B14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19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Breakdowns!B25</f>
        <v>2026-W41</v>
      </c>
      <c r="B6" s="19">
        <f>Breakdowns!D25</f>
        <v>4.0</v>
      </c>
      <c r="C6" s="19">
        <f>COUNTIFS(Selections!$P$6:$P$29,A6,Selections!$M$6:$M$29,"&gt;0")</f>
        <v>4.0</v>
      </c>
      <c r="D6" s="22">
        <f>IF(C6=0,"n.a.",Breakdowns!J25)</f>
        <v>-1.48</v>
      </c>
      <c r="E6" s="22">
        <f>IF(SUM($C$6:C6)=0,"n.a.",SUM($D$6:D6))</f>
        <v>-1.48</v>
      </c>
      <c r="F6" s="20">
        <f>Breakdowns!H25</f>
        <v>0.5</v>
      </c>
    </row>
    <row r="7" ht="26" customHeight="1">
      <c r="A7" s="18" t="str">
        <f>Breakdowns!B26</f>
        <v>2026-W42</v>
      </c>
      <c r="B7" s="19">
        <f>Breakdowns!D26</f>
        <v>10.0</v>
      </c>
      <c r="C7" s="19">
        <f>COUNTIFS(Selections!$P$6:$P$29,A7,Selections!$M$6:$M$29,"&gt;0")</f>
        <v>10.0</v>
      </c>
      <c r="D7" s="22">
        <f>IF(C7=0,"n.a.",Breakdowns!J26)</f>
        <v>1.13</v>
      </c>
      <c r="E7" s="22">
        <f>IF(SUM($C$6:C7)=0,"n.a.",SUM($D$6:D7))</f>
        <v>-0.3500000000000001</v>
      </c>
      <c r="F7" s="20">
        <f>Breakdowns!H26</f>
        <v>0.8</v>
      </c>
    </row>
    <row r="8" ht="26" customHeight="1">
      <c r="A8" s="18" t="str">
        <f>Breakdowns!B27</f>
        <v>2026-W43</v>
      </c>
      <c r="B8" s="19">
        <f>Breakdowns!D27</f>
        <v>0.0</v>
      </c>
      <c r="C8" s="19">
        <f>COUNTIFS(Selections!$P$6:$P$29,A8,Selections!$M$6:$M$29,"&gt;0")</f>
        <v>0</v>
      </c>
      <c r="D8" s="22" t="str">
        <f>IF(C8=0,"n.a.",Breakdowns!J27)</f>
        <v>n.a.</v>
      </c>
      <c r="E8" s="22">
        <f>IF(SUM($C$6:C8)=0,"n.a.",SUM($D$6:D8))</f>
        <v>-0.3500000000000001</v>
      </c>
      <c r="F8" s="20" t="str">
        <f>Breakdowns!H27</f>
        <v>n.a.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Wins divided by settled selections. Pending and unverified results are excluded.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Mean squared error between a forecast probability and a binary outcome.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Fair-close EV</t>
        </is>
      </c>
      <c r="B13" s="18" t="inlineStr">
        <is>
          <t>Frozen offered odds multiplied by the de-vigged near-close probability, minus one and recorded costs.</t>
        </is>
      </c>
      <c r="C13" s="18" t="inlineStr">
        <is>
          <t>Positive indicates value relative to that observed reference. Coverage must be shown.</t>
        </is>
      </c>
    </row>
    <row r="14" ht="54" customHeight="1">
      <c r="A14" s="18" t="inlineStr">
        <is>
          <t>Verified coverage</t>
        </is>
      </c>
      <c r="B14" s="18" t="inlineStr">
        <is>
          <t>Share of verified in-scope fixtures with a usable paired candidate forecast.</t>
        </is>
      </c>
      <c r="C14" s="18" t="inlineStr">
        <is>
          <t>Use each versioned trial's registered minimum. Missing coverage remains unavailable.</t>
        </is>
      </c>
    </row>
    <row r="15" ht="54" customHeight="1">
      <c r="A15" s="18" t="inlineStr">
        <is>
          <t>Initial review</t>
        </is>
      </c>
      <c r="B15" s="18" t="inlineStr">
        <is>
          <t>Original sidecars: at least 28 collection days and 30 settled observations.</t>
        </is>
      </c>
      <c r="C15" s="18" t="inlineStr">
        <is>
          <t>An initial look permits review, not promotion or a profitability claim.</t>
        </is>
      </c>
    </row>
    <row r="16" ht="54" customHeight="1">
      <c r="A16" s="18" t="inlineStr">
        <is>
          <t>Approval review</t>
        </is>
      </c>
      <c r="B16" s="18" t="inlineStr">
        <is>
          <t>Versioned trials: registered fixture, ISO-week and coverage gates must pass.</t>
        </is>
      </c>
      <c r="C16" s="18" t="inlineStr">
        <is>
          <t>Readiness can include negative findings. Production changes require approval.</t>
        </is>
      </c>
    </row>
    <row r="17" ht="54" customHeight="1">
      <c r="A17" s="18" t="inlineStr">
        <is>
          <t>ISO week</t>
        </is>
      </c>
      <c r="B17" s="18" t="inlineStr">
        <is>
          <t>Calendar year and week, assigned by the existing grading system.</t>
        </is>
      </c>
      <c r="C17" s="18" t="inlineStr">
        <is>
          <t>This is not a competition gameweek.</t>
        </is>
      </c>
    </row>
    <row r="18" ht="54" customHeight="1">
      <c r="A18" s="18" t="inlineStr">
        <is>
          <t>Unavailable / n.a.</t>
        </is>
      </c>
      <c r="B18" s="18" t="inlineStr">
        <is>
          <t>The required input or settled sample is missing.</t>
        </is>
      </c>
      <c r="C18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2026-10-17T15:46:52.377489+00:00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2026-10-16</t>
        </is>
      </c>
      <c r="C9" s="19">
        <v>964</v>
      </c>
      <c r="D9" s="19">
        <v>1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2026-10-12</t>
        </is>
      </c>
      <c r="C10" s="19">
        <v>1200</v>
      </c>
      <c r="D10" s="19">
        <v>5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2026-10-16</t>
        </is>
      </c>
      <c r="C11" s="19">
        <v>1219</v>
      </c>
      <c r="D11" s="19">
        <v>1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2026-10-16</t>
        </is>
      </c>
      <c r="C12" s="19">
        <v>973</v>
      </c>
      <c r="D12" s="19">
        <v>1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2026-10-16</t>
        </is>
      </c>
      <c r="C13" s="19">
        <v>1201</v>
      </c>
      <c r="D13" s="19">
        <v>1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UCL</t>
        </is>
      </c>
      <c r="B14" s="18" t="inlineStr">
        <is>
          <t>2026-10-14</t>
        </is>
      </c>
      <c r="C14" s="19">
        <v>539</v>
      </c>
      <c r="D14" s="19">
        <v>3</v>
      </c>
      <c r="E14" s="18" t="inlineStr">
        <is>
          <t>Current within provider schedule</t>
        </is>
      </c>
      <c r="F14" s="18" t="inlineStr">
        <is>
          <t>See source health report</t>
        </is>
      </c>
    </row>
    <row r="17">
      <c r="A17" s="26" t="inlineStr">
        <is>
          <t>Near-close quote coverage</t>
        </is>
      </c>
    </row>
    <row r="18" ht="34" customHeight="1">
      <c r="A18" s="24" t="inlineStr">
        <is>
          <t>Bookmaker</t>
        </is>
      </c>
      <c r="B18" s="24" t="inlineStr">
        <is>
          <t>Covered selections</t>
        </is>
      </c>
      <c r="C18" s="24" t="inlineStr">
        <is>
          <t>Missing selections</t>
        </is>
      </c>
      <c r="D18" s="24" t="inlineStr">
        <is>
          <t>Pending selections</t>
        </is>
      </c>
      <c r="E18" s="24" t="inlineStr">
        <is>
          <t>Mean fair-close EV</t>
        </is>
      </c>
      <c r="F18" s="24" t="inlineStr">
        <is>
          <t>Same-book offer CLV</t>
        </is>
      </c>
    </row>
    <row r="19" ht="44" customHeight="1">
      <c r="A19" s="18" t="inlineStr">
        <is>
          <t>1xbet</t>
        </is>
      </c>
      <c r="B19" s="19">
        <v>3</v>
      </c>
      <c r="C19" s="19">
        <v>15</v>
      </c>
      <c r="D19" s="19">
        <v>6</v>
      </c>
      <c r="E19" s="20">
        <v>-0.02658782141516854</v>
      </c>
      <c r="F19" s="20">
        <v>0.0024470197146682637</v>
      </c>
    </row>
    <row r="20" ht="44" customHeight="1">
      <c r="A20" s="18" t="inlineStr">
        <is>
          <t>pinnacle</t>
        </is>
      </c>
      <c r="B20" s="19">
        <v>4</v>
      </c>
      <c r="C20" s="19">
        <v>14</v>
      </c>
      <c r="D20" s="19">
        <v>6</v>
      </c>
      <c r="E20" s="20">
        <v>-0.016476507395834922</v>
      </c>
      <c r="F20" s="20" t="inlineStr">
        <is>
          <t>Unavailable</t>
        </is>
      </c>
    </row>
    <row r="23">
      <c r="A23" s="27" t="inlineStr">
        <is>
          <t>Observed near-close quotes are not guaranteed official closes. Accepted bet prices and execution remain unverified.</t>
        </is>
      </c>
    </row>
    <row r="25">
      <c r="A25" s="26" t="inlineStr">
        <is>
          <t>Latest shortlist quote audit</t>
        </is>
      </c>
    </row>
    <row r="26" ht="34" customHeight="1">
      <c r="A26" s="24" t="inlineStr">
        <is>
          <t>Check</t>
        </is>
      </c>
      <c r="B26" s="24" t="inlineStr">
        <is>
          <t>Recorded value</t>
        </is>
      </c>
    </row>
    <row r="27" ht="44" customHeight="1">
      <c r="A27" s="18" t="inlineStr">
        <is>
          <t>Selected quotes</t>
        </is>
      </c>
      <c r="B27" s="19">
        <v>2</v>
      </c>
    </row>
    <row r="28" ht="44" customHeight="1">
      <c r="A28" s="18" t="inlineStr">
        <is>
          <t>Exchange quotes</t>
        </is>
      </c>
      <c r="B28" s="19">
        <v>0</v>
      </c>
    </row>
    <row r="29" ht="44" customHeight="1">
      <c r="A29" s="18" t="inlineStr">
        <is>
          <t>Missing quote age</t>
        </is>
      </c>
      <c r="B29" s="19">
        <v>0</v>
      </c>
    </row>
    <row r="30" ht="44" customHeight="1">
      <c r="A30" s="18" t="inlineStr">
        <is>
          <t>Quote age over 24h</t>
        </is>
      </c>
      <c r="B30" s="19">
        <v>0</v>
      </c>
    </row>
    <row r="31" ht="44" customHeight="1">
      <c r="A31" s="18" t="inlineStr">
        <is>
          <t>Costs recorded</t>
        </is>
      </c>
      <c r="B31" s="19">
        <v>2</v>
      </c>
    </row>
    <row r="32" ht="44" customHeight="1">
      <c r="A32" s="18" t="inlineStr">
        <is>
          <t>Bookmakers: 1xBet</t>
        </is>
      </c>
      <c r="B32" s="19">
        <v>2</v>
      </c>
    </row>
    <row r="33" ht="44" customHeight="1">
      <c r="A33" s="18" t="inlineStr">
        <is>
          <t>Account availability</t>
        </is>
      </c>
      <c r="B33" s="18" t="inlineStr">
        <is>
          <t>Not verified with bookmaker accounts</t>
        </is>
      </c>
    </row>
    <row r="36">
      <c r="A36" s="26" t="inlineStr">
        <is>
          <t>Forecast capture coverage</t>
        </is>
      </c>
    </row>
    <row r="37" ht="34" customHeight="1">
      <c r="A37" s="24" t="inlineStr">
        <is>
          <t>Experiment</t>
        </is>
      </c>
      <c r="B37" s="24" t="inlineStr">
        <is>
          <t>Capture state</t>
        </is>
      </c>
      <c r="C37" s="24" t="inlineStr">
        <is>
          <t>Snapshot count</t>
        </is>
      </c>
    </row>
    <row r="38" ht="44" customHeight="1">
      <c r="A38" s="18" t="inlineStr">
        <is>
          <t>Goal-market blend</t>
        </is>
      </c>
      <c r="B38" s="18" t="inlineStr">
        <is>
          <t>Captured</t>
        </is>
      </c>
      <c r="C38" s="19">
        <v>19</v>
      </c>
    </row>
    <row r="39" ht="44" customHeight="1">
      <c r="A39" s="18" t="inlineStr">
        <is>
          <t>Goal-market blend</t>
        </is>
      </c>
      <c r="B39" s="18" t="inlineStr">
        <is>
          <t>Legacy not recorded</t>
        </is>
      </c>
      <c r="C39" s="19">
        <v>14</v>
      </c>
    </row>
    <row r="40" ht="44" customHeight="1">
      <c r="A40" s="18" t="inlineStr">
        <is>
          <t>Market-led forecasts</t>
        </is>
      </c>
      <c r="B40" s="18" t="inlineStr">
        <is>
          <t>Captured</t>
        </is>
      </c>
      <c r="C40" s="19">
        <v>19</v>
      </c>
    </row>
    <row r="41" ht="44" customHeight="1">
      <c r="A41" s="18" t="inlineStr">
        <is>
          <t>Market-led forecasts</t>
        </is>
      </c>
      <c r="B41" s="18" t="inlineStr">
        <is>
          <t>Legacy not recorded</t>
        </is>
      </c>
      <c r="C41" s="19">
        <v>14</v>
      </c>
    </row>
    <row r="42" ht="44" customHeight="1">
      <c r="A42" s="18" t="inlineStr">
        <is>
          <t>Recency comparison</t>
        </is>
      </c>
      <c r="B42" s="18" t="inlineStr">
        <is>
          <t>Captured</t>
        </is>
      </c>
      <c r="C42" s="19">
        <v>15</v>
      </c>
    </row>
    <row r="43" ht="44" customHeight="1">
      <c r="A43" s="18" t="inlineStr">
        <is>
          <t>Recency comparison</t>
        </is>
      </c>
      <c r="B43" s="18" t="inlineStr">
        <is>
          <t>Legacy not recorded</t>
        </is>
      </c>
      <c r="C43" s="19">
        <v>18</v>
      </c>
    </row>
    <row r="44" ht="44" customHeight="1">
      <c r="A44" s="18" t="inlineStr">
        <is>
          <t>EV filter sensitivity</t>
        </is>
      </c>
      <c r="B44" s="18" t="inlineStr">
        <is>
          <t>Captured</t>
        </is>
      </c>
      <c r="C44" s="19">
        <v>14</v>
      </c>
    </row>
    <row r="45" ht="44" customHeight="1">
      <c r="A45" s="18" t="inlineStr">
        <is>
          <t>EV filter sensitivity</t>
        </is>
      </c>
      <c r="B45" s="18" t="inlineStr">
        <is>
          <t>Legacy not recorded</t>
        </is>
      </c>
      <c r="C45" s="19">
        <v>19</v>
      </c>
    </row>
    <row r="46" ht="44" customHeight="1">
      <c r="A46" s="18" t="inlineStr">
        <is>
          <t>85% market weight</t>
        </is>
      </c>
      <c r="B46" s="18" t="inlineStr">
        <is>
          <t>Captured</t>
        </is>
      </c>
      <c r="C46" s="19">
        <v>12</v>
      </c>
    </row>
    <row r="47" ht="44" customHeight="1">
      <c r="A47" s="18" t="inlineStr">
        <is>
          <t>85% market weight</t>
        </is>
      </c>
      <c r="B47" s="18" t="inlineStr">
        <is>
          <t>Legacy not recorded</t>
        </is>
      </c>
      <c r="C47" s="19">
        <v>20</v>
      </c>
    </row>
    <row r="48" ht="44" customHeight="1">
      <c r="A48" s="18" t="inlineStr">
        <is>
          <t>85% market weight</t>
        </is>
      </c>
      <c r="B48" s="18" t="inlineStr">
        <is>
          <t>Present but rejected</t>
        </is>
      </c>
      <c r="C48" s="19">
        <v>1</v>
      </c>
    </row>
    <row r="49" ht="44" customHeight="1">
      <c r="A49" s="18" t="inlineStr">
        <is>
          <t>Pinnacle totals anchor</t>
        </is>
      </c>
      <c r="B49" s="18" t="inlineStr">
        <is>
          <t>Captured</t>
        </is>
      </c>
      <c r="C49" s="19">
        <v>12</v>
      </c>
    </row>
    <row r="50" ht="44" customHeight="1">
      <c r="A50" s="18" t="inlineStr">
        <is>
          <t>Pinnacle totals anchor</t>
        </is>
      </c>
      <c r="B50" s="18" t="inlineStr">
        <is>
          <t>Legacy not recorded</t>
        </is>
      </c>
      <c r="C50" s="19">
        <v>21</v>
      </c>
    </row>
    <row r="51" ht="44" customHeight="1">
      <c r="A51" s="18" t="inlineStr">
        <is>
          <t>Stronger regularisation (L2=3)</t>
        </is>
      </c>
      <c r="B51" s="18" t="inlineStr">
        <is>
          <t>Legacy not recorded</t>
        </is>
      </c>
      <c r="C51" s="19">
        <v>33</v>
      </c>
    </row>
    <row r="52" ht="44" customHeight="1">
      <c r="A52" s="18" t="inlineStr">
        <is>
          <t>Fixed half-life (480 days)</t>
        </is>
      </c>
      <c r="B52" s="18" t="inlineStr">
        <is>
          <t>Legacy not recorded</t>
        </is>
      </c>
      <c r="C52" s="19">
        <v>33</v>
      </c>
    </row>
    <row r="53" ht="44" customHeight="1">
      <c r="A53" s="18" t="inlineStr">
        <is>
          <t>Probability / calibration policy</t>
        </is>
      </c>
      <c r="B53" s="18" t="inlineStr">
        <is>
          <t>Captured</t>
        </is>
      </c>
      <c r="C53" s="19">
        <v>6</v>
      </c>
    </row>
    <row r="54" ht="44" customHeight="1">
      <c r="A54" s="18" t="inlineStr">
        <is>
          <t>Probability / calibration policy</t>
        </is>
      </c>
      <c r="B54" s="18" t="inlineStr">
        <is>
          <t>Legacy not recorded</t>
        </is>
      </c>
      <c r="C54" s="19">
        <v>26</v>
      </c>
    </row>
    <row r="55" ht="44" customHeight="1">
      <c r="A55" s="18" t="inlineStr">
        <is>
          <t>Probability / calibration policy</t>
        </is>
      </c>
      <c r="B55" s="18" t="inlineStr">
        <is>
          <t>Present but rejected</t>
        </is>
      </c>
      <c r="C55" s="19">
        <v>1</v>
      </c>
    </row>
    <row r="58">
      <c r="A58" s="26" t="inlineStr">
        <is>
          <t>EV sensitivity results</t>
        </is>
      </c>
    </row>
    <row r="59" ht="34" customHeight="1">
      <c r="A59" s="24" t="inlineStr">
        <is>
          <t>EV floor</t>
        </is>
      </c>
      <c r="B59" s="24" t="inlineStr">
        <is>
          <t>Tier</t>
        </is>
      </c>
      <c r="C59" s="24" t="inlineStr">
        <is>
          <t>Selected</t>
        </is>
      </c>
      <c r="D59" s="24" t="inlineStr">
        <is>
          <t>Settled</t>
        </is>
      </c>
      <c r="E59" s="24" t="inlineStr">
        <is>
          <t>Simulated ROI</t>
        </is>
      </c>
      <c r="F59" s="24" t="inlineStr">
        <is>
          <t>Drawdown (units)</t>
        </is>
      </c>
    </row>
    <row r="60" ht="44" customHeight="1">
      <c r="A60" s="20">
        <v>0.015</v>
      </c>
      <c r="B60" s="18" t="inlineStr">
        <is>
          <t>ALL</t>
        </is>
      </c>
      <c r="C60" s="19">
        <v>8</v>
      </c>
      <c r="D60" s="19">
        <v>5</v>
      </c>
      <c r="E60" s="20">
        <v>0.06999999999999998</v>
      </c>
      <c r="F60" s="22">
        <v>1.0</v>
      </c>
    </row>
    <row r="61" ht="44" customHeight="1">
      <c r="A61" s="20">
        <v>0.015</v>
      </c>
      <c r="B61" s="18" t="inlineStr">
        <is>
          <t>STRICT</t>
        </is>
      </c>
      <c r="C61" s="19">
        <v>7</v>
      </c>
      <c r="D61" s="19">
        <v>5</v>
      </c>
      <c r="E61" s="20">
        <v>0.06999999999999998</v>
      </c>
      <c r="F61" s="22">
        <v>1.0</v>
      </c>
    </row>
    <row r="62" ht="44" customHeight="1">
      <c r="A62" s="20">
        <v>0.015</v>
      </c>
      <c r="B62" s="18" t="inlineStr">
        <is>
          <t>PROVISIONAL</t>
        </is>
      </c>
      <c r="C62" s="19">
        <v>1</v>
      </c>
      <c r="D62" s="19">
        <v>0</v>
      </c>
      <c r="E62" s="20"/>
      <c r="F62" s="22"/>
    </row>
    <row r="63" ht="44" customHeight="1">
      <c r="A63" s="20">
        <v>0.03</v>
      </c>
      <c r="B63" s="18" t="inlineStr">
        <is>
          <t>ALL</t>
        </is>
      </c>
      <c r="C63" s="19">
        <v>7</v>
      </c>
      <c r="D63" s="19">
        <v>5</v>
      </c>
      <c r="E63" s="20">
        <v>0.06999999999999998</v>
      </c>
      <c r="F63" s="22">
        <v>1.0</v>
      </c>
    </row>
    <row r="64" ht="44" customHeight="1">
      <c r="A64" s="20">
        <v>0.03</v>
      </c>
      <c r="B64" s="18" t="inlineStr">
        <is>
          <t>STRICT</t>
        </is>
      </c>
      <c r="C64" s="19">
        <v>6</v>
      </c>
      <c r="D64" s="19">
        <v>5</v>
      </c>
      <c r="E64" s="20">
        <v>0.06999999999999998</v>
      </c>
      <c r="F64" s="22">
        <v>1.0</v>
      </c>
    </row>
    <row r="65" ht="44" customHeight="1">
      <c r="A65" s="20">
        <v>0.03</v>
      </c>
      <c r="B65" s="18" t="inlineStr">
        <is>
          <t>PROVISIONAL</t>
        </is>
      </c>
      <c r="C65" s="19">
        <v>1</v>
      </c>
      <c r="D65" s="19">
        <v>0</v>
      </c>
      <c r="E65" s="20"/>
      <c r="F65" s="22"/>
    </row>
    <row r="66" ht="44" customHeight="1">
      <c r="A66" s="20">
        <v>0.05</v>
      </c>
      <c r="B66" s="18" t="inlineStr">
        <is>
          <t>ALL</t>
        </is>
      </c>
      <c r="C66" s="19">
        <v>6</v>
      </c>
      <c r="D66" s="19">
        <v>5</v>
      </c>
      <c r="E66" s="20">
        <v>0.06999999999999998</v>
      </c>
      <c r="F66" s="22">
        <v>1.0</v>
      </c>
    </row>
    <row r="67" ht="44" customHeight="1">
      <c r="A67" s="20">
        <v>0.05</v>
      </c>
      <c r="B67" s="18" t="inlineStr">
        <is>
          <t>STRICT</t>
        </is>
      </c>
      <c r="C67" s="19">
        <v>5</v>
      </c>
      <c r="D67" s="19">
        <v>5</v>
      </c>
      <c r="E67" s="20">
        <v>0.06999999999999998</v>
      </c>
      <c r="F67" s="22">
        <v>1.0</v>
      </c>
    </row>
    <row r="68" ht="44" customHeight="1">
      <c r="A68" s="20">
        <v>0.05</v>
      </c>
      <c r="B68" s="18" t="inlineStr">
        <is>
          <t>PROVISIONAL</t>
        </is>
      </c>
      <c r="C68" s="19">
        <v>1</v>
      </c>
      <c r="D68" s="19">
        <v>0</v>
      </c>
      <c r="E68" s="20"/>
      <c r="F68" s="22"/>
    </row>
    <row r="71">
      <c r="A71" s="26" t="inlineStr">
        <is>
          <t>Daily review observations</t>
        </is>
      </c>
    </row>
    <row r="72" ht="34" customHeight="1">
      <c r="A72" s="24" t="inlineStr">
        <is>
          <t>Review date</t>
        </is>
      </c>
      <c r="B72" s="24" t="inlineStr">
        <is>
          <t>Graded</t>
        </is>
      </c>
      <c r="C72" s="24" t="inlineStr">
        <is>
          <t>Win rate</t>
        </is>
      </c>
      <c r="D72" s="24" t="inlineStr">
        <is>
          <t>Simulated ROI</t>
        </is>
      </c>
      <c r="E72" s="24" t="inlineStr">
        <is>
          <t>Brier</t>
        </is>
      </c>
    </row>
    <row r="73" ht="44" customHeight="1">
      <c r="A73" s="18" t="inlineStr">
        <is>
          <t>2026-10-13</t>
        </is>
      </c>
      <c r="B73" s="19">
        <v>9</v>
      </c>
      <c r="C73" s="20">
        <v>0.666667</v>
      </c>
      <c r="D73" s="20">
        <v>-0.096667</v>
      </c>
      <c r="E73" s="21">
        <v>0.250532</v>
      </c>
    </row>
    <row r="74" ht="44" customHeight="1">
      <c r="A74" s="18" t="inlineStr">
        <is>
          <t>2026-10-14</t>
        </is>
      </c>
      <c r="B74" s="19">
        <v>11</v>
      </c>
      <c r="C74" s="20">
        <v>0.727273</v>
      </c>
      <c r="D74" s="20">
        <v>0.01</v>
      </c>
      <c r="E74" s="21">
        <v>0.215932</v>
      </c>
    </row>
    <row r="75" ht="44" customHeight="1">
      <c r="A75" s="18" t="inlineStr">
        <is>
          <t>2026-10-15</t>
        </is>
      </c>
      <c r="B75" s="19">
        <v>11</v>
      </c>
      <c r="C75" s="20">
        <v>0.727273</v>
      </c>
      <c r="D75" s="20">
        <v>0.01</v>
      </c>
      <c r="E75" s="21">
        <v>0.215932</v>
      </c>
    </row>
    <row r="76" ht="44" customHeight="1">
      <c r="A76" s="18" t="inlineStr">
        <is>
          <t>2026-10-16</t>
        </is>
      </c>
      <c r="B76" s="19">
        <v>12</v>
      </c>
      <c r="C76" s="20">
        <v>0.75</v>
      </c>
      <c r="D76" s="20">
        <v>0.031667</v>
      </c>
      <c r="E76" s="21">
        <v>0.199836</v>
      </c>
    </row>
    <row r="77" ht="44" customHeight="1">
      <c r="A77" s="18" t="inlineStr">
        <is>
          <t>2026-10-17</t>
        </is>
      </c>
      <c r="B77" s="19">
        <v>14</v>
      </c>
      <c r="C77" s="20">
        <v>0.714286</v>
      </c>
      <c r="D77" s="20">
        <v>-0.025</v>
      </c>
      <c r="E77" s="21">
        <v>0.205243</v>
      </c>
    </row>
    <row r="80">
      <c r="A80" s="26" t="inlineStr">
        <is>
          <t>Dependency versions</t>
        </is>
      </c>
    </row>
    <row r="81" ht="34" customHeight="1">
      <c r="A81" s="24" t="inlineStr">
        <is>
          <t>Dependency</t>
        </is>
      </c>
      <c r="B81" s="24" t="inlineStr">
        <is>
          <t>Version</t>
        </is>
      </c>
    </row>
    <row r="82" ht="44" customHeight="1">
      <c r="A82" s="18" t="inlineStr">
        <is>
          <t>python</t>
        </is>
      </c>
      <c r="B82" s="18" t="inlineStr">
        <is>
          <t>3.12.15</t>
        </is>
      </c>
    </row>
    <row r="83" ht="44" customHeight="1">
      <c r="A83" s="18" t="inlineStr">
        <is>
          <t>numpy</t>
        </is>
      </c>
      <c r="B83" s="18" t="inlineStr">
        <is>
          <t>2.5.4</t>
        </is>
      </c>
    </row>
    <row r="84" ht="44" customHeight="1">
      <c r="A84" s="18" t="inlineStr">
        <is>
          <t>pandas</t>
        </is>
      </c>
      <c r="B84" s="18" t="inlineStr">
        <is>
          <t>3.0.6</t>
        </is>
      </c>
    </row>
    <row r="85" ht="44" customHeight="1">
      <c r="A85" s="18" t="inlineStr">
        <is>
          <t>scipy</t>
        </is>
      </c>
      <c r="B85" s="18" t="inlineStr">
        <is>
          <t>1.18.1</t>
        </is>
      </c>
    </row>
    <row r="86" ht="44" customHeight="1">
      <c r="A86" s="18" t="inlineStr">
        <is>
          <t>requests</t>
        </is>
      </c>
      <c r="B86" s="18" t="inlineStr">
        <is>
          <t>2.34.2</t>
        </is>
      </c>
    </row>
    <row r="87" ht="44" customHeight="1">
      <c r="A87" s="18" t="inlineStr">
        <is>
          <t>python-dotenv</t>
        </is>
      </c>
      <c r="B87" s="18" t="inlineStr">
        <is>
          <t>1.2.4</t>
        </is>
      </c>
    </row>
    <row r="88" ht="44" customHeight="1">
      <c r="A88" s="18" t="inlineStr">
        <is>
          <t>coverage</t>
        </is>
      </c>
      <c r="B88" s="18" t="inlineStr">
        <is>
          <t>NOT_INSTALLED</t>
        </is>
      </c>
    </row>
    <row r="89" ht="44" customHeight="1">
      <c r="A89" s="18" t="inlineStr">
        <is>
          <t>PyYAML</t>
        </is>
      </c>
      <c r="B89" s="18" t="inlineStr">
        <is>
          <t>NOT_INSTALLED</t>
        </is>
      </c>
    </row>
    <row r="92">
      <c r="A92" s="31" t="inlineStr">
        <is>
          <t>Back to dashboard</t>
        </is>
      </c>
    </row>
  </sheetData>
  <mergeCells count="11">
    <mergeCell ref="A2:F2"/>
    <mergeCell ref="A4:F4"/>
    <mergeCell ref="A5:F5"/>
    <mergeCell ref="A7:F7"/>
    <mergeCell ref="A17:F17"/>
    <mergeCell ref="A23:F23"/>
    <mergeCell ref="A25:F25"/>
    <mergeCell ref="A36:F36"/>
    <mergeCell ref="A58:F58"/>
    <mergeCell ref="A71:F71"/>
    <mergeCell ref="A80:F80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B38">
    <cfRule type="expression" priority="101" dxfId="4">
      <formula>OR(B38="Capture failed",B38="Invalid",B38="Hash mismatch")</formula>
    </cfRule>
    <cfRule type="expression" priority="102" dxfId="3">
      <formula>OR(B38="Legacy not recorded",B38="Missing",B38="Not captured")</formula>
    </cfRule>
  </conditionalFormatting>
  <conditionalFormatting sqref="B39">
    <cfRule type="expression" priority="101" dxfId="4">
      <formula>OR(B39="Capture failed",B39="Invalid",B39="Hash mismatch")</formula>
    </cfRule>
    <cfRule type="expression" priority="102" dxfId="3">
      <formula>OR(B39="Legacy not recorded",B39="Missing",B39="Not captured")</formula>
    </cfRule>
  </conditionalFormatting>
  <conditionalFormatting sqref="B40">
    <cfRule type="expression" priority="101" dxfId="4">
      <formula>OR(B40="Capture failed",B40="Invalid",B40="Hash mismatch")</formula>
    </cfRule>
    <cfRule type="expression" priority="102" dxfId="3">
      <formula>OR(B40="Legacy not recorded",B40="Missing",B40="Not captured")</formula>
    </cfRule>
  </conditionalFormatting>
  <conditionalFormatting sqref="B41">
    <cfRule type="expression" priority="101" dxfId="4">
      <formula>OR(B41="Capture failed",B41="Invalid",B41="Hash mismatch")</formula>
    </cfRule>
    <cfRule type="expression" priority="102" dxfId="3">
      <formula>OR(B41="Legacy not recorded",B41="Missing",B41="Not captured")</formula>
    </cfRule>
  </conditionalFormatting>
  <conditionalFormatting sqref="B42">
    <cfRule type="expression" priority="101" dxfId="4">
      <formula>OR(B42="Capture failed",B42="Invalid",B42="Hash mismatch")</formula>
    </cfRule>
    <cfRule type="expression" priority="102" dxfId="3">
      <formula>OR(B42="Legacy not recorded",B42="Missing",B42="Not captured")</formula>
    </cfRule>
  </conditionalFormatting>
  <conditionalFormatting sqref="B43">
    <cfRule type="expression" priority="101" dxfId="4">
      <formula>OR(B43="Capture failed",B43="Invalid",B43="Hash mismatch")</formula>
    </cfRule>
    <cfRule type="expression" priority="102" dxfId="3">
      <formula>OR(B43="Legacy not recorded",B43="Missing",B43="Not captured")</formula>
    </cfRule>
  </conditionalFormatting>
  <conditionalFormatting sqref="B44">
    <cfRule type="expression" priority="101" dxfId="4">
      <formula>OR(B44="Capture failed",B44="Invalid",B44="Hash mismatch")</formula>
    </cfRule>
    <cfRule type="expression" priority="102" dxfId="3">
      <formula>OR(B44="Legacy not recorded",B44="Missing",B44="Not captured")</formula>
    </cfRule>
  </conditionalFormatting>
  <conditionalFormatting sqref="B45">
    <cfRule type="expression" priority="101" dxfId="4">
      <formula>OR(B45="Capture failed",B45="Invalid",B45="Hash mismatch")</formula>
    </cfRule>
    <cfRule type="expression" priority="102" dxfId="3">
      <formula>OR(B45="Legacy not recorded",B45="Missing",B45="Not captured")</formula>
    </cfRule>
  </conditionalFormatting>
  <conditionalFormatting sqref="B46">
    <cfRule type="expression" priority="101" dxfId="4">
      <formula>OR(B46="Capture failed",B46="Invalid",B46="Hash mismatch")</formula>
    </cfRule>
    <cfRule type="expression" priority="102" dxfId="3">
      <formula>OR(B46="Legacy not recorded",B46="Missing",B46="Not captured")</formula>
    </cfRule>
  </conditionalFormatting>
  <conditionalFormatting sqref="B47">
    <cfRule type="expression" priority="101" dxfId="4">
      <formula>OR(B47="Capture failed",B47="Invalid",B47="Hash mismatch")</formula>
    </cfRule>
    <cfRule type="expression" priority="102" dxfId="3">
      <formula>OR(B47="Legacy not recorded",B47="Missing",B47="Not captured")</formula>
    </cfRule>
  </conditionalFormatting>
  <conditionalFormatting sqref="B48">
    <cfRule type="expression" priority="101" dxfId="4">
      <formula>OR(B48="Capture failed",B48="Invalid",B48="Hash mismatch")</formula>
    </cfRule>
    <cfRule type="expression" priority="102" dxfId="3">
      <formula>OR(B48="Legacy not recorded",B48="Missing",B48="Not captured")</formula>
    </cfRule>
  </conditionalFormatting>
  <conditionalFormatting sqref="B49">
    <cfRule type="expression" priority="101" dxfId="4">
      <formula>OR(B49="Capture failed",B49="Invalid",B49="Hash mismatch")</formula>
    </cfRule>
    <cfRule type="expression" priority="102" dxfId="3">
      <formula>OR(B49="Legacy not recorded",B49="Missing",B49="Not captured")</formula>
    </cfRule>
  </conditionalFormatting>
  <conditionalFormatting sqref="B50">
    <cfRule type="expression" priority="101" dxfId="4">
      <formula>OR(B50="Capture failed",B50="Invalid",B50="Hash mismatch")</formula>
    </cfRule>
    <cfRule type="expression" priority="102" dxfId="3">
      <formula>OR(B50="Legacy not recorded",B50="Missing",B50="Not captured")</formula>
    </cfRule>
  </conditionalFormatting>
  <conditionalFormatting sqref="B51">
    <cfRule type="expression" priority="101" dxfId="4">
      <formula>OR(B51="Capture failed",B51="Invalid",B51="Hash mismatch")</formula>
    </cfRule>
    <cfRule type="expression" priority="102" dxfId="3">
      <formula>OR(B51="Legacy not recorded",B51="Missing",B51="Not captured")</formula>
    </cfRule>
  </conditionalFormatting>
  <conditionalFormatting sqref="B52">
    <cfRule type="expression" priority="101" dxfId="4">
      <formula>OR(B52="Capture failed",B52="Invalid",B52="Hash mismatch")</formula>
    </cfRule>
    <cfRule type="expression" priority="102" dxfId="3">
      <formula>OR(B52="Legacy not recorded",B52="Missing",B52="Not captured")</formula>
    </cfRule>
  </conditionalFormatting>
  <conditionalFormatting sqref="B53">
    <cfRule type="expression" priority="101" dxfId="4">
      <formula>OR(B53="Capture failed",B53="Invalid",B53="Hash mismatch")</formula>
    </cfRule>
    <cfRule type="expression" priority="102" dxfId="3">
      <formula>OR(B53="Legacy not recorded",B53="Missing",B53="Not captured")</formula>
    </cfRule>
  </conditionalFormatting>
  <conditionalFormatting sqref="B54">
    <cfRule type="expression" priority="101" dxfId="4">
      <formula>OR(B54="Capture failed",B54="Invalid",B54="Hash mismatch")</formula>
    </cfRule>
    <cfRule type="expression" priority="102" dxfId="3">
      <formula>OR(B54="Legacy not recorded",B54="Missing",B54="Not captured")</formula>
    </cfRule>
  </conditionalFormatting>
  <conditionalFormatting sqref="B55">
    <cfRule type="expression" priority="101" dxfId="4">
      <formula>OR(B55="Capture failed",B55="Invalid",B55="Hash mismatch")</formula>
    </cfRule>
    <cfRule type="expression" priority="102" dxfId="3">
      <formula>OR(B55="Legacy not recorded",B55="Missing",B55="Not captured")</formula>
    </cfRule>
  </conditionalFormatting>
  <hyperlinks>
    <hyperlink ref="A92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</row>
    <row r="38" ht="56" customHeight="1">
      <c r="A38" s="18" t="inlineStr">
        <is>
          <t>3a3ff5eef0382745c0fe827775ee4ad4ba18646a</t>
        </is>
      </c>
      <c r="B38" s="18" t="inlineStr">
        <is>
          <t>2026-10-17T14:11:53Z</t>
        </is>
      </c>
      <c r="C38" s="18" t="inlineStr">
        <is>
          <t>CAPTURED</t>
        </is>
      </c>
      <c r="D38" s="18" t="inlineStr">
        <is>
          <t>CAPTURED</t>
        </is>
      </c>
      <c r="E38" s="18" t="inlineStr">
        <is>
          <t>CAPTURED</t>
        </is>
      </c>
      <c r="F38" s="18" t="inlineStr">
        <is>
          <t>CAPTURED</t>
        </is>
      </c>
      <c r="G38" s="18" t="inlineStr">
        <is>
          <t>CAPTURED</t>
        </is>
      </c>
      <c r="H38" s="18" t="inlineStr">
        <is>
          <t>CAPTURED</t>
        </is>
      </c>
      <c r="I38" s="18" t="inlineStr">
        <is>
          <t>LEGACY_NOT_RECORDED</t>
        </is>
      </c>
      <c r="J38" s="18" t="inlineStr">
        <is>
          <t>LEGACY_NOT_RECORDED</t>
        </is>
      </c>
      <c r="K38" s="18" t="inlineStr">
        <is>
          <t>CAPTURED</t>
        </is>
      </c>
    </row>
  </sheetData>
  <autoFilter ref="A5:H38"/>
  <mergeCells count="2">
    <mergeCell ref="A2:H2"/>
    <mergeCell ref="A4:H4"/>
  </mergeCells>
</worksheet>
</file>