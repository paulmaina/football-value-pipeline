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0.5888888888888889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0.5528858373333333</v>
      </c>
      <c r="C17" s="18"/>
      <c r="D17" s="18" t="inlineStr">
        <is>
          <t>Over 1.5</t>
        </is>
      </c>
      <c r="E17" s="18">
        <f>COUNT(Predictions!J6:J176)</f>
        <v>90</v>
      </c>
      <c r="F17" s="20">
        <f>IF(E17=0,"n.a.",AVERAGE(Predictions!J6:J176))</f>
        <v>0.8222222222222222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90</v>
      </c>
      <c r="F18" s="20">
        <f>IF(E18=0,"n.a.",AVERAGE(Predictions!K6:K176))</f>
        <v>0.5777777777777777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90</v>
      </c>
      <c r="F19" s="20">
        <f>IF(E19=0,"n.a.",AVERAGE(Predictions!L6:L176))</f>
        <v>0.5333333333333333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90</v>
      </c>
      <c r="F20" s="20">
        <f>IF(E20=0,"n.a.",AVERAGE(Predictions!M6:M176))</f>
        <v>0.5333333333333333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2026-10-21T20:16:34.489329+00:00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((COUNTIFS(Selections!$K$6:$K$47,"WON")+COUNTIFS(Selections!$K$6:$K$47,"HALF_WON"))+(COUNTIFS(Selections!$K$6:$K$47,"LOST")+COUNTIFS(Selections!$K$6:$K$47,"HALF_LOST"))+COUNTIFS(Selections!$K$6:$K$47,"REFUNDED"))</f>
        <v>38</v>
      </c>
      <c r="E6" s="19">
        <f>(COUNTIFS(Selections!$K$6:$K$47,"WON")+COUNTIFS(Selections!$K$6:$K$47,"HALF_WON"))</f>
        <v>28</v>
      </c>
      <c r="F6" s="19">
        <f>(COUNTIFS(Selections!$K$6:$K$47,"LOST")+COUNTIFS(Selections!$K$6:$K$47,"HALF_LOST"))</f>
        <v>10</v>
      </c>
      <c r="G6" s="19">
        <f>COUNTA(Selections!$A$6:$A$47)-((COUNTIFS(Selections!$K$6:$K$47,"WON")+COUNTIFS(Selections!$K$6:$K$47,"HALF_WON"))+(COUNTIFS(Selections!$K$6:$K$47,"LOST")+COUNTIFS(Selections!$K$6:$K$47,"HALF_LOST"))+COUNTIFS(Selections!$K$6:$K$47,"REFUNDED"))</f>
        <v>4</v>
      </c>
      <c r="H6" s="20">
        <f>IF(((COUNTIFS(Selections!$K$6:$K$47,"WON")+COUNTIFS(Selections!$K$6:$K$47,"HALF_WON"))+(COUNTIFS(Selections!$K$6:$K$47,"LOST")+COUNTIFS(Selections!$K$6:$K$47,"HALF_LOST"))+COUNTIFS(Selections!$K$6:$K$47,"REFUNDED"))=0,"n.a.",(COUNTIFS(Selections!$K$6:$K$47,"WON")+COUNTIFS(Selections!$K$6:$K$47,"HALF_WON"))/((COUNTIFS(Selections!$K$6:$K$47,"WON")+COUNTIFS(Selections!$K$6:$K$47,"HALF_WON"))+(COUNTIFS(Selections!$K$6:$K$47,"LOST")+COUNTIFS(Selections!$K$6:$K$47,"HALF_LOST"))+COUNTIFS(Selections!$K$6:$K$47,"REFUNDED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11</v>
      </c>
      <c r="E7" s="19">
        <f>(COUNTIFS(Selections!$F$6:$F$47,"STRICT",Selections!$K$6:$K$47,"WON")+COUNTIFS(Selections!$F$6:$F$47,"STRICT",Selections!$K$6:$K$47,"HALF_WON"))</f>
        <v>10</v>
      </c>
      <c r="F7" s="19">
        <f>(COUNTIFS(Selections!$F$6:$F$47,"STRICT",Selections!$K$6:$K$47,"LOST")+COUNTIFS(Selections!$F$6:$F$47,"STRICT",Selections!$K$6:$K$47,"HALF_LOST"))</f>
        <v>1</v>
      </c>
      <c r="G7" s="19">
        <f>COUNTIFS(Selections!$F$6:$F$47,"STRICT")-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</f>
        <v>2</v>
      </c>
      <c r="H7" s="20">
        <f>IF(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=0,"n.a.",(COUNTIFS(Selections!$F$6:$F$47,"STRICT",Selections!$K$6:$K$47,"WON")+COUNTIFS(Selections!$F$6:$F$47,"STRICT",Selections!$K$6:$K$47,"HALF_WON"))/((COUNTIFS(Selections!$F$6:$F$47,"STRICT",Selections!$K$6:$K$47,"WON")+COUNTIFS(Selections!$F$6:$F$47,"STRICT",Selections!$K$6:$K$47,"HALF_WON"))+(COUNTIFS(Selections!$F$6:$F$47,"STRICT",Selections!$K$6:$K$47,"LOST")+COUNTIFS(Selections!$F$6:$F$47,"STRICT",Selections!$K$6:$K$47,"HALF_LOST"))+COUNTIFS(Selections!$F$6:$F$47,"STRICT",Selections!$K$6:$K$47,"REFUNDED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27</v>
      </c>
      <c r="E8" s="19">
        <f>(COUNTIFS(Selections!$F$6:$F$47,"PROVISIONAL",Selections!$K$6:$K$47,"WON")+COUNTIFS(Selections!$F$6:$F$47,"PROVISIONAL",Selections!$K$6:$K$47,"HALF_WON"))</f>
        <v>18</v>
      </c>
      <c r="F8" s="19">
        <f>(COUNTIFS(Selections!$F$6:$F$47,"PROVISIONAL",Selections!$K$6:$K$47,"LOST")+COUNTIFS(Selections!$F$6:$F$47,"PROVISIONAL",Selections!$K$6:$K$47,"HALF_LOST"))</f>
        <v>9</v>
      </c>
      <c r="G8" s="19">
        <f>COUNTIFS(Selections!$F$6:$F$47,"PROVISIONAL")-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</f>
        <v>2</v>
      </c>
      <c r="H8" s="20">
        <f>IF(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=0,"n.a.",(COUNTIFS(Selections!$F$6:$F$47,"PROVISIONAL",Selections!$K$6:$K$47,"WON")+COUNTIFS(Selections!$F$6:$F$47,"PROVISIONAL",Selections!$K$6:$K$47,"HALF_WON"))/((COUNTIFS(Selections!$F$6:$F$47,"PROVISIONAL",Selections!$K$6:$K$47,"WON")+COUNTIFS(Selections!$F$6:$F$47,"PROVISIONAL",Selections!$K$6:$K$47,"HALF_WON"))+(COUNTIFS(Selections!$F$6:$F$47,"PROVISIONAL",Selections!$K$6:$K$47,"LOST")+COUNTIFS(Selections!$F$6:$F$47,"PROVISIONAL",Selections!$K$6:$K$47,"HALF_LOST"))+COUNTIFS(Selections!$F$6:$F$47,"PROVISIONAL",Selections!$K$6:$K$47,"REFUNDED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3</v>
      </c>
      <c r="E9" s="19">
        <f>(COUNTIFS(Selections!$C$6:$C$47,"Bundesliga",Selections!$K$6:$K$47,"WON")+COUNTIFS(Selections!$C$6:$C$47,"Bundesliga",Selections!$K$6:$K$47,"HALF_WON"))</f>
        <v>3</v>
      </c>
      <c r="F9" s="19">
        <f>(COUNTIFS(Selections!$C$6:$C$47,"Bundesliga",Selections!$K$6:$K$47,"LOST")+COUNTIFS(Selections!$C$6:$C$47,"Bundesliga",Selections!$K$6:$K$47,"HALF_LOST"))</f>
        <v>0</v>
      </c>
      <c r="G9" s="19">
        <f>COUNTIFS(Selections!$C$6:$C$47,"Bundesliga")-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</f>
        <v>0</v>
      </c>
      <c r="H9" s="20">
        <f>IF(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=0,"n.a.",(COUNTIFS(Selections!$C$6:$C$47,"Bundesliga",Selections!$K$6:$K$47,"WON")+COUNTIFS(Selections!$C$6:$C$47,"Bundesliga",Selections!$K$6:$K$47,"HALF_WON"))/((COUNTIFS(Selections!$C$6:$C$47,"Bundesliga",Selections!$K$6:$K$47,"WON")+COUNTIFS(Selections!$C$6:$C$47,"Bundesliga",Selections!$K$6:$K$47,"HALF_WON"))+(COUNTIFS(Selections!$C$6:$C$47,"Bundesliga",Selections!$K$6:$K$47,"LOST")+COUNTIFS(Selections!$C$6:$C$47,"Bundesliga",Selections!$K$6:$K$47,"HALF_LOST"))+COUNTIFS(Selections!$C$6:$C$47,"Bundesliga",Selections!$K$6:$K$47,"REFUNDED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7</v>
      </c>
      <c r="E10" s="19">
        <f>(COUNTIFS(Selections!$C$6:$C$47,"La Liga",Selections!$K$6:$K$47,"WON")+COUNTIFS(Selections!$C$6:$C$47,"La Liga",Selections!$K$6:$K$47,"HALF_WON"))</f>
        <v>7</v>
      </c>
      <c r="F10" s="19">
        <f>(COUNTIFS(Selections!$C$6:$C$47,"La Liga",Selections!$K$6:$K$47,"LOST")+COUNTIFS(Selections!$C$6:$C$47,"La Liga",Selections!$K$6:$K$47,"HALF_LOST"))</f>
        <v>0</v>
      </c>
      <c r="G10" s="19">
        <f>COUNTIFS(Selections!$C$6:$C$47,"La Liga")-((COUNTIFS(Selections!$C$6:$C$47,"La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</f>
        <v>1</v>
      </c>
      <c r="H10" s="20">
        <f>IF(((COUNTIFS(Selections!$C$6:$C$47,"La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Liga",Selections!$K$6:$K$47,"REFUNDED"))=0,"n.a.",(COUNTIFS(Selections!$C$6:$C$47,"La Liga",Selections!$K$6:$K$47,"WON")+COUNTIFS(Selections!$C$6:$C$47,"La Liga",Selections!$K$6:$K$47,"HALF_WON"))/((COUNTIFS(Selections!$C$6:$C$47,"La Liga",Selections!$K$6:$K$47,"WON")+COUNTIFS(Selections!$C$6:$C$47,"La Liga",Selections!$K$6:$K$47,"HALF_WON"))+(COUNTIFS(Selections!$C$6:$C$47,"La Liga",Selections!$K$6:$K$47,"LOST")+COUNTIFS(Selections!$C$6:$C$47,"La Liga",Selections!$K$6:$K$47,"HALF_LOST"))+COUNTIFS(Selections!$C$6:$C$47,"La Liga",Selections!$K$6:$K$47,"REFUNDED")))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2</v>
      </c>
      <c r="E11" s="19">
        <f>(COUNTIFS(Selections!$C$6:$C$47,"Ligue 1",Selections!$K$6:$K$47,"WON")+COUNTIFS(Selections!$C$6:$C$47,"Ligue 1",Selections!$K$6:$K$47,"HALF_WON"))</f>
        <v>1</v>
      </c>
      <c r="F11" s="19">
        <f>(COUNTIFS(Selections!$C$6:$C$47,"Ligue 1",Selections!$K$6:$K$47,"LOST")+COUNTIFS(Selections!$C$6:$C$47,"Ligue 1",Selections!$K$6:$K$47,"HALF_LOST"))</f>
        <v>1</v>
      </c>
      <c r="G11" s="19">
        <f>COUNTIFS(Selections!$C$6:$C$47,"Ligue 1")-((COUNTIFS(Selections!$C$6:$C$47,"Ligue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</f>
        <v>1</v>
      </c>
      <c r="H11" s="20">
        <f>IF(((COUNTIFS(Selections!$C$6:$C$47,"Ligue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1",Selections!$K$6:$K$47,"REFUNDED"))=0,"n.a.",(COUNTIFS(Selections!$C$6:$C$47,"Ligue 1",Selections!$K$6:$K$47,"WON")+COUNTIFS(Selections!$C$6:$C$47,"Ligue 1",Selections!$K$6:$K$47,"HALF_WON"))/((COUNTIFS(Selections!$C$6:$C$47,"Ligue 1",Selections!$K$6:$K$47,"WON")+COUNTIFS(Selections!$C$6:$C$47,"Ligue 1",Selections!$K$6:$K$47,"HALF_WON"))+(COUNTIFS(Selections!$C$6:$C$47,"Ligue 1",Selections!$K$6:$K$47,"LOST")+COUNTIFS(Selections!$C$6:$C$47,"Ligue 1",Selections!$K$6:$K$47,"HALF_LOST"))+COUNTIFS(Selections!$C$6:$C$47,"Ligue 1",Selections!$K$6:$K$47,"REFUNDED")))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7</v>
      </c>
      <c r="E12" s="19">
        <f>(COUNTIFS(Selections!$C$6:$C$47,"Premier League",Selections!$K$6:$K$47,"WON")+COUNTIFS(Selections!$C$6:$C$47,"Premier League",Selections!$K$6:$K$47,"HALF_WON"))</f>
        <v>3</v>
      </c>
      <c r="F12" s="19">
        <f>(COUNTIFS(Selections!$C$6:$C$47,"Premier League",Selections!$K$6:$K$47,"LOST")+COUNTIFS(Selections!$C$6:$C$47,"Premier League",Selections!$K$6:$K$47,"HALF_LOST"))</f>
        <v>4</v>
      </c>
      <c r="G12" s="19">
        <f>COUNTIFS(Selections!$C$6:$C$47,"Premier League")-((COUNTIFS(Selections!$C$6:$C$47,"Premier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</f>
        <v>0</v>
      </c>
      <c r="H12" s="20">
        <f>IF(((COUNTIFS(Selections!$C$6:$C$47,"Premier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League",Selections!$K$6:$K$47,"REFUNDED"))=0,"n.a.",(COUNTIFS(Selections!$C$6:$C$47,"Premier League",Selections!$K$6:$K$47,"WON")+COUNTIFS(Selections!$C$6:$C$47,"Premier League",Selections!$K$6:$K$47,"HALF_WON"))/((COUNTIFS(Selections!$C$6:$C$47,"Premier League",Selections!$K$6:$K$47,"WON")+COUNTIFS(Selections!$C$6:$C$47,"Premier League",Selections!$K$6:$K$47,"HALF_WON"))+(COUNTIFS(Selections!$C$6:$C$47,"Premier League",Selections!$K$6:$K$47,"LOST")+COUNTIFS(Selections!$C$6:$C$47,"Premier League",Selections!$K$6:$K$47,"HALF_LOST"))+COUNTIFS(Selections!$C$6:$C$47,"Premier League",Selections!$K$6:$K$47,"REFUNDED")))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7</v>
      </c>
      <c r="E13" s="19">
        <f>(COUNTIFS(Selections!$C$6:$C$47,"Serie A",Selections!$K$6:$K$47,"WON")+COUNTIFS(Selections!$C$6:$C$47,"Serie A",Selections!$K$6:$K$47,"HALF_WON"))</f>
        <v>4</v>
      </c>
      <c r="F13" s="19">
        <f>(COUNTIFS(Selections!$C$6:$C$47,"Serie A",Selections!$K$6:$K$47,"LOST")+COUNTIFS(Selections!$C$6:$C$47,"Serie A",Selections!$K$6:$K$47,"HALF_LOST"))</f>
        <v>3</v>
      </c>
      <c r="G13" s="19">
        <f>COUNTIFS(Selections!$C$6:$C$47,"Serie A")-((COUNTIFS(Selections!$C$6:$C$47,"Serie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</f>
        <v>0</v>
      </c>
      <c r="H13" s="20">
        <f>IF(((COUNTIFS(Selections!$C$6:$C$47,"Serie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A",Selections!$K$6:$K$47,"REFUNDED"))=0,"n.a.",(COUNTIFS(Selections!$C$6:$C$47,"Serie A",Selections!$K$6:$K$47,"WON")+COUNTIFS(Selections!$C$6:$C$47,"Serie A",Selections!$K$6:$K$47,"HALF_WON"))/((COUNTIFS(Selections!$C$6:$C$47,"Serie A",Selections!$K$6:$K$47,"WON")+COUNTIFS(Selections!$C$6:$C$47,"Serie A",Selections!$K$6:$K$47,"HALF_WON"))+(COUNTIFS(Selections!$C$6:$C$47,"Serie A",Selections!$K$6:$K$47,"LOST")+COUNTIFS(Selections!$C$6:$C$47,"Serie A",Selections!$K$6:$K$47,"HALF_LOST"))+COUNTIFS(Selections!$C$6:$C$47,"Serie A",Selections!$K$6:$K$47,"REFUNDED")))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12</v>
      </c>
      <c r="E14" s="19">
        <f>(COUNTIFS(Selections!$C$6:$C$47,"UEFA Champions League",Selections!$K$6:$K$47,"WON")+COUNTIFS(Selections!$C$6:$C$47,"UEFA Champions League",Selections!$K$6:$K$47,"HALF_WON"))</f>
        <v>10</v>
      </c>
      <c r="F14" s="19">
        <f>(COUNTIFS(Selections!$C$6:$C$47,"UEFA Champions League",Selections!$K$6:$K$47,"LOST")+COUNTIFS(Selections!$C$6:$C$47,"UEFA Champions League",Selections!$K$6:$K$47,"HALF_LOST"))</f>
        <v>2</v>
      </c>
      <c r="G14" s="19">
        <f>COUNTIFS(Selections!$C$6:$C$47,"UEFA Champions League")-((COUNTIFS(Selections!$C$6:$C$47,"UEFA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</f>
        <v>2</v>
      </c>
      <c r="H14" s="20">
        <f>IF(((COUNTIFS(Selections!$C$6:$C$47,"UEFA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League",Selections!$K$6:$K$47,"REFUNDED"))=0,"n.a.",(COUNTIFS(Selections!$C$6:$C$47,"UEFA Champions League",Selections!$K$6:$K$47,"WON")+COUNTIFS(Selections!$C$6:$C$47,"UEFA Champions League",Selections!$K$6:$K$47,"HALF_WON"))/((COUNTIFS(Selections!$C$6:$C$47,"UEFA Champions League",Selections!$K$6:$K$47,"WON")+COUNTIFS(Selections!$C$6:$C$47,"UEFA Champions League",Selections!$K$6:$K$47,"HALF_WON"))+(COUNTIFS(Selections!$C$6:$C$47,"UEFA Champions League",Selections!$K$6:$K$47,"LOST")+COUNTIFS(Selections!$C$6:$C$47,"UEFA Champions League",Selections!$K$6:$K$47,"HALF_LOST"))+COUNTIFS(Selections!$C$6:$C$47,"UEFA Champions League",Selections!$K$6:$K$47,"REFUNDED")))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1</v>
      </c>
      <c r="E15" s="19">
        <f>(COUNTIFS(Selections!$E$6:$E$47,"Away win",Selections!$K$6:$K$47,"WON")+COUNTIFS(Selections!$E$6:$E$47,"Away win",Selections!$K$6:$K$47,"HALF_WON"))</f>
        <v>0</v>
      </c>
      <c r="F15" s="19">
        <f>(COUNTIFS(Selections!$E$6:$E$47,"Away win",Selections!$K$6:$K$47,"LOST")+COUNTIFS(Selections!$E$6:$E$47,"Away win",Selections!$K$6:$K$47,"HALF_LOST"))</f>
        <v>1</v>
      </c>
      <c r="G15" s="19">
        <f>COUNTIFS(Selections!$E$6:$E$47,"Away win")-((COUNTIFS(Selections!$E$6:$E$47,"Away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</f>
        <v>0</v>
      </c>
      <c r="H15" s="20">
        <f>IF(((COUNTIFS(Selections!$E$6:$E$47,"Away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win",Selections!$K$6:$K$47,"REFUNDED"))=0,"n.a.",(COUNTIFS(Selections!$E$6:$E$47,"Away win",Selections!$K$6:$K$47,"WON")+COUNTIFS(Selections!$E$6:$E$47,"Away win",Selections!$K$6:$K$47,"HALF_WON"))/((COUNTIFS(Selections!$E$6:$E$47,"Away win",Selections!$K$6:$K$47,"WON")+COUNTIFS(Selections!$E$6:$E$47,"Away win",Selections!$K$6:$K$47,"HALF_WON"))+(COUNTIFS(Selections!$E$6:$E$47,"Away win",Selections!$K$6:$K$47,"LOST")+COUNTIFS(Selections!$E$6:$E$47,"Away win",Selections!$K$6:$K$47,"HALF_LOST"))+COUNTIFS(Selections!$E$6:$E$47,"Away win",Selections!$K$6:$K$47,"REFUNDED")))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3</v>
      </c>
      <c r="E16" s="19">
        <f>(COUNTIFS(Selections!$E$6:$E$47,"Both Teams to Score - Yes",Selections!$K$6:$K$47,"WON")+COUNTIFS(Selections!$E$6:$E$47,"Both Teams to Score - Yes",Selections!$K$6:$K$47,"HALF_WON"))</f>
        <v>2</v>
      </c>
      <c r="F16" s="19">
        <f>(COUNTIFS(Selections!$E$6:$E$47,"Both Teams to Score - Yes",Selections!$K$6:$K$47,"LOST")+COUNTIFS(Selections!$E$6:$E$47,"Both Teams to Score - Yes",Selections!$K$6:$K$47,"HALF_LOST"))</f>
        <v>1</v>
      </c>
      <c r="G16" s="19">
        <f>COUNTIFS(Selections!$E$6:$E$47,"Both Teams to Score - Yes")-((COUNTIFS(Selections!$E$6:$E$47,"Both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</f>
        <v>0</v>
      </c>
      <c r="H16" s="20">
        <f>IF(((COUNTIFS(Selections!$E$6:$E$47,"Both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Yes",Selections!$K$6:$K$47,"REFUNDED"))=0,"n.a.",(COUNTIFS(Selections!$E$6:$E$47,"Both Teams to Score - Yes",Selections!$K$6:$K$47,"WON")+COUNTIFS(Selections!$E$6:$E$47,"Both Teams to Score - Yes",Selections!$K$6:$K$47,"HALF_WON"))/((COUNTIFS(Selections!$E$6:$E$47,"Both Teams to Score - Yes",Selections!$K$6:$K$47,"WON")+COUNTIFS(Selections!$E$6:$E$47,"Both Teams to Score - Yes",Selections!$K$6:$K$47,"HALF_WON"))+(COUNTIFS(Selections!$E$6:$E$47,"Both Teams to Score - Yes",Selections!$K$6:$K$47,"LOST")+COUNTIFS(Selections!$E$6:$E$47,"Both Teams to Score - Yes",Selections!$K$6:$K$47,"HALF_LOST"))+COUNTIFS(Selections!$E$6:$E$47,"Both Teams to Score - Yes",Selections!$K$6:$K$47,"REFUNDED")))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6</v>
      </c>
      <c r="E17" s="19">
        <f>(COUNTIFS(Selections!$E$6:$E$47,"Double Chance 12",Selections!$K$6:$K$47,"WON")+COUNTIFS(Selections!$E$6:$E$47,"Double Chance 12",Selections!$K$6:$K$47,"HALF_WON"))</f>
        <v>5</v>
      </c>
      <c r="F17" s="19">
        <f>(COUNTIFS(Selections!$E$6:$E$47,"Double Chance 12",Selections!$K$6:$K$47,"LOST")+COUNTIFS(Selections!$E$6:$E$47,"Double Chance 12",Selections!$K$6:$K$47,"HALF_LOST"))</f>
        <v>1</v>
      </c>
      <c r="G17" s="19">
        <f>COUNTIFS(Selections!$E$6:$E$47,"Double Chance 12")-((COUNTIFS(Selections!$E$6:$E$47,"Double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</f>
        <v>0</v>
      </c>
      <c r="H17" s="20">
        <f>IF(((COUNTIFS(Selections!$E$6:$E$47,"Double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12",Selections!$K$6:$K$47,"REFUNDED"))=0,"n.a.",(COUNTIFS(Selections!$E$6:$E$47,"Double Chance 12",Selections!$K$6:$K$47,"WON")+COUNTIFS(Selections!$E$6:$E$47,"Double Chance 12",Selections!$K$6:$K$47,"HALF_WON"))/((COUNTIFS(Selections!$E$6:$E$47,"Double Chance 12",Selections!$K$6:$K$47,"WON")+COUNTIFS(Selections!$E$6:$E$47,"Double Chance 12",Selections!$K$6:$K$47,"HALF_WON"))+(COUNTIFS(Selections!$E$6:$E$47,"Double Chance 12",Selections!$K$6:$K$47,"LOST")+COUNTIFS(Selections!$E$6:$E$47,"Double Chance 12",Selections!$K$6:$K$47,"HALF_LOST"))+COUNTIFS(Selections!$E$6:$E$47,"Double Chance 12",Selections!$K$6:$K$47,"REFUNDED")))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5</v>
      </c>
      <c r="E18" s="19">
        <f>(COUNTIFS(Selections!$E$6:$E$47,"Double Chance 1X",Selections!$K$6:$K$47,"WON")+COUNTIFS(Selections!$E$6:$E$47,"Double Chance 1X",Selections!$K$6:$K$47,"HALF_WON"))</f>
        <v>4</v>
      </c>
      <c r="F18" s="19">
        <f>(COUNTIFS(Selections!$E$6:$E$47,"Double Chance 1X",Selections!$K$6:$K$47,"LOST")+COUNTIFS(Selections!$E$6:$E$47,"Double Chance 1X",Selections!$K$6:$K$47,"HALF_LOST"))</f>
        <v>1</v>
      </c>
      <c r="G18" s="19">
        <f>COUNTIFS(Selections!$E$6:$E$47,"Double Chance 1X")-((COUNTIFS(Selections!$E$6:$E$47,"Double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</f>
        <v>2</v>
      </c>
      <c r="H18" s="20">
        <f>IF(((COUNTIFS(Selections!$E$6:$E$47,"Double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1X",Selections!$K$6:$K$47,"REFUNDED"))=0,"n.a.",(COUNTIFS(Selections!$E$6:$E$47,"Double Chance 1X",Selections!$K$6:$K$47,"WON")+COUNTIFS(Selections!$E$6:$E$47,"Double Chance 1X",Selections!$K$6:$K$47,"HALF_WON"))/((COUNTIFS(Selections!$E$6:$E$47,"Double Chance 1X",Selections!$K$6:$K$47,"WON")+COUNTIFS(Selections!$E$6:$E$47,"Double Chance 1X",Selections!$K$6:$K$47,"HALF_WON"))+(COUNTIFS(Selections!$E$6:$E$47,"Double Chance 1X",Selections!$K$6:$K$47,"LOST")+COUNTIFS(Selections!$E$6:$E$47,"Double Chance 1X",Selections!$K$6:$K$47,"HALF_LOST"))+COUNTIFS(Selections!$E$6:$E$47,"Double Chance 1X",Selections!$K$6:$K$47,"REFUNDED")))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6</v>
      </c>
      <c r="E19" s="19">
        <f>(COUNTIFS(Selections!$E$6:$E$47,"Double Chance X2",Selections!$K$6:$K$47,"WON")+COUNTIFS(Selections!$E$6:$E$47,"Double Chance X2",Selections!$K$6:$K$47,"HALF_WON"))</f>
        <v>4</v>
      </c>
      <c r="F19" s="19">
        <f>(COUNTIFS(Selections!$E$6:$E$47,"Double Chance X2",Selections!$K$6:$K$47,"LOST")+COUNTIFS(Selections!$E$6:$E$47,"Double Chance X2",Selections!$K$6:$K$47,"HALF_LOST"))</f>
        <v>2</v>
      </c>
      <c r="G19" s="19">
        <f>COUNTIFS(Selections!$E$6:$E$47,"Double Chance X2")-((COUNTIFS(Selections!$E$6:$E$47,"Double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</f>
        <v>0</v>
      </c>
      <c r="H19" s="20">
        <f>IF(((COUNTIFS(Selections!$E$6:$E$47,"Double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X2",Selections!$K$6:$K$47,"REFUNDED"))=0,"n.a.",(COUNTIFS(Selections!$E$6:$E$47,"Double Chance X2",Selections!$K$6:$K$47,"WON")+COUNTIFS(Selections!$E$6:$E$47,"Double Chance X2",Selections!$K$6:$K$47,"HALF_WON"))/((COUNTIFS(Selections!$E$6:$E$47,"Double Chance X2",Selections!$K$6:$K$47,"WON")+COUNTIFS(Selections!$E$6:$E$47,"Double Chance X2",Selections!$K$6:$K$47,"HALF_WON"))+(COUNTIFS(Selections!$E$6:$E$47,"Double Chance X2",Selections!$K$6:$K$47,"LOST")+COUNTIFS(Selections!$E$6:$E$47,"Double Chance X2",Selections!$K$6:$K$47,"HALF_LOST"))+COUNTIFS(Selections!$E$6:$E$47,"Double Chance X2",Selections!$K$6:$K$47,"REFUNDED")))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5</v>
      </c>
      <c r="E20" s="19">
        <f>(COUNTIFS(Selections!$E$6:$E$47,"Home win",Selections!$K$6:$K$47,"WON")+COUNTIFS(Selections!$E$6:$E$47,"Home win",Selections!$K$6:$K$47,"HALF_WON"))</f>
        <v>5</v>
      </c>
      <c r="F20" s="19">
        <f>(COUNTIFS(Selections!$E$6:$E$47,"Home win",Selections!$K$6:$K$47,"LOST")+COUNTIFS(Selections!$E$6:$E$47,"Home win",Selections!$K$6:$K$47,"HALF_LOST"))</f>
        <v>0</v>
      </c>
      <c r="G20" s="19">
        <f>COUNTIFS(Selections!$E$6:$E$47,"Home win")-((COUNTIFS(Selections!$E$6:$E$47,"Home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</f>
        <v>0</v>
      </c>
      <c r="H20" s="20">
        <f>IF(((COUNTIFS(Selections!$E$6:$E$47,"Home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win",Selections!$K$6:$K$47,"REFUNDED"))=0,"n.a.",(COUNTIFS(Selections!$E$6:$E$47,"Home win",Selections!$K$6:$K$47,"WON")+COUNTIFS(Selections!$E$6:$E$47,"Home win",Selections!$K$6:$K$47,"HALF_WON"))/((COUNTIFS(Selections!$E$6:$E$47,"Home win",Selections!$K$6:$K$47,"WON")+COUNTIFS(Selections!$E$6:$E$47,"Home win",Selections!$K$6:$K$47,"HALF_WON"))+(COUNTIFS(Selections!$E$6:$E$47,"Home win",Selections!$K$6:$K$47,"LOST")+COUNTIFS(Selections!$E$6:$E$47,"Home win",Selections!$K$6:$K$47,"HALF_LOST"))+COUNTIFS(Selections!$E$6:$E$47,"Home win",Selections!$K$6:$K$47,"REFUNDED")))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7</v>
      </c>
      <c r="E21" s="19">
        <f>(COUNTIFS(Selections!$E$6:$E$47,"Over 1.5",Selections!$K$6:$K$47,"WON")+COUNTIFS(Selections!$E$6:$E$47,"Over 1.5",Selections!$K$6:$K$47,"HALF_WON"))</f>
        <v>6</v>
      </c>
      <c r="F21" s="19">
        <f>(COUNTIFS(Selections!$E$6:$E$47,"Over 1.5",Selections!$K$6:$K$47,"LOST")+COUNTIFS(Selections!$E$6:$E$47,"Over 1.5",Selections!$K$6:$K$47,"HALF_LOST"))</f>
        <v>1</v>
      </c>
      <c r="G21" s="19">
        <f>COUNTIFS(Selections!$E$6:$E$47,"Over 1.5")-((COUNTIFS(Selections!$E$6:$E$47,"Over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</f>
        <v>2</v>
      </c>
      <c r="H21" s="20">
        <f>IF(((COUNTIFS(Selections!$E$6:$E$47,"Over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1.5",Selections!$K$6:$K$47,"REFUNDED"))=0,"n.a.",(COUNTIFS(Selections!$E$6:$E$47,"Over 1.5",Selections!$K$6:$K$47,"WON")+COUNTIFS(Selections!$E$6:$E$47,"Over 1.5",Selections!$K$6:$K$47,"HALF_WON"))/((COUNTIFS(Selections!$E$6:$E$47,"Over 1.5",Selections!$K$6:$K$47,"WON")+COUNTIFS(Selections!$E$6:$E$47,"Over 1.5",Selections!$K$6:$K$47,"HALF_WON"))+(COUNTIFS(Selections!$E$6:$E$47,"Over 1.5",Selections!$K$6:$K$47,"LOST")+COUNTIFS(Selections!$E$6:$E$47,"Over 1.5",Selections!$K$6:$K$47,"HALF_LOST"))+COUNTIFS(Selections!$E$6:$E$47,"Over 1.5",Selections!$K$6:$K$47,"REFUNDED")))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5</v>
      </c>
      <c r="E22" s="19">
        <f>(COUNTIFS(Selections!$E$6:$E$47,"Under 3.5",Selections!$K$6:$K$47,"WON")+COUNTIFS(Selections!$E$6:$E$47,"Under 3.5",Selections!$K$6:$K$47,"HALF_WON"))</f>
        <v>2</v>
      </c>
      <c r="F22" s="19">
        <f>(COUNTIFS(Selections!$E$6:$E$47,"Under 3.5",Selections!$K$6:$K$47,"LOST")+COUNTIFS(Selections!$E$6:$E$47,"Under 3.5",Selections!$K$6:$K$47,"HALF_LOST"))</f>
        <v>3</v>
      </c>
      <c r="G22" s="19">
        <f>COUNTIFS(Selections!$E$6:$E$47,"Under 3.5")-((COUNTIFS(Selections!$E$6:$E$47,"Under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</f>
        <v>0</v>
      </c>
      <c r="H22" s="20">
        <f>IF(((COUNTIFS(Selections!$E$6:$E$47,"Under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3.5",Selections!$K$6:$K$47,"REFUNDED"))=0,"n.a.",(COUNTIFS(Selections!$E$6:$E$47,"Under 3.5",Selections!$K$6:$K$47,"WON")+COUNTIFS(Selections!$E$6:$E$47,"Under 3.5",Selections!$K$6:$K$47,"HALF_WON"))/((COUNTIFS(Selections!$E$6:$E$47,"Under 3.5",Selections!$K$6:$K$47,"WON")+COUNTIFS(Selections!$E$6:$E$47,"Under 3.5",Selections!$K$6:$K$47,"HALF_WON"))+(COUNTIFS(Selections!$E$6:$E$47,"Under 3.5",Selections!$K$6:$K$47,"LOST")+COUNTIFS(Selections!$E$6:$E$47,"Under 3.5",Selections!$K$6:$K$47,"HALF_LOST"))+COUNTIFS(Selections!$E$6:$E$47,"Under 3.5",Selections!$K$6:$K$47,"REFUNDED")))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8</v>
      </c>
      <c r="E23" s="19">
        <f>(COUNTIFS(Selections!$G$6:$G$47,"48h-top-ten-probability-ev-no-under35-v14",Selections!$K$6:$K$47,"WON")+COUNTIFS(Selections!$G$6:$G$47,"48h-top-ten-probability-ev-no-under35-v14",Selections!$K$6:$K$47,"HALF_WON"))</f>
        <v>6</v>
      </c>
      <c r="F23" s="19">
        <f>(COUNTIFS(Selections!$G$6:$G$47,"48h-top-ten-probability-ev-no-under35-v14",Selections!$K$6:$K$47,"LOST")+COUNTIFS(Selections!$G$6:$G$47,"48h-top-ten-probability-ev-no-under35-v14",Selections!$K$6:$K$47,"HALF_LOST"))</f>
        <v>2</v>
      </c>
      <c r="G23" s="19">
        <f>COUNTIFS(Selections!$G$6:$G$47,"48h-top-ten-probability-ev-no-under35-v14")-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</f>
        <v>1</v>
      </c>
      <c r="H23" s="20">
        <f>IF(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=0,"n.a.",(COUNTIFS(Selections!$G$6:$G$47,"48h-top-ten-probability-ev-no-under35-v14",Selections!$K$6:$K$47,"WON")+COUNTIFS(Selections!$G$6:$G$47,"48h-top-ten-probability-ev-no-under35-v14",Selections!$K$6:$K$47,"HALF_WON"))/((COUNTIFS(Selections!$G$6:$G$47,"48h-top-ten-probability-ev-no-under35-v14",Selections!$K$6:$K$47,"WON")+COUNTIFS(Selections!$G$6:$G$47,"48h-top-ten-probability-ev-no-under35-v14",Selections!$K$6:$K$47,"HALF_WON"))+(COUNTIFS(Selections!$G$6:$G$47,"48h-top-ten-probability-ev-no-under35-v14",Selections!$K$6:$K$47,"LOST")+COUNTIFS(Selections!$G$6:$G$47,"48h-top-ten-probability-ev-no-under35-v14",Selections!$K$6:$K$47,"HALF_LOST"))+COUNTIFS(Selections!$G$6:$G$47,"48h-top-ten-probability-ev-no-under35-v14",Selections!$K$6:$K$47,"REFUNDED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11</v>
      </c>
      <c r="E24" s="19">
        <f>(COUNTIFS(Selections!$G$6:$G$47,"48h-top-twelve-probability-ev-no-under35-v15",Selections!$K$6:$K$47,"WON")+COUNTIFS(Selections!$G$6:$G$47,"48h-top-twelve-probability-ev-no-under35-v15",Selections!$K$6:$K$47,"HALF_WON"))</f>
        <v>7</v>
      </c>
      <c r="F24" s="19">
        <f>(COUNTIFS(Selections!$G$6:$G$47,"48h-top-twelve-probability-ev-no-under35-v15",Selections!$K$6:$K$47,"LOST")+COUNTIFS(Selections!$G$6:$G$47,"48h-top-twelve-probability-ev-no-under35-v15",Selections!$K$6:$K$47,"HALF_LOST"))</f>
        <v>4</v>
      </c>
      <c r="G24" s="19">
        <f>COUNTIFS(Selections!$G$6:$G$47,"48h-top-twelve-probability-ev-no-under35-v15")-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</f>
        <v>1</v>
      </c>
      <c r="H24" s="20">
        <f>IF(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=0,"n.a.",(COUNTIFS(Selections!$G$6:$G$47,"48h-top-twelve-probability-ev-no-under35-v15",Selections!$K$6:$K$47,"WON")+COUNTIFS(Selections!$G$6:$G$47,"48h-top-twelve-probability-ev-no-under35-v15",Selections!$K$6:$K$47,"HALF_WON"))/((COUNTIFS(Selections!$G$6:$G$47,"48h-top-twelve-probability-ev-no-under35-v15",Selections!$K$6:$K$47,"WON")+COUNTIFS(Selections!$G$6:$G$47,"48h-top-twelve-probability-ev-no-under35-v15",Selections!$K$6:$K$47,"HALF_WON"))+(COUNTIFS(Selections!$G$6:$G$47,"48h-top-twelve-probability-ev-no-under35-v15",Selections!$K$6:$K$47,"LOST")+COUNTIFS(Selections!$G$6:$G$47,"48h-top-twelve-probability-ev-no-under35-v15",Selections!$K$6:$K$47,"HALF_LOST"))+COUNTIFS(Selections!$G$6:$G$47,"48h-top-twelve-probability-ev-no-under35-v15",Selections!$K$6:$K$47,"REFUNDED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1</v>
      </c>
      <c r="E25" s="19">
        <f>(COUNTIFS(Selections!$G$6:$G$47,"72h-all-markets-ev15-one-book-v6",Selections!$K$6:$K$47,"WON")+COUNTIFS(Selections!$G$6:$G$47,"72h-all-markets-ev15-one-book-v6",Selections!$K$6:$K$47,"HALF_WON"))</f>
        <v>1</v>
      </c>
      <c r="F25" s="19">
        <f>(COUNTIFS(Selections!$G$6:$G$47,"72h-all-markets-ev15-one-book-v6",Selections!$K$6:$K$47,"LOST")+COUNTIFS(Selections!$G$6:$G$47,"72h-all-markets-ev15-one-book-v6",Selections!$K$6:$K$47,"HALF_LOST"))</f>
        <v>0</v>
      </c>
      <c r="G25" s="19">
        <f>COUNTIFS(Selections!$G$6:$G$47,"72h-all-markets-ev15-one-book-v6")-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</f>
        <v>0</v>
      </c>
      <c r="H25" s="20">
        <f>IF(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=0,"n.a.",(COUNTIFS(Selections!$G$6:$G$47,"72h-all-markets-ev15-one-book-v6",Selections!$K$6:$K$47,"WON")+COUNTIFS(Selections!$G$6:$G$47,"72h-all-markets-ev15-one-book-v6",Selections!$K$6:$K$47,"HALF_WON"))/((COUNTIFS(Selections!$G$6:$G$47,"72h-all-markets-ev15-one-book-v6",Selections!$K$6:$K$47,"WON")+COUNTIFS(Selections!$G$6:$G$47,"72h-all-markets-ev15-one-book-v6",Selections!$K$6:$K$47,"HALF_WON"))+(COUNTIFS(Selections!$G$6:$G$47,"72h-all-markets-ev15-one-book-v6",Selections!$K$6:$K$47,"LOST")+COUNTIFS(Selections!$G$6:$G$47,"72h-all-markets-ev15-one-book-v6",Selections!$K$6:$K$47,"HALF_LOST"))+COUNTIFS(Selections!$G$6:$G$47,"72h-all-markets-ev15-one-book-v6",Selections!$K$6:$K$47,"REFUNDED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4</v>
      </c>
      <c r="E26" s="19">
        <f>(COUNTIFS(Selections!$G$6:$G$47,"72h-all-markets-net-ev15-execution-v7",Selections!$K$6:$K$47,"WON")+COUNTIFS(Selections!$G$6:$G$47,"72h-all-markets-net-ev15-execution-v7",Selections!$K$6:$K$47,"HALF_WON"))</f>
        <v>4</v>
      </c>
      <c r="F26" s="19">
        <f>(COUNTIFS(Selections!$G$6:$G$47,"72h-all-markets-net-ev15-execution-v7",Selections!$K$6:$K$47,"LOST")+COUNTIFS(Selections!$G$6:$G$47,"72h-all-markets-net-ev15-execution-v7",Selections!$K$6:$K$47,"HALF_LOST"))</f>
        <v>0</v>
      </c>
      <c r="G26" s="19">
        <f>COUNTIFS(Selections!$G$6:$G$47,"72h-all-markets-net-ev15-execution-v7")-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</f>
        <v>1</v>
      </c>
      <c r="H26" s="20">
        <f>IF(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=0,"n.a.",(COUNTIFS(Selections!$G$6:$G$47,"72h-all-markets-net-ev15-execution-v7",Selections!$K$6:$K$47,"WON")+COUNTIFS(Selections!$G$6:$G$47,"72h-all-markets-net-ev15-execution-v7",Selections!$K$6:$K$47,"HALF_WON"))/((COUNTIFS(Selections!$G$6:$G$47,"72h-all-markets-net-ev15-execution-v7",Selections!$K$6:$K$47,"WON")+COUNTIFS(Selections!$G$6:$G$47,"72h-all-markets-net-ev15-execution-v7",Selections!$K$6:$K$47,"HALF_WON"))+(COUNTIFS(Selections!$G$6:$G$47,"72h-all-markets-net-ev15-execution-v7",Selections!$K$6:$K$47,"LOST")+COUNTIFS(Selections!$G$6:$G$47,"72h-all-markets-net-ev15-execution-v7",Selections!$K$6:$K$47,"HALF_LOST"))+COUNTIFS(Selections!$G$6:$G$47,"72h-all-markets-net-ev15-execution-v7",Selections!$K$6:$K$47,"REFUNDED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5</v>
      </c>
      <c r="E27" s="19">
        <f>(COUNTIFS(Selections!$G$6:$G$47,"72h-seven-markets-fresh-references-net-ev15-v11",Selections!$K$6:$K$47,"WON")+COUNTIFS(Selections!$G$6:$G$47,"72h-seven-markets-fresh-references-net-ev15-v11",Selections!$K$6:$K$47,"HALF_WON"))</f>
        <v>4</v>
      </c>
      <c r="F27" s="19">
        <f>(COUNTIFS(Selections!$G$6:$G$47,"72h-seven-markets-fresh-references-net-ev15-v11",Selections!$K$6:$K$47,"LOST")+COUNTIFS(Selections!$G$6:$G$47,"72h-seven-markets-fresh-references-net-ev15-v11",Selections!$K$6:$K$47,"HALF_LOST"))</f>
        <v>1</v>
      </c>
      <c r="G27" s="19">
        <f>COUNTIFS(Selections!$G$6:$G$47,"72h-seven-markets-fresh-references-net-ev15-v11")-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</f>
        <v>0</v>
      </c>
      <c r="H27" s="20">
        <f>IF(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=0,"n.a.",(COUNTIFS(Selections!$G$6:$G$47,"72h-seven-markets-fresh-references-net-ev15-v11",Selections!$K$6:$K$47,"WON")+COUNTIFS(Selections!$G$6:$G$47,"72h-seven-markets-fresh-references-net-ev15-v11",Selections!$K$6:$K$47,"HALF_WON"))/((COUNTIFS(Selections!$G$6:$G$47,"72h-seven-markets-fresh-references-net-ev15-v11",Selections!$K$6:$K$47,"WON")+COUNTIFS(Selections!$G$6:$G$47,"72h-seven-markets-fresh-references-net-ev15-v11",Selections!$K$6:$K$47,"HALF_WON"))+(COUNTIFS(Selections!$G$6:$G$47,"72h-seven-markets-fresh-references-net-ev15-v11",Selections!$K$6:$K$47,"LOST")+COUNTIFS(Selections!$G$6:$G$47,"72h-seven-markets-fresh-references-net-ev15-v11",Selections!$K$6:$K$47,"HALF_LOST"))+COUNTIFS(Selections!$G$6:$G$47,"72h-seven-markets-fresh-references-net-ev15-v11",Selections!$K$6:$K$47,"REFUNDED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1</v>
      </c>
      <c r="E28" s="19">
        <f>(COUNTIFS(Selections!$G$6:$G$47,"72h-ucl-v2",Selections!$K$6:$K$47,"WON")+COUNTIFS(Selections!$G$6:$G$47,"72h-ucl-v2",Selections!$K$6:$K$47,"HALF_WON"))</f>
        <v>1</v>
      </c>
      <c r="F28" s="19">
        <f>(COUNTIFS(Selections!$G$6:$G$47,"72h-ucl-v2",Selections!$K$6:$K$47,"LOST")+COUNTIFS(Selections!$G$6:$G$47,"72h-ucl-v2",Selections!$K$6:$K$47,"HALF_LOST"))</f>
        <v>0</v>
      </c>
      <c r="G28" s="19">
        <f>COUNTIFS(Selections!$G$6:$G$47,"72h-ucl-v2")-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</f>
        <v>0</v>
      </c>
      <c r="H28" s="20">
        <f>IF(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=0,"n.a.",(COUNTIFS(Selections!$G$6:$G$47,"72h-ucl-v2",Selections!$K$6:$K$47,"WON")+COUNTIFS(Selections!$G$6:$G$47,"72h-ucl-v2",Selections!$K$6:$K$47,"HALF_WON"))/((COUNTIFS(Selections!$G$6:$G$47,"72h-ucl-v2",Selections!$K$6:$K$47,"WON")+COUNTIFS(Selections!$G$6:$G$47,"72h-ucl-v2",Selections!$K$6:$K$47,"HALF_WON"))+(COUNTIFS(Selections!$G$6:$G$47,"72h-ucl-v2",Selections!$K$6:$K$47,"LOST")+COUNTIFS(Selections!$G$6:$G$47,"72h-ucl-v2",Selections!$K$6:$K$47,"HALF_LOST"))+COUNTIFS(Selections!$G$6:$G$47,"72h-ucl-v2",Selections!$K$6:$K$47,"REFUNDED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6</v>
      </c>
      <c r="E29" s="19">
        <f>(COUNTIFS(Selections!$G$6:$G$47,"72h-ucl-v3",Selections!$K$6:$K$47,"WON")+COUNTIFS(Selections!$G$6:$G$47,"72h-ucl-v3",Selections!$K$6:$K$47,"HALF_WON"))</f>
        <v>3</v>
      </c>
      <c r="F29" s="19">
        <f>(COUNTIFS(Selections!$G$6:$G$47,"72h-ucl-v3",Selections!$K$6:$K$47,"LOST")+COUNTIFS(Selections!$G$6:$G$47,"72h-ucl-v3",Selections!$K$6:$K$47,"HALF_LOST"))</f>
        <v>3</v>
      </c>
      <c r="G29" s="19">
        <f>COUNTIFS(Selections!$G$6:$G$47,"72h-ucl-v3")-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</f>
        <v>1</v>
      </c>
      <c r="H29" s="20">
        <f>IF(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=0,"n.a.",(COUNTIFS(Selections!$G$6:$G$47,"72h-ucl-v3",Selections!$K$6:$K$47,"WON")+COUNTIFS(Selections!$G$6:$G$47,"72h-ucl-v3",Selections!$K$6:$K$47,"HALF_WON"))/((COUNTIFS(Selections!$G$6:$G$47,"72h-ucl-v3",Selections!$K$6:$K$47,"WON")+COUNTIFS(Selections!$G$6:$G$47,"72h-ucl-v3",Selections!$K$6:$K$47,"HALF_WON"))+(COUNTIFS(Selections!$G$6:$G$47,"72h-ucl-v3",Selections!$K$6:$K$47,"LOST")+COUNTIFS(Selections!$G$6:$G$47,"72h-ucl-v3",Selections!$K$6:$K$47,"HALF_LOST"))+COUNTIFS(Selections!$G$6:$G$47,"72h-ucl-v3",Selections!$K$6:$K$47,"REFUNDED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2</v>
      </c>
      <c r="E30" s="19">
        <f>(COUNTIFS(Selections!$G$6:$G$47,"legacy/unspecified",Selections!$K$6:$K$47,"WON")+COUNTIFS(Selections!$G$6:$G$47,"legacy/unspecified",Selections!$K$6:$K$47,"HALF_WON"))</f>
        <v>2</v>
      </c>
      <c r="F30" s="19">
        <f>(COUNTIFS(Selections!$G$6:$G$47,"legacy/unspecified",Selections!$K$6:$K$47,"LOST")+COUNTIFS(Selections!$G$6:$G$47,"legacy/unspecified",Selections!$K$6:$K$47,"HALF_LOST"))</f>
        <v>0</v>
      </c>
      <c r="G30" s="19">
        <f>COUNTIFS(Selections!$G$6:$G$47,"legacy/unspecified")-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</f>
        <v>0</v>
      </c>
      <c r="H30" s="20">
        <f>IF(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=0,"n.a.",(COUNTIFS(Selections!$G$6:$G$47,"legacy/unspecified",Selections!$K$6:$K$47,"WON")+COUNTIFS(Selections!$G$6:$G$47,"legacy/unspecified",Selections!$K$6:$K$47,"HALF_WON"))/((COUNTIFS(Selections!$G$6:$G$47,"legacy/unspecified",Selections!$K$6:$K$47,"WON")+COUNTIFS(Selections!$G$6:$G$47,"legacy/unspecified",Selections!$K$6:$K$47,"HALF_WON"))+(COUNTIFS(Selections!$G$6:$G$47,"legacy/unspecified",Selections!$K$6:$K$47,"LOST")+COUNTIFS(Selections!$G$6:$G$47,"legacy/unspecified",Selections!$K$6:$K$47,"HALF_LOST"))+COUNTIFS(Selections!$G$6:$G$47,"legacy/unspecified",Selections!$K$6:$K$47,"REFUNDED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4</v>
      </c>
      <c r="E31" s="19">
        <f>(COUNTIFS(Selections!$P$6:$P$47,"2026-W41",Selections!$K$6:$K$47,"WON")+COUNTIFS(Selections!$P$6:$P$47,"2026-W41",Selections!$K$6:$K$47,"HALF_WON"))</f>
        <v>2</v>
      </c>
      <c r="F31" s="19">
        <f>(COUNTIFS(Selections!$P$6:$P$47,"2026-W41",Selections!$K$6:$K$47,"LOST")+COUNTIFS(Selections!$P$6:$P$47,"2026-W41",Selections!$K$6:$K$47,"HALF_LOST"))</f>
        <v>2</v>
      </c>
      <c r="G31" s="19">
        <f>COUNTIFS(Selections!$P$6:$P$47,"2026-W41")-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</f>
        <v>1</v>
      </c>
      <c r="H31" s="20">
        <f>IF(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=0,"n.a.",(COUNTIFS(Selections!$P$6:$P$47,"2026-W41",Selections!$K$6:$K$47,"WON")+COUNTIFS(Selections!$P$6:$P$47,"2026-W41",Selections!$K$6:$K$47,"HALF_WON"))/((COUNTIFS(Selections!$P$6:$P$47,"2026-W41",Selections!$K$6:$K$47,"WON")+COUNTIFS(Selections!$P$6:$P$47,"2026-W41",Selections!$K$6:$K$47,"HALF_WON"))+(COUNTIFS(Selections!$P$6:$P$47,"2026-W41",Selections!$K$6:$K$47,"LOST")+COUNTIFS(Selections!$P$6:$P$47,"2026-W41",Selections!$K$6:$K$47,"HALF_LOST"))+COUNTIFS(Selections!$P$6:$P$47,"2026-W41",Selections!$K$6:$K$47,"REFUNDED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22</v>
      </c>
      <c r="E32" s="19">
        <f>(COUNTIFS(Selections!$P$6:$P$47,"2026-W42",Selections!$K$6:$K$47,"WON")+COUNTIFS(Selections!$P$6:$P$47,"2026-W42",Selections!$K$6:$K$47,"HALF_WON"))</f>
        <v>19</v>
      </c>
      <c r="F32" s="19">
        <f>(COUNTIFS(Selections!$P$6:$P$47,"2026-W42",Selections!$K$6:$K$47,"LOST")+COUNTIFS(Selections!$P$6:$P$47,"2026-W42",Selections!$K$6:$K$47,"HALF_LOST"))</f>
        <v>3</v>
      </c>
      <c r="G32" s="19">
        <f>COUNTIFS(Selections!$P$6:$P$47,"2026-W42")-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</f>
        <v>2</v>
      </c>
      <c r="H32" s="20">
        <f>IF(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=0,"n.a.",(COUNTIFS(Selections!$P$6:$P$47,"2026-W42",Selections!$K$6:$K$47,"WON")+COUNTIFS(Selections!$P$6:$P$47,"2026-W42",Selections!$K$6:$K$47,"HALF_WON"))/((COUNTIFS(Selections!$P$6:$P$47,"2026-W42",Selections!$K$6:$K$47,"WON")+COUNTIFS(Selections!$P$6:$P$47,"2026-W42",Selections!$K$6:$K$47,"HALF_WON"))+(COUNTIFS(Selections!$P$6:$P$47,"2026-W42",Selections!$K$6:$K$47,"LOST")+COUNTIFS(Selections!$P$6:$P$47,"2026-W42",Selections!$K$6:$K$47,"HALF_LOST"))+COUNTIFS(Selections!$P$6:$P$47,"2026-W42",Selections!$K$6:$K$47,"REFUNDED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12</v>
      </c>
      <c r="E33" s="19">
        <f>(COUNTIFS(Selections!$P$6:$P$47,"2026-W43",Selections!$K$6:$K$47,"WON")+COUNTIFS(Selections!$P$6:$P$47,"2026-W43",Selections!$K$6:$K$47,"HALF_WON"))</f>
        <v>7</v>
      </c>
      <c r="F33" s="19">
        <f>(COUNTIFS(Selections!$P$6:$P$47,"2026-W43",Selections!$K$6:$K$47,"LOST")+COUNTIFS(Selections!$P$6:$P$47,"2026-W43",Selections!$K$6:$K$47,"HALF_LOST"))</f>
        <v>5</v>
      </c>
      <c r="G33" s="19">
        <f>COUNTIFS(Selections!$P$6:$P$47,"2026-W43")-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</f>
        <v>1</v>
      </c>
      <c r="H33" s="20">
        <f>IF(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=0,"n.a.",(COUNTIFS(Selections!$P$6:$P$47,"2026-W43",Selections!$K$6:$K$47,"WON")+COUNTIFS(Selections!$P$6:$P$47,"2026-W43",Selections!$K$6:$K$47,"HALF_WON"))/((COUNTIFS(Selections!$P$6:$P$47,"2026-W43",Selections!$K$6:$K$47,"WON")+COUNTIFS(Selections!$P$6:$P$47,"2026-W43",Selections!$K$6:$K$47,"HALF_WON"))+(COUNTIFS(Selections!$P$6:$P$47,"2026-W43",Selections!$K$6:$K$47,"LOST")+COUNTIFS(Selections!$P$6:$P$47,"2026-W43",Selections!$K$6:$K$47,"HALF_LOST"))+COUNTIFS(Selections!$P$6:$P$47,"2026-W43",Selections!$K$6:$K$47,"REFUNDED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2026-10-21T20:16:34.489329+00:00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Model behind verified source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6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6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Account availability</t>
        </is>
      </c>
      <c r="B43" s="18" t="inlineStr">
        <is>
          <t>Not verified with bookmaker accounts</t>
        </is>
      </c>
    </row>
    <row r="44" ht="44" customHeight="1">
      <c r="A44" s="18" t="inlineStr">
        <is>
          <t>Past kickoff count</t>
        </is>
      </c>
      <c r="B44" s="19">
        <v>6</v>
      </c>
    </row>
    <row r="45" ht="44" customHeight="1">
      <c r="A45" s="18" t="inlineStr">
        <is>
          <t>Upcoming kickoff count</t>
        </is>
      </c>
      <c r="B45" s="19">
        <v>0</v>
      </c>
    </row>
    <row r="46" ht="44" customHeight="1">
      <c r="A46" s="18" t="inlineStr">
        <is>
          <t>Unknown kickoff count</t>
        </is>
      </c>
      <c r="B46" s="19">
        <v>0</v>
      </c>
    </row>
    <row r="49">
      <c r="A49" s="26" t="inlineStr">
        <is>
          <t>Forecast capture coverage</t>
        </is>
      </c>
    </row>
    <row r="50" ht="34" customHeight="1">
      <c r="A50" s="24" t="inlineStr">
        <is>
          <t>Experiment</t>
        </is>
      </c>
      <c r="B50" s="24" t="inlineStr">
        <is>
          <t>Capture state</t>
        </is>
      </c>
      <c r="C50" s="24" t="inlineStr">
        <is>
          <t>Snapshot count</t>
        </is>
      </c>
    </row>
    <row r="51" ht="44" customHeight="1">
      <c r="A51" s="18" t="inlineStr">
        <is>
          <t>Goal-market blend</t>
        </is>
      </c>
      <c r="B51" s="18" t="inlineStr">
        <is>
          <t>Captured</t>
        </is>
      </c>
      <c r="C51" s="19">
        <v>25</v>
      </c>
    </row>
    <row r="52" ht="44" customHeight="1">
      <c r="A52" s="18" t="inlineStr">
        <is>
          <t>Goal-market blend</t>
        </is>
      </c>
      <c r="B52" s="18" t="inlineStr">
        <is>
          <t>Legacy not recorded</t>
        </is>
      </c>
      <c r="C52" s="19">
        <v>14</v>
      </c>
    </row>
    <row r="53" ht="44" customHeight="1">
      <c r="A53" s="18" t="inlineStr">
        <is>
          <t>Market-led forecasts</t>
        </is>
      </c>
      <c r="B53" s="18" t="inlineStr">
        <is>
          <t>Captured</t>
        </is>
      </c>
      <c r="C53" s="19">
        <v>25</v>
      </c>
    </row>
    <row r="54" ht="44" customHeight="1">
      <c r="A54" s="18" t="inlineStr">
        <is>
          <t>Market-led forecasts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Recency comparison</t>
        </is>
      </c>
      <c r="B55" s="18" t="inlineStr">
        <is>
          <t>Captured</t>
        </is>
      </c>
      <c r="C55" s="19">
        <v>21</v>
      </c>
    </row>
    <row r="56" ht="44" customHeight="1">
      <c r="A56" s="18" t="inlineStr">
        <is>
          <t>Recency comparison</t>
        </is>
      </c>
      <c r="B56" s="18" t="inlineStr">
        <is>
          <t>Legacy not recorded</t>
        </is>
      </c>
      <c r="C56" s="19">
        <v>18</v>
      </c>
    </row>
    <row r="57" ht="44" customHeight="1">
      <c r="A57" s="18" t="inlineStr">
        <is>
          <t>EV filter sensitivity</t>
        </is>
      </c>
      <c r="B57" s="18" t="inlineStr">
        <is>
          <t>Captured</t>
        </is>
      </c>
      <c r="C57" s="19">
        <v>20</v>
      </c>
    </row>
    <row r="58" ht="44" customHeight="1">
      <c r="A58" s="18" t="inlineStr">
        <is>
          <t>EV filter sensitivity</t>
        </is>
      </c>
      <c r="B58" s="18" t="inlineStr">
        <is>
          <t>Legacy not recorded</t>
        </is>
      </c>
      <c r="C58" s="19">
        <v>19</v>
      </c>
    </row>
    <row r="59" ht="44" customHeight="1">
      <c r="A59" s="18" t="inlineStr">
        <is>
          <t>85% market weight</t>
        </is>
      </c>
      <c r="B59" s="18" t="inlineStr">
        <is>
          <t>Captured</t>
        </is>
      </c>
      <c r="C59" s="19">
        <v>18</v>
      </c>
    </row>
    <row r="60" ht="44" customHeight="1">
      <c r="A60" s="18" t="inlineStr">
        <is>
          <t>85% market weight</t>
        </is>
      </c>
      <c r="B60" s="18" t="inlineStr">
        <is>
          <t>Legacy not recorded</t>
        </is>
      </c>
      <c r="C60" s="19">
        <v>20</v>
      </c>
    </row>
    <row r="61" ht="44" customHeight="1">
      <c r="A61" s="18" t="inlineStr">
        <is>
          <t>85% market weight</t>
        </is>
      </c>
      <c r="B61" s="18" t="inlineStr">
        <is>
          <t>Present but rejected</t>
        </is>
      </c>
      <c r="C61" s="19">
        <v>1</v>
      </c>
    </row>
    <row r="62" ht="44" customHeight="1">
      <c r="A62" s="18" t="inlineStr">
        <is>
          <t>Pinnacle totals anchor</t>
        </is>
      </c>
      <c r="B62" s="18" t="inlineStr">
        <is>
          <t>Captured</t>
        </is>
      </c>
      <c r="C62" s="19">
        <v>18</v>
      </c>
    </row>
    <row r="63" ht="44" customHeight="1">
      <c r="A63" s="18" t="inlineStr">
        <is>
          <t>Pinnacle totals anchor</t>
        </is>
      </c>
      <c r="B63" s="18" t="inlineStr">
        <is>
          <t>Legacy not recorded</t>
        </is>
      </c>
      <c r="C63" s="19">
        <v>21</v>
      </c>
    </row>
    <row r="64" ht="44" customHeight="1">
      <c r="A64" s="18" t="inlineStr">
        <is>
          <t>Stronger regularisation (L2=3)</t>
        </is>
      </c>
      <c r="B64" s="18" t="inlineStr">
        <is>
          <t>Legacy not recorded</t>
        </is>
      </c>
      <c r="C64" s="19">
        <v>39</v>
      </c>
    </row>
    <row r="65" ht="44" customHeight="1">
      <c r="A65" s="18" t="inlineStr">
        <is>
          <t>Fixed half-life (480 days)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Probability / calibration policy</t>
        </is>
      </c>
      <c r="B66" s="18" t="inlineStr">
        <is>
          <t>Captured</t>
        </is>
      </c>
      <c r="C66" s="19">
        <v>12</v>
      </c>
    </row>
    <row r="67" ht="44" customHeight="1">
      <c r="A67" s="18" t="inlineStr">
        <is>
          <t>Probability / calibration policy</t>
        </is>
      </c>
      <c r="B67" s="18" t="inlineStr">
        <is>
          <t>Legacy not recorded</t>
        </is>
      </c>
      <c r="C67" s="19">
        <v>26</v>
      </c>
    </row>
    <row r="68" ht="44" customHeight="1">
      <c r="A68" s="18" t="inlineStr">
        <is>
          <t>Probability / calibration policy</t>
        </is>
      </c>
      <c r="B68" s="18" t="inlineStr">
        <is>
          <t>Present but rejected</t>
        </is>
      </c>
      <c r="C68" s="19">
        <v>1</v>
      </c>
    </row>
    <row r="69" ht="44" customHeight="1">
      <c r="A69" s="18" t="inlineStr">
        <is>
          <t>Shortlist probability / EV weights</t>
        </is>
      </c>
      <c r="B69" s="18" t="inlineStr">
        <is>
          <t>Captured</t>
        </is>
      </c>
      <c r="C69" s="19">
        <v>4</v>
      </c>
    </row>
    <row r="70" ht="44" customHeight="1">
      <c r="A70" s="18" t="inlineStr">
        <is>
          <t>Shortlist probability / EV weights</t>
        </is>
      </c>
      <c r="B70" s="18" t="inlineStr">
        <is>
          <t>Legacy not recorded</t>
        </is>
      </c>
      <c r="C70" s="19">
        <v>35</v>
      </c>
    </row>
    <row r="73">
      <c r="A73" s="26" t="inlineStr">
        <is>
          <t>EV sensitivity results</t>
        </is>
      </c>
    </row>
    <row r="74" ht="34" customHeight="1">
      <c r="A74" s="24" t="inlineStr">
        <is>
          <t>EV floor</t>
        </is>
      </c>
      <c r="B74" s="24" t="inlineStr">
        <is>
          <t>Tier</t>
        </is>
      </c>
      <c r="C74" s="24" t="inlineStr">
        <is>
          <t>Selected</t>
        </is>
      </c>
      <c r="D74" s="24" t="inlineStr">
        <is>
          <t>Settled</t>
        </is>
      </c>
      <c r="E74" s="24" t="inlineStr">
        <is>
          <t>Simulated ROI</t>
        </is>
      </c>
      <c r="F74" s="24" t="inlineStr">
        <is>
          <t>Drawdown (units)</t>
        </is>
      </c>
    </row>
    <row r="75" ht="44" customHeight="1">
      <c r="A75" s="20">
        <v>0.015</v>
      </c>
      <c r="B75" s="18" t="inlineStr">
        <is>
          <t>ALL</t>
        </is>
      </c>
      <c r="C75" s="19">
        <v>9</v>
      </c>
      <c r="D75" s="19">
        <v>8</v>
      </c>
      <c r="E75" s="20">
        <v>0.1725</v>
      </c>
      <c r="F75" s="22">
        <v>1.0</v>
      </c>
    </row>
    <row r="76" ht="44" customHeight="1">
      <c r="A76" s="20">
        <v>0.015</v>
      </c>
      <c r="B76" s="18" t="inlineStr">
        <is>
          <t>STRICT</t>
        </is>
      </c>
      <c r="C76" s="19">
        <v>7</v>
      </c>
      <c r="D76" s="19">
        <v>6</v>
      </c>
      <c r="E76" s="20">
        <v>0.09833333333333331</v>
      </c>
      <c r="F76" s="22">
        <v>1.0</v>
      </c>
    </row>
    <row r="77" ht="44" customHeight="1">
      <c r="A77" s="20">
        <v>0.015</v>
      </c>
      <c r="B77" s="18" t="inlineStr">
        <is>
          <t>PROVISIONAL</t>
        </is>
      </c>
      <c r="C77" s="19">
        <v>2</v>
      </c>
      <c r="D77" s="19">
        <v>2</v>
      </c>
      <c r="E77" s="20">
        <v>0.395</v>
      </c>
      <c r="F77" s="22">
        <v>0.0</v>
      </c>
    </row>
    <row r="78" ht="44" customHeight="1">
      <c r="A78" s="20">
        <v>0.03</v>
      </c>
      <c r="B78" s="18" t="inlineStr">
        <is>
          <t>ALL</t>
        </is>
      </c>
      <c r="C78" s="19">
        <v>8</v>
      </c>
      <c r="D78" s="19">
        <v>7</v>
      </c>
      <c r="E78" s="20">
        <v>0.16285714285714284</v>
      </c>
      <c r="F78" s="22">
        <v>1.0</v>
      </c>
    </row>
    <row r="79" ht="44" customHeight="1">
      <c r="A79" s="20">
        <v>0.03</v>
      </c>
      <c r="B79" s="18" t="inlineStr">
        <is>
          <t>STRICT</t>
        </is>
      </c>
      <c r="C79" s="19">
        <v>6</v>
      </c>
      <c r="D79" s="19">
        <v>5</v>
      </c>
      <c r="E79" s="20">
        <v>0.06999999999999998</v>
      </c>
      <c r="F79" s="22">
        <v>1.0</v>
      </c>
    </row>
    <row r="80" ht="44" customHeight="1">
      <c r="A80" s="20">
        <v>0.03</v>
      </c>
      <c r="B80" s="18" t="inlineStr">
        <is>
          <t>PROVISIONAL</t>
        </is>
      </c>
      <c r="C80" s="19">
        <v>2</v>
      </c>
      <c r="D80" s="19">
        <v>2</v>
      </c>
      <c r="E80" s="20">
        <v>0.395</v>
      </c>
      <c r="F80" s="22">
        <v>0.0</v>
      </c>
    </row>
    <row r="81" ht="44" customHeight="1">
      <c r="A81" s="20">
        <v>0.05</v>
      </c>
      <c r="B81" s="18" t="inlineStr">
        <is>
          <t>ALL</t>
        </is>
      </c>
      <c r="C81" s="19">
        <v>7</v>
      </c>
      <c r="D81" s="19">
        <v>6</v>
      </c>
      <c r="E81" s="20">
        <v>0.14666666666666664</v>
      </c>
      <c r="F81" s="22">
        <v>1.0</v>
      </c>
    </row>
    <row r="82" ht="44" customHeight="1">
      <c r="A82" s="20">
        <v>0.05</v>
      </c>
      <c r="B82" s="18" t="inlineStr">
        <is>
          <t>STRICT</t>
        </is>
      </c>
      <c r="C82" s="19">
        <v>5</v>
      </c>
      <c r="D82" s="19">
        <v>5</v>
      </c>
      <c r="E82" s="20">
        <v>0.06999999999999998</v>
      </c>
      <c r="F82" s="22">
        <v>1.0</v>
      </c>
    </row>
    <row r="83" ht="44" customHeight="1">
      <c r="A83" s="20">
        <v>0.05</v>
      </c>
      <c r="B83" s="18" t="inlineStr">
        <is>
          <t>PROVISIONAL</t>
        </is>
      </c>
      <c r="C83" s="19">
        <v>2</v>
      </c>
      <c r="D83" s="19">
        <v>1</v>
      </c>
      <c r="E83" s="20">
        <v>0.53</v>
      </c>
      <c r="F83" s="22">
        <v>0.0</v>
      </c>
    </row>
    <row r="86">
      <c r="A86" s="26" t="inlineStr">
        <is>
          <t>Daily review observations</t>
        </is>
      </c>
    </row>
    <row r="87" ht="34" customHeight="1">
      <c r="A87" s="24" t="inlineStr">
        <is>
          <t>Review date</t>
        </is>
      </c>
      <c r="B87" s="24" t="inlineStr">
        <is>
          <t>Graded</t>
        </is>
      </c>
      <c r="C87" s="24" t="inlineStr">
        <is>
          <t>Win rate</t>
        </is>
      </c>
      <c r="D87" s="24" t="inlineStr">
        <is>
          <t>Simulated ROI</t>
        </is>
      </c>
      <c r="E87" s="24" t="inlineStr">
        <is>
          <t>Brier</t>
        </is>
      </c>
    </row>
    <row r="88" ht="44" customHeight="1">
      <c r="A88" s="18" t="inlineStr">
        <is>
          <t>2026-10-13</t>
        </is>
      </c>
      <c r="B88" s="19">
        <v>9</v>
      </c>
      <c r="C88" s="20">
        <v>0.666667</v>
      </c>
      <c r="D88" s="20">
        <v>-0.096667</v>
      </c>
      <c r="E88" s="21">
        <v>0.250532</v>
      </c>
    </row>
    <row r="89" ht="44" customHeight="1">
      <c r="A89" s="18" t="inlineStr">
        <is>
          <t>2026-10-14</t>
        </is>
      </c>
      <c r="B89" s="19">
        <v>11</v>
      </c>
      <c r="C89" s="20">
        <v>0.727273</v>
      </c>
      <c r="D89" s="20">
        <v>0.01</v>
      </c>
      <c r="E89" s="21">
        <v>0.215932</v>
      </c>
    </row>
    <row r="90" ht="44" customHeight="1">
      <c r="A90" s="18" t="inlineStr">
        <is>
          <t>2026-10-15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2026-10-16</t>
        </is>
      </c>
      <c r="B91" s="19">
        <v>12</v>
      </c>
      <c r="C91" s="20">
        <v>0.75</v>
      </c>
      <c r="D91" s="20">
        <v>0.031667</v>
      </c>
      <c r="E91" s="21">
        <v>0.199836</v>
      </c>
    </row>
    <row r="92" ht="44" customHeight="1">
      <c r="A92" s="18" t="inlineStr">
        <is>
          <t>2026-10-17</t>
        </is>
      </c>
      <c r="B92" s="19">
        <v>17</v>
      </c>
      <c r="C92" s="20">
        <v>0.764706</v>
      </c>
      <c r="D92" s="20">
        <v>0.044706</v>
      </c>
      <c r="E92" s="21">
        <v>0.178798</v>
      </c>
    </row>
    <row r="93" ht="44" customHeight="1">
      <c r="A93" s="18" t="inlineStr">
        <is>
          <t>2026-10-18</t>
        </is>
      </c>
      <c r="B93" s="19">
        <v>26</v>
      </c>
      <c r="C93" s="20">
        <v>0.807692</v>
      </c>
      <c r="D93" s="20">
        <v>0.108077</v>
      </c>
      <c r="E93" s="21">
        <v>0.161003</v>
      </c>
    </row>
    <row r="94" ht="44" customHeight="1">
      <c r="A94" s="18" t="inlineStr">
        <is>
          <t>2026-10-19</t>
        </is>
      </c>
      <c r="B94" s="19">
        <v>30</v>
      </c>
      <c r="C94" s="20">
        <v>0.733333</v>
      </c>
      <c r="D94" s="20">
        <v>0.011333</v>
      </c>
      <c r="E94" s="21">
        <v>0.175695</v>
      </c>
    </row>
    <row r="95" ht="44" customHeight="1">
      <c r="A95" s="18" t="inlineStr">
        <is>
          <t>2026-10-20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2026-10-21</t>
        </is>
      </c>
      <c r="B96" s="19">
        <v>38</v>
      </c>
      <c r="C96" s="20">
        <v>0.736842</v>
      </c>
      <c r="D96" s="20">
        <v>0.011316</v>
      </c>
      <c r="E96" s="21">
        <v>0.176926</v>
      </c>
    </row>
    <row r="99">
      <c r="A99" s="26" t="inlineStr">
        <is>
          <t>Dependency versions</t>
        </is>
      </c>
    </row>
    <row r="100" ht="34" customHeight="1">
      <c r="A100" s="24" t="inlineStr">
        <is>
          <t>Dependency</t>
        </is>
      </c>
      <c r="B100" s="24" t="inlineStr">
        <is>
          <t>Version</t>
        </is>
      </c>
    </row>
    <row r="101" ht="44" customHeight="1">
      <c r="A101" s="18" t="inlineStr">
        <is>
          <t>python</t>
        </is>
      </c>
      <c r="B101" s="18" t="inlineStr">
        <is>
          <t>3.12.15</t>
        </is>
      </c>
    </row>
    <row r="102" ht="44" customHeight="1">
      <c r="A102" s="18" t="inlineStr">
        <is>
          <t>numpy</t>
        </is>
      </c>
      <c r="B102" s="18" t="inlineStr">
        <is>
          <t>2.5.4</t>
        </is>
      </c>
    </row>
    <row r="103" ht="44" customHeight="1">
      <c r="A103" s="18" t="inlineStr">
        <is>
          <t>pandas</t>
        </is>
      </c>
      <c r="B103" s="18" t="inlineStr">
        <is>
          <t>3.0.6</t>
        </is>
      </c>
    </row>
    <row r="104" ht="44" customHeight="1">
      <c r="A104" s="18" t="inlineStr">
        <is>
          <t>scipy</t>
        </is>
      </c>
      <c r="B104" s="18" t="inlineStr">
        <is>
          <t>1.18.1</t>
        </is>
      </c>
    </row>
    <row r="105" ht="44" customHeight="1">
      <c r="A105" s="18" t="inlineStr">
        <is>
          <t>requests</t>
        </is>
      </c>
      <c r="B105" s="18" t="inlineStr">
        <is>
          <t>2.34.2</t>
        </is>
      </c>
    </row>
    <row r="106" ht="44" customHeight="1">
      <c r="A106" s="18" t="inlineStr">
        <is>
          <t>rapidfuzz</t>
        </is>
      </c>
      <c r="B106" s="18" t="inlineStr">
        <is>
          <t>3.14.6</t>
        </is>
      </c>
    </row>
    <row r="107" ht="44" customHeight="1">
      <c r="A107" s="18" t="inlineStr">
        <is>
          <t>python-dotenv</t>
        </is>
      </c>
      <c r="B107" s="18" t="inlineStr">
        <is>
          <t>1.2.4</t>
        </is>
      </c>
    </row>
    <row r="108" ht="44" customHeight="1">
      <c r="A108" s="18" t="inlineStr">
        <is>
          <t>coverage</t>
        </is>
      </c>
      <c r="B108" s="18" t="inlineStr">
        <is>
          <t>NOT_INSTALLED</t>
        </is>
      </c>
    </row>
    <row r="109" ht="44" customHeight="1">
      <c r="A109" s="18" t="inlineStr">
        <is>
          <t>PyYAML</t>
        </is>
      </c>
      <c r="B109" s="18" t="inlineStr">
        <is>
          <t>NOT_INSTALLED</t>
        </is>
      </c>
    </row>
    <row r="112">
      <c r="A11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49:F49"/>
    <mergeCell ref="A73:F73"/>
    <mergeCell ref="A86:F86"/>
    <mergeCell ref="A99:F9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hyperlinks>
    <hyperlink ref="A11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