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20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IF(COUNT(Predictions!H6:H98)=0,"n.a.",AVERAGE(Predictions!H6:H98))</f>
        <v>0.5925925925925926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IF(COUNT(Predictions!I6:I98)=0,"n.a.",AVERAGE(Predictions!I6:I98))</f>
        <v>0.6023758366666667</v>
      </c>
      <c r="C17" s="18"/>
      <c r="D17" s="18" t="inlineStr">
        <is>
          <t>Over 1.5</t>
        </is>
      </c>
      <c r="E17" s="18">
        <f>COUNT(Predictions!J6:J98)</f>
        <v>27</v>
      </c>
      <c r="F17" s="20">
        <f>IF(E17=0,"n.a.",AVERAGE(Predictions!J6:J98))</f>
        <v>0.9259259259259259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COUNT(Predictions!K6:K98)</f>
        <v>27</v>
      </c>
      <c r="F18" s="20">
        <f>IF(E18=0,"n.a.",AVERAGE(Predictions!K6:K98))</f>
        <v>0.5925925925925926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COUNT(Predictions!L6:L98)</f>
        <v>27</v>
      </c>
      <c r="F19" s="20">
        <f>IF(E19=0,"n.a.",AVERAGE(Predictions!L6:L98))</f>
        <v>0.5185185185185185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COUNT(Predictions!M6:M98)</f>
        <v>27</v>
      </c>
      <c r="F20" s="20">
        <f>IF(E20=0,"n.a.",AVERAGE(Predictions!M6:M98))</f>
        <v>0.5185185185185185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2026-10-14T15:41:11.667565+00:00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20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11:27:03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PENDING_KICKOFF_OR_FINAL_SCORE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2026-10-17T14:00:00+00:00</t>
        </is>
      </c>
      <c r="B24" s="18" t="inlineStr">
        <is>
          <t>Fulham vs Hull City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Manchester City vs Ipswich Town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2026-10-18T12:00:00+00:00</t>
        </is>
      </c>
      <c r="B26" s="18" t="inlineStr">
        <is>
          <t>CA Osasuna vs Real Racing Club de Santander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2026-10-18T16:30:00+00:00</t>
        </is>
      </c>
      <c r="B27" s="18" t="inlineStr">
        <is>
          <t>Málaga vs Real Sociedad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2026-10-18T19:00:00+00:00</t>
        </is>
      </c>
      <c r="B28" s="18" t="inlineStr">
        <is>
          <t>Real Madrid vs Sevilla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2026-10-19T19:00:00+00:00</t>
        </is>
      </c>
      <c r="B29" s="18" t="inlineStr">
        <is>
          <t>Tottenham Hotspur vs Coventry City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2026-W43</t>
        </is>
      </c>
      <c r="K29" s="18"/>
      <c r="L29" s="18"/>
      <c r="M29" s="18"/>
      <c r="N29" s="18"/>
      <c r="O29" s="18"/>
      <c r="P29" s="18"/>
      <c r="Q29" s="18"/>
      <c r="R29" s="18"/>
    </row>
  </sheetData>
  <mergeCells count="1">
    <mergeCell ref="A2:J2"/>
  </mergeCells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COUNTA(Selections!$A$6:$A$25)</f>
        <v>20</v>
      </c>
      <c r="D6" s="19">
        <f>(COUNTIFS(Selections!$K$6:$K$25,"WON")+COUNTIFS(Selections!$K$6:$K$25,"LOST"))</f>
        <v>9</v>
      </c>
      <c r="E6" s="19">
        <f>COUNTIFS(Selections!$K$6:$K$25,"WON")</f>
        <v>6</v>
      </c>
      <c r="F6" s="19">
        <f>COUNTIFS(Selections!$K$6:$K$25,"LOST")</f>
        <v>3</v>
      </c>
      <c r="G6" s="19">
        <f>COUNTA(Selections!$A$6:$A$25)-(COUNTIFS(Selections!$K$6:$K$25,"WON")+COUNTIFS(Selections!$K$6:$K$25,"LOST"))</f>
        <v>11</v>
      </c>
      <c r="H6" s="20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22">
        <f>SUM(Selections!$M$6:$M$25)</f>
        <v>9</v>
      </c>
      <c r="J6" s="22">
        <f>SUM(Selections!$N$6:$N$25)</f>
        <v>-0.8700000000000001</v>
      </c>
      <c r="K6" s="20">
        <f>IF(SUM(Selections!$M$6:$M$25)=0,"n.a.",SUM(Selections!$N$6:$N$25)/SUM(Selections!$M$6:$M$25))</f>
        <v>-0.09666666666666668</v>
      </c>
      <c r="L6" s="21">
        <f>IF(SUM(Selections!$T$6:$T$25)=0,"n.a.",SUM(Selections!$O$6:$O$25)/SUM(Selections!$T$6:$T$25))</f>
        <v>0.25053182411845815</v>
      </c>
      <c r="M6" s="20">
        <f>IF(SUM(Selections!$T$6:$T$25)=0,"n.a.",SUM(Selections!$S$6:$S$25)/SUM(Selections!$T$6:$T$25))</f>
        <v>0.8039940028539501</v>
      </c>
      <c r="N6" s="20">
        <f>IF(SUM(Selections!$T$6:$T$25)=0,"n.a.",(SUMIFS(Selections!$L$6:$L$25,Selections!$T$6:$T$25,1))/SUM(Selections!$T$6:$T$25))</f>
        <v>0.6666666666666666</v>
      </c>
      <c r="O6" s="20">
        <f>IF(SUM(Selections!$T$6:$T$25)=0,"n.a.",(SUM(Selections!$S$6:$S$25)-(SUMIFS(Selections!$L$6:$L$25,Selections!$T$6:$T$25,1)))/SUM(Selections!$T$6:$T$25))</f>
        <v>0.13732733618728343</v>
      </c>
      <c r="P6" s="19">
        <f>SUM(Selections!$T$6:$T$25)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COUNTIFS(Selections!$F$6:$F$25,"STRICT")</f>
        <v>10</v>
      </c>
      <c r="D7" s="19">
        <f>(COUNTIFS(Selections!$F$6:$F$25,"STRICT",Selections!$K$6:$K$25,"WON")+COUNTIFS(Selections!$F$6:$F$25,"STRICT",Selections!$K$6:$K$25,"LOST"))</f>
        <v>4</v>
      </c>
      <c r="E7" s="19">
        <f>COUNTIFS(Selections!$F$6:$F$25,"STRICT",Selections!$K$6:$K$25,"WON")</f>
        <v>4</v>
      </c>
      <c r="F7" s="19">
        <f>COUNTIFS(Selections!$F$6:$F$25,"STRICT",Selections!$K$6:$K$25,"LOST")</f>
        <v>0</v>
      </c>
      <c r="G7" s="19">
        <f>COUNTIFS(Selections!$F$6:$F$25,"STRICT")-(COUNTIFS(Selections!$F$6:$F$25,"STRICT",Selections!$K$6:$K$25,"WON")+COUNTIFS(Selections!$F$6:$F$25,"STRICT",Selections!$K$6:$K$25,"LOST"))</f>
        <v>6</v>
      </c>
      <c r="H7" s="20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22">
        <f>SUMIFS(Selections!$M$6:$M$25,Selections!$F$6:$F$25,"STRICT")</f>
        <v>4</v>
      </c>
      <c r="J7" s="22">
        <f>SUMIFS(Selections!$N$6:$N$25,Selections!$F$6:$F$25,"STRICT")</f>
        <v>1.6099999999999999</v>
      </c>
      <c r="K7" s="20">
        <f>IF(SUMIFS(Selections!$M$6:$M$25,Selections!$F$6:$F$25,"STRICT")=0,"n.a.",SUMIFS(Selections!$N$6:$N$25,Selections!$F$6:$F$25,"STRICT")/SUMIFS(Selections!$M$6:$M$25,Selections!$F$6:$F$25,"STRICT"))</f>
        <v>0.40249999999999997</v>
      </c>
      <c r="L7" s="21">
        <f>IF(SUMIFS(Selections!$T$6:$T$25,Selections!$F$6:$F$25,"STRICT")=0,"n.a.",SUMIFS(Selections!$O$6:$O$25,Selections!$F$6:$F$25,"STRICT")/SUMIFS(Selections!$T$6:$T$25,Selections!$F$6:$F$25,"STRICT"))</f>
        <v>0.05954074059867185</v>
      </c>
      <c r="M7" s="20">
        <f>IF(SUMIFS(Selections!$T$6:$T$25,Selections!$F$6:$F$25,"STRICT")=0,"n.a.",SUMIFS(Selections!$S$6:$S$25,Selections!$F$6:$F$25,"STRICT")/SUMIFS(Selections!$T$6:$T$25,Selections!$F$6:$F$25,"STRICT"))</f>
        <v>0.7786491041410677</v>
      </c>
      <c r="N7" s="20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20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9">
        <f>SUMIFS(Selections!$T$6:$T$25,Selections!$F$6:$F$25,"STRICT")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COUNTIFS(Selections!$F$6:$F$25,"PROVISIONAL")</f>
        <v>10</v>
      </c>
      <c r="D8" s="19">
        <f>(COUNTIFS(Selections!$F$6:$F$25,"PROVISIONAL",Selections!$K$6:$K$25,"WON")+COUNTIFS(Selections!$F$6:$F$25,"PROVISIONAL",Selections!$K$6:$K$25,"LOST"))</f>
        <v>5</v>
      </c>
      <c r="E8" s="19">
        <f>COUNTIFS(Selections!$F$6:$F$25,"PROVISIONAL",Selections!$K$6:$K$25,"WON")</f>
        <v>2</v>
      </c>
      <c r="F8" s="19">
        <f>COUNTIFS(Selections!$F$6:$F$25,"PROVISIONAL",Selections!$K$6:$K$25,"LOST")</f>
        <v>3</v>
      </c>
      <c r="G8" s="19">
        <f>COUNTIFS(Selections!$F$6:$F$25,"PROVISIONAL")-(COUNTIFS(Selections!$F$6:$F$25,"PROVISIONAL",Selections!$K$6:$K$25,"WON")+COUNTIFS(Selections!$F$6:$F$25,"PROVISIONAL",Selections!$K$6:$K$25,"LOST"))</f>
        <v>5</v>
      </c>
      <c r="H8" s="20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22">
        <f>SUMIFS(Selections!$M$6:$M$25,Selections!$F$6:$F$25,"PROVISIONAL")</f>
        <v>5</v>
      </c>
      <c r="J8" s="22">
        <f>SUMIFS(Selections!$N$6:$N$25,Selections!$F$6:$F$25,"PROVISIONAL")</f>
        <v>-2.48</v>
      </c>
      <c r="K8" s="20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21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20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20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20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9">
        <f>SUMIFS(Selections!$T$6:$T$25,Selections!$F$6:$F$25,"PROVISIONAL")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COUNTIFS(Selections!$C$6:$C$25,"La Liga")</f>
        <v>7</v>
      </c>
      <c r="D9" s="19">
        <f>(COUNTIFS(Selections!$C$6:$C$25,"La Liga",Selections!$K$6:$K$25,"WON")+COUNTIFS(Selections!$C$6:$C$25,"La Liga",Selections!$K$6:$K$25,"LOST"))</f>
        <v>2</v>
      </c>
      <c r="E9" s="19">
        <f>COUNTIFS(Selections!$C$6:$C$25,"La Liga",Selections!$K$6:$K$25,"WON")</f>
        <v>2</v>
      </c>
      <c r="F9" s="19">
        <f>COUNTIFS(Selections!$C$6:$C$25,"La Liga",Selections!$K$6:$K$25,"LOST")</f>
        <v>0</v>
      </c>
      <c r="G9" s="19">
        <f>COUNTIFS(Selections!$C$6:$C$25,"La Liga")-(COUNTIFS(Selections!$C$6:$C$25,"La Liga",Selections!$K$6:$K$25,"WON")+COUNTIFS(Selections!$C$6:$C$25,"La Liga",Selections!$K$6:$K$25,"LOST"))</f>
        <v>5</v>
      </c>
      <c r="H9" s="20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22">
        <f>SUMIFS(Selections!$M$6:$M$25,Selections!$C$6:$C$25,"La Liga")</f>
        <v>2</v>
      </c>
      <c r="J9" s="22">
        <f>SUMIFS(Selections!$N$6:$N$25,Selections!$C$6:$C$25,"La Liga")</f>
        <v>0.5800000000000001</v>
      </c>
      <c r="K9" s="20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21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20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20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20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9">
        <f>SUMIFS(Selections!$T$6:$T$25,Selections!$C$6:$C$25,"La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COUNTIFS(Selections!$C$6:$C$25,"Premier League")</f>
        <v>6</v>
      </c>
      <c r="D10" s="19">
        <f>(COUNTIFS(Selections!$C$6:$C$25,"Premier League",Selections!$K$6:$K$25,"WON")+COUNTIFS(Selections!$C$6:$C$25,"Premier League",Selections!$K$6:$K$25,"LOST"))</f>
        <v>3</v>
      </c>
      <c r="E10" s="19">
        <f>COUNTIFS(Selections!$C$6:$C$25,"Premier League",Selections!$K$6:$K$25,"WON")</f>
        <v>0</v>
      </c>
      <c r="F10" s="19">
        <f>COUNTIFS(Selections!$C$6:$C$25,"Premier League",Selections!$K$6:$K$25,"LOST")</f>
        <v>3</v>
      </c>
      <c r="G10" s="19">
        <f>COUNTIFS(Selections!$C$6:$C$25,"Premier League")-(COUNTIFS(Selections!$C$6:$C$25,"Premier League",Selections!$K$6:$K$25,"WON")+COUNTIFS(Selections!$C$6:$C$25,"Premier League",Selections!$K$6:$K$25,"LOST"))</f>
        <v>3</v>
      </c>
      <c r="H10" s="20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22">
        <f>SUMIFS(Selections!$M$6:$M$25,Selections!$C$6:$C$25,"Premier League")</f>
        <v>3</v>
      </c>
      <c r="J10" s="22">
        <f>SUMIFS(Selections!$N$6:$N$25,Selections!$C$6:$C$25,"Premier League")</f>
        <v>-3.0</v>
      </c>
      <c r="K10" s="20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21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20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20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20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9">
        <f>SUMIFS(Selections!$T$6:$T$25,Selections!$C$6:$C$25,"Premier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COUNTIFS(Selections!$C$6:$C$25,"Serie A")</f>
        <v>2</v>
      </c>
      <c r="D11" s="19">
        <f>(COUNTIFS(Selections!$C$6:$C$25,"Serie A",Selections!$K$6:$K$25,"WON")+COUNTIFS(Selections!$C$6:$C$25,"Serie A",Selections!$K$6:$K$25,"LOST"))</f>
        <v>2</v>
      </c>
      <c r="E11" s="19">
        <f>COUNTIFS(Selections!$C$6:$C$25,"Serie A",Selections!$K$6:$K$25,"WON")</f>
        <v>2</v>
      </c>
      <c r="F11" s="19">
        <f>COUNTIFS(Selections!$C$6:$C$25,"Serie A",Selections!$K$6:$K$25,"LOST")</f>
        <v>0</v>
      </c>
      <c r="G11" s="19">
        <f>COUNTIFS(Selections!$C$6:$C$25,"Serie A")-(COUNTIFS(Selections!$C$6:$C$25,"Serie A",Selections!$K$6:$K$25,"WON")+COUNTIFS(Selections!$C$6:$C$25,"Serie A",Selections!$K$6:$K$25,"LOST"))</f>
        <v>0</v>
      </c>
      <c r="H11" s="20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22">
        <f>SUMIFS(Selections!$M$6:$M$25,Selections!$C$6:$C$25,"Serie A")</f>
        <v>2</v>
      </c>
      <c r="J11" s="22">
        <f>SUMIFS(Selections!$N$6:$N$25,Selections!$C$6:$C$25,"Serie A")</f>
        <v>0.9099999999999999</v>
      </c>
      <c r="K11" s="20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21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20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20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20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9">
        <f>SUMIFS(Selections!$T$6:$T$25,Selections!$C$6:$C$25,"Serie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COUNTIFS(Selections!$C$6:$C$25,"UEFA Champions League")</f>
        <v>5</v>
      </c>
      <c r="D12" s="19">
        <f>(COUNTIFS(Selections!$C$6:$C$25,"UEFA Champions League",Selections!$K$6:$K$25,"WON")+COUNTIFS(Selections!$C$6:$C$25,"UEFA Champions League",Selections!$K$6:$K$25,"LOST"))</f>
        <v>2</v>
      </c>
      <c r="E12" s="19">
        <f>COUNTIFS(Selections!$C$6:$C$25,"UEFA Champions League",Selections!$K$6:$K$25,"WON")</f>
        <v>2</v>
      </c>
      <c r="F12" s="19">
        <f>COUNTIFS(Selections!$C$6:$C$25,"UEFA Champions League",Selections!$K$6:$K$25,"LOST")</f>
        <v>0</v>
      </c>
      <c r="G12" s="19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20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22">
        <f>SUMIFS(Selections!$M$6:$M$25,Selections!$C$6:$C$25,"UEFA Champions League")</f>
        <v>2</v>
      </c>
      <c r="J12" s="22">
        <f>SUMIFS(Selections!$N$6:$N$25,Selections!$C$6:$C$25,"UEFA Champions League")</f>
        <v>0.6399999999999999</v>
      </c>
      <c r="K12" s="20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21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20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20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20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9">
        <f>SUMIFS(Selections!$T$6:$T$25,Selections!$C$6:$C$25,"UEFA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Both Teams to Score - Yes</t>
        </is>
      </c>
      <c r="C13" s="19">
        <f>COUNTIFS(Selections!$E$6:$E$25,"Both Teams to Score - Yes")</f>
        <v>1</v>
      </c>
      <c r="D13" s="19">
        <f>(COUNTIFS(Selections!$E$6:$E$25,"Both Teams to Score - Yes",Selections!$K$6:$K$25,"WON")+COUNTIFS(Selections!$E$6:$E$25,"Both Teams to Score - Yes",Selections!$K$6:$K$25,"LOST"))</f>
        <v>1</v>
      </c>
      <c r="E13" s="19">
        <f>COUNTIFS(Selections!$E$6:$E$25,"Both Teams to Score - Yes",Selections!$K$6:$K$25,"WON")</f>
        <v>1</v>
      </c>
      <c r="F13" s="19">
        <f>COUNTIFS(Selections!$E$6:$E$25,"Both Teams to Score - Yes",Selections!$K$6:$K$25,"LOST")</f>
        <v>0</v>
      </c>
      <c r="G13" s="19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20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22">
        <f>SUMIFS(Selections!$M$6:$M$25,Selections!$E$6:$E$25,"Both Teams to Score - Yes")</f>
        <v>1</v>
      </c>
      <c r="J13" s="22">
        <f>SUMIFS(Selections!$N$6:$N$25,Selections!$E$6:$E$25,"Both Teams to Score - Yes")</f>
        <v>0.49</v>
      </c>
      <c r="K13" s="20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21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20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20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20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9">
        <f>SUMIFS(Selections!$T$6:$T$25,Selections!$E$6:$E$25,"Both Teams to Score - Yes")</f>
        <v>1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8"/>
    </row>
    <row r="14" ht="36" customHeight="1">
      <c r="A14" s="18" t="inlineStr">
        <is>
          <t>Market</t>
        </is>
      </c>
      <c r="B14" s="18" t="inlineStr">
        <is>
          <t>Home win</t>
        </is>
      </c>
      <c r="C14" s="19">
        <f>COUNTIFS(Selections!$E$6:$E$25,"Home win")</f>
        <v>4</v>
      </c>
      <c r="D14" s="19">
        <f>(COUNTIFS(Selections!$E$6:$E$25,"Home win",Selections!$K$6:$K$25,"WON")+COUNTIFS(Selections!$E$6:$E$25,"Home win",Selections!$K$6:$K$25,"LOST"))</f>
        <v>1</v>
      </c>
      <c r="E14" s="19">
        <f>COUNTIFS(Selections!$E$6:$E$25,"Home win",Selections!$K$6:$K$25,"WON")</f>
        <v>1</v>
      </c>
      <c r="F14" s="19">
        <f>COUNTIFS(Selections!$E$6:$E$25,"Home win",Selections!$K$6:$K$25,"LOST")</f>
        <v>0</v>
      </c>
      <c r="G14" s="19">
        <f>COUNTIFS(Selections!$E$6:$E$25,"Home win")-(COUNTIFS(Selections!$E$6:$E$25,"Home win",Selections!$K$6:$K$25,"WON")+COUNTIFS(Selections!$E$6:$E$25,"Home win",Selections!$K$6:$K$25,"LOST"))</f>
        <v>3</v>
      </c>
      <c r="H14" s="20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22">
        <f>SUMIFS(Selections!$M$6:$M$25,Selections!$E$6:$E$25,"Home win")</f>
        <v>1</v>
      </c>
      <c r="J14" s="22">
        <f>SUMIFS(Selections!$N$6:$N$25,Selections!$E$6:$E$25,"Home win")</f>
        <v>0.6299999999999999</v>
      </c>
      <c r="K14" s="20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21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20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20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20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9">
        <f>SUMIFS(Selections!$T$6:$T$25,Selections!$E$6:$E$25,"Home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Over 1.5</t>
        </is>
      </c>
      <c r="C15" s="19">
        <f>COUNTIFS(Selections!$E$6:$E$25,"Over 1.5")</f>
        <v>9</v>
      </c>
      <c r="D15" s="19">
        <f>(COUNTIFS(Selections!$E$6:$E$25,"Over 1.5",Selections!$K$6:$K$25,"WON")+COUNTIFS(Selections!$E$6:$E$25,"Over 1.5",Selections!$K$6:$K$25,"LOST"))</f>
        <v>3</v>
      </c>
      <c r="E15" s="19">
        <f>COUNTIFS(Selections!$E$6:$E$25,"Over 1.5",Selections!$K$6:$K$25,"WON")</f>
        <v>3</v>
      </c>
      <c r="F15" s="19">
        <f>COUNTIFS(Selections!$E$6:$E$25,"Over 1.5",Selections!$K$6:$K$25,"LOST")</f>
        <v>0</v>
      </c>
      <c r="G15" s="19">
        <f>COUNTIFS(Selections!$E$6:$E$25,"Over 1.5")-(COUNTIFS(Selections!$E$6:$E$25,"Over 1.5",Selections!$K$6:$K$25,"WON")+COUNTIFS(Selections!$E$6:$E$25,"Over 1.5",Selections!$K$6:$K$25,"LOST"))</f>
        <v>6</v>
      </c>
      <c r="H15" s="20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22">
        <f>SUMIFS(Selections!$M$6:$M$25,Selections!$E$6:$E$25,"Over 1.5")</f>
        <v>3</v>
      </c>
      <c r="J15" s="22">
        <f>SUMIFS(Selections!$N$6:$N$25,Selections!$E$6:$E$25,"Over 1.5")</f>
        <v>0.73</v>
      </c>
      <c r="K15" s="20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21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20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20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20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9">
        <f>SUMIFS(Selections!$T$6:$T$25,Selections!$E$6:$E$25,"Over 1.5")</f>
        <v>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8"/>
    </row>
    <row r="16" ht="36" customHeight="1">
      <c r="A16" s="18" t="inlineStr">
        <is>
          <t>Market</t>
        </is>
      </c>
      <c r="B16" s="18" t="inlineStr">
        <is>
          <t>Under 3.5</t>
        </is>
      </c>
      <c r="C16" s="19">
        <f>COUNTIFS(Selections!$E$6:$E$25,"Under 3.5")</f>
        <v>6</v>
      </c>
      <c r="D16" s="19">
        <f>(COUNTIFS(Selections!$E$6:$E$25,"Under 3.5",Selections!$K$6:$K$25,"WON")+COUNTIFS(Selections!$E$6:$E$25,"Under 3.5",Selections!$K$6:$K$25,"LOST"))</f>
        <v>4</v>
      </c>
      <c r="E16" s="19">
        <f>COUNTIFS(Selections!$E$6:$E$25,"Under 3.5",Selections!$K$6:$K$25,"WON")</f>
        <v>1</v>
      </c>
      <c r="F16" s="19">
        <f>COUNTIFS(Selections!$E$6:$E$25,"Under 3.5",Selections!$K$6:$K$25,"LOST")</f>
        <v>3</v>
      </c>
      <c r="G16" s="19">
        <f>COUNTIFS(Selections!$E$6:$E$25,"Under 3.5")-(COUNTIFS(Selections!$E$6:$E$25,"Under 3.5",Selections!$K$6:$K$25,"WON")+COUNTIFS(Selections!$E$6:$E$25,"Under 3.5",Selections!$K$6:$K$25,"LOST"))</f>
        <v>2</v>
      </c>
      <c r="H16" s="20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22">
        <f>SUMIFS(Selections!$M$6:$M$25,Selections!$E$6:$E$25,"Under 3.5")</f>
        <v>4</v>
      </c>
      <c r="J16" s="22">
        <f>SUMIFS(Selections!$N$6:$N$25,Selections!$E$6:$E$25,"Under 3.5")</f>
        <v>-2.7199999999999998</v>
      </c>
      <c r="K16" s="20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21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20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20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20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9">
        <f>SUMIFS(Selections!$T$6:$T$25,Selections!$E$6:$E$25,"Under 3.5")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Policy</t>
        </is>
      </c>
      <c r="B17" s="18" t="inlineStr">
        <is>
          <t>72h-all-markets-net-ev15-execution-v7</t>
        </is>
      </c>
      <c r="C17" s="19">
        <f>COUNTIFS(Selections!$G$6:$G$25,"72h-all-markets-net-ev15-execution-v7")</f>
        <v>1</v>
      </c>
      <c r="D17" s="19">
        <f>(COUNTIFS(Selections!$G$6:$G$25,"72h-all-markets-net-ev15-execution-v7",Selections!$K$6:$K$25,"WON")+COUNTIFS(Selections!$G$6:$G$25,"72h-all-markets-net-ev15-execution-v7",Selections!$K$6:$K$25,"LOST"))</f>
        <v>0</v>
      </c>
      <c r="E17" s="19">
        <f>COUNTIFS(Selections!$G$6:$G$25,"72h-all-markets-net-ev15-execution-v7",Selections!$K$6:$K$25,"WON")</f>
        <v>0</v>
      </c>
      <c r="F17" s="19">
        <f>COUNTIFS(Selections!$G$6:$G$25,"72h-all-markets-net-ev15-execution-v7",Selections!$K$6:$K$25,"LOST")</f>
        <v>0</v>
      </c>
      <c r="G17" s="19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20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22">
        <f>SUMIFS(Selections!$M$6:$M$25,Selections!$G$6:$G$25,"72h-all-markets-net-ev15-execution-v7")</f>
        <v>0</v>
      </c>
      <c r="J17" s="22">
        <f>SUMIFS(Selections!$N$6:$N$25,Selections!$G$6:$G$25,"72h-all-markets-net-ev15-execution-v7")</f>
        <v>0</v>
      </c>
      <c r="K17" s="20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21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20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20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20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9">
        <f>SUMIFS(Selections!$T$6:$T$25,Selections!$G$6:$G$25,"72h-all-markets-net-ev15-execution-v7")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Policy</t>
        </is>
      </c>
      <c r="B18" s="18" t="inlineStr">
        <is>
          <t>72h-ucl-v3</t>
        </is>
      </c>
      <c r="C18" s="19">
        <f>COUNTIFS(Selections!$G$6:$G$25,"72h-ucl-v3")</f>
        <v>8</v>
      </c>
      <c r="D18" s="19">
        <f>(COUNTIFS(Selections!$G$6:$G$25,"72h-ucl-v3",Selections!$K$6:$K$25,"WON")+COUNTIFS(Selections!$G$6:$G$25,"72h-ucl-v3",Selections!$K$6:$K$25,"LOST"))</f>
        <v>4</v>
      </c>
      <c r="E18" s="19">
        <f>COUNTIFS(Selections!$G$6:$G$25,"72h-ucl-v3",Selections!$K$6:$K$25,"WON")</f>
        <v>3</v>
      </c>
      <c r="F18" s="19">
        <f>COUNTIFS(Selections!$G$6:$G$25,"72h-ucl-v3",Selections!$K$6:$K$25,"LOST")</f>
        <v>1</v>
      </c>
      <c r="G18" s="19">
        <f>COUNTIFS(Selections!$G$6:$G$25,"72h-ucl-v3")-(COUNTIFS(Selections!$G$6:$G$25,"72h-ucl-v3",Selections!$K$6:$K$25,"WON")+COUNTIFS(Selections!$G$6:$G$25,"72h-ucl-v3",Selections!$K$6:$K$25,"LOST"))</f>
        <v>4</v>
      </c>
      <c r="H18" s="20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22">
        <f>SUMIFS(Selections!$M$6:$M$25,Selections!$G$6:$G$25,"72h-ucl-v3")</f>
        <v>4</v>
      </c>
      <c r="J18" s="22">
        <f>SUMIFS(Selections!$N$6:$N$25,Selections!$G$6:$G$25,"72h-ucl-v3")</f>
        <v>-0.020000000000000018</v>
      </c>
      <c r="K18" s="20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21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20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20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20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9">
        <f>SUMIFS(Selections!$T$6:$T$25,Selections!$G$6:$G$25,"72h-ucl-v3")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Policy</t>
        </is>
      </c>
      <c r="B19" s="18" t="inlineStr">
        <is>
          <t>legacy/unspecified</t>
        </is>
      </c>
      <c r="C19" s="19">
        <f>COUNTIFS(Selections!$G$6:$G$25,"legacy/unspecified")</f>
        <v>11</v>
      </c>
      <c r="D19" s="19">
        <f>(COUNTIFS(Selections!$G$6:$G$25,"legacy/unspecified",Selections!$K$6:$K$25,"WON")+COUNTIFS(Selections!$G$6:$G$25,"legacy/unspecified",Selections!$K$6:$K$25,"LOST"))</f>
        <v>5</v>
      </c>
      <c r="E19" s="19">
        <f>COUNTIFS(Selections!$G$6:$G$25,"legacy/unspecified",Selections!$K$6:$K$25,"WON")</f>
        <v>3</v>
      </c>
      <c r="F19" s="19">
        <f>COUNTIFS(Selections!$G$6:$G$25,"legacy/unspecified",Selections!$K$6:$K$25,"LOST")</f>
        <v>2</v>
      </c>
      <c r="G19" s="19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20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22">
        <f>SUMIFS(Selections!$M$6:$M$25,Selections!$G$6:$G$25,"legacy/unspecified")</f>
        <v>5</v>
      </c>
      <c r="J19" s="22">
        <f>SUMIFS(Selections!$N$6:$N$25,Selections!$G$6:$G$25,"legacy/unspecified")</f>
        <v>-0.8500000000000001</v>
      </c>
      <c r="K19" s="20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21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20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20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20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9">
        <f>SUMIFS(Selections!$T$6:$T$25,Selections!$G$6:$G$25,"legacy/unspecified")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Week</t>
        </is>
      </c>
      <c r="B20" s="18" t="inlineStr">
        <is>
          <t>2026-W41</t>
        </is>
      </c>
      <c r="C20" s="19">
        <f>COUNTIFS(Selections!$P$6:$P$25,"2026-W41")</f>
        <v>5</v>
      </c>
      <c r="D20" s="19">
        <f>(COUNTIFS(Selections!$P$6:$P$25,"2026-W41",Selections!$K$6:$K$25,"WON")+COUNTIFS(Selections!$P$6:$P$25,"2026-W41",Selections!$K$6:$K$25,"LOST"))</f>
        <v>4</v>
      </c>
      <c r="E20" s="19">
        <f>COUNTIFS(Selections!$P$6:$P$25,"2026-W41",Selections!$K$6:$K$25,"WON")</f>
        <v>2</v>
      </c>
      <c r="F20" s="19">
        <f>COUNTIFS(Selections!$P$6:$P$25,"2026-W41",Selections!$K$6:$K$25,"LOST")</f>
        <v>2</v>
      </c>
      <c r="G20" s="19">
        <f>COUNTIFS(Selections!$P$6:$P$25,"2026-W41")-(COUNTIFS(Selections!$P$6:$P$25,"2026-W41",Selections!$K$6:$K$25,"WON")+COUNTIFS(Selections!$P$6:$P$25,"2026-W41",Selections!$K$6:$K$25,"LOST"))</f>
        <v>1</v>
      </c>
      <c r="H20" s="20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22">
        <f>SUMIFS(Selections!$M$6:$M$25,Selections!$P$6:$P$25,"2026-W41")</f>
        <v>4</v>
      </c>
      <c r="J20" s="22">
        <f>SUMIFS(Selections!$N$6:$N$25,Selections!$P$6:$P$25,"2026-W41")</f>
        <v>-1.48</v>
      </c>
      <c r="K20" s="20">
        <f>IF(SUMIFS(Selections!$M$6:$M$25,Selections!$P$6:$P$25,"2026-W41")=0,"n.a.",SUMIFS(Selections!$N$6:$N$25,Selections!$P$6:$P$25,"2026-W41")/SUMIFS(Selections!$M$6:$M$25,Selections!$P$6:$P$25,"2026-W41"))</f>
        <v>-0.37</v>
      </c>
      <c r="L20" s="21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20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20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20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9">
        <f>SUMIFS(Selections!$T$6:$T$25,Selections!$P$6:$P$25,"2026-W41")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Week</t>
        </is>
      </c>
      <c r="B21" s="18" t="inlineStr">
        <is>
          <t>2026-W42</t>
        </is>
      </c>
      <c r="C21" s="19">
        <f>COUNTIFS(Selections!$P$6:$P$25,"2026-W42")</f>
        <v>14</v>
      </c>
      <c r="D21" s="19">
        <f>(COUNTIFS(Selections!$P$6:$P$25,"2026-W42",Selections!$K$6:$K$25,"WON")+COUNTIFS(Selections!$P$6:$P$25,"2026-W42",Selections!$K$6:$K$25,"LOST"))</f>
        <v>5</v>
      </c>
      <c r="E21" s="19">
        <f>COUNTIFS(Selections!$P$6:$P$25,"2026-W42",Selections!$K$6:$K$25,"WON")</f>
        <v>4</v>
      </c>
      <c r="F21" s="19">
        <f>COUNTIFS(Selections!$P$6:$P$25,"2026-W42",Selections!$K$6:$K$25,"LOST")</f>
        <v>1</v>
      </c>
      <c r="G21" s="19">
        <f>COUNTIFS(Selections!$P$6:$P$25,"2026-W42")-(COUNTIFS(Selections!$P$6:$P$25,"2026-W42",Selections!$K$6:$K$25,"WON")+COUNTIFS(Selections!$P$6:$P$25,"2026-W42",Selections!$K$6:$K$25,"LOST"))</f>
        <v>9</v>
      </c>
      <c r="H21" s="20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22">
        <f>SUMIFS(Selections!$M$6:$M$25,Selections!$P$6:$P$25,"2026-W42")</f>
        <v>5</v>
      </c>
      <c r="J21" s="22">
        <f>SUMIFS(Selections!$N$6:$N$25,Selections!$P$6:$P$25,"2026-W42")</f>
        <v>0.6099999999999999</v>
      </c>
      <c r="K21" s="20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21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20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20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20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9">
        <f>SUMIFS(Selections!$T$6:$T$25,Selections!$P$6:$P$25,"2026-W42")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Week</t>
        </is>
      </c>
      <c r="B22" s="18" t="inlineStr">
        <is>
          <t>2026-W43</t>
        </is>
      </c>
      <c r="C22" s="19">
        <f>COUNTIFS(Selections!$P$6:$P$25,"2026-W43")</f>
        <v>1</v>
      </c>
      <c r="D22" s="19">
        <f>(COUNTIFS(Selections!$P$6:$P$25,"2026-W43",Selections!$K$6:$K$25,"WON")+COUNTIFS(Selections!$P$6:$P$25,"2026-W43",Selections!$K$6:$K$25,"LOST"))</f>
        <v>0</v>
      </c>
      <c r="E22" s="19">
        <f>COUNTIFS(Selections!$P$6:$P$25,"2026-W43",Selections!$K$6:$K$25,"WON")</f>
        <v>0</v>
      </c>
      <c r="F22" s="19">
        <f>COUNTIFS(Selections!$P$6:$P$25,"2026-W43",Selections!$K$6:$K$25,"LOST")</f>
        <v>0</v>
      </c>
      <c r="G22" s="19">
        <f>COUNTIFS(Selections!$P$6:$P$25,"2026-W43")-(COUNTIFS(Selections!$P$6:$P$25,"2026-W43",Selections!$K$6:$K$25,"WON")+COUNTIFS(Selections!$P$6:$P$25,"2026-W43",Selections!$K$6:$K$25,"LOST"))</f>
        <v>1</v>
      </c>
      <c r="H22" s="20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22">
        <f>SUMIFS(Selections!$M$6:$M$25,Selections!$P$6:$P$25,"2026-W43")</f>
        <v>0</v>
      </c>
      <c r="J22" s="22">
        <f>SUMIFS(Selections!$N$6:$N$25,Selections!$P$6:$P$25,"2026-W43")</f>
        <v>0</v>
      </c>
      <c r="K22" s="20" t="str">
        <f>IF(SUMIFS(Selections!$M$6:$M$25,Selections!$P$6:$P$25,"2026-W43")=0,"n.a.",SUMIFS(Selections!$N$6:$N$25,Selections!$P$6:$P$25,"2026-W43")/SUMIFS(Selections!$M$6:$M$25,Selections!$P$6:$P$25,"2026-W43"))</f>
        <v>n.a.</v>
      </c>
      <c r="L22" s="21" t="str">
        <f>IF(SUMIFS(Selections!$T$6:$T$25,Selections!$P$6:$P$25,"2026-W43")=0,"n.a.",SUMIFS(Selections!$O$6:$O$25,Selections!$P$6:$P$25,"2026-W43")/SUMIFS(Selections!$T$6:$T$25,Selections!$P$6:$P$25,"2026-W43"))</f>
        <v>n.a.</v>
      </c>
      <c r="M22" s="20" t="str">
        <f>IF(SUMIFS(Selections!$T$6:$T$25,Selections!$P$6:$P$25,"2026-W43")=0,"n.a.",SUMIFS(Selections!$S$6:$S$25,Selections!$P$6:$P$25,"2026-W43")/SUMIFS(Selections!$T$6:$T$25,Selections!$P$6:$P$25,"2026-W43"))</f>
        <v>n.a.</v>
      </c>
      <c r="N22" s="20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20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9">
        <f>SUMIFS(Selections!$T$6:$T$25,Selections!$P$6:$P$25,"2026-W43")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</sheetData>
  <mergeCells count="2">
    <mergeCell ref="A2:Q2"/>
    <mergeCell ref="A4:Q4"/>
  </mergeCells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COUNTIFS(Selections!$S$6:$S$25,"&gt;="&amp;B6,Selections!$S$6:$S$25,"&lt;"&amp;C6,Selections!$T$6:$T$25,1)</f>
        <v>0</v>
      </c>
      <c r="E6" s="20" t="str">
        <f>IF(D6=0,"n.a.",SUMIFS(Selections!$S$6:$S$25,Selections!$S$6:$S$25,"&gt;="&amp;B6,Selections!$S$6:$S$25,"&lt;"&amp;C6,Selections!$T$6:$T$25,1)/D6)</f>
        <v>n.a.</v>
      </c>
      <c r="F6" s="20" t="str">
        <f>IF(D6=0,"n.a.",SUMIFS(Selections!$L$6:$L$25,Selections!$S$6:$S$25,"&gt;="&amp;B6,Selections!$S$6:$S$25,"&lt;"&amp;C6,Selections!$T$6:$T$25,1)/D6)</f>
        <v>n.a.</v>
      </c>
      <c r="G6" s="20" t="str">
        <f>IF(D6=0,"n.a.",E6-F6)</f>
        <v>n.a.</v>
      </c>
      <c r="H6" s="21" t="str">
        <f>IF(D6=0,"n.a.",SUMIFS(Selections!$O$6:$O$25,Selections!$S$6:$S$25,"&gt;="&amp;B6,Selections!$S$6:$S$25,"&lt;"&amp;C6,Selections!$T$6:$T$25,1)/D6)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COUNTIFS(Selections!$S$6:$S$25,"&gt;="&amp;B7,Selections!$S$6:$S$25,"&lt;"&amp;C7,Selections!$T$6:$T$25,1)</f>
        <v>0</v>
      </c>
      <c r="E7" s="20" t="str">
        <f>IF(D7=0,"n.a.",SUMIFS(Selections!$S$6:$S$25,Selections!$S$6:$S$25,"&gt;="&amp;B7,Selections!$S$6:$S$25,"&lt;"&amp;C7,Selections!$T$6:$T$25,1)/D7)</f>
        <v>n.a.</v>
      </c>
      <c r="F7" s="20" t="str">
        <f>IF(D7=0,"n.a.",SUMIFS(Selections!$L$6:$L$25,Selections!$S$6:$S$25,"&gt;="&amp;B7,Selections!$S$6:$S$25,"&lt;"&amp;C7,Selections!$T$6:$T$25,1)/D7)</f>
        <v>n.a.</v>
      </c>
      <c r="G7" s="20" t="str">
        <f>IF(D7=0,"n.a.",E7-F7)</f>
        <v>n.a.</v>
      </c>
      <c r="H7" s="21" t="str">
        <f>IF(D7=0,"n.a.",SUMIFS(Selections!$O$6:$O$25,Selections!$S$6:$S$25,"&gt;="&amp;B7,Selections!$S$6:$S$25,"&lt;"&amp;C7,Selections!$T$6:$T$25,1)/D7)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COUNTIFS(Selections!$S$6:$S$25,"&gt;="&amp;B8,Selections!$S$6:$S$25,"&lt;"&amp;C8,Selections!$T$6:$T$25,1)</f>
        <v>1</v>
      </c>
      <c r="E8" s="20">
        <f>IF(D8=0,"n.a.",SUMIFS(Selections!$S$6:$S$25,Selections!$S$6:$S$25,"&gt;="&amp;B8,Selections!$S$6:$S$25,"&lt;"&amp;C8,Selections!$T$6:$T$25,1)/D8)</f>
        <v>0.6822834074295536</v>
      </c>
      <c r="F8" s="20">
        <f>IF(D8=0,"n.a.",SUMIFS(Selections!$L$6:$L$25,Selections!$S$6:$S$25,"&gt;="&amp;B8,Selections!$S$6:$S$25,"&lt;"&amp;C8,Selections!$T$6:$T$25,1)/D8)</f>
        <v>1.0</v>
      </c>
      <c r="G8" s="20">
        <f>IF(D8=0,"n.a.",E8-F8)</f>
        <v>-0.3177165925704464</v>
      </c>
      <c r="H8" s="21">
        <f>IF(D8=0,"n.a.",SUMIFS(Selections!$O$6:$O$25,Selections!$S$6:$S$25,"&gt;="&amp;B8,Selections!$S$6:$S$25,"&lt;"&amp;C8,Selections!$T$6:$T$25,1)/D8)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COUNTIFS(Selections!$S$6:$S$25,"&gt;="&amp;B9,Selections!$S$6:$S$25,"&lt;"&amp;C9,Selections!$T$6:$T$25,1)</f>
        <v>4</v>
      </c>
      <c r="E9" s="20">
        <f>IF(D9=0,"n.a.",SUMIFS(Selections!$S$6:$S$25,Selections!$S$6:$S$25,"&gt;="&amp;B9,Selections!$S$6:$S$25,"&lt;"&amp;C9,Selections!$T$6:$T$25,1)/D9)</f>
        <v>0.7598033602744063</v>
      </c>
      <c r="F9" s="20">
        <f>IF(D9=0,"n.a.",SUMIFS(Selections!$L$6:$L$25,Selections!$S$6:$S$25,"&gt;="&amp;B9,Selections!$S$6:$S$25,"&lt;"&amp;C9,Selections!$T$6:$T$25,1)/D9)</f>
        <v>0.75</v>
      </c>
      <c r="G9" s="20">
        <f>IF(D9=0,"n.a.",E9-F9)</f>
        <v>0.009803360274406314</v>
      </c>
      <c r="H9" s="21">
        <f>IF(D9=0,"n.a.",SUMIFS(Selections!$O$6:$O$25,Selections!$S$6:$S$25,"&gt;="&amp;B9,Selections!$S$6:$S$25,"&lt;"&amp;C9,Selections!$T$6:$T$25,1)/D9)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COUNTIFS(Selections!$S$6:$S$25,"&gt;="&amp;B10,Selections!$S$6:$S$25,"&lt;"&amp;C10,Selections!$T$6:$T$25,1)</f>
        <v>3</v>
      </c>
      <c r="E10" s="20">
        <f>IF(D10=0,"n.a.",SUMIFS(Selections!$S$6:$S$25,Selections!$S$6:$S$25,"&gt;="&amp;B10,Selections!$S$6:$S$25,"&lt;"&amp;C10,Selections!$T$6:$T$25,1)/D10)</f>
        <v>0.8566010078816761</v>
      </c>
      <c r="F10" s="20">
        <f>IF(D10=0,"n.a.",SUMIFS(Selections!$L$6:$L$25,Selections!$S$6:$S$25,"&gt;="&amp;B10,Selections!$S$6:$S$25,"&lt;"&amp;C10,Selections!$T$6:$T$25,1)/D10)</f>
        <v>0.3333333333333333</v>
      </c>
      <c r="G10" s="20">
        <f>IF(D10=0,"n.a.",E10-F10)</f>
        <v>0.5232676745483429</v>
      </c>
      <c r="H10" s="21">
        <f>IF(D10=0,"n.a.",SUMIFS(Selections!$O$6:$O$25,Selections!$S$6:$S$25,"&gt;="&amp;B10,Selections!$S$6:$S$25,"&lt;"&amp;C10,Selections!$T$6:$T$25,1)/D10)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COUNTIFS(Selections!$S$6:$S$25,"&gt;="&amp;B11,Selections!$S$6:$S$25,"&lt;"&amp;C11,Selections!$T$6:$T$25,1)</f>
        <v>1</v>
      </c>
      <c r="E11" s="20">
        <f>IF(D11=0,"n.a.",SUMIFS(Selections!$S$6:$S$25,Selections!$S$6:$S$25,"&gt;="&amp;B11,Selections!$S$6:$S$25,"&lt;"&amp;C11,Selections!$T$6:$T$25,1)/D11)</f>
        <v>0.9446461535133436</v>
      </c>
      <c r="F11" s="20">
        <f>IF(D11=0,"n.a.",SUMIFS(Selections!$L$6:$L$25,Selections!$S$6:$S$25,"&gt;="&amp;B11,Selections!$S$6:$S$25,"&lt;"&amp;C11,Selections!$T$6:$T$25,1)/D11)</f>
        <v>1.0</v>
      </c>
      <c r="G11" s="20">
        <f>IF(D11=0,"n.a.",E11-F11)</f>
        <v>-0.05535384648665642</v>
      </c>
      <c r="H11" s="21">
        <f>IF(D11=0,"n.a.",SUMIFS(Selections!$O$6:$O$25,Selections!$S$6:$S$25,"&gt;="&amp;B11,Selections!$S$6:$S$25,"&lt;"&amp;C11,Selections!$T$6:$T$25,1)/D11)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PENDING_KICKOFF_OR_FINAL_SCORE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Premier League|fulham|hull city|2026-10-17</t>
        </is>
      </c>
      <c r="B20" s="23">
        <v>46312.583333333336</v>
      </c>
      <c r="C20" s="18" t="inlineStr">
        <is>
          <t>Premier League</t>
        </is>
      </c>
      <c r="D20" s="18" t="inlineStr">
        <is>
          <t>Fulham vs Hull City</t>
        </is>
      </c>
      <c r="E20" s="18" t="inlineStr">
        <is>
          <t>Under 3.5</t>
        </is>
      </c>
      <c r="F20" s="18" t="inlineStr">
        <is>
          <t>PROVISIONAL</t>
        </is>
      </c>
      <c r="G20" s="18" t="inlineStr">
        <is>
          <t>legacy/unspecified</t>
        </is>
      </c>
      <c r="H20" s="20">
        <v>0.8021994552742411</v>
      </c>
      <c r="I20" s="22">
        <v>1.42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bdc690a8c70643c93f1595d53c067b7d91325270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League|man city|ipswich town|2026-10-17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Manchester City vs Ipswich Town</t>
        </is>
      </c>
      <c r="E21" s="18" t="inlineStr">
        <is>
          <t>Over 1.5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0.9163621198072895</v>
      </c>
      <c r="I21" s="22">
        <v>1.11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La Liga|ca osasuna|real racing santander|2026-10-18</t>
        </is>
      </c>
      <c r="B22" s="23">
        <v>46313.5</v>
      </c>
      <c r="C22" s="18" t="inlineStr">
        <is>
          <t>La Liga</t>
        </is>
      </c>
      <c r="D22" s="18" t="inlineStr">
        <is>
          <t>CA Osasuna vs Real Racing Club de Santander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0.9202632648998413</v>
      </c>
      <c r="I22" s="22">
        <v>1.22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Liga|malaga|real sociedad|2026-10-18</t>
        </is>
      </c>
      <c r="B23" s="23">
        <v>46313.6875</v>
      </c>
      <c r="C23" s="18" t="inlineStr">
        <is>
          <t>La Liga</t>
        </is>
      </c>
      <c r="D23" s="18" t="inlineStr">
        <is>
          <t>Málaga vs Real Sociedad</t>
        </is>
      </c>
      <c r="E23" s="18" t="inlineStr">
        <is>
          <t>Under 3.5</t>
        </is>
      </c>
      <c r="F23" s="18" t="inlineStr">
        <is>
          <t>STRICT</t>
        </is>
      </c>
      <c r="G23" s="18" t="inlineStr">
        <is>
          <t>legacy/unspecified</t>
        </is>
      </c>
      <c r="H23" s="20">
        <v>0.8261247842244344</v>
      </c>
      <c r="I23" s="22">
        <v>1.41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Liga|real madrid|sevilla|2026-10-18</t>
        </is>
      </c>
      <c r="B24" s="23">
        <v>46313.791666666664</v>
      </c>
      <c r="C24" s="18" t="inlineStr">
        <is>
          <t>La Liga</t>
        </is>
      </c>
      <c r="D24" s="18" t="inlineStr">
        <is>
          <t>Real Madrid vs Sevilla</t>
        </is>
      </c>
      <c r="E24" s="18" t="inlineStr">
        <is>
          <t>Home win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0.78842217536022</v>
      </c>
      <c r="I24" s="22">
        <v>1.3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Premier League|tottenham|coventry city|2026-10-19</t>
        </is>
      </c>
      <c r="B25" s="23">
        <v>46314.791666666664</v>
      </c>
      <c r="C25" s="18" t="inlineStr">
        <is>
          <t>Premier League</t>
        </is>
      </c>
      <c r="D25" s="18" t="inlineStr">
        <is>
          <t>Tottenham Hotspur vs Coventry City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0.6624411929150106</v>
      </c>
      <c r="I25" s="22">
        <v>1.54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2026-W43</t>
        </is>
      </c>
      <c r="Q25" s="18" t="inlineStr">
        <is>
          <t>b9c15c09504aaf57de5ad0957adb91c0e9b37243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</sheetData>
  <mergeCells count="2">
    <mergeCell ref="B2:U2"/>
    <mergeCell ref="B4:U4"/>
  </mergeCells>
  <conditionalFormatting sqref="K6:K25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PENDING_KICKOFF_OR_FINAL_SCORE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PENDING_KICKOFF_OR_FINAL_SCORE</t>
        </is>
      </c>
      <c r="G37" s="18"/>
      <c r="H37" s="18"/>
      <c r="I37" s="21"/>
      <c r="J37" s="18"/>
      <c r="K37" s="18"/>
      <c r="L37" s="18"/>
      <c r="M37" s="18"/>
      <c r="N37" s="18" t="inlineStr">
        <is>
          <t>2026-W42</t>
        </is>
      </c>
      <c r="O37" s="18" t="inlineStr">
        <is>
          <t>2fd31d33722311d8e0155bb5eca6b3a310ac938b</t>
        </is>
      </c>
      <c r="P37" s="18"/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27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3 more observations; 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18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observations; 28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3">
      <c r="A13" s="27" t="inlineStr">
        <is>
          <t>The original four sidecars count observations, not necessarily independent fixtures. Do not add their sample counts together.</t>
        </is>
      </c>
    </row>
    <row r="14">
      <c r="A14" s="27" t="inlineStr">
        <is>
          <t>Coverage and time gates must also pass. Reaching a sample count alone does not make a candidate ready.</t>
        </is>
      </c>
    </row>
    <row r="16">
      <c r="A16" s="31" t="inlineStr">
        <is>
          <t>Back to dashboard</t>
        </is>
      </c>
    </row>
  </sheetData>
  <autoFilter ref="A5:J11"/>
  <mergeCells count="4">
    <mergeCell ref="A2:J2"/>
    <mergeCell ref="A4:J4"/>
    <mergeCell ref="A13:J13"/>
    <mergeCell ref="A14:J14"/>
  </mergeCells>
  <conditionalFormatting sqref="B6:B11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6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Breakdowns!B20</f>
        <v>2026-W41</v>
      </c>
      <c r="B6" s="19">
        <f>Breakdowns!D20</f>
        <v>4.0</v>
      </c>
      <c r="C6" s="19">
        <f>COUNTIFS(Selections!$P$6:$P$25,A6,Selections!$M$6:$M$25,"&gt;0")</f>
        <v>4.0</v>
      </c>
      <c r="D6" s="22">
        <f>IF(C6=0,"n.a.",Breakdowns!J20)</f>
        <v>-1.48</v>
      </c>
      <c r="E6" s="22">
        <f>IF(SUM($C$6:C6)=0,"n.a.",SUM($D$6:D6))</f>
        <v>-1.48</v>
      </c>
      <c r="F6" s="20">
        <f>Breakdowns!H20</f>
        <v>0.5</v>
      </c>
    </row>
    <row r="7" ht="26" customHeight="1">
      <c r="A7" s="18" t="str">
        <f>Breakdowns!B21</f>
        <v>2026-W42</v>
      </c>
      <c r="B7" s="19">
        <f>Breakdowns!D21</f>
        <v>5.0</v>
      </c>
      <c r="C7" s="19">
        <f>COUNTIFS(Selections!$P$6:$P$25,A7,Selections!$M$6:$M$25,"&gt;0")</f>
        <v>5.0</v>
      </c>
      <c r="D7" s="22">
        <f>IF(C7=0,"n.a.",Breakdowns!J21)</f>
        <v>0.6099999999999999</v>
      </c>
      <c r="E7" s="22">
        <f>IF(SUM($C$6:C7)=0,"n.a.",SUM($D$6:D7))</f>
        <v>-0.8700000000000001</v>
      </c>
      <c r="F7" s="20">
        <f>Breakdowns!H21</f>
        <v>0.8</v>
      </c>
    </row>
    <row r="8" ht="26" customHeight="1">
      <c r="A8" s="18" t="str">
        <f>Breakdowns!B22</f>
        <v>2026-W43</v>
      </c>
      <c r="B8" s="19">
        <f>Breakdowns!D22</f>
        <v>0.0</v>
      </c>
      <c r="C8" s="19">
        <f>COUNTIFS(Selections!$P$6:$P$25,A8,Selections!$M$6:$M$25,"&gt;0")</f>
        <v>0</v>
      </c>
      <c r="D8" s="22" t="str">
        <f>IF(C8=0,"n.a.",Breakdowns!J22)</f>
        <v>n.a.</v>
      </c>
      <c r="E8" s="22">
        <f>IF(SUM($C$6:C8)=0,"n.a.",SUM($D$6:D8))</f>
        <v>-0.8700000000000001</v>
      </c>
      <c r="F8" s="20" t="str">
        <f>Breakdowns!H22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2026-10-14T15:41:11.667565+00:00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10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10</v>
      </c>
      <c r="D20" s="19">
        <v>10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2">
      <c r="A52" s="26" t="inlineStr">
        <is>
          <t>EV sensitivity results</t>
        </is>
      </c>
    </row>
    <row r="53" ht="34" customHeight="1">
      <c r="A53" s="24" t="inlineStr">
        <is>
          <t>EV floor</t>
        </is>
      </c>
      <c r="B53" s="24" t="inlineStr">
        <is>
          <t>Tier</t>
        </is>
      </c>
      <c r="C53" s="24" t="inlineStr">
        <is>
          <t>Selected</t>
        </is>
      </c>
      <c r="D53" s="24" t="inlineStr">
        <is>
          <t>Settled</t>
        </is>
      </c>
      <c r="E53" s="24" t="inlineStr">
        <is>
          <t>Simulated ROI</t>
        </is>
      </c>
      <c r="F53" s="24" t="inlineStr">
        <is>
          <t>Drawdown (units)</t>
        </is>
      </c>
    </row>
    <row r="54" ht="44" customHeight="1">
      <c r="A54" s="20">
        <v>0.015</v>
      </c>
      <c r="B54" s="18" t="inlineStr">
        <is>
          <t>ALL</t>
        </is>
      </c>
      <c r="C54" s="19">
        <v>5</v>
      </c>
      <c r="D54" s="19">
        <v>1</v>
      </c>
      <c r="E54" s="20">
        <v>0.17999999999999994</v>
      </c>
      <c r="F54" s="22">
        <v>0.0</v>
      </c>
    </row>
    <row r="55" ht="44" customHeight="1">
      <c r="A55" s="20">
        <v>0.015</v>
      </c>
      <c r="B55" s="18" t="inlineStr">
        <is>
          <t>STRICT</t>
        </is>
      </c>
      <c r="C55" s="19">
        <v>5</v>
      </c>
      <c r="D55" s="19">
        <v>1</v>
      </c>
      <c r="E55" s="20">
        <v>0.17999999999999994</v>
      </c>
      <c r="F55" s="22">
        <v>0.0</v>
      </c>
    </row>
    <row r="56" ht="44" customHeight="1">
      <c r="A56" s="20">
        <v>0.015</v>
      </c>
      <c r="B56" s="18" t="inlineStr">
        <is>
          <t>PROVISIONAL</t>
        </is>
      </c>
      <c r="C56" s="19">
        <v>0</v>
      </c>
      <c r="D56" s="19">
        <v>0</v>
      </c>
      <c r="E56" s="20"/>
      <c r="F56" s="22"/>
    </row>
    <row r="57" ht="44" customHeight="1">
      <c r="A57" s="20">
        <v>0.03</v>
      </c>
      <c r="B57" s="18" t="inlineStr">
        <is>
          <t>ALL</t>
        </is>
      </c>
      <c r="C57" s="19">
        <v>5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0.03</v>
      </c>
      <c r="B58" s="18" t="inlineStr">
        <is>
          <t>STRICT</t>
        </is>
      </c>
      <c r="C58" s="19">
        <v>5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0.03</v>
      </c>
      <c r="B59" s="18" t="inlineStr">
        <is>
          <t>PROVISIONAL</t>
        </is>
      </c>
      <c r="C59" s="19">
        <v>0</v>
      </c>
      <c r="D59" s="19">
        <v>0</v>
      </c>
      <c r="E59" s="20"/>
      <c r="F59" s="22"/>
    </row>
    <row r="60" ht="44" customHeight="1">
      <c r="A60" s="20">
        <v>0.05</v>
      </c>
      <c r="B60" s="18" t="inlineStr">
        <is>
          <t>ALL</t>
        </is>
      </c>
      <c r="C60" s="19">
        <v>5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0.05</v>
      </c>
      <c r="B61" s="18" t="inlineStr">
        <is>
          <t>STRICT</t>
        </is>
      </c>
      <c r="C61" s="19">
        <v>4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5">
      <c r="A65" s="26" t="inlineStr">
        <is>
          <t>Daily review observations</t>
        </is>
      </c>
    </row>
    <row r="66" ht="34" customHeight="1">
      <c r="A66" s="24" t="inlineStr">
        <is>
          <t>Review date</t>
        </is>
      </c>
      <c r="B66" s="24" t="inlineStr">
        <is>
          <t>Graded</t>
        </is>
      </c>
      <c r="C66" s="24" t="inlineStr">
        <is>
          <t>Win rate</t>
        </is>
      </c>
      <c r="D66" s="24" t="inlineStr">
        <is>
          <t>Simulated ROI</t>
        </is>
      </c>
      <c r="E66" s="24" t="inlineStr">
        <is>
          <t>Brier</t>
        </is>
      </c>
    </row>
    <row r="67" ht="44" customHeight="1">
      <c r="A67" s="18" t="inlineStr">
        <is>
          <t>2026-10-13</t>
        </is>
      </c>
      <c r="B67" s="19">
        <v>9</v>
      </c>
      <c r="C67" s="20">
        <v>0.666667</v>
      </c>
      <c r="D67" s="20">
        <v>-0.096667</v>
      </c>
      <c r="E67" s="21">
        <v>0.250532</v>
      </c>
    </row>
    <row r="68" ht="44" customHeight="1">
      <c r="A68" s="18" t="inlineStr">
        <is>
          <t>2026-10-14</t>
        </is>
      </c>
      <c r="B68" s="19">
        <v>9</v>
      </c>
      <c r="C68" s="20">
        <v>0.666667</v>
      </c>
      <c r="D68" s="20">
        <v>-0.096667</v>
      </c>
      <c r="E68" s="21">
        <v>0.250532</v>
      </c>
    </row>
    <row r="71">
      <c r="A71" s="26" t="inlineStr">
        <is>
          <t>Dependency versions</t>
        </is>
      </c>
    </row>
    <row r="72" ht="34" customHeight="1">
      <c r="A72" s="24" t="inlineStr">
        <is>
          <t>Dependency</t>
        </is>
      </c>
      <c r="B72" s="24" t="inlineStr">
        <is>
          <t>Version</t>
        </is>
      </c>
    </row>
    <row r="73" ht="44" customHeight="1">
      <c r="A73" s="18" t="inlineStr">
        <is>
          <t>python</t>
        </is>
      </c>
      <c r="B73" s="18" t="inlineStr">
        <is>
          <t>3.12.15</t>
        </is>
      </c>
    </row>
    <row r="74" ht="44" customHeight="1">
      <c r="A74" s="18" t="inlineStr">
        <is>
          <t>numpy</t>
        </is>
      </c>
      <c r="B74" s="18" t="inlineStr">
        <is>
          <t>2.5.4</t>
        </is>
      </c>
    </row>
    <row r="75" ht="44" customHeight="1">
      <c r="A75" s="18" t="inlineStr">
        <is>
          <t>pandas</t>
        </is>
      </c>
      <c r="B75" s="18" t="inlineStr">
        <is>
          <t>3.0.6</t>
        </is>
      </c>
    </row>
    <row r="76" ht="44" customHeight="1">
      <c r="A76" s="18" t="inlineStr">
        <is>
          <t>scipy</t>
        </is>
      </c>
      <c r="B76" s="18" t="inlineStr">
        <is>
          <t>1.18.1</t>
        </is>
      </c>
    </row>
    <row r="77" ht="44" customHeight="1">
      <c r="A77" s="18" t="inlineStr">
        <is>
          <t>requests</t>
        </is>
      </c>
      <c r="B77" s="18" t="inlineStr">
        <is>
          <t>2.34.2</t>
        </is>
      </c>
    </row>
    <row r="78" ht="44" customHeight="1">
      <c r="A78" s="18" t="inlineStr">
        <is>
          <t>python-dotenv</t>
        </is>
      </c>
      <c r="B78" s="18" t="inlineStr">
        <is>
          <t>1.2.4</t>
        </is>
      </c>
    </row>
    <row r="79" ht="44" customHeight="1">
      <c r="A79" s="18" t="inlineStr">
        <is>
          <t>coverage</t>
        </is>
      </c>
      <c r="B79" s="18" t="inlineStr">
        <is>
          <t>7.16.2</t>
        </is>
      </c>
    </row>
    <row r="80" ht="44" customHeight="1">
      <c r="A80" s="18" t="inlineStr">
        <is>
          <t>PyYAML</t>
        </is>
      </c>
      <c r="B80" s="18" t="inlineStr">
        <is>
          <t>6.0.3</t>
        </is>
      </c>
    </row>
    <row r="83">
      <c r="A8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2:F52"/>
    <mergeCell ref="A65:F65"/>
    <mergeCell ref="A71:F7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hyperlinks>
    <hyperlink ref="A8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</row>
  </sheetData>
  <autoFilter ref="A5:H27"/>
  <mergeCells count="2">
    <mergeCell ref="A2:H2"/>
    <mergeCell ref="A4:H4"/>
  </mergeCells>
</worksheet>
</file>