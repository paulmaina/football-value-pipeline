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10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10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0.6023758366666667</v>
      </c>
      <c r="C17" s="1"/>
      <c r="D17" s="1" t="inlineStr">
        <is>
          <t>Over 1.5</t>
        </is>
      </c>
      <c r="E17" s="1">
        <f>COUNT(Predictions!J6:J93)</f>
        <v>27</v>
      </c>
      <c r="F17" s="9">
        <f>IF(E17=0,"n.a.",AVERAGE(Predictions!J6:J93))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COUNT(Predictions!K6:K93)</f>
        <v>27</v>
      </c>
      <c r="F18" s="9">
        <f>IF(E18=0,"n.a.",AVERAGE(Predictions!K6:K93))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COUNT(Predictions!L6:L93)</f>
        <v>27</v>
      </c>
      <c r="F19" s="9">
        <f>IF(E19=0,"n.a.",AVERAGE(Predictions!L6:L93))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27</v>
      </c>
      <c r="F20" s="9">
        <f>IF(E20=0,"n.a.",AVERAGE(Predictions!M6:M93))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2026-10-14T05:07:54Z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9</v>
      </c>
      <c r="E6" s="12">
        <f>COUNTIFS(Selections!$K$6:$K$24,"WON")</f>
        <v>6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10</v>
      </c>
      <c r="H6" s="13">
        <f>IF((COUNTIFS(Selections!$K$6:$K$24,"WON")+COUNTIFS(Selections!$K$6:$K$24,"LOST"))=0,"n.a.",COUNTIFS(Selections!$K$6:$K$24,"WON")/(COUNTIFS(Selections!$K$6:$K$24,"WON")+COUNTIFS(Selections!$K$6:$K$24,"LOST")))</f>
        <v>0.6666666666666666</v>
      </c>
      <c r="I6" s="15">
        <f>SUM(Selections!$M$6:$M$24)</f>
        <v>9</v>
      </c>
      <c r="J6" s="15">
        <f>SUM(Selections!$N$6:$N$24)</f>
        <v>-0.8700000000000001</v>
      </c>
      <c r="K6" s="13">
        <f>IF(SUM(Selections!$M$6:$M$24)=0,"n.a.",SUM(Selections!$N$6:$N$24)/SUM(Selections!$M$6:$M$24))</f>
        <v>-0.09666666666666668</v>
      </c>
      <c r="L6" s="14">
        <f>IF(SUM(Selections!$T$6:$T$24)=0,"n.a.",SUM(Selections!$O$6:$O$24)/SUM(Selections!$T$6:$T$24))</f>
        <v>0.25053182411845815</v>
      </c>
      <c r="M6" s="13">
        <f>IF(SUM(Selections!$T$6:$T$24)=0,"n.a.",SUM(Selections!$S$6:$S$24)/SUM(Selections!$T$6:$T$24))</f>
        <v>0.8039940028539501</v>
      </c>
      <c r="N6" s="13">
        <f>IF(SUM(Selections!$T$6:$T$24)=0,"n.a.",(SUMIFS(Selections!$L$6:$L$24,Selections!$T$6:$T$24,1))/SUM(Selections!$T$6:$T$24))</f>
        <v>0.6666666666666666</v>
      </c>
      <c r="O6" s="13">
        <f>IF(SUM(Selections!$T$6:$T$24)=0,"n.a.",(SUM(Selections!$S$6:$S$24)-(SUMIFS(Selections!$L$6:$L$24,Selections!$T$6:$T$24,1)))/SUM(Selections!$T$6:$T$24))</f>
        <v>0.13732733618728343</v>
      </c>
      <c r="P6" s="12">
        <f>SUM(Selections!$T$6:$T$24)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4</v>
      </c>
      <c r="E7" s="12">
        <f>COUNTIFS(Selections!$F$6:$F$24,"STRICT",Selections!$K$6:$K$24,"WON")</f>
        <v>4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5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4</v>
      </c>
      <c r="J7" s="15">
        <f>SUMIFS(Selections!$N$6:$N$24,Selections!$F$6:$F$24,"STRICT")</f>
        <v>1.6099999999999999</v>
      </c>
      <c r="K7" s="13">
        <f>IF(SUMIFS(Selections!$M$6:$M$24,Selections!$F$6:$F$24,"STRICT")=0,"n.a.",SUMIFS(Selections!$N$6:$N$24,Selections!$F$6:$F$24,"STRICT")/SUMIFS(Selections!$M$6:$M$24,Selections!$F$6:$F$24,"STRICT"))</f>
        <v>0.40249999999999997</v>
      </c>
      <c r="L7" s="14">
        <f>IF(SUMIFS(Selections!$T$6:$T$24,Selections!$F$6:$F$24,"STRICT")=0,"n.a.",SUMIFS(Selections!$O$6:$O$24,Selections!$F$6:$F$24,"STRICT")/SUMIFS(Selections!$T$6:$T$24,Selections!$F$6:$F$24,"STRICT"))</f>
        <v>0.05954074059867185</v>
      </c>
      <c r="M7" s="13">
        <f>IF(SUMIFS(Selections!$T$6:$T$24,Selections!$F$6:$F$24,"STRICT")=0,"n.a.",SUMIFS(Selections!$S$6:$S$24,Selections!$F$6:$F$24,"STRICT")/SUMIFS(Selections!$T$6:$T$24,Selections!$F$6:$F$24,"STRICT"))</f>
        <v>0.7786491041410677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-0.2213508958589323</v>
      </c>
      <c r="P7" s="12">
        <f>SUMIFS(Selections!$T$6:$T$24,Selections!$F$6:$F$24,"STRICT")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2</v>
      </c>
      <c r="E12" s="12">
        <f>COUNTIFS(Selections!$C$6:$C$24,"UEFA Champions League",Selections!$K$6:$K$24,"WON")</f>
        <v>2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3</v>
      </c>
      <c r="H12" s="13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1.0</v>
      </c>
      <c r="I12" s="15">
        <f>SUMIFS(Selections!$M$6:$M$24,Selections!$C$6:$C$24,"UEFA Champions League")</f>
        <v>2</v>
      </c>
      <c r="J12" s="15">
        <f>SUMIFS(Selections!$N$6:$N$24,Selections!$C$6:$C$24,"UEFA Champions League")</f>
        <v>0.6399999999999999</v>
      </c>
      <c r="K12" s="13">
        <f>IF(SUMIFS(Selections!$M$6:$M$24,Selections!$C$6:$C$24,"UEFA Champions League")=0,"n.a.",SUMIFS(Selections!$N$6:$N$24,Selections!$C$6:$C$24,"UEFA Champions League")/SUMIFS(Selections!$M$6:$M$24,Selections!$C$6:$C$24,"UEFA Champions League"))</f>
        <v>0.31999999999999995</v>
      </c>
      <c r="L12" s="14">
        <f>IF(SUMIFS(Selections!$T$6:$T$24,Selections!$C$6:$C$24,"UEFA Champions League")=0,"n.a.",SUMIFS(Selections!$O$6:$O$24,Selections!$C$6:$C$24,"UEFA Champions League")/SUMIFS(Selections!$T$6:$T$24,Selections!$C$6:$C$24,"UEFA Champions League"))</f>
        <v>0.044846252190532905</v>
      </c>
      <c r="M12" s="13">
        <f>IF(SUMIFS(Selections!$T$6:$T$24,Selections!$C$6:$C$24,"UEFA Champions League")=0,"n.a.",SUMIFS(Selections!$S$6:$S$24,Selections!$C$6:$C$24,"UEFA Champions League")/SUMIFS(Selections!$T$6:$T$24,Selections!$C$6:$C$24,"UEFA Champions League"))</f>
        <v>0.8251595146393822</v>
      </c>
      <c r="N12" s="13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1.0</v>
      </c>
      <c r="O12" s="13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-0.1748404853606178</v>
      </c>
      <c r="P12" s="12">
        <f>SUMIFS(Selections!$T$6:$T$24,Selections!$C$6:$C$24,"UEFA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1</v>
      </c>
      <c r="E13" s="12">
        <f>COUNTIFS(Selections!$E$6:$E$24,"Both Teams to Score - Yes",Selections!$K$6:$K$24,"WON")</f>
        <v>1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0</v>
      </c>
      <c r="H13" s="13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1.0</v>
      </c>
      <c r="I13" s="15">
        <f>SUMIFS(Selections!$M$6:$M$24,Selections!$E$6:$E$24,"Both Teams to Score - Yes")</f>
        <v>1</v>
      </c>
      <c r="J13" s="15">
        <f>SUMIFS(Selections!$N$6:$N$24,Selections!$E$6:$E$24,"Both Teams to Score - Yes")</f>
        <v>0.49</v>
      </c>
      <c r="K13" s="13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0.49</v>
      </c>
      <c r="L13" s="14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0.08662845606019748</v>
      </c>
      <c r="M13" s="13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0.7056728757654207</v>
      </c>
      <c r="N13" s="13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1.0</v>
      </c>
      <c r="O13" s="13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-0.2943271242345793</v>
      </c>
      <c r="P13" s="12">
        <f>SUMIFS(Selections!$T$6:$T$24,Selections!$E$6:$E$24,"Both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3</v>
      </c>
      <c r="E15" s="12">
        <f>COUNTIFS(Selections!$E$6:$E$24,"Over 1.5",Selections!$K$6:$K$24,"WON")</f>
        <v>3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5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3</v>
      </c>
      <c r="J15" s="15">
        <f>SUMIFS(Selections!$N$6:$N$24,Selections!$E$6:$E$24,"Over 1.5")</f>
        <v>0.73</v>
      </c>
      <c r="K15" s="13">
        <f>IF(SUMIFS(Selections!$M$6:$M$24,Selections!$E$6:$E$24,"Over 1.5")=0,"n.a.",SUMIFS(Selections!$N$6:$N$24,Selections!$E$6:$E$24,"Over 1.5")/SUMIFS(Selections!$M$6:$M$24,Selections!$E$6:$E$24,"Over 1.5"))</f>
        <v>0.24333333333333332</v>
      </c>
      <c r="L15" s="14">
        <f>IF(SUMIFS(Selections!$T$6:$T$24,Selections!$E$6:$E$24,"Over 1.5")=0,"n.a.",SUMIFS(Selections!$O$6:$O$24,Selections!$E$6:$E$24,"Over 1.5")/SUMIFS(Selections!$T$6:$T$24,Selections!$E$6:$E$24,"Over 1.5"))</f>
        <v>0.020227084911165257</v>
      </c>
      <c r="M15" s="13">
        <f>IF(SUMIFS(Selections!$T$6:$T$24,Selections!$E$6:$E$24,"Over 1.5")=0,"n.a.",SUMIFS(Selections!$S$6:$S$24,Selections!$E$6:$E$24,"Over 1.5")/SUMIFS(Selections!$T$6:$T$24,Selections!$E$6:$E$24,"Over 1.5"))</f>
        <v>0.8753960821368366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-0.12460391786316338</v>
      </c>
      <c r="P15" s="12">
        <f>SUMIFS(Selections!$T$6:$T$24,Selections!$E$6:$E$24,"Over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4</v>
      </c>
      <c r="E17" s="12">
        <f>COUNTIFS(Selections!$G$6:$G$24,"72h-ucl-v3",Selections!$K$6:$K$24,"WON")</f>
        <v>3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4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0.75</v>
      </c>
      <c r="I17" s="15">
        <f>SUMIFS(Selections!$M$6:$M$24,Selections!$G$6:$G$24,"72h-ucl-v3")</f>
        <v>4</v>
      </c>
      <c r="J17" s="15">
        <f>SUMIFS(Selections!$N$6:$N$24,Selections!$G$6:$G$24,"72h-ucl-v3")</f>
        <v>-0.020000000000000018</v>
      </c>
      <c r="K17" s="13">
        <f>IF(SUMIFS(Selections!$M$6:$M$24,Selections!$G$6:$G$24,"72h-ucl-v3")=0,"n.a.",SUMIFS(Selections!$N$6:$N$24,Selections!$G$6:$G$24,"72h-ucl-v3")/SUMIFS(Selections!$M$6:$M$24,Selections!$G$6:$G$24,"72h-ucl-v3"))</f>
        <v>-0.0050000000000000044</v>
      </c>
      <c r="L17" s="14">
        <f>IF(SUMIFS(Selections!$T$6:$T$24,Selections!$G$6:$G$24,"72h-ucl-v3")=0,"n.a.",SUMIFS(Selections!$O$6:$O$24,Selections!$G$6:$G$24,"72h-ucl-v3")/SUMIFS(Selections!$T$6:$T$24,Selections!$G$6:$G$24,"72h-ucl-v3"))</f>
        <v>0.17685702320972962</v>
      </c>
      <c r="M17" s="13">
        <f>IF(SUMIFS(Selections!$T$6:$T$24,Selections!$G$6:$G$24,"72h-ucl-v3")=0,"n.a.",SUMIFS(Selections!$S$6:$S$24,Selections!$G$6:$G$24,"72h-ucl-v3")/SUMIFS(Selections!$T$6:$T$24,Selections!$G$6:$G$24,"72h-ucl-v3"))</f>
        <v>0.7968587073827849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0.75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0.04685870738278486</v>
      </c>
      <c r="P17" s="12">
        <f>SUMIFS(Selections!$T$6:$T$24,Selections!$G$6:$G$24,"72h-ucl-v3")</f>
        <v>4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5</v>
      </c>
      <c r="E20" s="12">
        <f>COUNTIFS(Selections!$P$6:$P$24,"2026-W42",Selections!$K$6:$K$24,"WON")</f>
        <v>4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8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0.8</v>
      </c>
      <c r="I20" s="15">
        <f>SUMIFS(Selections!$M$6:$M$24,Selections!$P$6:$P$24,"2026-W42")</f>
        <v>5</v>
      </c>
      <c r="J20" s="15">
        <f>SUMIFS(Selections!$N$6:$N$24,Selections!$P$6:$P$24,"2026-W42")</f>
        <v>0.6099999999999999</v>
      </c>
      <c r="K20" s="13">
        <f>IF(SUMIFS(Selections!$M$6:$M$24,Selections!$P$6:$P$24,"2026-W42")=0,"n.a.",SUMIFS(Selections!$N$6:$N$24,Selections!$P$6:$P$24,"2026-W42")/SUMIFS(Selections!$M$6:$M$24,Selections!$P$6:$P$24,"2026-W42"))</f>
        <v>0.12199999999999997</v>
      </c>
      <c r="L20" s="14">
        <f>IF(SUMIFS(Selections!$T$6:$T$24,Selections!$P$6:$P$24,"2026-W42")=0,"n.a.",SUMIFS(Selections!$O$6:$O$24,Selections!$P$6:$P$24,"2026-W42")/SUMIFS(Selections!$T$6:$T$24,Selections!$P$6:$P$24,"2026-W42"))</f>
        <v>0.18766448976327427</v>
      </c>
      <c r="M20" s="13">
        <f>IF(SUMIFS(Selections!$T$6:$T$24,Selections!$P$6:$P$24,"2026-W42")=0,"n.a.",SUMIFS(Selections!$S$6:$S$24,Selections!$P$6:$P$24,"2026-W42")/SUMIFS(Selections!$T$6:$T$24,Selections!$P$6:$P$24,"2026-W42"))</f>
        <v>0.7902703498074164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0.8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-0.00972965019258365</v>
      </c>
      <c r="P20" s="12">
        <f>SUMIFS(Selections!$T$6:$T$24,Selections!$P$6:$P$24,"2026-W42")</f>
        <v>5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4</v>
      </c>
      <c r="E9" s="13">
        <f>IF(D9=0,"n.a.",SUMIFS(Selections!$S$6:$S$24,Selections!$S$6:$S$24,"&gt;="&amp;B9,Selections!$S$6:$S$24,"&lt;"&amp;C9,Selections!$T$6:$T$24,1)/D9)</f>
        <v>0.7598033602744063</v>
      </c>
      <c r="F9" s="13">
        <f>IF(D9=0,"n.a.",SUMIFS(Selections!$L$6:$L$24,Selections!$S$6:$S$24,"&gt;="&amp;B9,Selections!$S$6:$S$24,"&lt;"&amp;C9,Selections!$T$6:$T$24,1)/D9)</f>
        <v>0.75</v>
      </c>
      <c r="G9" s="13">
        <f>IF(D9=0,"n.a.",E9-F9)</f>
        <v>0.009803360274406314</v>
      </c>
      <c r="H9" s="14">
        <f>IF(D9=0,"n.a.",SUMIFS(Selections!$O$6:$O$24,Selections!$S$6:$S$24,"&gt;="&amp;B9,Selections!$S$6:$S$24,"&lt;"&amp;C9,Selections!$T$6:$T$24,1)/D9)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1</v>
      </c>
      <c r="E11" s="13">
        <f>IF(D11=0,"n.a.",SUMIFS(Selections!$S$6:$S$24,Selections!$S$6:$S$24,"&gt;="&amp;B11,Selections!$S$6:$S$24,"&lt;"&amp;C11,Selections!$T$6:$T$24,1)/D11)</f>
        <v>0.9446461535133436</v>
      </c>
      <c r="F11" s="13">
        <f>IF(D11=0,"n.a.",SUMIFS(Selections!$L$6:$L$24,Selections!$S$6:$S$24,"&gt;="&amp;B11,Selections!$S$6:$S$24,"&lt;"&amp;C11,Selections!$T$6:$T$24,1)/D11)</f>
        <v>1.0</v>
      </c>
      <c r="G11" s="13">
        <f>IF(D11=0,"n.a.",E11-F11)</f>
        <v>-0.05535384648665642</v>
      </c>
      <c r="H11" s="14">
        <f>IF(D11=0,"n.a.",SUMIFS(Selections!$O$6:$O$24,Selections!$S$6:$S$24,"&gt;="&amp;B11,Selections!$S$6:$S$24,"&lt;"&amp;C11,Selections!$T$6:$T$24,1)/D11)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2026-10-14T05:07:54.941733+00:00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3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2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2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3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2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34</v>
      </c>
      <c r="E12" t="inlineStr">
        <is>
          <t>MODEL_BEHIND_VERIFIED_SOURCE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/>
    <row r="45">
      <c r="A45" t="inlineStr">
        <is>
          <t>Daily observations</t>
        </is>
      </c>
      <c r="B45" t="inlineStr">
        <is>
          <t>Graded</t>
        </is>
      </c>
      <c r="C45" t="inlineStr">
        <is>
          <t>Win rate</t>
        </is>
      </c>
      <c r="D45" t="inlineStr">
        <is>
          <t>Net simulated ROI</t>
        </is>
      </c>
      <c r="E45" t="inlineStr">
        <is>
          <t>Brier</t>
        </is>
      </c>
    </row>
    <row r="46">
      <c r="A46" t="inlineStr">
        <is>
          <t>2026-10-13</t>
        </is>
      </c>
      <c r="B46">
        <v>9</v>
      </c>
      <c r="C46">
        <v>0.666667</v>
      </c>
      <c r="D46">
        <v>-0.096667</v>
      </c>
      <c r="E46">
        <v>0.250532</v>
      </c>
    </row>
    <row r="47">
      <c r="A47" t="inlineStr">
        <is>
          <t>2026-10-14</t>
        </is>
      </c>
      <c r="B47">
        <v>9</v>
      </c>
      <c r="C47">
        <v>0.666667</v>
      </c>
      <c r="D47">
        <v>-0.096667</v>
      </c>
      <c r="E47">
        <v>0.250532</v>
      </c>
    </row>
    <row r="48"/>
    <row r="49">
      <c r="A49" t="inlineStr">
        <is>
          <t>EV sensitivity floor</t>
        </is>
      </c>
      <c r="B49" t="inlineStr">
        <is>
          <t>Tier</t>
        </is>
      </c>
      <c r="C49" t="inlineStr">
        <is>
          <t>Selected</t>
        </is>
      </c>
      <c r="D49" t="inlineStr">
        <is>
          <t>Settled</t>
        </is>
      </c>
      <c r="E49" t="inlineStr">
        <is>
          <t>Net ROI</t>
        </is>
      </c>
      <c r="F49" t="inlineStr">
        <is>
          <t>Drawdown units</t>
        </is>
      </c>
    </row>
    <row r="50">
      <c r="A50">
        <v>0.015</v>
      </c>
      <c r="B50" t="inlineStr">
        <is>
          <t>ALL</t>
        </is>
      </c>
      <c r="C50">
        <v>4</v>
      </c>
      <c r="D50">
        <v>1</v>
      </c>
      <c r="E50">
        <v>0.17999999999999994</v>
      </c>
      <c r="F50">
        <v>0.0</v>
      </c>
    </row>
    <row r="51">
      <c r="A51">
        <v>0.015</v>
      </c>
      <c r="B51" t="inlineStr">
        <is>
          <t>STRICT</t>
        </is>
      </c>
      <c r="C51">
        <v>4</v>
      </c>
      <c r="D51">
        <v>1</v>
      </c>
      <c r="E51">
        <v>0.17999999999999994</v>
      </c>
      <c r="F51">
        <v>0.0</v>
      </c>
    </row>
    <row r="52">
      <c r="A52">
        <v>0.015</v>
      </c>
      <c r="B52" t="inlineStr">
        <is>
          <t>PROVISIONAL</t>
        </is>
      </c>
      <c r="C52">
        <v>0</v>
      </c>
      <c r="D52">
        <v>0</v>
      </c>
      <c r="E52"/>
      <c r="F52"/>
    </row>
    <row r="53">
      <c r="A53">
        <v>0.03</v>
      </c>
      <c r="B53" t="inlineStr">
        <is>
          <t>ALL</t>
        </is>
      </c>
      <c r="C53">
        <v>4</v>
      </c>
      <c r="D53">
        <v>1</v>
      </c>
      <c r="E53">
        <v>0.17999999999999994</v>
      </c>
      <c r="F53">
        <v>0.0</v>
      </c>
    </row>
    <row r="54">
      <c r="A54">
        <v>0.03</v>
      </c>
      <c r="B54" t="inlineStr">
        <is>
          <t>STRICT</t>
        </is>
      </c>
      <c r="C54">
        <v>4</v>
      </c>
      <c r="D54">
        <v>1</v>
      </c>
      <c r="E54">
        <v>0.17999999999999994</v>
      </c>
      <c r="F54">
        <v>0.0</v>
      </c>
    </row>
    <row r="55">
      <c r="A55">
        <v>0.03</v>
      </c>
      <c r="B55" t="inlineStr">
        <is>
          <t>PROVISIONAL</t>
        </is>
      </c>
      <c r="C55">
        <v>0</v>
      </c>
      <c r="D55">
        <v>0</v>
      </c>
      <c r="E55"/>
      <c r="F55"/>
    </row>
    <row r="56">
      <c r="A56">
        <v>0.05</v>
      </c>
      <c r="B56" t="inlineStr">
        <is>
          <t>ALL</t>
        </is>
      </c>
      <c r="C56">
        <v>4</v>
      </c>
      <c r="D56">
        <v>1</v>
      </c>
      <c r="E56">
        <v>0.17999999999999994</v>
      </c>
      <c r="F56">
        <v>0.0</v>
      </c>
    </row>
    <row r="57">
      <c r="A57">
        <v>0.05</v>
      </c>
      <c r="B57" t="inlineStr">
        <is>
          <t>STRICT</t>
        </is>
      </c>
      <c r="C57">
        <v>3</v>
      </c>
      <c r="D57">
        <v>1</v>
      </c>
      <c r="E57">
        <v>0.17999999999999994</v>
      </c>
      <c r="F57">
        <v>0.0</v>
      </c>
    </row>
    <row r="58">
      <c r="A58">
        <v>0.05</v>
      </c>
      <c r="B58" t="inlineStr">
        <is>
          <t>PROVISIONAL</t>
        </is>
      </c>
      <c r="C58">
        <v>1</v>
      </c>
      <c r="D58">
        <v>0</v>
      </c>
      <c r="E58"/>
      <c r="F58"/>
    </row>
    <row r="59"/>
    <row r="60">
      <c r="A60" t="inlineStr">
        <is>
          <t>Review dependency versions</t>
        </is>
      </c>
    </row>
    <row r="61">
      <c r="A61" t="inlineStr">
        <is>
          <t>python</t>
        </is>
      </c>
      <c r="B61" t="inlineStr">
        <is>
          <t>3.12.15</t>
        </is>
      </c>
    </row>
    <row r="62">
      <c r="A62" t="inlineStr">
        <is>
          <t>numpy</t>
        </is>
      </c>
      <c r="B62" t="inlineStr">
        <is>
          <t>2.5.4</t>
        </is>
      </c>
    </row>
    <row r="63">
      <c r="A63" t="inlineStr">
        <is>
          <t>pandas</t>
        </is>
      </c>
      <c r="B63" t="inlineStr">
        <is>
          <t>3.0.6</t>
        </is>
      </c>
    </row>
    <row r="64">
      <c r="A64" t="inlineStr">
        <is>
          <t>scipy</t>
        </is>
      </c>
      <c r="B64" t="inlineStr">
        <is>
          <t>1.18.1</t>
        </is>
      </c>
    </row>
    <row r="65">
      <c r="A65" t="inlineStr">
        <is>
          <t>requests</t>
        </is>
      </c>
      <c r="B65" t="inlineStr">
        <is>
          <t>2.34.2</t>
        </is>
      </c>
    </row>
    <row r="66">
      <c r="A66" t="inlineStr">
        <is>
          <t>python-dotenv</t>
        </is>
      </c>
      <c r="B66" t="inlineStr">
        <is>
          <t>1.2.4</t>
        </is>
      </c>
    </row>
    <row r="67">
      <c r="A67" t="inlineStr">
        <is>
          <t>coverage</t>
        </is>
      </c>
      <c r="B67" t="inlineStr">
        <is>
          <t>NOT_INSTALLED</t>
        </is>
      </c>
    </row>
    <row r="68">
      <c r="A68" t="inlineStr">
        <is>
          <t>PyYAML</t>
        </is>
      </c>
      <c r="B68" t="inlineStr">
        <is>
          <t>NOT_INSTALLED</t>
        </is>
      </c>
    </row>
    <row r="69"/>
    <row r="70">
      <c r="A70" t="inlineStr">
        <is>
          <t>Improvement is not established by fresher data or software changes. Compare paired forecasts and settled results.</t>
        </is>
      </c>
    </row>
    <row r="71">
      <c r="A71" t="inlineStr">
        <is>
          <t>Account access and executable stake sizes are not verified. Exchange targets require a commission/liquidity adapter.</t>
        </is>
      </c>
    </row>
  </sheetData>
</worksheet>
</file>