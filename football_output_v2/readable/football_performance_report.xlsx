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-1.51</c:v>
                </c:pt>
                <c:pt idx="9">
                  <c:v>-1.51</c:v>
                </c:pt>
                <c:pt idx="10">
                  <c:v>-1.51</c:v>
                </c:pt>
                <c:pt idx="11">
                  <c:v>-1.51</c:v>
                </c:pt>
                <c:pt idx="12">
                  <c:v>-1.51</c:v>
                </c:pt>
                <c:pt idx="13">
                  <c:v>-1.51</c:v>
                </c:pt>
                <c:pt idx="14">
                  <c:v>-1.51</c:v>
                </c:pt>
                <c:pt idx="15">
                  <c:v>-1.51</c:v>
                </c:pt>
                <c:pt idx="16">
                  <c:v>-1.51</c:v>
                </c:pt>
                <c:pt idx="17">
                  <c:v>-1.51</c:v>
                </c:pt>
                <c:pt idx="18">
                  <c:v>-1.51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0.7778468551107348</c:v>
                </c:pt>
                <c:pt idx="4">
                  <c:v>0.8566010078816761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0.6666666666666666</c:v>
                </c:pt>
                <c:pt idx="4">
                  <c:v>0.3333333333333333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2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7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4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12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0.5714285714285714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-0.21571428571428572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-1.51</v>
      </c>
      <c r="C14" s="1"/>
      <c r="D14" s="1" t="inlineStr">
        <is>
          <t>7 settled; 12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0.3092991303835796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0.6111111111111112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0.5584064911111111</v>
      </c>
      <c r="C17" s="1"/>
      <c r="D17" s="1" t="inlineStr">
        <is>
          <t>Over 1.5</t>
        </is>
      </c>
      <c r="E17" s="1">
        <f>COUNT(Predictions!J6:J93)</f>
        <v>18</v>
      </c>
      <c r="F17" s="9">
        <f>IF(E17=0,"n.a.",AVERAGE(Predictions!J6:J93))</f>
        <v>1.0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0.2504542304090258</v>
      </c>
      <c r="C18" s="1"/>
      <c r="D18" s="1" t="inlineStr">
        <is>
          <t>Under 3.5</t>
        </is>
      </c>
      <c r="E18" s="1">
        <f>COUNT(Predictions!K6:K93)</f>
        <v>18</v>
      </c>
      <c r="F18" s="9">
        <f>IF(E18=0,"n.a.",AVERAGE(Predictions!K6:K93))</f>
        <v>0.5555555555555556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0.8417830777373732</v>
      </c>
      <c r="C19" s="1"/>
      <c r="D19" s="1" t="inlineStr">
        <is>
          <t>BTTS Yes</t>
        </is>
      </c>
      <c r="E19" s="1">
        <f>COUNT(Predictions!L6:L93)</f>
        <v>18</v>
      </c>
      <c r="F19" s="9">
        <f>IF(E19=0,"n.a.",AVERAGE(Predictions!L6:L93))</f>
        <v>0.5555555555555556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18</v>
      </c>
      <c r="F20" s="9">
        <f>IF(E20=0,"n.a.",AVERAGE(Predictions!M6:M93))</f>
        <v>0.5555555555555556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4 wins from 7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2026-10-13T16:34:23Z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-1.0</v>
      </c>
      <c r="F11" s="10">
        <f>SUM($E$10:E11)</f>
        <v>-1.0</v>
      </c>
      <c r="G11" s="10">
        <f>$B$4+F11</f>
        <v>99.0</v>
      </c>
      <c r="H11" s="10">
        <f>MAX($B$4,$G$10:G11)</f>
        <v>100</v>
      </c>
      <c r="I11" s="10">
        <f>H11-G11</f>
        <v>1.0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-1.0</v>
      </c>
      <c r="F12" s="10">
        <f>SUM($E$10:E12)</f>
        <v>-2.0</v>
      </c>
      <c r="G12" s="10">
        <f>$B$4+F12</f>
        <v>98.0</v>
      </c>
      <c r="H12" s="10">
        <f>MAX($B$4,$G$10:G12)</f>
        <v>100</v>
      </c>
      <c r="I12" s="10">
        <f>H12-G12</f>
        <v>2.0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-1.0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-1.51</v>
      </c>
      <c r="G18" s="10">
        <f>$B$4+F18</f>
        <v>98.49</v>
      </c>
      <c r="H18" s="10">
        <f>MAX($B$4,$G$10:G18)</f>
        <v>100</v>
      </c>
      <c r="I18" s="10">
        <f>H18-G18</f>
        <v>1.5100000000000051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-1.51</v>
      </c>
      <c r="G19" s="10">
        <f>$B$4+F19</f>
        <v>98.49</v>
      </c>
      <c r="H19" s="10">
        <f>MAX($B$4,$G$10:G19)</f>
        <v>100</v>
      </c>
      <c r="I19" s="10">
        <f>H19-G19</f>
        <v>1.5100000000000051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-1.51</v>
      </c>
      <c r="G20" s="10">
        <f>$B$4+F20</f>
        <v>98.49</v>
      </c>
      <c r="H20" s="10">
        <f>MAX($B$4,$G$10:G20)</f>
        <v>100</v>
      </c>
      <c r="I20" s="10">
        <f>H20-G20</f>
        <v>1.5100000000000051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-1.51</v>
      </c>
      <c r="G21" s="10">
        <f>$B$4+F21</f>
        <v>98.49</v>
      </c>
      <c r="H21" s="10">
        <f>MAX($B$4,$G$10:G21)</f>
        <v>100</v>
      </c>
      <c r="I21" s="10">
        <f>H21-G21</f>
        <v>1.5100000000000051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-1.51</v>
      </c>
      <c r="G22" s="10">
        <f>$B$4+F22</f>
        <v>98.49</v>
      </c>
      <c r="H22" s="10">
        <f>MAX($B$4,$G$10:G22)</f>
        <v>100</v>
      </c>
      <c r="I22" s="10">
        <f>H22-G22</f>
        <v>1.5100000000000051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-1.51</v>
      </c>
      <c r="G23" s="10">
        <f>$B$4+F23</f>
        <v>98.49</v>
      </c>
      <c r="H23" s="10">
        <f>MAX($B$4,$G$10:G23)</f>
        <v>100</v>
      </c>
      <c r="I23" s="10">
        <f>H23-G23</f>
        <v>1.5100000000000051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-1.51</v>
      </c>
      <c r="G24" s="10">
        <f>$B$4+F24</f>
        <v>98.49</v>
      </c>
      <c r="H24" s="10">
        <f>MAX($B$4,$G$10:G24)</f>
        <v>100</v>
      </c>
      <c r="I24" s="10">
        <f>H24-G24</f>
        <v>1.5100000000000051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-1.51</v>
      </c>
      <c r="G25" s="10">
        <f>$B$4+F25</f>
        <v>98.49</v>
      </c>
      <c r="H25" s="10">
        <f>MAX($B$4,$G$10:G25)</f>
        <v>100</v>
      </c>
      <c r="I25" s="10">
        <f>H25-G25</f>
        <v>1.5100000000000051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-1.51</v>
      </c>
      <c r="G26" s="10">
        <f>$B$4+F26</f>
        <v>98.49</v>
      </c>
      <c r="H26" s="10">
        <f>MAX($B$4,$G$10:G26)</f>
        <v>100</v>
      </c>
      <c r="I26" s="10">
        <f>H26-G26</f>
        <v>1.5100000000000051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-1.51</v>
      </c>
      <c r="G27" s="10">
        <f>$B$4+F27</f>
        <v>98.49</v>
      </c>
      <c r="H27" s="10">
        <f>MAX($B$4,$G$10:G27)</f>
        <v>100</v>
      </c>
      <c r="I27" s="10">
        <f>H27-G27</f>
        <v>1.5100000000000051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-1.51</v>
      </c>
      <c r="G28" s="10">
        <f>$B$4+F28</f>
        <v>98.49</v>
      </c>
      <c r="H28" s="10">
        <f>MAX($B$4,$G$10:G28)</f>
        <v>100</v>
      </c>
      <c r="I28" s="10">
        <f>H28-G28</f>
        <v>1.5100000000000051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7</v>
      </c>
      <c r="E6" s="12">
        <f>COUNTIFS(Selections!$K$6:$K$24,"WON")</f>
        <v>4</v>
      </c>
      <c r="F6" s="12">
        <f>COUNTIFS(Selections!$K$6:$K$24,"LOST")</f>
        <v>3</v>
      </c>
      <c r="G6" s="12">
        <f>COUNTA(Selections!$A$6:$A$24)-(COUNTIFS(Selections!$K$6:$K$24,"WON")+COUNTIFS(Selections!$K$6:$K$24,"LOST"))</f>
        <v>12</v>
      </c>
      <c r="H6" s="13">
        <f>IF((COUNTIFS(Selections!$K$6:$K$24,"WON")+COUNTIFS(Selections!$K$6:$K$24,"LOST"))=0,"n.a.",COUNTIFS(Selections!$K$6:$K$24,"WON")/(COUNTIFS(Selections!$K$6:$K$24,"WON")+COUNTIFS(Selections!$K$6:$K$24,"LOST")))</f>
        <v>0.5714285714285714</v>
      </c>
      <c r="I6" s="15">
        <f>SUM(Selections!$M$6:$M$24)</f>
        <v>7</v>
      </c>
      <c r="J6" s="15">
        <f>SUM(Selections!$N$6:$N$24)</f>
        <v>-1.51</v>
      </c>
      <c r="K6" s="13">
        <f>IF(SUM(Selections!$M$6:$M$24)=0,"n.a.",SUM(Selections!$N$6:$N$24)/SUM(Selections!$M$6:$M$24))</f>
        <v>-0.21571428571428572</v>
      </c>
      <c r="L6" s="14">
        <f>IF(SUM(Selections!$T$6:$T$24)=0,"n.a.",SUM(Selections!$O$6:$O$24)/SUM(Selections!$T$6:$T$24))</f>
        <v>0.3092991303835796</v>
      </c>
      <c r="M6" s="13">
        <f>IF(SUM(Selections!$T$6:$T$24)=0,"n.a.",SUM(Selections!$S$6:$S$24)/SUM(Selections!$T$6:$T$24))</f>
        <v>0.797946713772398</v>
      </c>
      <c r="N6" s="13">
        <f>IF(SUM(Selections!$T$6:$T$24)=0,"n.a.",(SUMIFS(Selections!$L$6:$L$24,Selections!$T$6:$T$24,1))/SUM(Selections!$T$6:$T$24))</f>
        <v>0.5714285714285714</v>
      </c>
      <c r="O6" s="13">
        <f>IF(SUM(Selections!$T$6:$T$24)=0,"n.a.",(SUM(Selections!$S$6:$S$24)-(SUMIFS(Selections!$L$6:$L$24,Selections!$T$6:$T$24,1)))/SUM(Selections!$T$6:$T$24))</f>
        <v>0.2265181423438266</v>
      </c>
      <c r="P6" s="12">
        <f>SUM(Selections!$T$6:$T$24)</f>
        <v>7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(n=7).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2</v>
      </c>
      <c r="E7" s="12">
        <f>COUNTIFS(Selections!$F$6:$F$24,"STRICT",Selections!$K$6:$K$24,"WON")</f>
        <v>2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7</v>
      </c>
      <c r="H7" s="13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1.0</v>
      </c>
      <c r="I7" s="15">
        <f>SUMIFS(Selections!$M$6:$M$24,Selections!$F$6:$F$24,"STRICT")</f>
        <v>2</v>
      </c>
      <c r="J7" s="15">
        <f>SUMIFS(Selections!$N$6:$N$24,Selections!$F$6:$F$24,"STRICT")</f>
        <v>0.97</v>
      </c>
      <c r="K7" s="13">
        <f>IF(SUMIFS(Selections!$M$6:$M$24,Selections!$F$6:$F$24,"STRICT")=0,"n.a.",SUMIFS(Selections!$N$6:$N$24,Selections!$F$6:$F$24,"STRICT")/SUMIFS(Selections!$M$6:$M$24,Selections!$F$6:$F$24,"STRICT"))</f>
        <v>0.485</v>
      </c>
      <c r="L7" s="14">
        <f>IF(SUMIFS(Selections!$T$6:$T$24,Selections!$F$6:$F$24,"STRICT")=0,"n.a.",SUMIFS(Selections!$O$6:$O$24,Selections!$F$6:$F$24,"STRICT")/SUMIFS(Selections!$T$6:$T$24,Selections!$F$6:$F$24,"STRICT"))</f>
        <v>0.0742352290068108</v>
      </c>
      <c r="M7" s="13">
        <f>IF(SUMIFS(Selections!$T$6:$T$24,Selections!$F$6:$F$24,"STRICT")=0,"n.a.",SUMIFS(Selections!$S$6:$S$24,Selections!$F$6:$F$24,"STRICT")/SUMIFS(Selections!$T$6:$T$24,Selections!$F$6:$F$24,"STRICT"))</f>
        <v>0.7321386936427534</v>
      </c>
      <c r="N7" s="13">
        <f>IF(SUMIFS(Selections!$T$6:$T$24,Selections!$F$6:$F$24,"STRICT")=0,"n.a.",(SUMIFS(Selections!$L$6:$L$24,Selections!$F$6:$F$24,"STRICT",Selections!$T$6:$T$24,1))/SUMIFS(Selections!$T$6:$T$24,Selections!$F$6:$F$24,"STRICT"))</f>
        <v>1.0</v>
      </c>
      <c r="O7" s="13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-0.2678613063572466</v>
      </c>
      <c r="P7" s="12">
        <f>SUMIFS(Selections!$T$6:$T$24,Selections!$F$6:$F$24,"STRICT")</f>
        <v>2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(n=2).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5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3</v>
      </c>
      <c r="G8" s="12">
        <f>COUNTIFS(Selections!$F$6:$F$24,"PROVISIONAL")-(COUNTIFS(Selections!$F$6:$F$24,"PROVISIONAL",Selections!$K$6:$K$24,"WON")+COUNTIFS(Selections!$F$6:$F$24,"PROVISIONAL",Selections!$K$6:$K$24,"LOST"))</f>
        <v>5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0.4</v>
      </c>
      <c r="I8" s="15">
        <f>SUMIFS(Selections!$M$6:$M$24,Selections!$F$6:$F$24,"PROVISIONAL")</f>
        <v>5</v>
      </c>
      <c r="J8" s="15">
        <f>SUMIFS(Selections!$N$6:$N$24,Selections!$F$6:$F$24,"PROVISIONAL")</f>
        <v>-2.48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-0.496</v>
      </c>
      <c r="L8" s="14">
        <f>IF(SUMIFS(Selections!$T$6:$T$24,Selections!$F$6:$F$24,"PROVISIONAL")=0,"n.a.",SUMIFS(Selections!$O$6:$O$24,Selections!$F$6:$F$24,"PROVISIONAL")/SUMIFS(Selections!$T$6:$T$24,Selections!$F$6:$F$24,"PROVISIONAL"))</f>
        <v>0.40332469093428713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0.824269921824256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0.4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0.42426992182425594</v>
      </c>
      <c r="P8" s="12">
        <f>SUMIFS(Selections!$T$6:$T$24,Selections!$F$6:$F$24,"PROVISIONAL")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2</v>
      </c>
      <c r="E9" s="12">
        <f>COUNTIFS(Selections!$C$6:$C$24,"La Liga",Selections!$K$6:$K$24,"WON")</f>
        <v>2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4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2</v>
      </c>
      <c r="J9" s="15">
        <f>SUMIFS(Selections!$N$6:$N$24,Selections!$C$6:$C$24,"La Liga")</f>
        <v>0.5800000000000001</v>
      </c>
      <c r="K9" s="13">
        <f>IF(SUMIFS(Selections!$M$6:$M$24,Selections!$C$6:$C$24,"La Liga")=0,"n.a.",SUMIFS(Selections!$N$6:$N$24,Selections!$C$6:$C$24,"La Liga")/SUMIFS(Selections!$M$6:$M$24,Selections!$C$6:$C$24,"La Liga"))</f>
        <v>0.29000000000000004</v>
      </c>
      <c r="L9" s="14">
        <f>IF(SUMIFS(Selections!$T$6:$T$24,Selections!$C$6:$C$24,"La Liga")=0,"n.a.",SUMIFS(Selections!$O$6:$O$24,Selections!$C$6:$C$24,"La Liga")/SUMIFS(Selections!$T$6:$T$24,Selections!$C$6:$C$24,"La Liga"))</f>
        <v>0.028808603206313725</v>
      </c>
      <c r="M9" s="13">
        <f>IF(SUMIFS(Selections!$T$6:$T$24,Selections!$C$6:$C$24,"La Liga")=0,"n.a.",SUMIFS(Selections!$S$6:$S$24,Selections!$C$6:$C$24,"La Liga")/SUMIFS(Selections!$T$6:$T$24,Selections!$C$6:$C$24,"La Liga"))</f>
        <v>0.8407710464485831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-0.15922895355141686</v>
      </c>
      <c r="P9" s="12">
        <f>SUMIFS(Selections!$T$6:$T$24,Selections!$C$6:$C$24,"La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3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3</v>
      </c>
      <c r="G10" s="12">
        <f>COUNTIFS(Selections!$C$6:$C$24,"Premier League")-(COUNTIFS(Selections!$C$6:$C$24,"Premier League",Selections!$K$6:$K$24,"WON")+COUNTIFS(Selections!$C$6:$C$24,"Premier League",Selections!$K$6:$K$24,"LOST"))</f>
        <v>3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3</v>
      </c>
      <c r="J10" s="15">
        <f>SUMIFS(Selections!$N$6:$N$24,Selections!$C$6:$C$24,"Premier League")</f>
        <v>-3.0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0.6550299989350173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0.8084589103334122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0.8084589103334122</v>
      </c>
      <c r="P10" s="12">
        <f>SUMIFS(Selections!$T$6:$T$24,Selections!$C$6:$C$24,"Premier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2</v>
      </c>
      <c r="E11" s="12">
        <f>COUNTIFS(Selections!$C$6:$C$24,"Serie A",Selections!$K$6:$K$24,"WON")</f>
        <v>2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0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2</v>
      </c>
      <c r="J11" s="15">
        <f>SUMIFS(Selections!$N$6:$N$24,Selections!$C$6:$C$24,"Serie A")</f>
        <v>0.9099999999999999</v>
      </c>
      <c r="K11" s="13">
        <f>IF(SUMIFS(Selections!$M$6:$M$24,Selections!$C$6:$C$24,"Serie A")=0,"n.a.",SUMIFS(Selections!$N$6:$N$24,Selections!$C$6:$C$24,"Serie A")/SUMIFS(Selections!$M$6:$M$24,Selections!$C$6:$C$24,"Serie A"))</f>
        <v>0.45499999999999996</v>
      </c>
      <c r="L11" s="14">
        <f>IF(SUMIFS(Selections!$T$6:$T$24,Selections!$C$6:$C$24,"Serie A")=0,"n.a.",SUMIFS(Selections!$O$6:$O$24,Selections!$C$6:$C$24,"Serie A")/SUMIFS(Selections!$T$6:$T$24,Selections!$C$6:$C$24,"Serie A"))</f>
        <v>0.07119335473368883</v>
      </c>
      <c r="M11" s="13">
        <f>IF(SUMIFS(Selections!$T$6:$T$24,Selections!$C$6:$C$24,"Serie A")=0,"n.a.",SUMIFS(Selections!$S$6:$S$24,Selections!$C$6:$C$24,"Serie A")/SUMIFS(Selections!$T$6:$T$24,Selections!$C$6:$C$24,"Serie A"))</f>
        <v>0.7393540862546915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-0.26064591374530854</v>
      </c>
      <c r="P11" s="12">
        <f>SUMIFS(Selections!$T$6:$T$24,Selections!$C$6:$C$24,"Serie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0</v>
      </c>
      <c r="E12" s="12">
        <f>COUNTIFS(Selections!$C$6:$C$24,"UEFA Champions League",Selections!$K$6:$K$24,"WON")</f>
        <v>0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5</v>
      </c>
      <c r="H12" s="13" t="str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n.a.</v>
      </c>
      <c r="I12" s="15">
        <f>SUMIFS(Selections!$M$6:$M$24,Selections!$C$6:$C$24,"UEFA Champions League")</f>
        <v>0</v>
      </c>
      <c r="J12" s="15">
        <f>SUMIFS(Selections!$N$6:$N$24,Selections!$C$6:$C$24,"UEFA Champions League")</f>
        <v>0</v>
      </c>
      <c r="K12" s="13" t="str">
        <f>IF(SUMIFS(Selections!$M$6:$M$24,Selections!$C$6:$C$24,"UEFA Champions League")=0,"n.a.",SUMIFS(Selections!$N$6:$N$24,Selections!$C$6:$C$24,"UEFA Champions League")/SUMIFS(Selections!$M$6:$M$24,Selections!$C$6:$C$24,"UEFA Champions League"))</f>
        <v>n.a.</v>
      </c>
      <c r="L12" s="14" t="str">
        <f>IF(SUMIFS(Selections!$T$6:$T$24,Selections!$C$6:$C$24,"UEFA Champions League")=0,"n.a.",SUMIFS(Selections!$O$6:$O$24,Selections!$C$6:$C$24,"UEFA Champions League")/SUMIFS(Selections!$T$6:$T$24,Selections!$C$6:$C$24,"UEFA Champions League"))</f>
        <v>n.a.</v>
      </c>
      <c r="M12" s="13" t="str">
        <f>IF(SUMIFS(Selections!$T$6:$T$24,Selections!$C$6:$C$24,"UEFA Champions League")=0,"n.a.",SUMIFS(Selections!$S$6:$S$24,Selections!$C$6:$C$24,"UEFA Champions League")/SUMIFS(Selections!$T$6:$T$24,Selections!$C$6:$C$24,"UEFA Champions League"))</f>
        <v>n.a.</v>
      </c>
      <c r="N12" s="13" t="str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n.a.</v>
      </c>
      <c r="O12" s="13" t="str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n.a.</v>
      </c>
      <c r="P12" s="12">
        <f>SUMIFS(Selections!$T$6:$T$24,Selections!$C$6:$C$24,"UEFA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0</v>
      </c>
      <c r="E13" s="12">
        <f>COUNTIFS(Selections!$E$6:$E$24,"Both Teams to Score - Yes",Selections!$K$6:$K$24,"WON")</f>
        <v>0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1</v>
      </c>
      <c r="H13" s="13" t="str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n.a.</v>
      </c>
      <c r="I13" s="15">
        <f>SUMIFS(Selections!$M$6:$M$24,Selections!$E$6:$E$24,"Both Teams to Score - Yes")</f>
        <v>0</v>
      </c>
      <c r="J13" s="15">
        <f>SUMIFS(Selections!$N$6:$N$24,Selections!$E$6:$E$24,"Both Teams to Score - Yes")</f>
        <v>0</v>
      </c>
      <c r="K13" s="13" t="str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n.a.</v>
      </c>
      <c r="L13" s="14" t="str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n.a.</v>
      </c>
      <c r="M13" s="13" t="str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n.a.</v>
      </c>
      <c r="N13" s="13" t="str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n.a.</v>
      </c>
      <c r="O13" s="13" t="str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n.a.</v>
      </c>
      <c r="P13" s="12">
        <f>SUMIFS(Selections!$T$6:$T$24,Selections!$E$6:$E$24,"Both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1</v>
      </c>
      <c r="E14" s="12">
        <f>COUNTIFS(Selections!$E$6:$E$24,"Home win",Selections!$K$6:$K$24,"WON")</f>
        <v>1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3</v>
      </c>
      <c r="H14" s="13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1.0</v>
      </c>
      <c r="I14" s="15">
        <f>SUMIFS(Selections!$M$6:$M$24,Selections!$E$6:$E$24,"Home win")</f>
        <v>1</v>
      </c>
      <c r="J14" s="15">
        <f>SUMIFS(Selections!$N$6:$N$24,Selections!$E$6:$E$24,"Home win")</f>
        <v>0.6299999999999999</v>
      </c>
      <c r="K14" s="13">
        <f>IF(SUMIFS(Selections!$M$6:$M$24,Selections!$E$6:$E$24,"Home win")=0,"n.a.",SUMIFS(Selections!$N$6:$N$24,Selections!$E$6:$E$24,"Home win")/SUMIFS(Selections!$M$6:$M$24,Selections!$E$6:$E$24,"Home win"))</f>
        <v>0.6299999999999999</v>
      </c>
      <c r="L14" s="14">
        <f>IF(SUMIFS(Selections!$T$6:$T$24,Selections!$E$6:$E$24,"Home win")=0,"n.a.",SUMIFS(Selections!$O$6:$O$24,Selections!$E$6:$E$24,"Home win")/SUMIFS(Selections!$T$6:$T$24,Selections!$E$6:$E$24,"Home win"))</f>
        <v>0.10094383319457502</v>
      </c>
      <c r="M14" s="13">
        <f>IF(SUMIFS(Selections!$T$6:$T$24,Selections!$E$6:$E$24,"Home win")=0,"n.a.",SUMIFS(Selections!$S$6:$S$24,Selections!$E$6:$E$24,"Home win")/SUMIFS(Selections!$T$6:$T$24,Selections!$E$6:$E$24,"Home win"))</f>
        <v>0.6822834074295536</v>
      </c>
      <c r="N14" s="13">
        <f>IF(SUMIFS(Selections!$T$6:$T$24,Selections!$E$6:$E$24,"Home win")=0,"n.a.",(SUMIFS(Selections!$L$6:$L$24,Selections!$E$6:$E$24,"Home win",Selections!$T$6:$T$24,1))/SUMIFS(Selections!$T$6:$T$24,Selections!$E$6:$E$24,"Home win"))</f>
        <v>1.0</v>
      </c>
      <c r="O14" s="13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-0.3177165925704464</v>
      </c>
      <c r="P14" s="12">
        <f>SUMIFS(Selections!$T$6:$T$24,Selections!$E$6:$E$24,"Home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2</v>
      </c>
      <c r="E15" s="12">
        <f>COUNTIFS(Selections!$E$6:$E$24,"Over 1.5",Selections!$K$6:$K$24,"WON")</f>
        <v>2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6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2</v>
      </c>
      <c r="J15" s="15">
        <f>SUMIFS(Selections!$N$6:$N$24,Selections!$E$6:$E$24,"Over 1.5")</f>
        <v>0.5800000000000001</v>
      </c>
      <c r="K15" s="13">
        <f>IF(SUMIFS(Selections!$M$6:$M$24,Selections!$E$6:$E$24,"Over 1.5")=0,"n.a.",SUMIFS(Selections!$N$6:$N$24,Selections!$E$6:$E$24,"Over 1.5")/SUMIFS(Selections!$M$6:$M$24,Selections!$E$6:$E$24,"Over 1.5"))</f>
        <v>0.29000000000000004</v>
      </c>
      <c r="L15" s="14">
        <f>IF(SUMIFS(Selections!$T$6:$T$24,Selections!$E$6:$E$24,"Over 1.5")=0,"n.a.",SUMIFS(Selections!$O$6:$O$24,Selections!$E$6:$E$24,"Over 1.5")/SUMIFS(Selections!$T$6:$T$24,Selections!$E$6:$E$24,"Over 1.5"))</f>
        <v>0.028808603206313725</v>
      </c>
      <c r="M15" s="13">
        <f>IF(SUMIFS(Selections!$T$6:$T$24,Selections!$E$6:$E$24,"Over 1.5")=0,"n.a.",SUMIFS(Selections!$S$6:$S$24,Selections!$E$6:$E$24,"Over 1.5")/SUMIFS(Selections!$T$6:$T$24,Selections!$E$6:$E$24,"Over 1.5"))</f>
        <v>0.8407710464485831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-0.15922895355141686</v>
      </c>
      <c r="P15" s="12">
        <f>SUMIFS(Selections!$T$6:$T$24,Selections!$E$6:$E$24,"Over 1.5")</f>
        <v>2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4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3</v>
      </c>
      <c r="G16" s="12">
        <f>COUNTIFS(Selections!$E$6:$E$24,"Under 3.5")-(COUNTIFS(Selections!$E$6:$E$24,"Under 3.5",Selections!$K$6:$K$24,"WON")+COUNTIFS(Selections!$E$6:$E$24,"Under 3.5",Selections!$K$6:$K$24,"LOST"))</f>
        <v>2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0.25</v>
      </c>
      <c r="I16" s="15">
        <f>SUMIFS(Selections!$M$6:$M$24,Selections!$E$6:$E$24,"Under 3.5")</f>
        <v>4</v>
      </c>
      <c r="J16" s="15">
        <f>SUMIFS(Selections!$N$6:$N$24,Selections!$E$6:$E$24,"Under 3.5")</f>
        <v>-2.7199999999999998</v>
      </c>
      <c r="K16" s="13">
        <f>IF(SUMIFS(Selections!$M$6:$M$24,Selections!$E$6:$E$24,"Under 3.5")=0,"n.a.",SUMIFS(Selections!$N$6:$N$24,Selections!$E$6:$E$24,"Under 3.5")/SUMIFS(Selections!$M$6:$M$24,Selections!$E$6:$E$24,"Under 3.5"))</f>
        <v>-0.6799999999999999</v>
      </c>
      <c r="L16" s="14">
        <f>IF(SUMIFS(Selections!$T$6:$T$24,Selections!$E$6:$E$24,"Under 3.5")=0,"n.a.",SUMIFS(Selections!$O$6:$O$24,Selections!$E$6:$E$24,"Under 3.5")/SUMIFS(Selections!$T$6:$T$24,Selections!$E$6:$E$24,"Under 3.5"))</f>
        <v>0.5016332182694637</v>
      </c>
      <c r="M16" s="13">
        <f>IF(SUMIFS(Selections!$T$6:$T$24,Selections!$E$6:$E$24,"Under 3.5")=0,"n.a.",SUMIFS(Selections!$S$6:$S$24,Selections!$E$6:$E$24,"Under 3.5")/SUMIFS(Selections!$T$6:$T$24,Selections!$E$6:$E$24,"Under 3.5"))</f>
        <v>0.8054503740200165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0.25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0.5554503740200165</v>
      </c>
      <c r="P16" s="12">
        <f>SUMIFS(Selections!$T$6:$T$24,Selections!$E$6:$E$24,"Under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2</v>
      </c>
      <c r="E17" s="12">
        <f>COUNTIFS(Selections!$G$6:$G$24,"72h-ucl-v3",Selections!$K$6:$K$24,"WON")</f>
        <v>1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6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0.5</v>
      </c>
      <c r="I17" s="15">
        <f>SUMIFS(Selections!$M$6:$M$24,Selections!$G$6:$G$24,"72h-ucl-v3")</f>
        <v>2</v>
      </c>
      <c r="J17" s="15">
        <f>SUMIFS(Selections!$N$6:$N$24,Selections!$G$6:$G$24,"72h-ucl-v3")</f>
        <v>-0.6599999999999999</v>
      </c>
      <c r="K17" s="13">
        <f>IF(SUMIFS(Selections!$M$6:$M$24,Selections!$G$6:$G$24,"72h-ucl-v3")=0,"n.a.",SUMIFS(Selections!$N$6:$N$24,Selections!$G$6:$G$24,"72h-ucl-v3")/SUMIFS(Selections!$M$6:$M$24,Selections!$G$6:$G$24,"72h-ucl-v3"))</f>
        <v>-0.32999999999999996</v>
      </c>
      <c r="L17" s="14">
        <f>IF(SUMIFS(Selections!$T$6:$T$24,Selections!$G$6:$G$24,"72h-ucl-v3")=0,"n.a.",SUMIFS(Selections!$O$6:$O$24,Selections!$G$6:$G$24,"72h-ucl-v3")/SUMIFS(Selections!$T$6:$T$24,Selections!$G$6:$G$24,"72h-ucl-v3"))</f>
        <v>0.30886779422892635</v>
      </c>
      <c r="M17" s="13">
        <f>IF(SUMIFS(Selections!$T$6:$T$24,Selections!$G$6:$G$24,"72h-ucl-v3")=0,"n.a.",SUMIFS(Selections!$S$6:$S$24,Selections!$G$6:$G$24,"72h-ucl-v3")/SUMIFS(Selections!$T$6:$T$24,Selections!$G$6:$G$24,"72h-ucl-v3"))</f>
        <v>0.7685579001261875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0.5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0.2685579001261875</v>
      </c>
      <c r="P17" s="12">
        <f>SUMIFS(Selections!$T$6:$T$24,Selections!$G$6:$G$24,"72h-ucl-v3")</f>
        <v>2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5</v>
      </c>
      <c r="E18" s="12">
        <f>COUNTIFS(Selections!$G$6:$G$24,"legacy/unspecified",Selections!$K$6:$K$24,"WON")</f>
        <v>3</v>
      </c>
      <c r="F18" s="12">
        <f>COUNTIFS(Selections!$G$6:$G$24,"legacy/unspecified",Selections!$K$6:$K$24,"LOST")</f>
        <v>2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6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</v>
      </c>
      <c r="I18" s="15">
        <f>SUMIFS(Selections!$M$6:$M$24,Selections!$G$6:$G$24,"legacy/unspecified")</f>
        <v>5</v>
      </c>
      <c r="J18" s="15">
        <f>SUMIFS(Selections!$N$6:$N$24,Selections!$G$6:$G$24,"legacy/unspecified")</f>
        <v>-0.8500000000000001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-0.17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0.30947166484544086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0.8097022392308822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0.20970223923088227</v>
      </c>
      <c r="P18" s="12">
        <f>SUMIFS(Selections!$T$6:$T$24,Selections!$G$6:$G$24,"legacy/unspecified")</f>
        <v>5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3</v>
      </c>
      <c r="E20" s="12">
        <f>COUNTIFS(Selections!$P$6:$P$24,"2026-W42",Selections!$K$6:$K$24,"WON")</f>
        <v>2</v>
      </c>
      <c r="F20" s="12">
        <f>COUNTIFS(Selections!$P$6:$P$24,"2026-W42",Selections!$K$6:$K$24,"LOST")</f>
        <v>1</v>
      </c>
      <c r="G20" s="12">
        <f>COUNTIFS(Selections!$P$6:$P$24,"2026-W42")-(COUNTIFS(Selections!$P$6:$P$24,"2026-W42",Selections!$K$6:$K$24,"WON")+COUNTIFS(Selections!$P$6:$P$24,"2026-W42",Selections!$K$6:$K$24,"LOST"))</f>
        <v>10</v>
      </c>
      <c r="H20" s="13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0.6666666666666666</v>
      </c>
      <c r="I20" s="15">
        <f>SUMIFS(Selections!$M$6:$M$24,Selections!$P$6:$P$24,"2026-W42")</f>
        <v>3</v>
      </c>
      <c r="J20" s="15">
        <f>SUMIFS(Selections!$N$6:$N$24,Selections!$P$6:$P$24,"2026-W42")</f>
        <v>-0.030000000000000027</v>
      </c>
      <c r="K20" s="13">
        <f>IF(SUMIFS(Selections!$M$6:$M$24,Selections!$P$6:$P$24,"2026-W42")=0,"n.a.",SUMIFS(Selections!$N$6:$N$24,Selections!$P$6:$P$24,"2026-W42")/SUMIFS(Selections!$M$6:$M$24,Selections!$P$6:$P$24,"2026-W42"))</f>
        <v>-0.010000000000000009</v>
      </c>
      <c r="L20" s="14">
        <f>IF(SUMIFS(Selections!$T$6:$T$24,Selections!$P$6:$P$24,"2026-W42")=0,"n.a.",SUMIFS(Selections!$O$6:$O$24,Selections!$P$6:$P$24,"2026-W42")/SUMIFS(Selections!$T$6:$T$24,Selections!$P$6:$P$24,"2026-W42"))</f>
        <v>0.2828766481451019</v>
      </c>
      <c r="M20" s="13">
        <f>IF(SUMIFS(Selections!$T$6:$T$24,Selections!$P$6:$P$24,"2026-W42")=0,"n.a.",SUMIFS(Selections!$S$6:$S$24,Selections!$P$6:$P$24,"2026-W42")/SUMIFS(Selections!$T$6:$T$24,Selections!$P$6:$P$24,"2026-W42"))</f>
        <v>0.7670109065861058</v>
      </c>
      <c r="N20" s="13">
        <f>IF(SUMIFS(Selections!$T$6:$T$24,Selections!$P$6:$P$24,"2026-W42")=0,"n.a.",(SUMIFS(Selections!$L$6:$L$24,Selections!$P$6:$P$24,"2026-W42",Selections!$T$6:$T$24,1))/SUMIFS(Selections!$T$6:$T$24,Selections!$P$6:$P$24,"2026-W42"))</f>
        <v>0.6666666666666666</v>
      </c>
      <c r="O20" s="13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0.1003442399194392</v>
      </c>
      <c r="P20" s="12">
        <f>SUMIFS(Selections!$T$6:$T$24,Selections!$P$6:$P$24,"2026-W42")</f>
        <v>3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(n=3).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1</v>
      </c>
      <c r="E8" s="13">
        <f>IF(D8=0,"n.a.",SUMIFS(Selections!$S$6:$S$24,Selections!$S$6:$S$24,"&gt;="&amp;B8,Selections!$S$6:$S$24,"&lt;"&amp;C8,Selections!$T$6:$T$24,1)/D8)</f>
        <v>0.6822834074295536</v>
      </c>
      <c r="F8" s="13">
        <f>IF(D8=0,"n.a.",SUMIFS(Selections!$L$6:$L$24,Selections!$S$6:$S$24,"&gt;="&amp;B8,Selections!$S$6:$S$24,"&lt;"&amp;C8,Selections!$T$6:$T$24,1)/D8)</f>
        <v>1.0</v>
      </c>
      <c r="G8" s="13">
        <f>IF(D8=0,"n.a.",E8-F8)</f>
        <v>-0.3177165925704464</v>
      </c>
      <c r="H8" s="14">
        <f>IF(D8=0,"n.a.",SUMIFS(Selections!$O$6:$O$24,Selections!$S$6:$S$24,"&gt;="&amp;B8,Selections!$S$6:$S$24,"&lt;"&amp;C8,Selections!$T$6:$T$24,1)/D8)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3</v>
      </c>
      <c r="E9" s="13">
        <f>IF(D9=0,"n.a.",SUMIFS(Selections!$S$6:$S$24,Selections!$S$6:$S$24,"&gt;="&amp;B9,Selections!$S$6:$S$24,"&lt;"&amp;C9,Selections!$T$6:$T$24,1)/D9)</f>
        <v>0.7778468551107348</v>
      </c>
      <c r="F9" s="13">
        <f>IF(D9=0,"n.a.",SUMIFS(Selections!$L$6:$L$24,Selections!$S$6:$S$24,"&gt;="&amp;B9,Selections!$S$6:$S$24,"&lt;"&amp;C9,Selections!$T$6:$T$24,1)/D9)</f>
        <v>0.6666666666666666</v>
      </c>
      <c r="G9" s="13">
        <f>IF(D9=0,"n.a.",E9-F9)</f>
        <v>0.11118018844406818</v>
      </c>
      <c r="H9" s="14">
        <f>IF(D9=0,"n.a.",SUMIFS(Selections!$O$6:$O$24,Selections!$S$6:$S$24,"&gt;="&amp;B9,Selections!$S$6:$S$24,"&lt;"&amp;C9,Selections!$T$6:$T$24,1)/D9)</f>
        <v>0.21972615491021844</v>
      </c>
      <c r="I9" s="1" t="inlineStr">
        <is>
          <t>Collect more scored forecasts (n=3).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3</v>
      </c>
      <c r="E10" s="13">
        <f>IF(D10=0,"n.a.",SUMIFS(Selections!$S$6:$S$24,Selections!$S$6:$S$24,"&gt;="&amp;B10,Selections!$S$6:$S$24,"&lt;"&amp;C10,Selections!$T$6:$T$24,1)/D10)</f>
        <v>0.8566010078816761</v>
      </c>
      <c r="F10" s="13">
        <f>IF(D10=0,"n.a.",SUMIFS(Selections!$L$6:$L$24,Selections!$S$6:$S$24,"&gt;="&amp;B10,Selections!$S$6:$S$24,"&lt;"&amp;C10,Selections!$T$6:$T$24,1)/D10)</f>
        <v>0.3333333333333333</v>
      </c>
      <c r="G10" s="13">
        <f>IF(D10=0,"n.a.",E10-F10)</f>
        <v>0.5232676745483429</v>
      </c>
      <c r="H10" s="14">
        <f>IF(D10=0,"n.a.",SUMIFS(Selections!$O$6:$O$24,Selections!$S$6:$S$24,"&gt;="&amp;B10,Selections!$S$6:$S$24,"&lt;"&amp;C10,Selections!$T$6:$T$24,1)/D10)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0</v>
      </c>
      <c r="E11" s="13" t="str">
        <f>IF(D11=0,"n.a.",SUMIFS(Selections!$S$6:$S$24,Selections!$S$6:$S$24,"&gt;="&amp;B11,Selections!$S$6:$S$24,"&lt;"&amp;C11,Selections!$T$6:$T$24,1)/D11)</f>
        <v>n.a.</v>
      </c>
      <c r="F11" s="13" t="str">
        <f>IF(D11=0,"n.a.",SUMIFS(Selections!$L$6:$L$24,Selections!$S$6:$S$24,"&gt;="&amp;B11,Selections!$S$6:$S$24,"&lt;"&amp;C11,Selections!$T$6:$T$24,1)/D11)</f>
        <v>n.a.</v>
      </c>
      <c r="G11" s="13" t="str">
        <f>IF(D11=0,"n.a.",E11-F11)</f>
        <v>n.a.</v>
      </c>
      <c r="H11" s="14" t="str">
        <f>IF(D11=0,"n.a.",SUMIFS(Selections!$O$6:$O$24,Selections!$S$6:$S$24,"&gt;="&amp;B11,Selections!$S$6:$S$24,"&lt;"&amp;C11,Selections!$T$6:$T$24,1)/D11)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  <c r="U5" t="inlineStr">
        <is>
          <t>Cost per unit stake</t>
        </is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IF(ISNUMBER(M6),M6*(I6*L6-1-U6),"")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  <c r="U6">
        <v>0.0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IF(ISNUMBER(M7),M7*(I7*L7-1-U7),"")</f>
        <v>-1.0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  <c r="U7">
        <v>0.0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IF(ISNUMBER(M8),M8*(I8*L8-1-U8),"")</f>
        <v>-1.0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  <c r="U8">
        <v>0.0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IF(ISNUMBER(M9),M9*(I9*L9-1-U9),"")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  <c r="U9">
        <v>0.0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IF(ISNUMBER(M10),M10*(I10*L10-1-U10),"")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  <c r="U10">
        <v>0.0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IF(ISNUMBER(M11),M11*(I11*L11-1-U11),"")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  <c r="U11">
        <v>0.0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IF(ISNUMBER(M12),M12*(I12*L12-1-U12),"")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  <c r="U12">
        <v>0.0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IF(ISNUMBER(M13),M13*(I13*L13-1-U13),"")</f>
        <v>-1.0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  <c r="U13">
        <v>0.0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IF(ISNUMBER(M14),M14*(I14*L14-1-U14),"")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  <c r="U14">
        <v>0.0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IF(ISNUMBER(M15),M15*(I15*L15-1-U15),"")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  <c r="U15">
        <v>0.0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IF(ISNUMBER(M16),M16*(I16*L16-1-U16),"")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  <c r="U16">
        <v>0.0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IF(ISNUMBER(M17),M17*(I17*L17-1-U17),"")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  <c r="U17">
        <v>0.0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IF(ISNUMBER(M18),M18*(I18*L18-1-U18),"")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  <c r="U18">
        <v>0.0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IF(ISNUMBER(M19),M19*(I19*L19-1-U19),"")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  <c r="U19">
        <v>0.0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IF(ISNUMBER(M20),M20*(I20*L20-1-U20),"")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  <c r="U20">
        <v>0.0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IF(ISNUMBER(M21),M21*(I21*L21-1-U21),"")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  <c r="U21">
        <v>0.0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IF(ISNUMBER(M22),M22*(I22*L22-1-U22),"")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  <c r="U22">
        <v>0.0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IF(ISNUMBER(M23),M23*(I23*L23-1-U23),"")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  <c r="U23">
        <v>0.0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IF(ISNUMBER(M24),M24*(I24*L24-1-U24),"")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  <c r="U24">
        <v>0.0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