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33.0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3.3499999999999988</v>
                </pt>
                <pt idx="3">
                  <v>3.3499999999999988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Plan'!$A$10:$A$80</c:f>
              <c:strCache>
                <c:ptCount val="7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2026-10-26T19:30:00+00:00</c:v>
                </c:pt>
              </c:strCache>
            </c:strRef>
          </c:cat>
          <c:val>
            <c:numRef>
              <c:f>'ROI Plan'!$F$10:$F$80</c:f>
              <c:numCache>
                <c:formatCode>General</c:formatCode>
                <c:ptCount val="7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1.8099999999999998</c:v>
                </c:pt>
                <c:pt idx="66">
                  <c:v>2.03</c:v>
                </c:pt>
                <c:pt idx="67">
                  <c:v>2.03</c:v>
                </c:pt>
                <c:pt idx="68">
                  <c:v>3.1199999999999997</c:v>
                </c:pt>
                <c:pt idx="69">
                  <c:v>3.3499999999999996</c:v>
                </c:pt>
                <c:pt idx="70">
                  <c:v>3.3499999999999996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0.7622108195869741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71</v>
      </c>
      <c r="C7" s="18"/>
      <c r="D7" s="18" t="str">
        <v>STRICT</v>
      </c>
      <c r="E7" s="18">
        <f>Breakdowns!D7</f>
        <v>32</v>
      </c>
      <c r="F7" s="20">
        <f>Breakdowns!H7</f>
        <v>0.84375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59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0.7627118644067796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0.05677966101694914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3.349999999999999</v>
      </c>
      <c r="C14" s="18"/>
      <c r="D14" s="18" t="inlineStr">
        <is>
          <t>59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0.15452821676612882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0.5741935483870968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0.5763020844516129</v>
      </c>
      <c r="C17" s="18"/>
      <c r="D17" s="18" t="inlineStr">
        <is>
          <t>Over 1.5</t>
        </is>
      </c>
      <c r="E17" s="18">
        <f>COUNT(Predictions!J6:J244)</f>
        <v>155</v>
      </c>
      <c r="F17" s="20">
        <f>IF(E17=0,"n.a.",AVERAGE(Predictions!J6:J244))</f>
        <v>0.8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0.6402486613269721</v>
      </c>
      <c r="C18" s="18"/>
      <c r="D18" s="18" t="inlineStr">
        <is>
          <t>Under 3.5</t>
        </is>
      </c>
      <c r="E18" s="18">
        <f>COUNT(Predictions!K6:K244)</f>
        <v>155</v>
      </c>
      <c r="F18" s="20">
        <f>IF(E18=0,"n.a.",AVERAGE(Predictions!K6:K244))</f>
        <v>0.632258064516129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0.8530551374305387</v>
      </c>
      <c r="C19" s="18"/>
      <c r="D19" s="18" t="inlineStr">
        <is>
          <t>BTTS Yes</t>
        </is>
      </c>
      <c r="E19" s="18">
        <f>COUNT(Predictions!L6:L244)</f>
        <v>155</v>
      </c>
      <c r="F19" s="20">
        <f>IF(E19=0,"n.a.",AVERAGE(Predictions!L6:L244))</f>
        <v>0.5741935483870968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155</v>
      </c>
      <c r="F20" s="20">
        <f>IF(E20=0,"n.a.",AVERAGE(Predictions!M6:M244))</f>
        <v>0.5741935483870968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45 wins from 59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2026-10-25T22:42:21.856521+00:00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2026-10-25 10:25:17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AWAITING_COUNT_RESULT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1.8099999999999998</v>
      </c>
      <c r="G75" s="22">
        <f>$B$4+F75</f>
        <v>101.81</v>
      </c>
      <c r="H75" s="22">
        <f>MAX($B$4,$G$10:G75)</f>
        <v>104.12</v>
      </c>
      <c r="I75" s="22">
        <f>H75-G75</f>
        <v>2.3100000000000023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2.03</v>
      </c>
      <c r="G76" s="22">
        <f>$B$4+F76</f>
        <v>102.03</v>
      </c>
      <c r="H76" s="22">
        <f>MAX($B$4,$G$10:G76)</f>
        <v>104.12</v>
      </c>
      <c r="I76" s="22">
        <f>H76-G76</f>
        <v>2.0900000000000034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2.03</v>
      </c>
      <c r="G77" s="22">
        <f>$B$4+F77</f>
        <v>102.03</v>
      </c>
      <c r="H77" s="22">
        <f>MAX($B$4,$G$10:G77)</f>
        <v>104.12</v>
      </c>
      <c r="I77" s="22">
        <f>H77-G77</f>
        <v>2.0900000000000034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3.1199999999999997</v>
      </c>
      <c r="G78" s="22">
        <f>$B$4+F78</f>
        <v>103.12</v>
      </c>
      <c r="H78" s="22">
        <f>MAX($B$4,$G$10:G78)</f>
        <v>104.12</v>
      </c>
      <c r="I78" s="22">
        <f>H78-G78</f>
        <v>1.0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3.3499999999999996</v>
      </c>
      <c r="G79" s="22">
        <f>$B$4+F79</f>
        <v>103.35</v>
      </c>
      <c r="H79" s="22">
        <f>MAX($B$4,$G$10:G79)</f>
        <v>104.12</v>
      </c>
      <c r="I79" s="22">
        <f>H79-G79</f>
        <v>0.7700000000000102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2026-10-26T19:30:00+00:00</t>
        </is>
      </c>
      <c r="B80" s="18" t="inlineStr">
        <is>
          <t>Paris Saint Germain vs Lyon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3.3499999999999996</v>
      </c>
      <c r="G80" s="22">
        <f>$B$4+F80</f>
        <v>103.35</v>
      </c>
      <c r="H80" s="22">
        <f>MAX($B$4,$G$10:G80)</f>
        <v>104.12</v>
      </c>
      <c r="I80" s="22">
        <f>H80-G80</f>
        <v>0.7700000000000102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</sheetData>
  <mergeCells count="1">
    <mergeCell ref="A2:J2"/>
  </mergeCells>
  <conditionalFormatting sqref="E10:E8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COUNTA(Selections!$A$6:$A$76)</f>
        <v>71</v>
      </c>
      <c r="D6" s="19">
        <f>((COUNTIFS(Selections!$K$6:$K$76,"WON")+COUNTIFS(Selections!$K$6:$K$76,"HALF_WON"))+(COUNTIFS(Selections!$K$6:$K$76,"LOST")+COUNTIFS(Selections!$K$6:$K$76,"HALF_LOST"))+COUNTIFS(Selections!$K$6:$K$76,"REFUNDED"))</f>
        <v>59</v>
      </c>
      <c r="E6" s="19">
        <f>(COUNTIFS(Selections!$K$6:$K$76,"WON")+COUNTIFS(Selections!$K$6:$K$76,"HALF_WON"))</f>
        <v>45</v>
      </c>
      <c r="F6" s="19">
        <f>(COUNTIFS(Selections!$K$6:$K$76,"LOST")+COUNTIFS(Selections!$K$6:$K$76,"HALF_LOST"))</f>
        <v>14</v>
      </c>
      <c r="G6" s="19">
        <f>COUNTA(Selections!$A$6:$A$76)-((COUNTIFS(Selections!$K$6:$K$76,"WON")+COUNTIFS(Selections!$K$6:$K$76,"HALF_WON"))+(COUNTIFS(Selections!$K$6:$K$76,"LOST")+COUNTIFS(Selections!$K$6:$K$76,"HALF_LOST"))+COUNTIFS(Selections!$K$6:$K$76,"REFUNDED"))</f>
        <v>12</v>
      </c>
      <c r="H6" s="20">
        <f>IF(((COUNTIFS(Selections!$K$6:$K$76,"WON")+COUNTIFS(Selections!$K$6:$K$76,"HALF_WON"))+(COUNTIFS(Selections!$K$6:$K$76,"LOST")+COUNTIFS(Selections!$K$6:$K$76,"HALF_LOST"))+COUNTIFS(Selections!$K$6:$K$76,"REFUNDED"))=0,"n.a.",(COUNTIFS(Selections!$K$6:$K$76,"WON")+COUNTIFS(Selections!$K$6:$K$76,"HALF_WON"))/((COUNTIFS(Selections!$K$6:$K$76,"WON")+COUNTIFS(Selections!$K$6:$K$76,"HALF_WON"))+(COUNTIFS(Selections!$K$6:$K$76,"LOST")+COUNTIFS(Selections!$K$6:$K$76,"HALF_LOST"))+COUNTIFS(Selections!$K$6:$K$76,"REFUNDED")))</f>
        <v>0.7627118644067796</v>
      </c>
      <c r="I6" s="22">
        <f>SUM(Selections!$M$6:$M$76)</f>
        <v>59</v>
      </c>
      <c r="J6" s="22">
        <f>SUM(Selections!$N$6:$N$76)</f>
        <v>3.349999999999999</v>
      </c>
      <c r="K6" s="20">
        <f>IF(SUM(Selections!$M$6:$M$76)=0,"n.a.",SUM(Selections!$N$6:$N$76)/SUM(Selections!$M$6:$M$76))</f>
        <v>0.05677966101694914</v>
      </c>
      <c r="L6" s="21">
        <f>IF(SUM(Selections!$T$6:$T$76)=0,"n.a.",SUM(Selections!$O$6:$O$76)/SUM(Selections!$T$6:$T$76))</f>
        <v>0.15452821676612882</v>
      </c>
      <c r="M6" s="20">
        <f>IF(SUM(Selections!$T$6:$T$76)=0,"n.a.",SUM(Selections!$S$6:$S$76)/SUM(Selections!$T$6:$T$76))</f>
        <v>0.7469193764575441</v>
      </c>
      <c r="N6" s="20">
        <f>IF(SUM(Selections!$T$6:$T$76)=0,"n.a.",(SUMIFS(Selections!$L$6:$L$76,Selections!$T$6:$T$76,1))/SUM(Selections!$T$6:$T$76))</f>
        <v>0.7627118644067796</v>
      </c>
      <c r="O6" s="20">
        <f>IF(SUM(Selections!$T$6:$T$76)=0,"n.a.",(SUM(Selections!$S$6:$S$76)-(SUMIFS(Selections!$L$6:$L$76,Selections!$T$6:$T$76,1)))/SUM(Selections!$T$6:$T$76))</f>
        <v>-0.01579248794923549</v>
      </c>
      <c r="P6" s="19">
        <f>SUM(Selections!$T$6:$T$76)</f>
        <v>59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COUNTIFS(Selections!$F$6:$F$76,"STRICT")</f>
        <v>42</v>
      </c>
      <c r="D7" s="19">
        <f>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32</v>
      </c>
      <c r="E7" s="19">
        <f>(COUNTIFS(Selections!$F$6:$F$76,"STRICT",Selections!$K$6:$K$76,"WON")+COUNTIFS(Selections!$F$6:$F$76,"STRICT",Selections!$K$6:$K$76,"HALF_WON"))</f>
        <v>27</v>
      </c>
      <c r="F7" s="19">
        <f>(COUNTIFS(Selections!$F$6:$F$76,"STRICT",Selections!$K$6:$K$76,"LOST")+COUNTIFS(Selections!$F$6:$F$76,"STRICT",Selections!$K$6:$K$76,"HALF_LOST"))</f>
        <v>5</v>
      </c>
      <c r="G7" s="19">
        <f>COUNTIFS(Selections!$F$6:$F$76,"STRICT")-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10</v>
      </c>
      <c r="H7" s="20">
        <f>IF(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=0,"n.a.",(COUNTIFS(Selections!$F$6:$F$76,"STRICT",Selections!$K$6:$K$76,"WON")+COUNTIFS(Selections!$F$6:$F$76,"STRICT",Selections!$K$6:$K$76,"HALF_WON"))/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)</f>
        <v>0.84375</v>
      </c>
      <c r="I7" s="22">
        <f>SUMIFS(Selections!$M$6:$M$76,Selections!$F$6:$F$76,"STRICT")</f>
        <v>32</v>
      </c>
      <c r="J7" s="22">
        <f>SUMIFS(Selections!$N$6:$N$76,Selections!$F$6:$F$76,"STRICT")</f>
        <v>6.239999999999999</v>
      </c>
      <c r="K7" s="20">
        <f>IF(SUMIFS(Selections!$M$6:$M$76,Selections!$F$6:$F$76,"STRICT")=0,"n.a.",SUMIFS(Selections!$N$6:$N$76,Selections!$F$6:$F$76,"STRICT")/SUMIFS(Selections!$M$6:$M$76,Selections!$F$6:$F$76,"STRICT"))</f>
        <v>0.19499999999999998</v>
      </c>
      <c r="L7" s="21">
        <f>IF(SUMIFS(Selections!$T$6:$T$76,Selections!$F$6:$F$76,"STRICT")=0,"n.a.",SUMIFS(Selections!$O$6:$O$76,Selections!$F$6:$F$76,"STRICT")/SUMIFS(Selections!$T$6:$T$76,Selections!$F$6:$F$76,"STRICT"))</f>
        <v>0.10788152778297483</v>
      </c>
      <c r="M7" s="20">
        <f>IF(SUMIFS(Selections!$T$6:$T$76,Selections!$F$6:$F$76,"STRICT")=0,"n.a.",SUMIFS(Selections!$S$6:$S$76,Selections!$F$6:$F$76,"STRICT")/SUMIFS(Selections!$T$6:$T$76,Selections!$F$6:$F$76,"STRICT"))</f>
        <v>0.7360113274239396</v>
      </c>
      <c r="N7" s="20">
        <f>IF(SUMIFS(Selections!$T$6:$T$76,Selections!$F$6:$F$76,"STRICT")=0,"n.a.",(SUMIFS(Selections!$L$6:$L$76,Selections!$F$6:$F$76,"STRICT",Selections!$T$6:$T$76,1))/SUMIFS(Selections!$T$6:$T$76,Selections!$F$6:$F$76,"STRICT"))</f>
        <v>0.84375</v>
      </c>
      <c r="O7" s="20">
        <f>IF(SUMIFS(Selections!$T$6:$T$76,Selections!$F$6:$F$76,"STRICT")=0,"n.a.",(SUMIFS(Selections!$S$6:$S$76,Selections!$F$6:$F$76,"STRICT")-(SUMIFS(Selections!$L$6:$L$76,Selections!$F$6:$F$76,"STRICT",Selections!$T$6:$T$76,1)))/SUMIFS(Selections!$T$6:$T$76,Selections!$F$6:$F$76,"STRICT"))</f>
        <v>-0.1077386725760604</v>
      </c>
      <c r="P7" s="19">
        <f>SUMIFS(Selections!$T$6:$T$76,Selections!$F$6:$F$76,"STRICT")</f>
        <v>32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COUNTIFS(Selections!$F$6:$F$76,"PROVISIONAL")</f>
        <v>29</v>
      </c>
      <c r="D8" s="19">
        <f>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27</v>
      </c>
      <c r="E8" s="19">
        <f>(COUNTIFS(Selections!$F$6:$F$76,"PROVISIONAL",Selections!$K$6:$K$76,"WON")+COUNTIFS(Selections!$F$6:$F$76,"PROVISIONAL",Selections!$K$6:$K$76,"HALF_WON"))</f>
        <v>18</v>
      </c>
      <c r="F8" s="19">
        <f>(COUNTIFS(Selections!$F$6:$F$76,"PROVISIONAL",Selections!$K$6:$K$76,"LOST")+COUNTIFS(Selections!$F$6:$F$76,"PROVISIONAL",Selections!$K$6:$K$76,"HALF_LOST"))</f>
        <v>9</v>
      </c>
      <c r="G8" s="19">
        <f>COUNTIFS(Selections!$F$6:$F$76,"PROVISIONAL")-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</v>
      </c>
      <c r="H8" s="20">
        <f>IF(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=0,"n.a.",(COUNTIFS(Selections!$F$6:$F$76,"PROVISIONAL",Selections!$K$6:$K$76,"WON")+COUNTIFS(Selections!$F$6:$F$76,"PROVISIONAL",Selections!$K$6:$K$76,"HALF_WON"))/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)</f>
        <v>0.6666666666666666</v>
      </c>
      <c r="I8" s="22">
        <f>SUMIFS(Selections!$M$6:$M$76,Selections!$F$6:$F$76,"PROVISIONAL")</f>
        <v>27</v>
      </c>
      <c r="J8" s="22">
        <f>SUMIFS(Selections!$N$6:$N$76,Selections!$F$6:$F$76,"PROVISIONAL")</f>
        <v>-2.8900000000000006</v>
      </c>
      <c r="K8" s="20">
        <f>IF(SUMIFS(Selections!$M$6:$M$76,Selections!$F$6:$F$76,"PROVISIONAL")=0,"n.a.",SUMIFS(Selections!$N$6:$N$76,Selections!$F$6:$F$76,"PROVISIONAL")/SUMIFS(Selections!$M$6:$M$76,Selections!$F$6:$F$76,"PROVISIONAL"))</f>
        <v>-0.10703703703703706</v>
      </c>
      <c r="L8" s="21">
        <f>IF(SUMIFS(Selections!$T$6:$T$76,Selections!$F$6:$F$76,"PROVISIONAL")=0,"n.a.",SUMIFS(Selections!$O$6:$O$76,Selections!$F$6:$F$76,"PROVISIONAL")/SUMIFS(Selections!$T$6:$T$76,Selections!$F$6:$F$76,"PROVISIONAL"))</f>
        <v>0.20981318148690395</v>
      </c>
      <c r="M8" s="20">
        <f>IF(SUMIFS(Selections!$T$6:$T$76,Selections!$F$6:$F$76,"PROVISIONAL")=0,"n.a.",SUMIFS(Selections!$S$6:$S$76,Selections!$F$6:$F$76,"PROVISIONAL")/SUMIFS(Selections!$T$6:$T$76,Selections!$F$6:$F$76,"PROVISIONAL"))</f>
        <v>0.7598474345714459</v>
      </c>
      <c r="N8" s="20">
        <f>IF(SUMIFS(Selections!$T$6:$T$76,Selections!$F$6:$F$76,"PROVISIONAL")=0,"n.a.",(SUMIFS(Selections!$L$6:$L$76,Selections!$F$6:$F$76,"PROVISIONAL",Selections!$T$6:$T$76,1))/SUMIFS(Selections!$T$6:$T$76,Selections!$F$6:$F$76,"PROVISIONAL"))</f>
        <v>0.6666666666666666</v>
      </c>
      <c r="O8" s="20">
        <f>IF(SUMIFS(Selections!$T$6:$T$76,Selections!$F$6:$F$76,"PROVISIONAL")=0,"n.a.",(SUMIFS(Selections!$S$6:$S$76,Selections!$F$6:$F$76,"PROVISIONAL")-(SUMIFS(Selections!$L$6:$L$76,Selections!$F$6:$F$76,"PROVISIONAL",Selections!$T$6:$T$76,1)))/SUMIFS(Selections!$T$6:$T$76,Selections!$F$6:$F$76,"PROVISIONAL"))</f>
        <v>0.09318076790477925</v>
      </c>
      <c r="P8" s="19">
        <f>SUMIFS(Selections!$T$6:$T$76,Selections!$F$6:$F$76,"PROVISIONAL")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COUNTIFS(Selections!$C$6:$C$76,"Bundesliga")</f>
        <v>8</v>
      </c>
      <c r="D9" s="19">
        <f>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8</v>
      </c>
      <c r="E9" s="19">
        <f>(COUNTIFS(Selections!$C$6:$C$76,"Bundesliga",Selections!$K$6:$K$76,"WON")+COUNTIFS(Selections!$C$6:$C$76,"Bundesliga",Selections!$K$6:$K$76,"HALF_WON"))</f>
        <v>7</v>
      </c>
      <c r="F9" s="19">
        <f>(COUNTIFS(Selections!$C$6:$C$76,"Bundesliga",Selections!$K$6:$K$76,"LOST")+COUNTIFS(Selections!$C$6:$C$76,"Bundesliga",Selections!$K$6:$K$76,"HALF_LOST"))</f>
        <v>1</v>
      </c>
      <c r="G9" s="19">
        <f>COUNTIFS(Selections!$C$6:$C$76,"Bundesliga")-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0</v>
      </c>
      <c r="H9" s="20">
        <f>IF(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=0,"n.a.",(COUNTIFS(Selections!$C$6:$C$76,"Bundesliga",Selections!$K$6:$K$76,"WON")+COUNTIFS(Selections!$C$6:$C$76,"Bundesliga",Selections!$K$6:$K$76,"HALF_WON"))/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)</f>
        <v>0.875</v>
      </c>
      <c r="I9" s="22">
        <f>SUMIFS(Selections!$M$6:$M$76,Selections!$C$6:$C$76,"Bundesliga")</f>
        <v>8</v>
      </c>
      <c r="J9" s="22">
        <f>SUMIFS(Selections!$N$6:$N$76,Selections!$C$6:$C$76,"Bundesliga")</f>
        <v>0.8599999999999999</v>
      </c>
      <c r="K9" s="20">
        <f>IF(SUMIFS(Selections!$M$6:$M$76,Selections!$C$6:$C$76,"Bundesliga")=0,"n.a.",SUMIFS(Selections!$N$6:$N$76,Selections!$C$6:$C$76,"Bundesliga")/SUMIFS(Selections!$M$6:$M$76,Selections!$C$6:$C$76,"Bundesliga"))</f>
        <v>0.10749999999999998</v>
      </c>
      <c r="L9" s="21">
        <f>IF(SUMIFS(Selections!$T$6:$T$76,Selections!$C$6:$C$76,"Bundesliga")=0,"n.a.",SUMIFS(Selections!$O$6:$O$76,Selections!$C$6:$C$76,"Bundesliga")/SUMIFS(Selections!$T$6:$T$76,Selections!$C$6:$C$76,"Bundesliga"))</f>
        <v>0.05476987785554626</v>
      </c>
      <c r="M9" s="20">
        <f>IF(SUMIFS(Selections!$T$6:$T$76,Selections!$C$6:$C$76,"Bundesliga")=0,"n.a.",SUMIFS(Selections!$S$6:$S$76,Selections!$C$6:$C$76,"Bundesliga")/SUMIFS(Selections!$T$6:$T$76,Selections!$C$6:$C$76,"Bundesliga"))</f>
        <v>0.7834511017749206</v>
      </c>
      <c r="N9" s="20">
        <f>IF(SUMIFS(Selections!$T$6:$T$76,Selections!$C$6:$C$76,"Bundesliga")=0,"n.a.",(SUMIFS(Selections!$L$6:$L$76,Selections!$C$6:$C$76,"Bundesliga",Selections!$T$6:$T$76,1))/SUMIFS(Selections!$T$6:$T$76,Selections!$C$6:$C$76,"Bundesliga"))</f>
        <v>0.875</v>
      </c>
      <c r="O9" s="20">
        <f>IF(SUMIFS(Selections!$T$6:$T$76,Selections!$C$6:$C$76,"Bundesliga")=0,"n.a.",(SUMIFS(Selections!$S$6:$S$76,Selections!$C$6:$C$76,"Bundesliga")-(SUMIFS(Selections!$L$6:$L$76,Selections!$C$6:$C$76,"Bundesliga",Selections!$T$6:$T$76,1)))/SUMIFS(Selections!$T$6:$T$76,Selections!$C$6:$C$76,"Bundesliga"))</f>
        <v>-0.09154889822507939</v>
      </c>
      <c r="P9" s="19">
        <f>SUMIFS(Selections!$T$6:$T$76,Selections!$C$6:$C$76,"Bundesliga")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COUNTIFS(Selections!$C$6:$C$76,"Eredivisie")</f>
        <v>3</v>
      </c>
      <c r="D10" s="19">
        <f>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2</v>
      </c>
      <c r="E10" s="19">
        <f>(COUNTIFS(Selections!$C$6:$C$76,"Eredivisie",Selections!$K$6:$K$76,"WON")+COUNTIFS(Selections!$C$6:$C$76,"Eredivisie",Selections!$K$6:$K$76,"HALF_WON"))</f>
        <v>1</v>
      </c>
      <c r="F10" s="19">
        <f>(COUNTIFS(Selections!$C$6:$C$76,"Eredivisie",Selections!$K$6:$K$76,"LOST")+COUNTIFS(Selections!$C$6:$C$76,"Eredivisie",Selections!$K$6:$K$76,"HALF_LOST"))</f>
        <v>1</v>
      </c>
      <c r="G10" s="19">
        <f>COUNTIFS(Selections!$C$6:$C$76,"Eredivisie")-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1</v>
      </c>
      <c r="H10" s="20">
        <f>IF(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=0,"n.a.",(COUNTIFS(Selections!$C$6:$C$76,"Eredivisie",Selections!$K$6:$K$76,"WON")+COUNTIFS(Selections!$C$6:$C$76,"Eredivisie",Selections!$K$6:$K$76,"HALF_WON"))/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)</f>
        <v>0.5</v>
      </c>
      <c r="I10" s="22">
        <f>SUMIFS(Selections!$M$6:$M$76,Selections!$C$6:$C$76,"Eredivisie")</f>
        <v>2</v>
      </c>
      <c r="J10" s="22">
        <f>SUMIFS(Selections!$N$6:$N$76,Selections!$C$6:$C$76,"Eredivisie")</f>
        <v>-0.65</v>
      </c>
      <c r="K10" s="20">
        <f>IF(SUMIFS(Selections!$M$6:$M$76,Selections!$C$6:$C$76,"Eredivisie")=0,"n.a.",SUMIFS(Selections!$N$6:$N$76,Selections!$C$6:$C$76,"Eredivisie")/SUMIFS(Selections!$M$6:$M$76,Selections!$C$6:$C$76,"Eredivisie"))</f>
        <v>-0.325</v>
      </c>
      <c r="L10" s="21">
        <f>IF(SUMIFS(Selections!$T$6:$T$76,Selections!$C$6:$C$76,"Eredivisie")=0,"n.a.",SUMIFS(Selections!$O$6:$O$76,Selections!$C$6:$C$76,"Eredivisie")/SUMIFS(Selections!$T$6:$T$76,Selections!$C$6:$C$76,"Eredivisie"))</f>
        <v>0.14257965392608346</v>
      </c>
      <c r="M10" s="20">
        <f>IF(SUMIFS(Selections!$T$6:$T$76,Selections!$C$6:$C$76,"Eredivisie")=0,"n.a.",SUMIFS(Selections!$S$6:$S$76,Selections!$C$6:$C$76,"Eredivisie")/SUMIFS(Selections!$T$6:$T$76,Selections!$C$6:$C$76,"Eredivisie"))</f>
        <v>0.6505937799294621</v>
      </c>
      <c r="N10" s="20">
        <f>IF(SUMIFS(Selections!$T$6:$T$76,Selections!$C$6:$C$76,"Eredivisie")=0,"n.a.",(SUMIFS(Selections!$L$6:$L$76,Selections!$C$6:$C$76,"Eredivisie",Selections!$T$6:$T$76,1))/SUMIFS(Selections!$T$6:$T$76,Selections!$C$6:$C$76,"Eredivisie"))</f>
        <v>0.5</v>
      </c>
      <c r="O10" s="20">
        <f>IF(SUMIFS(Selections!$T$6:$T$76,Selections!$C$6:$C$76,"Eredivisie")=0,"n.a.",(SUMIFS(Selections!$S$6:$S$76,Selections!$C$6:$C$76,"Eredivisie")-(SUMIFS(Selections!$L$6:$L$76,Selections!$C$6:$C$76,"Eredivisie",Selections!$T$6:$T$76,1)))/SUMIFS(Selections!$T$6:$T$76,Selections!$C$6:$C$76,"Eredivisie"))</f>
        <v>0.1505937799294621</v>
      </c>
      <c r="P10" s="19">
        <f>SUMIFS(Selections!$T$6:$T$76,Selections!$C$6:$C$76,"Eredivisie")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COUNTIFS(Selections!$C$6:$C$76,"La Liga")</f>
        <v>13</v>
      </c>
      <c r="D11" s="19">
        <f>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10</v>
      </c>
      <c r="E11" s="19">
        <f>(COUNTIFS(Selections!$C$6:$C$76,"La Liga",Selections!$K$6:$K$76,"WON")+COUNTIFS(Selections!$C$6:$C$76,"La Liga",Selections!$K$6:$K$76,"HALF_WON"))</f>
        <v>10</v>
      </c>
      <c r="F11" s="19">
        <f>(COUNTIFS(Selections!$C$6:$C$76,"La Liga",Selections!$K$6:$K$76,"LOST")+COUNTIFS(Selections!$C$6:$C$76,"La Liga",Selections!$K$6:$K$76,"HALF_LOST"))</f>
        <v>0</v>
      </c>
      <c r="G11" s="19">
        <f>COUNTIFS(Selections!$C$6:$C$76,"La Liga")-((COUNTIFS(Selections!$C$6:$C$76,"La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3</v>
      </c>
      <c r="H11" s="20">
        <f>IF(((COUNTIFS(Selections!$C$6:$C$76,"La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Liga",Selections!$K$6:$K$76,"REFUNDED"))=0,"n.a.",(COUNTIFS(Selections!$C$6:$C$76,"La Liga",Selections!$K$6:$K$76,"WON")+COUNTIFS(Selections!$C$6:$C$76,"La Liga",Selections!$K$6:$K$76,"HALF_WON"))/((COUNTIFS(Selections!$C$6:$C$76,"La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Liga",Selections!$K$6:$K$76,"REFUNDED")))</f>
        <v>1.0</v>
      </c>
      <c r="I11" s="22">
        <f>SUMIFS(Selections!$M$6:$M$76,Selections!$C$6:$C$76,"La Liga")</f>
        <v>10</v>
      </c>
      <c r="J11" s="22">
        <f>SUMIFS(Selections!$N$6:$N$76,Selections!$C$6:$C$76,"La Liga")</f>
        <v>3.3499999999999996</v>
      </c>
      <c r="K11" s="20">
        <f>IF(SUMIFS(Selections!$M$6:$M$76,Selections!$C$6:$C$76,"La Liga")=0,"n.a.",SUMIFS(Selections!$N$6:$N$76,Selections!$C$6:$C$76,"La Liga")/SUMIFS(Selections!$M$6:$M$76,Selections!$C$6:$C$76,"La Liga"))</f>
        <v>0.33499999999999996</v>
      </c>
      <c r="L11" s="21">
        <f>IF(SUMIFS(Selections!$T$6:$T$76,Selections!$C$6:$C$76,"La Liga")=0,"n.a.",SUMIFS(Selections!$O$6:$O$76,Selections!$C$6:$C$76,"La Liga")/SUMIFS(Selections!$T$6:$T$76,Selections!$C$6:$C$76,"La Liga"))</f>
        <v>0.04486184778213071</v>
      </c>
      <c r="M11" s="20">
        <f>IF(SUMIFS(Selections!$T$6:$T$76,Selections!$C$6:$C$76,"La Liga")=0,"n.a.",SUMIFS(Selections!$S$6:$S$76,Selections!$C$6:$C$76,"La Liga")/SUMIFS(Selections!$T$6:$T$76,Selections!$C$6:$C$76,"La Liga"))</f>
        <v>0.8008348272747599</v>
      </c>
      <c r="N11" s="20">
        <f>IF(SUMIFS(Selections!$T$6:$T$76,Selections!$C$6:$C$76,"La Liga")=0,"n.a.",(SUMIFS(Selections!$L$6:$L$76,Selections!$C$6:$C$76,"La Liga",Selections!$T$6:$T$76,1))/SUMIFS(Selections!$T$6:$T$76,Selections!$C$6:$C$76,"La Liga"))</f>
        <v>1.0</v>
      </c>
      <c r="O11" s="20">
        <f>IF(SUMIFS(Selections!$T$6:$T$76,Selections!$C$6:$C$76,"La Liga")=0,"n.a.",(SUMIFS(Selections!$S$6:$S$76,Selections!$C$6:$C$76,"La Liga")-(SUMIFS(Selections!$L$6:$L$76,Selections!$C$6:$C$76,"La Liga",Selections!$T$6:$T$76,1)))/SUMIFS(Selections!$T$6:$T$76,Selections!$C$6:$C$76,"La Liga"))</f>
        <v>-0.19916517272524015</v>
      </c>
      <c r="P11" s="19">
        <f>SUMIFS(Selections!$T$6:$T$76,Selections!$C$6:$C$76,"La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COUNTIFS(Selections!$C$6:$C$76,"Ligue 1")</f>
        <v>7</v>
      </c>
      <c r="D12" s="19">
        <f>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5</v>
      </c>
      <c r="E12" s="19">
        <f>(COUNTIFS(Selections!$C$6:$C$76,"Ligue 1",Selections!$K$6:$K$76,"WON")+COUNTIFS(Selections!$C$6:$C$76,"Ligue 1",Selections!$K$6:$K$76,"HALF_WON"))</f>
        <v>3</v>
      </c>
      <c r="F12" s="19">
        <f>(COUNTIFS(Selections!$C$6:$C$76,"Ligue 1",Selections!$K$6:$K$76,"LOST")+COUNTIFS(Selections!$C$6:$C$76,"Ligue 1",Selections!$K$6:$K$76,"HALF_LOST"))</f>
        <v>2</v>
      </c>
      <c r="G12" s="19">
        <f>COUNTIFS(Selections!$C$6:$C$76,"Ligue 1")-((COUNTIFS(Selections!$C$6:$C$76,"Ligue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2</v>
      </c>
      <c r="H12" s="20">
        <f>IF(((COUNTIFS(Selections!$C$6:$C$76,"Ligue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1",Selections!$K$6:$K$76,"REFUNDED"))=0,"n.a.",(COUNTIFS(Selections!$C$6:$C$76,"Ligue 1",Selections!$K$6:$K$76,"WON")+COUNTIFS(Selections!$C$6:$C$76,"Ligue 1",Selections!$K$6:$K$76,"HALF_WON"))/((COUNTIFS(Selections!$C$6:$C$76,"Ligue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1",Selections!$K$6:$K$76,"REFUNDED")))</f>
        <v>0.6</v>
      </c>
      <c r="I12" s="22">
        <f>SUMIFS(Selections!$M$6:$M$76,Selections!$C$6:$C$76,"Ligue 1")</f>
        <v>5</v>
      </c>
      <c r="J12" s="22">
        <f>SUMIFS(Selections!$N$6:$N$76,Selections!$C$6:$C$76,"Ligue 1")</f>
        <v>-0.9200000000000002</v>
      </c>
      <c r="K12" s="20">
        <f>IF(SUMIFS(Selections!$M$6:$M$76,Selections!$C$6:$C$76,"Ligue 1")=0,"n.a.",SUMIFS(Selections!$N$6:$N$76,Selections!$C$6:$C$76,"Ligue 1")/SUMIFS(Selections!$M$6:$M$76,Selections!$C$6:$C$76,"Ligue 1"))</f>
        <v>-0.18400000000000002</v>
      </c>
      <c r="L12" s="21">
        <f>IF(SUMIFS(Selections!$T$6:$T$76,Selections!$C$6:$C$76,"Ligue 1")=0,"n.a.",SUMIFS(Selections!$O$6:$O$76,Selections!$C$6:$C$76,"Ligue 1")/SUMIFS(Selections!$T$6:$T$76,Selections!$C$6:$C$76,"Ligue 1"))</f>
        <v>0.24280020699055926</v>
      </c>
      <c r="M12" s="20">
        <f>IF(SUMIFS(Selections!$T$6:$T$76,Selections!$C$6:$C$76,"Ligue 1")=0,"n.a.",SUMIFS(Selections!$S$6:$S$76,Selections!$C$6:$C$76,"Ligue 1")/SUMIFS(Selections!$T$6:$T$76,Selections!$C$6:$C$76,"Ligue 1"))</f>
        <v>0.7165429404243758</v>
      </c>
      <c r="N12" s="20">
        <f>IF(SUMIFS(Selections!$T$6:$T$76,Selections!$C$6:$C$76,"Ligue 1")=0,"n.a.",(SUMIFS(Selections!$L$6:$L$76,Selections!$C$6:$C$76,"Ligue 1",Selections!$T$6:$T$76,1))/SUMIFS(Selections!$T$6:$T$76,Selections!$C$6:$C$76,"Ligue 1"))</f>
        <v>0.6</v>
      </c>
      <c r="O12" s="20">
        <f>IF(SUMIFS(Selections!$T$6:$T$76,Selections!$C$6:$C$76,"Ligue 1")=0,"n.a.",(SUMIFS(Selections!$S$6:$S$76,Selections!$C$6:$C$76,"Ligue 1")-(SUMIFS(Selections!$L$6:$L$76,Selections!$C$6:$C$76,"Ligue 1",Selections!$T$6:$T$76,1)))/SUMIFS(Selections!$T$6:$T$76,Selections!$C$6:$C$76,"Ligue 1"))</f>
        <v>0.11654294042437585</v>
      </c>
      <c r="P12" s="19">
        <f>SUMIFS(Selections!$T$6:$T$76,Selections!$C$6:$C$76,"Ligue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COUNTIFS(Selections!$C$6:$C$76,"Premier League")</f>
        <v>10</v>
      </c>
      <c r="D13" s="19">
        <f>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10</v>
      </c>
      <c r="E13" s="19">
        <f>(COUNTIFS(Selections!$C$6:$C$76,"Premier League",Selections!$K$6:$K$76,"WON")+COUNTIFS(Selections!$C$6:$C$76,"Premier League",Selections!$K$6:$K$76,"HALF_WON"))</f>
        <v>6</v>
      </c>
      <c r="F13" s="19">
        <f>(COUNTIFS(Selections!$C$6:$C$76,"Premier League",Selections!$K$6:$K$76,"LOST")+COUNTIFS(Selections!$C$6:$C$76,"Premier League",Selections!$K$6:$K$76,"HALF_LOST"))</f>
        <v>4</v>
      </c>
      <c r="G13" s="19">
        <f>COUNTIFS(Selections!$C$6:$C$76,"Premier League")-((COUNTIFS(Selections!$C$6:$C$76,"Premier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0</v>
      </c>
      <c r="H13" s="20">
        <f>IF(((COUNTIFS(Selections!$C$6:$C$76,"Premier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League",Selections!$K$6:$K$76,"REFUNDED"))=0,"n.a.",(COUNTIFS(Selections!$C$6:$C$76,"Premier League",Selections!$K$6:$K$76,"WON")+COUNTIFS(Selections!$C$6:$C$76,"Premier League",Selections!$K$6:$K$76,"HALF_WON"))/((COUNTIFS(Selections!$C$6:$C$76,"Premier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League",Selections!$K$6:$K$76,"REFUNDED")))</f>
        <v>0.6</v>
      </c>
      <c r="I13" s="22">
        <f>SUMIFS(Selections!$M$6:$M$76,Selections!$C$6:$C$76,"Premier League")</f>
        <v>10</v>
      </c>
      <c r="J13" s="22">
        <f>SUMIFS(Selections!$N$6:$N$76,Selections!$C$6:$C$76,"Premier League")</f>
        <v>-0.91</v>
      </c>
      <c r="K13" s="20">
        <f>IF(SUMIFS(Selections!$M$6:$M$76,Selections!$C$6:$C$76,"Premier League")=0,"n.a.",SUMIFS(Selections!$N$6:$N$76,Selections!$C$6:$C$76,"Premier League")/SUMIFS(Selections!$M$6:$M$76,Selections!$C$6:$C$76,"Premier League"))</f>
        <v>-0.091</v>
      </c>
      <c r="L13" s="21">
        <f>IF(SUMIFS(Selections!$T$6:$T$76,Selections!$C$6:$C$76,"Premier League")=0,"n.a.",SUMIFS(Selections!$O$6:$O$76,Selections!$C$6:$C$76,"Premier League")/SUMIFS(Selections!$T$6:$T$76,Selections!$C$6:$C$76,"Premier League"))</f>
        <v>0.2710779075766395</v>
      </c>
      <c r="M13" s="20">
        <f>IF(SUMIFS(Selections!$T$6:$T$76,Selections!$C$6:$C$76,"Premier League")=0,"n.a.",SUMIFS(Selections!$S$6:$S$76,Selections!$C$6:$C$76,"Premier League")/SUMIFS(Selections!$T$6:$T$76,Selections!$C$6:$C$76,"Premier League"))</f>
        <v>0.73688098969651</v>
      </c>
      <c r="N13" s="20">
        <f>IF(SUMIFS(Selections!$T$6:$T$76,Selections!$C$6:$C$76,"Premier League")=0,"n.a.",(SUMIFS(Selections!$L$6:$L$76,Selections!$C$6:$C$76,"Premier League",Selections!$T$6:$T$76,1))/SUMIFS(Selections!$T$6:$T$76,Selections!$C$6:$C$76,"Premier League"))</f>
        <v>0.6</v>
      </c>
      <c r="O13" s="20">
        <f>IF(SUMIFS(Selections!$T$6:$T$76,Selections!$C$6:$C$76,"Premier League")=0,"n.a.",(SUMIFS(Selections!$S$6:$S$76,Selections!$C$6:$C$76,"Premier League")-(SUMIFS(Selections!$L$6:$L$76,Selections!$C$6:$C$76,"Premier League",Selections!$T$6:$T$76,1)))/SUMIFS(Selections!$T$6:$T$76,Selections!$C$6:$C$76,"Premier League"))</f>
        <v>0.13688098969650997</v>
      </c>
      <c r="P13" s="19">
        <f>SUMIFS(Selections!$T$6:$T$76,Selections!$C$6:$C$76,"Premier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COUNTIFS(Selections!$C$6:$C$76,"Primeira Liga")</f>
        <v>3</v>
      </c>
      <c r="D14" s="19">
        <f>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1</v>
      </c>
      <c r="E14" s="19">
        <f>(COUNTIFS(Selections!$C$6:$C$76,"Primeira Liga",Selections!$K$6:$K$76,"WON")+COUNTIFS(Selections!$C$6:$C$76,"Primeira Liga",Selections!$K$6:$K$76,"HALF_WON"))</f>
        <v>1</v>
      </c>
      <c r="F14" s="19">
        <f>(COUNTIFS(Selections!$C$6:$C$76,"Primeira Liga",Selections!$K$6:$K$76,"LOST")+COUNTIFS(Selections!$C$6:$C$76,"Primeira Liga",Selections!$K$6:$K$76,"HALF_LOST"))</f>
        <v>0</v>
      </c>
      <c r="G14" s="19">
        <f>COUNTIFS(Selections!$C$6:$C$76,"Primeira Liga")-((COUNTIFS(Selections!$C$6:$C$76,"Primeira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2</v>
      </c>
      <c r="H14" s="20">
        <f>IF(((COUNTIFS(Selections!$C$6:$C$76,"Primeira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Liga",Selections!$K$6:$K$76,"REFUNDED"))=0,"n.a.",(COUNTIFS(Selections!$C$6:$C$76,"Primeira Liga",Selections!$K$6:$K$76,"WON")+COUNTIFS(Selections!$C$6:$C$76,"Primeira Liga",Selections!$K$6:$K$76,"HALF_WON"))/((COUNTIFS(Selections!$C$6:$C$76,"Primeira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Liga",Selections!$K$6:$K$76,"REFUNDED")))</f>
        <v>1.0</v>
      </c>
      <c r="I14" s="22">
        <f>SUMIFS(Selections!$M$6:$M$76,Selections!$C$6:$C$76,"Primeira Liga")</f>
        <v>1</v>
      </c>
      <c r="J14" s="22">
        <f>SUMIFS(Selections!$N$6:$N$76,Selections!$C$6:$C$76,"Primeira Liga")</f>
        <v>1.0899999999999999</v>
      </c>
      <c r="K14" s="20">
        <f>IF(SUMIFS(Selections!$M$6:$M$76,Selections!$C$6:$C$76,"Primeira Liga")=0,"n.a.",SUMIFS(Selections!$N$6:$N$76,Selections!$C$6:$C$76,"Primeira Liga")/SUMIFS(Selections!$M$6:$M$76,Selections!$C$6:$C$76,"Primeira Liga"))</f>
        <v>1.0899999999999999</v>
      </c>
      <c r="L14" s="21">
        <f>IF(SUMIFS(Selections!$T$6:$T$76,Selections!$C$6:$C$76,"Primeira Liga")=0,"n.a.",SUMIFS(Selections!$O$6:$O$76,Selections!$C$6:$C$76,"Primeira Liga")/SUMIFS(Selections!$T$6:$T$76,Selections!$C$6:$C$76,"Primeira Liga"))</f>
        <v>0.3218146879483473</v>
      </c>
      <c r="M14" s="20">
        <f>IF(SUMIFS(Selections!$T$6:$T$76,Selections!$C$6:$C$76,"Primeira Liga")=0,"n.a.",SUMIFS(Selections!$S$6:$S$76,Selections!$C$6:$C$76,"Primeira Liga")/SUMIFS(Selections!$T$6:$T$76,Selections!$C$6:$C$76,"Primeira Liga"))</f>
        <v>0.4327128699253373</v>
      </c>
      <c r="N14" s="20">
        <f>IF(SUMIFS(Selections!$T$6:$T$76,Selections!$C$6:$C$76,"Primeira Liga")=0,"n.a.",(SUMIFS(Selections!$L$6:$L$76,Selections!$C$6:$C$76,"Primeira Liga",Selections!$T$6:$T$76,1))/SUMIFS(Selections!$T$6:$T$76,Selections!$C$6:$C$76,"Primeira Liga"))</f>
        <v>1.0</v>
      </c>
      <c r="O14" s="20">
        <f>IF(SUMIFS(Selections!$T$6:$T$76,Selections!$C$6:$C$76,"Primeira Liga")=0,"n.a.",(SUMIFS(Selections!$S$6:$S$76,Selections!$C$6:$C$76,"Primeira Liga")-(SUMIFS(Selections!$L$6:$L$76,Selections!$C$6:$C$76,"Primeira Liga",Selections!$T$6:$T$76,1)))/SUMIFS(Selections!$T$6:$T$76,Selections!$C$6:$C$76,"Primeira Liga"))</f>
        <v>-0.5672871300746627</v>
      </c>
      <c r="P14" s="19">
        <f>SUMIFS(Selections!$T$6:$T$76,Selections!$C$6:$C$76,"Primeira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COUNTIFS(Selections!$C$6:$C$76,"Serie A")</f>
        <v>13</v>
      </c>
      <c r="D15" s="19">
        <f>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11</v>
      </c>
      <c r="E15" s="19">
        <f>(COUNTIFS(Selections!$C$6:$C$76,"Serie A",Selections!$K$6:$K$76,"WON")+COUNTIFS(Selections!$C$6:$C$76,"Serie A",Selections!$K$6:$K$76,"HALF_WON"))</f>
        <v>7</v>
      </c>
      <c r="F15" s="19">
        <f>(COUNTIFS(Selections!$C$6:$C$76,"Serie A",Selections!$K$6:$K$76,"LOST")+COUNTIFS(Selections!$C$6:$C$76,"Serie A",Selections!$K$6:$K$76,"HALF_LOST"))</f>
        <v>4</v>
      </c>
      <c r="G15" s="19">
        <f>COUNTIFS(Selections!$C$6:$C$76,"Serie A")-((COUNTIFS(Selections!$C$6:$C$76,"Serie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2</v>
      </c>
      <c r="H15" s="20">
        <f>IF(((COUNTIFS(Selections!$C$6:$C$76,"Serie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A",Selections!$K$6:$K$76,"REFUNDED"))=0,"n.a.",(COUNTIFS(Selections!$C$6:$C$76,"Serie A",Selections!$K$6:$K$76,"WON")+COUNTIFS(Selections!$C$6:$C$76,"Serie A",Selections!$K$6:$K$76,"HALF_WON"))/((COUNTIFS(Selections!$C$6:$C$76,"Serie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A",Selections!$K$6:$K$76,"REFUNDED")))</f>
        <v>0.6363636363636364</v>
      </c>
      <c r="I15" s="22">
        <f>SUMIFS(Selections!$M$6:$M$76,Selections!$C$6:$C$76,"Serie A")</f>
        <v>11</v>
      </c>
      <c r="J15" s="22">
        <f>SUMIFS(Selections!$N$6:$N$76,Selections!$C$6:$C$76,"Serie A")</f>
        <v>-1.48</v>
      </c>
      <c r="K15" s="20">
        <f>IF(SUMIFS(Selections!$M$6:$M$76,Selections!$C$6:$C$76,"Serie A")=0,"n.a.",SUMIFS(Selections!$N$6:$N$76,Selections!$C$6:$C$76,"Serie A")/SUMIFS(Selections!$M$6:$M$76,Selections!$C$6:$C$76,"Serie A"))</f>
        <v>-0.13454545454545455</v>
      </c>
      <c r="L15" s="21">
        <f>IF(SUMIFS(Selections!$T$6:$T$76,Selections!$C$6:$C$76,"Serie A")=0,"n.a.",SUMIFS(Selections!$O$6:$O$76,Selections!$C$6:$C$76,"Serie A")/SUMIFS(Selections!$T$6:$T$76,Selections!$C$6:$C$76,"Serie A"))</f>
        <v>0.1788072951869352</v>
      </c>
      <c r="M15" s="20">
        <f>IF(SUMIFS(Selections!$T$6:$T$76,Selections!$C$6:$C$76,"Serie A")=0,"n.a.",SUMIFS(Selections!$S$6:$S$76,Selections!$C$6:$C$76,"Serie A")/SUMIFS(Selections!$T$6:$T$76,Selections!$C$6:$C$76,"Serie A"))</f>
        <v>0.7120542223761966</v>
      </c>
      <c r="N15" s="20">
        <f>IF(SUMIFS(Selections!$T$6:$T$76,Selections!$C$6:$C$76,"Serie A")=0,"n.a.",(SUMIFS(Selections!$L$6:$L$76,Selections!$C$6:$C$76,"Serie A",Selections!$T$6:$T$76,1))/SUMIFS(Selections!$T$6:$T$76,Selections!$C$6:$C$76,"Serie A"))</f>
        <v>0.6363636363636364</v>
      </c>
      <c r="O15" s="20">
        <f>IF(SUMIFS(Selections!$T$6:$T$76,Selections!$C$6:$C$76,"Serie A")=0,"n.a.",(SUMIFS(Selections!$S$6:$S$76,Selections!$C$6:$C$76,"Serie A")-(SUMIFS(Selections!$L$6:$L$76,Selections!$C$6:$C$76,"Serie A",Selections!$T$6:$T$76,1)))/SUMIFS(Selections!$T$6:$T$76,Selections!$C$6:$C$76,"Serie A"))</f>
        <v>0.07569058601256029</v>
      </c>
      <c r="P15" s="19">
        <f>SUMIFS(Selections!$T$6:$T$76,Selections!$C$6:$C$76,"Serie A")</f>
        <v>11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(n=11).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COUNTIFS(Selections!$C$6:$C$76,"UEFA Champions League")</f>
        <v>14</v>
      </c>
      <c r="D16" s="19">
        <f>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12</v>
      </c>
      <c r="E16" s="19">
        <f>(COUNTIFS(Selections!$C$6:$C$76,"UEFA Champions League",Selections!$K$6:$K$76,"WON")+COUNTIFS(Selections!$C$6:$C$76,"UEFA Champions League",Selections!$K$6:$K$76,"HALF_WON"))</f>
        <v>10</v>
      </c>
      <c r="F16" s="19">
        <f>(COUNTIFS(Selections!$C$6:$C$76,"UEFA Champions League",Selections!$K$6:$K$76,"LOST")+COUNTIFS(Selections!$C$6:$C$76,"UEFA Champions League",Selections!$K$6:$K$76,"HALF_LOST"))</f>
        <v>2</v>
      </c>
      <c r="G16" s="19">
        <f>COUNTIFS(Selections!$C$6:$C$76,"UEFA Champions League")-((COUNTIFS(Selections!$C$6:$C$76,"UEFA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2</v>
      </c>
      <c r="H16" s="20">
        <f>IF(((COUNTIFS(Selections!$C$6:$C$76,"UEFA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League",Selections!$K$6:$K$76,"REFUNDED"))=0,"n.a.",(COUNTIFS(Selections!$C$6:$C$76,"UEFA Champions League",Selections!$K$6:$K$76,"WON")+COUNTIFS(Selections!$C$6:$C$76,"UEFA Champions League",Selections!$K$6:$K$76,"HALF_WON"))/((COUNTIFS(Selections!$C$6:$C$76,"UEFA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League",Selections!$K$6:$K$76,"REFUNDED")))</f>
        <v>0.8333333333333334</v>
      </c>
      <c r="I16" s="22">
        <f>SUMIFS(Selections!$M$6:$M$76,Selections!$C$6:$C$76,"UEFA Champions League")</f>
        <v>12</v>
      </c>
      <c r="J16" s="22">
        <f>SUMIFS(Selections!$N$6:$N$76,Selections!$C$6:$C$76,"UEFA Champions League")</f>
        <v>2.01</v>
      </c>
      <c r="K16" s="20">
        <f>IF(SUMIFS(Selections!$M$6:$M$76,Selections!$C$6:$C$76,"UEFA Champions League")=0,"n.a.",SUMIFS(Selections!$N$6:$N$76,Selections!$C$6:$C$76,"UEFA Champions League")/SUMIFS(Selections!$M$6:$M$76,Selections!$C$6:$C$76,"UEFA Champions League"))</f>
        <v>0.16749999999999998</v>
      </c>
      <c r="L16" s="21">
        <f>IF(SUMIFS(Selections!$T$6:$T$76,Selections!$C$6:$C$76,"UEFA Champions League")=0,"n.a.",SUMIFS(Selections!$O$6:$O$76,Selections!$C$6:$C$76,"UEFA Champions League")/SUMIFS(Selections!$T$6:$T$76,Selections!$C$6:$C$76,"UEFA Champions League"))</f>
        <v>0.14431274457999424</v>
      </c>
      <c r="M16" s="20">
        <f>IF(SUMIFS(Selections!$T$6:$T$76,Selections!$C$6:$C$76,"UEFA Champions League")=0,"n.a.",SUMIFS(Selections!$S$6:$S$76,Selections!$C$6:$C$76,"UEFA Champions League")/SUMIFS(Selections!$T$6:$T$76,Selections!$C$6:$C$76,"UEFA Champions League"))</f>
        <v>0.7728553874198951</v>
      </c>
      <c r="N16" s="20">
        <f>IF(SUMIFS(Selections!$T$6:$T$76,Selections!$C$6:$C$76,"UEFA Champions League")=0,"n.a.",(SUMIFS(Selections!$L$6:$L$76,Selections!$C$6:$C$76,"UEFA Champions League",Selections!$T$6:$T$76,1))/SUMIFS(Selections!$T$6:$T$76,Selections!$C$6:$C$76,"UEFA Champions League"))</f>
        <v>0.8333333333333334</v>
      </c>
      <c r="O16" s="20">
        <f>IF(SUMIFS(Selections!$T$6:$T$76,Selections!$C$6:$C$76,"UEFA Champions League")=0,"n.a.",(SUMIFS(Selections!$S$6:$S$76,Selections!$C$6:$C$76,"UEFA Champions League")-(SUMIFS(Selections!$L$6:$L$76,Selections!$C$6:$C$76,"UEFA Champions League",Selections!$T$6:$T$76,1)))/SUMIFS(Selections!$T$6:$T$76,Selections!$C$6:$C$76,"UEFA Champions League"))</f>
        <v>-0.06047794591343825</v>
      </c>
      <c r="P16" s="19">
        <f>SUMIFS(Selections!$T$6:$T$76,Selections!$C$6:$C$76,"UEFA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COUNTIFS(Selections!$E$6:$E$76,"Asian Handicap Away +1.00")</f>
        <v>1</v>
      </c>
      <c r="D17" s="19">
        <f>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1</v>
      </c>
      <c r="E17" s="19">
        <f>(COUNTIFS(Selections!$E$6:$E$76,"Asian Handicap Away +1.00",Selections!$K$6:$K$76,"WON")+COUNTIFS(Selections!$E$6:$E$76,"Asian Handicap Away +1.00",Selections!$K$6:$K$76,"HALF_WON"))</f>
        <v>1</v>
      </c>
      <c r="F17" s="19">
        <f>(COUNTIFS(Selections!$E$6:$E$76,"Asian Handicap Away +1.00",Selections!$K$6:$K$76,"LOST")+COUNTIFS(Selections!$E$6:$E$76,"Asian Handicap Away +1.00",Selections!$K$6:$K$76,"HALF_LOST"))</f>
        <v>0</v>
      </c>
      <c r="G17" s="19">
        <f>COUNTIFS(Selections!$E$6:$E$76,"Asian Handicap Away +1.00")-((COUNTIFS(Selections!$E$6:$E$76,"Asian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0</v>
      </c>
      <c r="H17" s="20">
        <f>IF(((COUNTIFS(Selections!$E$6:$E$76,"Asian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+1.00",Selections!$K$6:$K$76,"REFUNDED"))=0,"n.a.",(COUNTIFS(Selections!$E$6:$E$76,"Asian Handicap Away +1.00",Selections!$K$6:$K$76,"WON")+COUNTIFS(Selections!$E$6:$E$76,"Asian Handicap Away +1.00",Selections!$K$6:$K$76,"HALF_WON"))/((COUNTIFS(Selections!$E$6:$E$76,"Asian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+1.00",Selections!$K$6:$K$76,"REFUNDED")))</f>
        <v>1.0</v>
      </c>
      <c r="I17" s="22">
        <f>SUMIFS(Selections!$M$6:$M$76,Selections!$E$6:$E$76,"Asian Handicap Away +1.00")</f>
        <v>1</v>
      </c>
      <c r="J17" s="22">
        <f>SUMIFS(Selections!$N$6:$N$76,Selections!$E$6:$E$76,"Asian Handicap Away +1.00")</f>
        <v>0.58</v>
      </c>
      <c r="K17" s="20">
        <f>IF(SUMIFS(Selections!$M$6:$M$76,Selections!$E$6:$E$76,"Asian Handicap Away +1.00")=0,"n.a.",SUMIFS(Selections!$N$6:$N$76,Selections!$E$6:$E$76,"Asian Handicap Away +1.00")/SUMIFS(Selections!$M$6:$M$76,Selections!$E$6:$E$76,"Asian Handicap Away +1.00"))</f>
        <v>0.58</v>
      </c>
      <c r="L17" s="21">
        <f>IF(SUMIFS(Selections!$T$6:$T$76,Selections!$E$6:$E$76,"Asian Handicap Away +1.00")=0,"n.a.",SUMIFS(Selections!$O$6:$O$76,Selections!$E$6:$E$76,"Asian Handicap Away +1.00")/SUMIFS(Selections!$T$6:$T$76,Selections!$E$6:$E$76,"Asian Handicap Away +1.00"))</f>
        <v>0.061763712158882544</v>
      </c>
      <c r="M17" s="20">
        <f>IF(SUMIFS(Selections!$T$6:$T$76,Selections!$E$6:$E$76,"Asian Handicap Away +1.00")=0,"n.a.",SUMIFS(Selections!$S$6:$S$76,Selections!$E$6:$E$76,"Asian Handicap Away +1.00")/SUMIFS(Selections!$T$6:$T$76,Selections!$E$6:$E$76,"Asian Handicap Away +1.00"))</f>
        <v>0.7514769383761689</v>
      </c>
      <c r="N17" s="20">
        <f>IF(SUMIFS(Selections!$T$6:$T$76,Selections!$E$6:$E$76,"Asian Handicap Away +1.00")=0,"n.a.",(SUMIFS(Selections!$L$6:$L$76,Selections!$E$6:$E$76,"Asian Handicap Away +1.00",Selections!$T$6:$T$76,1))/SUMIFS(Selections!$T$6:$T$76,Selections!$E$6:$E$76,"Asian Handicap Away +1.00"))</f>
        <v>1.0</v>
      </c>
      <c r="O17" s="20">
        <f>IF(SUMIFS(Selections!$T$6:$T$76,Selections!$E$6:$E$76,"Asian Handicap Away +1.00")=0,"n.a.",(SUMIFS(Selections!$S$6:$S$76,Selections!$E$6:$E$76,"Asian Handicap Away +1.00")-(SUMIFS(Selections!$L$6:$L$76,Selections!$E$6:$E$76,"Asian Handicap Away +1.00",Selections!$T$6:$T$76,1)))/SUMIFS(Selections!$T$6:$T$76,Selections!$E$6:$E$76,"Asian Handicap Away +1.00"))</f>
        <v>-0.2485230616238311</v>
      </c>
      <c r="P17" s="19">
        <f>SUMIFS(Selections!$T$6:$T$76,Selections!$E$6:$E$76,"Asian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COUNTIFS(Selections!$E$6:$E$76,"Asian Handicap Away +1.25")</f>
        <v>1</v>
      </c>
      <c r="D18" s="19">
        <f>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1</v>
      </c>
      <c r="E18" s="19">
        <f>(COUNTIFS(Selections!$E$6:$E$76,"Asian Handicap Away +1.25",Selections!$K$6:$K$76,"WON")+COUNTIFS(Selections!$E$6:$E$76,"Asian Handicap Away +1.25",Selections!$K$6:$K$76,"HALF_WON"))</f>
        <v>1</v>
      </c>
      <c r="F18" s="19">
        <f>(COUNTIFS(Selections!$E$6:$E$76,"Asian Handicap Away +1.25",Selections!$K$6:$K$76,"LOST")+COUNTIFS(Selections!$E$6:$E$76,"Asian Handicap Away +1.25",Selections!$K$6:$K$76,"HALF_LOST"))</f>
        <v>0</v>
      </c>
      <c r="G18" s="19">
        <f>COUNTIFS(Selections!$E$6:$E$76,"Asian Handicap Away +1.25")-((COUNTIFS(Selections!$E$6:$E$76,"Asian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0</v>
      </c>
      <c r="H18" s="20">
        <f>IF(((COUNTIFS(Selections!$E$6:$E$76,"Asian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+1.25",Selections!$K$6:$K$76,"REFUNDED"))=0,"n.a.",(COUNTIFS(Selections!$E$6:$E$76,"Asian Handicap Away +1.25",Selections!$K$6:$K$76,"WON")+COUNTIFS(Selections!$E$6:$E$76,"Asian Handicap Away +1.25",Selections!$K$6:$K$76,"HALF_WON"))/((COUNTIFS(Selections!$E$6:$E$76,"Asian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+1.25",Selections!$K$6:$K$76,"REFUNDED")))</f>
        <v>1.0</v>
      </c>
      <c r="I18" s="22">
        <f>SUMIFS(Selections!$M$6:$M$76,Selections!$E$6:$E$76,"Asian Handicap Away +1.25")</f>
        <v>1</v>
      </c>
      <c r="J18" s="22">
        <f>SUMIFS(Selections!$N$6:$N$76,Selections!$E$6:$E$76,"Asian Handicap Away +1.25")</f>
        <v>0.16</v>
      </c>
      <c r="K18" s="20">
        <f>IF(SUMIFS(Selections!$M$6:$M$76,Selections!$E$6:$E$76,"Asian Handicap Away +1.25")=0,"n.a.",SUMIFS(Selections!$N$6:$N$76,Selections!$E$6:$E$76,"Asian Handicap Away +1.25")/SUMIFS(Selections!$M$6:$M$76,Selections!$E$6:$E$76,"Asian Handicap Away +1.25"))</f>
        <v>0.16</v>
      </c>
      <c r="L18" s="21">
        <f>IF(SUMIFS(Selections!$T$6:$T$76,Selections!$E$6:$E$76,"Asian Handicap Away +1.25")=0,"n.a.",SUMIFS(Selections!$O$6:$O$76,Selections!$E$6:$E$76,"Asian Handicap Away +1.25")/SUMIFS(Selections!$T$6:$T$76,Selections!$E$6:$E$76,"Asian Handicap Away +1.25"))</f>
        <v>0.024359397046770922</v>
      </c>
      <c r="M18" s="20">
        <f>IF(SUMIFS(Selections!$T$6:$T$76,Selections!$E$6:$E$76,"Asian Handicap Away +1.25")=0,"n.a.",SUMIFS(Selections!$S$6:$S$76,Selections!$E$6:$E$76,"Asian Handicap Away +1.25")/SUMIFS(Selections!$T$6:$T$76,Selections!$E$6:$E$76,"Asian Handicap Away +1.25"))</f>
        <v>0.8439250274811143</v>
      </c>
      <c r="N18" s="20">
        <f>IF(SUMIFS(Selections!$T$6:$T$76,Selections!$E$6:$E$76,"Asian Handicap Away +1.25")=0,"n.a.",(SUMIFS(Selections!$L$6:$L$76,Selections!$E$6:$E$76,"Asian Handicap Away +1.25",Selections!$T$6:$T$76,1))/SUMIFS(Selections!$T$6:$T$76,Selections!$E$6:$E$76,"Asian Handicap Away +1.25"))</f>
        <v>1.0</v>
      </c>
      <c r="O18" s="20">
        <f>IF(SUMIFS(Selections!$T$6:$T$76,Selections!$E$6:$E$76,"Asian Handicap Away +1.25")=0,"n.a.",(SUMIFS(Selections!$S$6:$S$76,Selections!$E$6:$E$76,"Asian Handicap Away +1.25")-(SUMIFS(Selections!$L$6:$L$76,Selections!$E$6:$E$76,"Asian Handicap Away +1.25",Selections!$T$6:$T$76,1)))/SUMIFS(Selections!$T$6:$T$76,Selections!$E$6:$E$76,"Asian Handicap Away +1.25"))</f>
        <v>-0.1560749725188857</v>
      </c>
      <c r="P18" s="19">
        <f>SUMIFS(Selections!$T$6:$T$76,Selections!$E$6:$E$76,"Asian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COUNTIFS(Selections!$E$6:$E$76,"Asian Handicap Away +2.00")</f>
        <v>3</v>
      </c>
      <c r="D19" s="19">
        <f>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3</v>
      </c>
      <c r="E19" s="19">
        <f>(COUNTIFS(Selections!$E$6:$E$76,"Asian Handicap Away +2.00",Selections!$K$6:$K$76,"WON")+COUNTIFS(Selections!$E$6:$E$76,"Asian Handicap Away +2.00",Selections!$K$6:$K$76,"HALF_WON"))</f>
        <v>3</v>
      </c>
      <c r="F19" s="19">
        <f>(COUNTIFS(Selections!$E$6:$E$76,"Asian Handicap Away +2.00",Selections!$K$6:$K$76,"LOST")+COUNTIFS(Selections!$E$6:$E$76,"Asian Handicap Away +2.00",Selections!$K$6:$K$76,"HALF_LOST"))</f>
        <v>0</v>
      </c>
      <c r="G19" s="19">
        <f>COUNTIFS(Selections!$E$6:$E$76,"Asian Handicap Away +2.00")-((COUNTIFS(Selections!$E$6:$E$76,"Asian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0</v>
      </c>
      <c r="H19" s="20">
        <f>IF(((COUNTIFS(Selections!$E$6:$E$76,"Asian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+2.00",Selections!$K$6:$K$76,"REFUNDED"))=0,"n.a.",(COUNTIFS(Selections!$E$6:$E$76,"Asian Handicap Away +2.00",Selections!$K$6:$K$76,"WON")+COUNTIFS(Selections!$E$6:$E$76,"Asian Handicap Away +2.00",Selections!$K$6:$K$76,"HALF_WON"))/((COUNTIFS(Selections!$E$6:$E$76,"Asian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+2.00",Selections!$K$6:$K$76,"REFUNDED")))</f>
        <v>1.0</v>
      </c>
      <c r="I19" s="22">
        <f>SUMIFS(Selections!$M$6:$M$76,Selections!$E$6:$E$76,"Asian Handicap Away +2.00")</f>
        <v>3</v>
      </c>
      <c r="J19" s="22">
        <f>SUMIFS(Selections!$N$6:$N$76,Selections!$E$6:$E$76,"Asian Handicap Away +2.00")</f>
        <v>1.17</v>
      </c>
      <c r="K19" s="20">
        <f>IF(SUMIFS(Selections!$M$6:$M$76,Selections!$E$6:$E$76,"Asian Handicap Away +2.00")=0,"n.a.",SUMIFS(Selections!$N$6:$N$76,Selections!$E$6:$E$76,"Asian Handicap Away +2.00")/SUMIFS(Selections!$M$6:$M$76,Selections!$E$6:$E$76,"Asian Handicap Away +2.00"))</f>
        <v>0.38999999999999996</v>
      </c>
      <c r="L19" s="21">
        <f>IF(SUMIFS(Selections!$T$6:$T$76,Selections!$E$6:$E$76,"Asian Handicap Away +2.00")=0,"n.a.",SUMIFS(Selections!$O$6:$O$76,Selections!$E$6:$E$76,"Asian Handicap Away +2.00")/SUMIFS(Selections!$T$6:$T$76,Selections!$E$6:$E$76,"Asian Handicap Away +2.00"))</f>
        <v>0.023947298801919998</v>
      </c>
      <c r="M19" s="20">
        <f>IF(SUMIFS(Selections!$T$6:$T$76,Selections!$E$6:$E$76,"Asian Handicap Away +2.00")=0,"n.a.",SUMIFS(Selections!$S$6:$S$76,Selections!$E$6:$E$76,"Asian Handicap Away +2.00")/SUMIFS(Selections!$T$6:$T$76,Selections!$E$6:$E$76,"Asian Handicap Away +2.00"))</f>
        <v>0.8542990352659695</v>
      </c>
      <c r="N19" s="20">
        <f>IF(SUMIFS(Selections!$T$6:$T$76,Selections!$E$6:$E$76,"Asian Handicap Away +2.00")=0,"n.a.",(SUMIFS(Selections!$L$6:$L$76,Selections!$E$6:$E$76,"Asian Handicap Away +2.00",Selections!$T$6:$T$76,1))/SUMIFS(Selections!$T$6:$T$76,Selections!$E$6:$E$76,"Asian Handicap Away +2.00"))</f>
        <v>1.0</v>
      </c>
      <c r="O19" s="20">
        <f>IF(SUMIFS(Selections!$T$6:$T$76,Selections!$E$6:$E$76,"Asian Handicap Away +2.00")=0,"n.a.",(SUMIFS(Selections!$S$6:$S$76,Selections!$E$6:$E$76,"Asian Handicap Away +2.00")-(SUMIFS(Selections!$L$6:$L$76,Selections!$E$6:$E$76,"Asian Handicap Away +2.00",Selections!$T$6:$T$76,1)))/SUMIFS(Selections!$T$6:$T$76,Selections!$E$6:$E$76,"Asian Handicap Away +2.00"))</f>
        <v>-0.1457009647340305</v>
      </c>
      <c r="P19" s="19">
        <f>SUMIFS(Selections!$T$6:$T$76,Selections!$E$6:$E$76,"Asian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COUNTIFS(Selections!$E$6:$E$76,"Asian Handicap Away +2.25")</f>
        <v>1</v>
      </c>
      <c r="D20" s="19">
        <f>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0</v>
      </c>
      <c r="E20" s="19">
        <f>(COUNTIFS(Selections!$E$6:$E$76,"Asian Handicap Away +2.25",Selections!$K$6:$K$76,"WON")+COUNTIFS(Selections!$E$6:$E$76,"Asian Handicap Away +2.25",Selections!$K$6:$K$76,"HALF_WON"))</f>
        <v>0</v>
      </c>
      <c r="F20" s="19">
        <f>(COUNTIFS(Selections!$E$6:$E$76,"Asian Handicap Away +2.25",Selections!$K$6:$K$76,"LOST")+COUNTIFS(Selections!$E$6:$E$76,"Asian Handicap Away +2.25",Selections!$K$6:$K$76,"HALF_LOST"))</f>
        <v>0</v>
      </c>
      <c r="G20" s="19">
        <f>COUNTIFS(Selections!$E$6:$E$76,"Asian Handicap Away +2.25")-((COUNTIFS(Selections!$E$6:$E$76,"Asian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1</v>
      </c>
      <c r="H20" s="20" t="str">
        <f>IF(((COUNTIFS(Selections!$E$6:$E$76,"Asian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+2.25",Selections!$K$6:$K$76,"REFUNDED"))=0,"n.a.",(COUNTIFS(Selections!$E$6:$E$76,"Asian Handicap Away +2.25",Selections!$K$6:$K$76,"WON")+COUNTIFS(Selections!$E$6:$E$76,"Asian Handicap Away +2.25",Selections!$K$6:$K$76,"HALF_WON"))/((COUNTIFS(Selections!$E$6:$E$76,"Asian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+2.25",Selections!$K$6:$K$76,"REFUNDED")))</f>
        <v>n.a.</v>
      </c>
      <c r="I20" s="22">
        <f>SUMIFS(Selections!$M$6:$M$76,Selections!$E$6:$E$76,"Asian Handicap Away +2.25")</f>
        <v>0</v>
      </c>
      <c r="J20" s="22">
        <f>SUMIFS(Selections!$N$6:$N$76,Selections!$E$6:$E$76,"Asian Handicap Away +2.25")</f>
        <v>0</v>
      </c>
      <c r="K20" s="20" t="str">
        <f>IF(SUMIFS(Selections!$M$6:$M$76,Selections!$E$6:$E$76,"Asian Handicap Away +2.25")=0,"n.a.",SUMIFS(Selections!$N$6:$N$76,Selections!$E$6:$E$76,"Asian Handicap Away +2.25")/SUMIFS(Selections!$M$6:$M$76,Selections!$E$6:$E$76,"Asian Handicap Away +2.25"))</f>
        <v>n.a.</v>
      </c>
      <c r="L20" s="21" t="str">
        <f>IF(SUMIFS(Selections!$T$6:$T$76,Selections!$E$6:$E$76,"Asian Handicap Away +2.25")=0,"n.a.",SUMIFS(Selections!$O$6:$O$76,Selections!$E$6:$E$76,"Asian Handicap Away +2.25")/SUMIFS(Selections!$T$6:$T$76,Selections!$E$6:$E$76,"Asian Handicap Away +2.25"))</f>
        <v>n.a.</v>
      </c>
      <c r="M20" s="20" t="str">
        <f>IF(SUMIFS(Selections!$T$6:$T$76,Selections!$E$6:$E$76,"Asian Handicap Away +2.25")=0,"n.a.",SUMIFS(Selections!$S$6:$S$76,Selections!$E$6:$E$76,"Asian Handicap Away +2.25")/SUMIFS(Selections!$T$6:$T$76,Selections!$E$6:$E$76,"Asian Handicap Away +2.25"))</f>
        <v>n.a.</v>
      </c>
      <c r="N20" s="20" t="str">
        <f>IF(SUMIFS(Selections!$T$6:$T$76,Selections!$E$6:$E$76,"Asian Handicap Away +2.25")=0,"n.a.",(SUMIFS(Selections!$L$6:$L$76,Selections!$E$6:$E$76,"Asian Handicap Away +2.25",Selections!$T$6:$T$76,1))/SUMIFS(Selections!$T$6:$T$76,Selections!$E$6:$E$76,"Asian Handicap Away +2.25"))</f>
        <v>n.a.</v>
      </c>
      <c r="O20" s="20" t="str">
        <f>IF(SUMIFS(Selections!$T$6:$T$76,Selections!$E$6:$E$76,"Asian Handicap Away +2.25")=0,"n.a.",(SUMIFS(Selections!$S$6:$S$76,Selections!$E$6:$E$76,"Asian Handicap Away +2.25")-(SUMIFS(Selections!$L$6:$L$76,Selections!$E$6:$E$76,"Asian Handicap Away +2.25",Selections!$T$6:$T$76,1)))/SUMIFS(Selections!$T$6:$T$76,Selections!$E$6:$E$76,"Asian Handicap Away +2.25"))</f>
        <v>n.a.</v>
      </c>
      <c r="P20" s="19">
        <f>SUMIFS(Selections!$T$6:$T$76,Selections!$E$6:$E$76,"Asian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COUNTIFS(Selections!$E$6:$E$76,"Asian Handicap Home +1.25")</f>
        <v>1</v>
      </c>
      <c r="D21" s="19">
        <f>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1</v>
      </c>
      <c r="E21" s="19">
        <f>(COUNTIFS(Selections!$E$6:$E$76,"Asian Handicap Home +1.25",Selections!$K$6:$K$76,"WON")+COUNTIFS(Selections!$E$6:$E$76,"Asian Handicap Home +1.25",Selections!$K$6:$K$76,"HALF_WON"))</f>
        <v>1</v>
      </c>
      <c r="F21" s="19">
        <f>(COUNTIFS(Selections!$E$6:$E$76,"Asian Handicap Home +1.25",Selections!$K$6:$K$76,"LOST")+COUNTIFS(Selections!$E$6:$E$76,"Asian Handicap Home +1.25",Selections!$K$6:$K$76,"HALF_LOST"))</f>
        <v>0</v>
      </c>
      <c r="G21" s="19">
        <f>COUNTIFS(Selections!$E$6:$E$76,"Asian Handicap Home +1.25")-((COUNTIFS(Selections!$E$6:$E$76,"Asian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0</v>
      </c>
      <c r="H21" s="20">
        <f>IF(((COUNTIFS(Selections!$E$6:$E$76,"Asian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+1.25",Selections!$K$6:$K$76,"REFUNDED"))=0,"n.a.",(COUNTIFS(Selections!$E$6:$E$76,"Asian Handicap Home +1.25",Selections!$K$6:$K$76,"WON")+COUNTIFS(Selections!$E$6:$E$76,"Asian Handicap Home +1.25",Selections!$K$6:$K$76,"HALF_WON"))/((COUNTIFS(Selections!$E$6:$E$76,"Asian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+1.25",Selections!$K$6:$K$76,"REFUNDED")))</f>
        <v>1.0</v>
      </c>
      <c r="I21" s="22">
        <f>SUMIFS(Selections!$M$6:$M$76,Selections!$E$6:$E$76,"Asian Handicap Home +1.25")</f>
        <v>1</v>
      </c>
      <c r="J21" s="22">
        <f>SUMIFS(Selections!$N$6:$N$76,Selections!$E$6:$E$76,"Asian Handicap Home +1.25")</f>
        <v>0.6</v>
      </c>
      <c r="K21" s="20">
        <f>IF(SUMIFS(Selections!$M$6:$M$76,Selections!$E$6:$E$76,"Asian Handicap Home +1.25")=0,"n.a.",SUMIFS(Selections!$N$6:$N$76,Selections!$E$6:$E$76,"Asian Handicap Home +1.25")/SUMIFS(Selections!$M$6:$M$76,Selections!$E$6:$E$76,"Asian Handicap Home +1.25"))</f>
        <v>0.6</v>
      </c>
      <c r="L21" s="21">
        <f>IF(SUMIFS(Selections!$T$6:$T$76,Selections!$E$6:$E$76,"Asian Handicap Home +1.25")=0,"n.a.",SUMIFS(Selections!$O$6:$O$76,Selections!$E$6:$E$76,"Asian Handicap Home +1.25")/SUMIFS(Selections!$T$6:$T$76,Selections!$E$6:$E$76,"Asian Handicap Home +1.25"))</f>
        <v>0.040902088882518665</v>
      </c>
      <c r="M21" s="20">
        <f>IF(SUMIFS(Selections!$T$6:$T$76,Selections!$E$6:$E$76,"Asian Handicap Home +1.25")=0,"n.a.",SUMIFS(Selections!$S$6:$S$76,Selections!$E$6:$E$76,"Asian Handicap Home +1.25")/SUMIFS(Selections!$T$6:$T$76,Selections!$E$6:$E$76,"Asian Handicap Home +1.25"))</f>
        <v>0.7977573514747232</v>
      </c>
      <c r="N21" s="20">
        <f>IF(SUMIFS(Selections!$T$6:$T$76,Selections!$E$6:$E$76,"Asian Handicap Home +1.25")=0,"n.a.",(SUMIFS(Selections!$L$6:$L$76,Selections!$E$6:$E$76,"Asian Handicap Home +1.25",Selections!$T$6:$T$76,1))/SUMIFS(Selections!$T$6:$T$76,Selections!$E$6:$E$76,"Asian Handicap Home +1.25"))</f>
        <v>1.0</v>
      </c>
      <c r="O21" s="20">
        <f>IF(SUMIFS(Selections!$T$6:$T$76,Selections!$E$6:$E$76,"Asian Handicap Home +1.25")=0,"n.a.",(SUMIFS(Selections!$S$6:$S$76,Selections!$E$6:$E$76,"Asian Handicap Home +1.25")-(SUMIFS(Selections!$L$6:$L$76,Selections!$E$6:$E$76,"Asian Handicap Home +1.25",Selections!$T$6:$T$76,1)))/SUMIFS(Selections!$T$6:$T$76,Selections!$E$6:$E$76,"Asian Handicap Home +1.25"))</f>
        <v>-0.20224264852527685</v>
      </c>
      <c r="P21" s="19">
        <f>SUMIFS(Selections!$T$6:$T$76,Selections!$E$6:$E$76,"Asian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COUNTIFS(Selections!$E$6:$E$76,"Asian Handicap Home +2.00")</f>
        <v>1</v>
      </c>
      <c r="D22" s="19">
        <f>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1</v>
      </c>
      <c r="E22" s="19">
        <f>(COUNTIFS(Selections!$E$6:$E$76,"Asian Handicap Home +2.00",Selections!$K$6:$K$76,"WON")+COUNTIFS(Selections!$E$6:$E$76,"Asian Handicap Home +2.00",Selections!$K$6:$K$76,"HALF_WON"))</f>
        <v>1</v>
      </c>
      <c r="F22" s="19">
        <f>(COUNTIFS(Selections!$E$6:$E$76,"Asian Handicap Home +2.00",Selections!$K$6:$K$76,"LOST")+COUNTIFS(Selections!$E$6:$E$76,"Asian Handicap Home +2.00",Selections!$K$6:$K$76,"HALF_LOST"))</f>
        <v>0</v>
      </c>
      <c r="G22" s="19">
        <f>COUNTIFS(Selections!$E$6:$E$76,"Asian Handicap Home +2.00")-((COUNTIFS(Selections!$E$6:$E$76,"Asian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0</v>
      </c>
      <c r="H22" s="20">
        <f>IF(((COUNTIFS(Selections!$E$6:$E$76,"Asian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+2.00",Selections!$K$6:$K$76,"REFUNDED"))=0,"n.a.",(COUNTIFS(Selections!$E$6:$E$76,"Asian Handicap Home +2.00",Selections!$K$6:$K$76,"WON")+COUNTIFS(Selections!$E$6:$E$76,"Asian Handicap Home +2.00",Selections!$K$6:$K$76,"HALF_WON"))/((COUNTIFS(Selections!$E$6:$E$76,"Asian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+2.00",Selections!$K$6:$K$76,"REFUNDED")))</f>
        <v>1.0</v>
      </c>
      <c r="I22" s="22">
        <f>SUMIFS(Selections!$M$6:$M$76,Selections!$E$6:$E$76,"Asian Handicap Home +2.00")</f>
        <v>1</v>
      </c>
      <c r="J22" s="22">
        <f>SUMIFS(Selections!$N$6:$N$76,Selections!$E$6:$E$76,"Asian Handicap Home +2.00")</f>
        <v>0.26</v>
      </c>
      <c r="K22" s="20">
        <f>IF(SUMIFS(Selections!$M$6:$M$76,Selections!$E$6:$E$76,"Asian Handicap Home +2.00")=0,"n.a.",SUMIFS(Selections!$N$6:$N$76,Selections!$E$6:$E$76,"Asian Handicap Home +2.00")/SUMIFS(Selections!$M$6:$M$76,Selections!$E$6:$E$76,"Asian Handicap Home +2.00"))</f>
        <v>0.26</v>
      </c>
      <c r="L22" s="21">
        <f>IF(SUMIFS(Selections!$T$6:$T$76,Selections!$E$6:$E$76,"Asian Handicap Home +2.00")=0,"n.a.",SUMIFS(Selections!$O$6:$O$76,Selections!$E$6:$E$76,"Asian Handicap Home +2.00")/SUMIFS(Selections!$T$6:$T$76,Selections!$E$6:$E$76,"Asian Handicap Home +2.00"))</f>
        <v>0.022096178165030404</v>
      </c>
      <c r="M22" s="20">
        <f>IF(SUMIFS(Selections!$T$6:$T$76,Selections!$E$6:$E$76,"Asian Handicap Home +2.00")=0,"n.a.",SUMIFS(Selections!$S$6:$S$76,Selections!$E$6:$E$76,"Asian Handicap Home +2.00")/SUMIFS(Selections!$T$6:$T$76,Selections!$E$6:$E$76,"Asian Handicap Home +2.00"))</f>
        <v>0.851352167304631</v>
      </c>
      <c r="N22" s="20">
        <f>IF(SUMIFS(Selections!$T$6:$T$76,Selections!$E$6:$E$76,"Asian Handicap Home +2.00")=0,"n.a.",(SUMIFS(Selections!$L$6:$L$76,Selections!$E$6:$E$76,"Asian Handicap Home +2.00",Selections!$T$6:$T$76,1))/SUMIFS(Selections!$T$6:$T$76,Selections!$E$6:$E$76,"Asian Handicap Home +2.00"))</f>
        <v>1.0</v>
      </c>
      <c r="O22" s="20">
        <f>IF(SUMIFS(Selections!$T$6:$T$76,Selections!$E$6:$E$76,"Asian Handicap Home +2.00")=0,"n.a.",(SUMIFS(Selections!$S$6:$S$76,Selections!$E$6:$E$76,"Asian Handicap Home +2.00")-(SUMIFS(Selections!$L$6:$L$76,Selections!$E$6:$E$76,"Asian Handicap Home +2.00",Selections!$T$6:$T$76,1)))/SUMIFS(Selections!$T$6:$T$76,Selections!$E$6:$E$76,"Asian Handicap Home +2.00"))</f>
        <v>-0.14864783269536896</v>
      </c>
      <c r="P22" s="19">
        <f>SUMIFS(Selections!$T$6:$T$76,Selections!$E$6:$E$76,"Asian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COUNTIFS(Selections!$E$6:$E$76,"Asian Handicap Home +2.25")</f>
        <v>1</v>
      </c>
      <c r="D23" s="19">
        <f>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1</v>
      </c>
      <c r="E23" s="19">
        <f>(COUNTIFS(Selections!$E$6:$E$76,"Asian Handicap Home +2.25",Selections!$K$6:$K$76,"WON")+COUNTIFS(Selections!$E$6:$E$76,"Asian Handicap Home +2.25",Selections!$K$6:$K$76,"HALF_WON"))</f>
        <v>1</v>
      </c>
      <c r="F23" s="19">
        <f>(COUNTIFS(Selections!$E$6:$E$76,"Asian Handicap Home +2.25",Selections!$K$6:$K$76,"LOST")+COUNTIFS(Selections!$E$6:$E$76,"Asian Handicap Home +2.25",Selections!$K$6:$K$76,"HALF_LOST"))</f>
        <v>0</v>
      </c>
      <c r="G23" s="19">
        <f>COUNTIFS(Selections!$E$6:$E$76,"Asian Handicap Home +2.25")-((COUNTIFS(Selections!$E$6:$E$76,"Asian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0</v>
      </c>
      <c r="H23" s="20">
        <f>IF(((COUNTIFS(Selections!$E$6:$E$76,"Asian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+2.25",Selections!$K$6:$K$76,"REFUNDED"))=0,"n.a.",(COUNTIFS(Selections!$E$6:$E$76,"Asian Handicap Home +2.25",Selections!$K$6:$K$76,"WON")+COUNTIFS(Selections!$E$6:$E$76,"Asian Handicap Home +2.25",Selections!$K$6:$K$76,"HALF_WON"))/((COUNTIFS(Selections!$E$6:$E$76,"Asian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+2.25",Selections!$K$6:$K$76,"REFUNDED")))</f>
        <v>1.0</v>
      </c>
      <c r="I23" s="22">
        <f>SUMIFS(Selections!$M$6:$M$76,Selections!$E$6:$E$76,"Asian Handicap Home +2.25")</f>
        <v>1</v>
      </c>
      <c r="J23" s="22">
        <f>SUMIFS(Selections!$N$6:$N$76,Selections!$E$6:$E$76,"Asian Handicap Home +2.25")</f>
        <v>0.35</v>
      </c>
      <c r="K23" s="20">
        <f>IF(SUMIFS(Selections!$M$6:$M$76,Selections!$E$6:$E$76,"Asian Handicap Home +2.25")=0,"n.a.",SUMIFS(Selections!$N$6:$N$76,Selections!$E$6:$E$76,"Asian Handicap Home +2.25")/SUMIFS(Selections!$M$6:$M$76,Selections!$E$6:$E$76,"Asian Handicap Home +2.25"))</f>
        <v>0.35</v>
      </c>
      <c r="L23" s="21">
        <f>IF(SUMIFS(Selections!$T$6:$T$76,Selections!$E$6:$E$76,"Asian Handicap Home +2.25")=0,"n.a.",SUMIFS(Selections!$O$6:$O$76,Selections!$E$6:$E$76,"Asian Handicap Home +2.25")/SUMIFS(Selections!$T$6:$T$76,Selections!$E$6:$E$76,"Asian Handicap Home +2.25"))</f>
        <v>0.03828819671116923</v>
      </c>
      <c r="M23" s="20">
        <f>IF(SUMIFS(Selections!$T$6:$T$76,Selections!$E$6:$E$76,"Asian Handicap Home +2.25")=0,"n.a.",SUMIFS(Selections!$S$6:$S$76,Selections!$E$6:$E$76,"Asian Handicap Home +2.25")/SUMIFS(Selections!$T$6:$T$76,Selections!$E$6:$E$76,"Asian Handicap Home +2.25"))</f>
        <v>0.8043263004101746</v>
      </c>
      <c r="N23" s="20">
        <f>IF(SUMIFS(Selections!$T$6:$T$76,Selections!$E$6:$E$76,"Asian Handicap Home +2.25")=0,"n.a.",(SUMIFS(Selections!$L$6:$L$76,Selections!$E$6:$E$76,"Asian Handicap Home +2.25",Selections!$T$6:$T$76,1))/SUMIFS(Selections!$T$6:$T$76,Selections!$E$6:$E$76,"Asian Handicap Home +2.25"))</f>
        <v>1.0</v>
      </c>
      <c r="O23" s="20">
        <f>IF(SUMIFS(Selections!$T$6:$T$76,Selections!$E$6:$E$76,"Asian Handicap Home +2.25")=0,"n.a.",(SUMIFS(Selections!$S$6:$S$76,Selections!$E$6:$E$76,"Asian Handicap Home +2.25")-(SUMIFS(Selections!$L$6:$L$76,Selections!$E$6:$E$76,"Asian Handicap Home +2.25",Selections!$T$6:$T$76,1)))/SUMIFS(Selections!$T$6:$T$76,Selections!$E$6:$E$76,"Asian Handicap Home +2.25"))</f>
        <v>-0.1956736995898254</v>
      </c>
      <c r="P23" s="19">
        <f>SUMIFS(Selections!$T$6:$T$76,Selections!$E$6:$E$76,"Asian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COUNTIFS(Selections!$E$6:$E$76,"Away win")</f>
        <v>4</v>
      </c>
      <c r="D24" s="19">
        <f>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4</v>
      </c>
      <c r="E24" s="19">
        <f>(COUNTIFS(Selections!$E$6:$E$76,"Away win",Selections!$K$6:$K$76,"WON")+COUNTIFS(Selections!$E$6:$E$76,"Away win",Selections!$K$6:$K$76,"HALF_WON"))</f>
        <v>2</v>
      </c>
      <c r="F24" s="19">
        <f>(COUNTIFS(Selections!$E$6:$E$76,"Away win",Selections!$K$6:$K$76,"LOST")+COUNTIFS(Selections!$E$6:$E$76,"Away win",Selections!$K$6:$K$76,"HALF_LOST"))</f>
        <v>2</v>
      </c>
      <c r="G24" s="19">
        <f>COUNTIFS(Selections!$E$6:$E$76,"Away win")-((COUNTIFS(Selections!$E$6:$E$76,"Away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0</v>
      </c>
      <c r="H24" s="20">
        <f>IF(((COUNTIFS(Selections!$E$6:$E$76,"Away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win",Selections!$K$6:$K$76,"REFUNDED"))=0,"n.a.",(COUNTIFS(Selections!$E$6:$E$76,"Away win",Selections!$K$6:$K$76,"WON")+COUNTIFS(Selections!$E$6:$E$76,"Away win",Selections!$K$6:$K$76,"HALF_WON"))/((COUNTIFS(Selections!$E$6:$E$76,"Away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win",Selections!$K$6:$K$76,"REFUNDED")))</f>
        <v>0.5</v>
      </c>
      <c r="I24" s="22">
        <f>SUMIFS(Selections!$M$6:$M$76,Selections!$E$6:$E$76,"Away win")</f>
        <v>4</v>
      </c>
      <c r="J24" s="22">
        <f>SUMIFS(Selections!$N$6:$N$76,Selections!$E$6:$E$76,"Away win")</f>
        <v>0.45999999999999996</v>
      </c>
      <c r="K24" s="20">
        <f>IF(SUMIFS(Selections!$M$6:$M$76,Selections!$E$6:$E$76,"Away win")=0,"n.a.",SUMIFS(Selections!$N$6:$N$76,Selections!$E$6:$E$76,"Away win")/SUMIFS(Selections!$M$6:$M$76,Selections!$E$6:$E$76,"Away win"))</f>
        <v>0.11499999999999999</v>
      </c>
      <c r="L24" s="21">
        <f>IF(SUMIFS(Selections!$T$6:$T$76,Selections!$E$6:$E$76,"Away win")=0,"n.a.",SUMIFS(Selections!$O$6:$O$76,Selections!$E$6:$E$76,"Away win")/SUMIFS(Selections!$T$6:$T$76,Selections!$E$6:$E$76,"Away win"))</f>
        <v>0.33482070932030694</v>
      </c>
      <c r="M24" s="20">
        <f>IF(SUMIFS(Selections!$T$6:$T$76,Selections!$E$6:$E$76,"Away win")=0,"n.a.",SUMIFS(Selections!$S$6:$S$76,Selections!$E$6:$E$76,"Away win")/SUMIFS(Selections!$T$6:$T$76,Selections!$E$6:$E$76,"Away win"))</f>
        <v>0.4847194437283757</v>
      </c>
      <c r="N24" s="20">
        <f>IF(SUMIFS(Selections!$T$6:$T$76,Selections!$E$6:$E$76,"Away win")=0,"n.a.",(SUMIFS(Selections!$L$6:$L$76,Selections!$E$6:$E$76,"Away win",Selections!$T$6:$T$76,1))/SUMIFS(Selections!$T$6:$T$76,Selections!$E$6:$E$76,"Away win"))</f>
        <v>0.5</v>
      </c>
      <c r="O24" s="20">
        <f>IF(SUMIFS(Selections!$T$6:$T$76,Selections!$E$6:$E$76,"Away win")=0,"n.a.",(SUMIFS(Selections!$S$6:$S$76,Selections!$E$6:$E$76,"Away win")-(SUMIFS(Selections!$L$6:$L$76,Selections!$E$6:$E$76,"Away win",Selections!$T$6:$T$76,1)))/SUMIFS(Selections!$T$6:$T$76,Selections!$E$6:$E$76,"Away win"))</f>
        <v>-0.01528055627162428</v>
      </c>
      <c r="P24" s="19">
        <f>SUMIFS(Selections!$T$6:$T$76,Selections!$E$6:$E$76,"Away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COUNTIFS(Selections!$E$6:$E$76,"Both Teams to Score - Yes")</f>
        <v>3</v>
      </c>
      <c r="D25" s="19">
        <f>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3</v>
      </c>
      <c r="E25" s="19">
        <f>(COUNTIFS(Selections!$E$6:$E$76,"Both Teams to Score - Yes",Selections!$K$6:$K$76,"WON")+COUNTIFS(Selections!$E$6:$E$76,"Both Teams to Score - Yes",Selections!$K$6:$K$76,"HALF_WON"))</f>
        <v>2</v>
      </c>
      <c r="F25" s="19">
        <f>(COUNTIFS(Selections!$E$6:$E$76,"Both Teams to Score - Yes",Selections!$K$6:$K$76,"LOST")+COUNTIFS(Selections!$E$6:$E$76,"Both Teams to Score - Yes",Selections!$K$6:$K$76,"HALF_LOST"))</f>
        <v>1</v>
      </c>
      <c r="G25" s="19">
        <f>COUNTIFS(Selections!$E$6:$E$76,"Both Teams to Score - Yes")-((COUNTIFS(Selections!$E$6:$E$76,"Both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0</v>
      </c>
      <c r="H25" s="20">
        <f>IF(((COUNTIFS(Selections!$E$6:$E$76,"Both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Yes",Selections!$K$6:$K$76,"REFUNDED"))=0,"n.a.",(COUNTIFS(Selections!$E$6:$E$76,"Both Teams to Score - Yes",Selections!$K$6:$K$76,"WON")+COUNTIFS(Selections!$E$6:$E$76,"Both Teams to Score - Yes",Selections!$K$6:$K$76,"HALF_WON"))/((COUNTIFS(Selections!$E$6:$E$76,"Both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Yes",Selections!$K$6:$K$76,"REFUNDED")))</f>
        <v>0.6666666666666666</v>
      </c>
      <c r="I25" s="22">
        <f>SUMIFS(Selections!$M$6:$M$76,Selections!$E$6:$E$76,"Both Teams to Score - Yes")</f>
        <v>3</v>
      </c>
      <c r="J25" s="22">
        <f>SUMIFS(Selections!$N$6:$N$76,Selections!$E$6:$E$76,"Both Teams to Score - Yes")</f>
        <v>0.020000000000000018</v>
      </c>
      <c r="K25" s="20">
        <f>IF(SUMIFS(Selections!$M$6:$M$76,Selections!$E$6:$E$76,"Both Teams to Score - Yes")=0,"n.a.",SUMIFS(Selections!$N$6:$N$76,Selections!$E$6:$E$76,"Both Teams to Score - Yes")/SUMIFS(Selections!$M$6:$M$76,Selections!$E$6:$E$76,"Both Teams to Score - Yes"))</f>
        <v>0.006666666666666672</v>
      </c>
      <c r="L25" s="21">
        <f>IF(SUMIFS(Selections!$T$6:$T$76,Selections!$E$6:$E$76,"Both Teams to Score - Yes")=0,"n.a.",SUMIFS(Selections!$O$6:$O$76,Selections!$E$6:$E$76,"Both Teams to Score - Yes")/SUMIFS(Selections!$T$6:$T$76,Selections!$E$6:$E$76,"Both Teams to Score - Yes"))</f>
        <v>0.2227178753914428</v>
      </c>
      <c r="M25" s="20">
        <f>IF(SUMIFS(Selections!$T$6:$T$76,Selections!$E$6:$E$76,"Both Teams to Score - Yes")=0,"n.a.",SUMIFS(Selections!$S$6:$S$76,Selections!$E$6:$E$76,"Both Teams to Score - Yes")/SUMIFS(Selections!$T$6:$T$76,Selections!$E$6:$E$76,"Both Teams to Score - Yes"))</f>
        <v>0.7130523653970714</v>
      </c>
      <c r="N25" s="20">
        <f>IF(SUMIFS(Selections!$T$6:$T$76,Selections!$E$6:$E$76,"Both Teams to Score - Yes")=0,"n.a.",(SUMIFS(Selections!$L$6:$L$76,Selections!$E$6:$E$76,"Both Teams to Score - Yes",Selections!$T$6:$T$76,1))/SUMIFS(Selections!$T$6:$T$76,Selections!$E$6:$E$76,"Both Teams to Score - Yes"))</f>
        <v>0.6666666666666666</v>
      </c>
      <c r="O25" s="20">
        <f>IF(SUMIFS(Selections!$T$6:$T$76,Selections!$E$6:$E$76,"Both Teams to Score - Yes")=0,"n.a.",(SUMIFS(Selections!$S$6:$S$76,Selections!$E$6:$E$76,"Both Teams to Score - Yes")-(SUMIFS(Selections!$L$6:$L$76,Selections!$E$6:$E$76,"Both Teams to Score - Yes",Selections!$T$6:$T$76,1)))/SUMIFS(Selections!$T$6:$T$76,Selections!$E$6:$E$76,"Both Teams to Score - Yes"))</f>
        <v>0.04638569873040477</v>
      </c>
      <c r="P25" s="19">
        <f>SUMIFS(Selections!$T$6:$T$76,Selections!$E$6:$E$76,"Both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COUNTIFS(Selections!$E$6:$E$76,"Corners Under 10.5")</f>
        <v>2</v>
      </c>
      <c r="D26" s="19">
        <f>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0</v>
      </c>
      <c r="E26" s="19">
        <f>(COUNTIFS(Selections!$E$6:$E$76,"Corners Under 10.5",Selections!$K$6:$K$76,"WON")+COUNTIFS(Selections!$E$6:$E$76,"Corners Under 10.5",Selections!$K$6:$K$76,"HALF_WON"))</f>
        <v>0</v>
      </c>
      <c r="F26" s="19">
        <f>(COUNTIFS(Selections!$E$6:$E$76,"Corners Under 10.5",Selections!$K$6:$K$76,"LOST")+COUNTIFS(Selections!$E$6:$E$76,"Corners Under 10.5",Selections!$K$6:$K$76,"HALF_LOST"))</f>
        <v>0</v>
      </c>
      <c r="G26" s="19">
        <f>COUNTIFS(Selections!$E$6:$E$76,"Corners Under 10.5")-((COUNTIFS(Selections!$E$6:$E$76,"Corners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2</v>
      </c>
      <c r="H26" s="20" t="str">
        <f>IF(((COUNTIFS(Selections!$E$6:$E$76,"Corners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10.5",Selections!$K$6:$K$76,"REFUNDED"))=0,"n.a.",(COUNTIFS(Selections!$E$6:$E$76,"Corners Under 10.5",Selections!$K$6:$K$76,"WON")+COUNTIFS(Selections!$E$6:$E$76,"Corners Under 10.5",Selections!$K$6:$K$76,"HALF_WON"))/((COUNTIFS(Selections!$E$6:$E$76,"Corners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10.5",Selections!$K$6:$K$76,"REFUNDED")))</f>
        <v>n.a.</v>
      </c>
      <c r="I26" s="22">
        <f>SUMIFS(Selections!$M$6:$M$76,Selections!$E$6:$E$76,"Corners Under 10.5")</f>
        <v>0</v>
      </c>
      <c r="J26" s="22">
        <f>SUMIFS(Selections!$N$6:$N$76,Selections!$E$6:$E$76,"Corners Under 10.5")</f>
        <v>0</v>
      </c>
      <c r="K26" s="20" t="str">
        <f>IF(SUMIFS(Selections!$M$6:$M$76,Selections!$E$6:$E$76,"Corners Under 10.5")=0,"n.a.",SUMIFS(Selections!$N$6:$N$76,Selections!$E$6:$E$76,"Corners Under 10.5")/SUMIFS(Selections!$M$6:$M$76,Selections!$E$6:$E$76,"Corners Under 10.5"))</f>
        <v>n.a.</v>
      </c>
      <c r="L26" s="21" t="str">
        <f>IF(SUMIFS(Selections!$T$6:$T$76,Selections!$E$6:$E$76,"Corners Under 10.5")=0,"n.a.",SUMIFS(Selections!$O$6:$O$76,Selections!$E$6:$E$76,"Corners Under 10.5")/SUMIFS(Selections!$T$6:$T$76,Selections!$E$6:$E$76,"Corners Under 10.5"))</f>
        <v>n.a.</v>
      </c>
      <c r="M26" s="20" t="str">
        <f>IF(SUMIFS(Selections!$T$6:$T$76,Selections!$E$6:$E$76,"Corners Under 10.5")=0,"n.a.",SUMIFS(Selections!$S$6:$S$76,Selections!$E$6:$E$76,"Corners Under 10.5")/SUMIFS(Selections!$T$6:$T$76,Selections!$E$6:$E$76,"Corners Under 10.5"))</f>
        <v>n.a.</v>
      </c>
      <c r="N26" s="20" t="str">
        <f>IF(SUMIFS(Selections!$T$6:$T$76,Selections!$E$6:$E$76,"Corners Under 10.5")=0,"n.a.",(SUMIFS(Selections!$L$6:$L$76,Selections!$E$6:$E$76,"Corners Under 10.5",Selections!$T$6:$T$76,1))/SUMIFS(Selections!$T$6:$T$76,Selections!$E$6:$E$76,"Corners Under 10.5"))</f>
        <v>n.a.</v>
      </c>
      <c r="O26" s="20" t="str">
        <f>IF(SUMIFS(Selections!$T$6:$T$76,Selections!$E$6:$E$76,"Corners Under 10.5")=0,"n.a.",(SUMIFS(Selections!$S$6:$S$76,Selections!$E$6:$E$76,"Corners Under 10.5")-(SUMIFS(Selections!$L$6:$L$76,Selections!$E$6:$E$76,"Corners Under 10.5",Selections!$T$6:$T$76,1)))/SUMIFS(Selections!$T$6:$T$76,Selections!$E$6:$E$76,"Corners Under 10.5"))</f>
        <v>n.a.</v>
      </c>
      <c r="P26" s="19">
        <f>SUMIFS(Selections!$T$6:$T$76,Selections!$E$6:$E$76,"Corners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COUNTIFS(Selections!$E$6:$E$76,"Double Chance 12")</f>
        <v>8</v>
      </c>
      <c r="D27" s="19">
        <f>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7</v>
      </c>
      <c r="E27" s="19">
        <f>(COUNTIFS(Selections!$E$6:$E$76,"Double Chance 12",Selections!$K$6:$K$76,"WON")+COUNTIFS(Selections!$E$6:$E$76,"Double Chance 12",Selections!$K$6:$K$76,"HALF_WON"))</f>
        <v>6</v>
      </c>
      <c r="F27" s="19">
        <f>(COUNTIFS(Selections!$E$6:$E$76,"Double Chance 12",Selections!$K$6:$K$76,"LOST")+COUNTIFS(Selections!$E$6:$E$76,"Double Chance 12",Selections!$K$6:$K$76,"HALF_LOST"))</f>
        <v>1</v>
      </c>
      <c r="G27" s="19">
        <f>COUNTIFS(Selections!$E$6:$E$76,"Double Chance 12")-((COUNTIFS(Selections!$E$6:$E$76,"Double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1</v>
      </c>
      <c r="H27" s="20">
        <f>IF(((COUNTIFS(Selections!$E$6:$E$76,"Double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12",Selections!$K$6:$K$76,"REFUNDED"))=0,"n.a.",(COUNTIFS(Selections!$E$6:$E$76,"Double Chance 12",Selections!$K$6:$K$76,"WON")+COUNTIFS(Selections!$E$6:$E$76,"Double Chance 12",Selections!$K$6:$K$76,"HALF_WON"))/((COUNTIFS(Selections!$E$6:$E$76,"Double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12",Selections!$K$6:$K$76,"REFUNDED")))</f>
        <v>0.8571428571428571</v>
      </c>
      <c r="I27" s="22">
        <f>SUMIFS(Selections!$M$6:$M$76,Selections!$E$6:$E$76,"Double Chance 12")</f>
        <v>7</v>
      </c>
      <c r="J27" s="22">
        <f>SUMIFS(Selections!$N$6:$N$76,Selections!$E$6:$E$76,"Double Chance 12")</f>
        <v>0.3799999999999999</v>
      </c>
      <c r="K27" s="20">
        <f>IF(SUMIFS(Selections!$M$6:$M$76,Selections!$E$6:$E$76,"Double Chance 12")=0,"n.a.",SUMIFS(Selections!$N$6:$N$76,Selections!$E$6:$E$76,"Double Chance 12")/SUMIFS(Selections!$M$6:$M$76,Selections!$E$6:$E$76,"Double Chance 12"))</f>
        <v>0.05428571428571427</v>
      </c>
      <c r="L27" s="21">
        <f>IF(SUMIFS(Selections!$T$6:$T$76,Selections!$E$6:$E$76,"Double Chance 12")=0,"n.a.",SUMIFS(Selections!$O$6:$O$76,Selections!$E$6:$E$76,"Double Chance 12")/SUMIFS(Selections!$T$6:$T$76,Selections!$E$6:$E$76,"Double Chance 12"))</f>
        <v>0.1271285110309219</v>
      </c>
      <c r="M27" s="20">
        <f>IF(SUMIFS(Selections!$T$6:$T$76,Selections!$E$6:$E$76,"Double Chance 12")=0,"n.a.",SUMIFS(Selections!$S$6:$S$76,Selections!$E$6:$E$76,"Double Chance 12")/SUMIFS(Selections!$T$6:$T$76,Selections!$E$6:$E$76,"Double Chance 12"))</f>
        <v>0.7824061665594064</v>
      </c>
      <c r="N27" s="20">
        <f>IF(SUMIFS(Selections!$T$6:$T$76,Selections!$E$6:$E$76,"Double Chance 12")=0,"n.a.",(SUMIFS(Selections!$L$6:$L$76,Selections!$E$6:$E$76,"Double Chance 12",Selections!$T$6:$T$76,1))/SUMIFS(Selections!$T$6:$T$76,Selections!$E$6:$E$76,"Double Chance 12"))</f>
        <v>0.8571428571428571</v>
      </c>
      <c r="O27" s="20">
        <f>IF(SUMIFS(Selections!$T$6:$T$76,Selections!$E$6:$E$76,"Double Chance 12")=0,"n.a.",(SUMIFS(Selections!$S$6:$S$76,Selections!$E$6:$E$76,"Double Chance 12")-(SUMIFS(Selections!$L$6:$L$76,Selections!$E$6:$E$76,"Double Chance 12",Selections!$T$6:$T$76,1)))/SUMIFS(Selections!$T$6:$T$76,Selections!$E$6:$E$76,"Double Chance 12"))</f>
        <v>-0.07473669058345067</v>
      </c>
      <c r="P27" s="19">
        <f>SUMIFS(Selections!$T$6:$T$76,Selections!$E$6:$E$76,"Double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COUNTIFS(Selections!$E$6:$E$76,"Double Chance 1X")</f>
        <v>11</v>
      </c>
      <c r="D28" s="19">
        <f>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8</v>
      </c>
      <c r="E28" s="19">
        <f>(COUNTIFS(Selections!$E$6:$E$76,"Double Chance 1X",Selections!$K$6:$K$76,"WON")+COUNTIFS(Selections!$E$6:$E$76,"Double Chance 1X",Selections!$K$6:$K$76,"HALF_WON"))</f>
        <v>7</v>
      </c>
      <c r="F28" s="19">
        <f>(COUNTIFS(Selections!$E$6:$E$76,"Double Chance 1X",Selections!$K$6:$K$76,"LOST")+COUNTIFS(Selections!$E$6:$E$76,"Double Chance 1X",Selections!$K$6:$K$76,"HALF_LOST"))</f>
        <v>1</v>
      </c>
      <c r="G28" s="19">
        <f>COUNTIFS(Selections!$E$6:$E$76,"Double Chance 1X")-((COUNTIFS(Selections!$E$6:$E$76,"Double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3</v>
      </c>
      <c r="H28" s="20">
        <f>IF(((COUNTIFS(Selections!$E$6:$E$76,"Double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1X",Selections!$K$6:$K$76,"REFUNDED"))=0,"n.a.",(COUNTIFS(Selections!$E$6:$E$76,"Double Chance 1X",Selections!$K$6:$K$76,"WON")+COUNTIFS(Selections!$E$6:$E$76,"Double Chance 1X",Selections!$K$6:$K$76,"HALF_WON"))/((COUNTIFS(Selections!$E$6:$E$76,"Double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1X",Selections!$K$6:$K$76,"REFUNDED")))</f>
        <v>0.875</v>
      </c>
      <c r="I28" s="22">
        <f>SUMIFS(Selections!$M$6:$M$76,Selections!$E$6:$E$76,"Double Chance 1X")</f>
        <v>8</v>
      </c>
      <c r="J28" s="22">
        <f>SUMIFS(Selections!$N$6:$N$76,Selections!$E$6:$E$76,"Double Chance 1X")</f>
        <v>0.6199999999999999</v>
      </c>
      <c r="K28" s="20">
        <f>IF(SUMIFS(Selections!$M$6:$M$76,Selections!$E$6:$E$76,"Double Chance 1X")=0,"n.a.",SUMIFS(Selections!$N$6:$N$76,Selections!$E$6:$E$76,"Double Chance 1X")/SUMIFS(Selections!$M$6:$M$76,Selections!$E$6:$E$76,"Double Chance 1X"))</f>
        <v>0.07749999999999999</v>
      </c>
      <c r="L28" s="21">
        <f>IF(SUMIFS(Selections!$T$6:$T$76,Selections!$E$6:$E$76,"Double Chance 1X")=0,"n.a.",SUMIFS(Selections!$O$6:$O$76,Selections!$E$6:$E$76,"Double Chance 1X")/SUMIFS(Selections!$T$6:$T$76,Selections!$E$6:$E$76,"Double Chance 1X"))</f>
        <v>0.07791461736616206</v>
      </c>
      <c r="M28" s="20">
        <f>IF(SUMIFS(Selections!$T$6:$T$76,Selections!$E$6:$E$76,"Double Chance 1X")=0,"n.a.",SUMIFS(Selections!$S$6:$S$76,Selections!$E$6:$E$76,"Double Chance 1X")/SUMIFS(Selections!$T$6:$T$76,Selections!$E$6:$E$76,"Double Chance 1X"))</f>
        <v>0.79596299912058</v>
      </c>
      <c r="N28" s="20">
        <f>IF(SUMIFS(Selections!$T$6:$T$76,Selections!$E$6:$E$76,"Double Chance 1X")=0,"n.a.",(SUMIFS(Selections!$L$6:$L$76,Selections!$E$6:$E$76,"Double Chance 1X",Selections!$T$6:$T$76,1))/SUMIFS(Selections!$T$6:$T$76,Selections!$E$6:$E$76,"Double Chance 1X"))</f>
        <v>0.875</v>
      </c>
      <c r="O28" s="20">
        <f>IF(SUMIFS(Selections!$T$6:$T$76,Selections!$E$6:$E$76,"Double Chance 1X")=0,"n.a.",(SUMIFS(Selections!$S$6:$S$76,Selections!$E$6:$E$76,"Double Chance 1X")-(SUMIFS(Selections!$L$6:$L$76,Selections!$E$6:$E$76,"Double Chance 1X",Selections!$T$6:$T$76,1)))/SUMIFS(Selections!$T$6:$T$76,Selections!$E$6:$E$76,"Double Chance 1X"))</f>
        <v>-0.07903700087942</v>
      </c>
      <c r="P28" s="19">
        <f>SUMIFS(Selections!$T$6:$T$76,Selections!$E$6:$E$76,"Double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COUNTIFS(Selections!$E$6:$E$76,"Double Chance X2")</f>
        <v>8</v>
      </c>
      <c r="D29" s="19">
        <f>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8</v>
      </c>
      <c r="E29" s="19">
        <f>(COUNTIFS(Selections!$E$6:$E$76,"Double Chance X2",Selections!$K$6:$K$76,"WON")+COUNTIFS(Selections!$E$6:$E$76,"Double Chance X2",Selections!$K$6:$K$76,"HALF_WON"))</f>
        <v>6</v>
      </c>
      <c r="F29" s="19">
        <f>(COUNTIFS(Selections!$E$6:$E$76,"Double Chance X2",Selections!$K$6:$K$76,"LOST")+COUNTIFS(Selections!$E$6:$E$76,"Double Chance X2",Selections!$K$6:$K$76,"HALF_LOST"))</f>
        <v>2</v>
      </c>
      <c r="G29" s="19">
        <f>COUNTIFS(Selections!$E$6:$E$76,"Double Chance X2")-((COUNTIFS(Selections!$E$6:$E$76,"Double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0</v>
      </c>
      <c r="H29" s="20">
        <f>IF(((COUNTIFS(Selections!$E$6:$E$76,"Double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X2",Selections!$K$6:$K$76,"REFUNDED"))=0,"n.a.",(COUNTIFS(Selections!$E$6:$E$76,"Double Chance X2",Selections!$K$6:$K$76,"WON")+COUNTIFS(Selections!$E$6:$E$76,"Double Chance X2",Selections!$K$6:$K$76,"HALF_WON"))/((COUNTIFS(Selections!$E$6:$E$76,"Double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X2",Selections!$K$6:$K$76,"REFUNDED")))</f>
        <v>0.75</v>
      </c>
      <c r="I29" s="22">
        <f>SUMIFS(Selections!$M$6:$M$76,Selections!$E$6:$E$76,"Double Chance X2")</f>
        <v>8</v>
      </c>
      <c r="J29" s="22">
        <f>SUMIFS(Selections!$N$6:$N$76,Selections!$E$6:$E$76,"Double Chance X2")</f>
        <v>0.8999999999999995</v>
      </c>
      <c r="K29" s="20">
        <f>IF(SUMIFS(Selections!$M$6:$M$76,Selections!$E$6:$E$76,"Double Chance X2")=0,"n.a.",SUMIFS(Selections!$N$6:$N$76,Selections!$E$6:$E$76,"Double Chance X2")/SUMIFS(Selections!$M$6:$M$76,Selections!$E$6:$E$76,"Double Chance X2"))</f>
        <v>0.11249999999999993</v>
      </c>
      <c r="L29" s="21">
        <f>IF(SUMIFS(Selections!$T$6:$T$76,Selections!$E$6:$E$76,"Double Chance X2")=0,"n.a.",SUMIFS(Selections!$O$6:$O$76,Selections!$E$6:$E$76,"Double Chance X2")/SUMIFS(Selections!$T$6:$T$76,Selections!$E$6:$E$76,"Double Chance X2"))</f>
        <v>0.14280778054839663</v>
      </c>
      <c r="M29" s="20">
        <f>IF(SUMIFS(Selections!$T$6:$T$76,Selections!$E$6:$E$76,"Double Chance X2")=0,"n.a.",SUMIFS(Selections!$S$6:$S$76,Selections!$E$6:$E$76,"Double Chance X2")/SUMIFS(Selections!$T$6:$T$76,Selections!$E$6:$E$76,"Double Chance X2"))</f>
        <v>0.6766958022298177</v>
      </c>
      <c r="N29" s="20">
        <f>IF(SUMIFS(Selections!$T$6:$T$76,Selections!$E$6:$E$76,"Double Chance X2")=0,"n.a.",(SUMIFS(Selections!$L$6:$L$76,Selections!$E$6:$E$76,"Double Chance X2",Selections!$T$6:$T$76,1))/SUMIFS(Selections!$T$6:$T$76,Selections!$E$6:$E$76,"Double Chance X2"))</f>
        <v>0.75</v>
      </c>
      <c r="O29" s="20">
        <f>IF(SUMIFS(Selections!$T$6:$T$76,Selections!$E$6:$E$76,"Double Chance X2")=0,"n.a.",(SUMIFS(Selections!$S$6:$S$76,Selections!$E$6:$E$76,"Double Chance X2")-(SUMIFS(Selections!$L$6:$L$76,Selections!$E$6:$E$76,"Double Chance X2",Selections!$T$6:$T$76,1)))/SUMIFS(Selections!$T$6:$T$76,Selections!$E$6:$E$76,"Double Chance X2"))</f>
        <v>-0.07330419777018227</v>
      </c>
      <c r="P29" s="19">
        <f>SUMIFS(Selections!$T$6:$T$76,Selections!$E$6:$E$76,"Double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COUNTIFS(Selections!$E$6:$E$76,"Home win")</f>
        <v>9</v>
      </c>
      <c r="D30" s="19">
        <f>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8</v>
      </c>
      <c r="E30" s="19">
        <f>(COUNTIFS(Selections!$E$6:$E$76,"Home win",Selections!$K$6:$K$76,"WON")+COUNTIFS(Selections!$E$6:$E$76,"Home win",Selections!$K$6:$K$76,"HALF_WON"))</f>
        <v>5</v>
      </c>
      <c r="F30" s="19">
        <f>(COUNTIFS(Selections!$E$6:$E$76,"Home win",Selections!$K$6:$K$76,"LOST")+COUNTIFS(Selections!$E$6:$E$76,"Home win",Selections!$K$6:$K$76,"HALF_LOST"))</f>
        <v>3</v>
      </c>
      <c r="G30" s="19">
        <f>COUNTIFS(Selections!$E$6:$E$76,"Home win")-((COUNTIFS(Selections!$E$6:$E$76,"Home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1</v>
      </c>
      <c r="H30" s="20">
        <f>IF(((COUNTIFS(Selections!$E$6:$E$76,"Home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win",Selections!$K$6:$K$76,"REFUNDED"))=0,"n.a.",(COUNTIFS(Selections!$E$6:$E$76,"Home win",Selections!$K$6:$K$76,"WON")+COUNTIFS(Selections!$E$6:$E$76,"Home win",Selections!$K$6:$K$76,"HALF_WON"))/((COUNTIFS(Selections!$E$6:$E$76,"Home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win",Selections!$K$6:$K$76,"REFUNDED")))</f>
        <v>0.625</v>
      </c>
      <c r="I30" s="22">
        <f>SUMIFS(Selections!$M$6:$M$76,Selections!$E$6:$E$76,"Home win")</f>
        <v>8</v>
      </c>
      <c r="J30" s="22">
        <f>SUMIFS(Selections!$N$6:$N$76,Selections!$E$6:$E$76,"Home win")</f>
        <v>-0.47</v>
      </c>
      <c r="K30" s="20">
        <f>IF(SUMIFS(Selections!$M$6:$M$76,Selections!$E$6:$E$76,"Home win")=0,"n.a.",SUMIFS(Selections!$N$6:$N$76,Selections!$E$6:$E$76,"Home win")/SUMIFS(Selections!$M$6:$M$76,Selections!$E$6:$E$76,"Home win"))</f>
        <v>-0.05875</v>
      </c>
      <c r="L30" s="21">
        <f>IF(SUMIFS(Selections!$T$6:$T$76,Selections!$E$6:$E$76,"Home win")=0,"n.a.",SUMIFS(Selections!$O$6:$O$76,Selections!$E$6:$E$76,"Home win")/SUMIFS(Selections!$T$6:$T$76,Selections!$E$6:$E$76,"Home win"))</f>
        <v>0.17119356220977308</v>
      </c>
      <c r="M30" s="20">
        <f>IF(SUMIFS(Selections!$T$6:$T$76,Selections!$E$6:$E$76,"Home win")=0,"n.a.",SUMIFS(Selections!$S$6:$S$76,Selections!$E$6:$E$76,"Home win")/SUMIFS(Selections!$T$6:$T$76,Selections!$E$6:$E$76,"Home win"))</f>
        <v>0.6586625192942568</v>
      </c>
      <c r="N30" s="20">
        <f>IF(SUMIFS(Selections!$T$6:$T$76,Selections!$E$6:$E$76,"Home win")=0,"n.a.",(SUMIFS(Selections!$L$6:$L$76,Selections!$E$6:$E$76,"Home win",Selections!$T$6:$T$76,1))/SUMIFS(Selections!$T$6:$T$76,Selections!$E$6:$E$76,"Home win"))</f>
        <v>0.625</v>
      </c>
      <c r="O30" s="20">
        <f>IF(SUMIFS(Selections!$T$6:$T$76,Selections!$E$6:$E$76,"Home win")=0,"n.a.",(SUMIFS(Selections!$S$6:$S$76,Selections!$E$6:$E$76,"Home win")-(SUMIFS(Selections!$L$6:$L$76,Selections!$E$6:$E$76,"Home win",Selections!$T$6:$T$76,1)))/SUMIFS(Selections!$T$6:$T$76,Selections!$E$6:$E$76,"Home win"))</f>
        <v>0.03366251929425679</v>
      </c>
      <c r="P30" s="19">
        <f>SUMIFS(Selections!$T$6:$T$76,Selections!$E$6:$E$76,"Home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COUNTIFS(Selections!$E$6:$E$76,"Over 1.5")</f>
        <v>12</v>
      </c>
      <c r="D31" s="19">
        <f>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8</v>
      </c>
      <c r="E31" s="19">
        <f>(COUNTIFS(Selections!$E$6:$E$76,"Over 1.5",Selections!$K$6:$K$76,"WON")+COUNTIFS(Selections!$E$6:$E$76,"Over 1.5",Selections!$K$6:$K$76,"HALF_WON"))</f>
        <v>7</v>
      </c>
      <c r="F31" s="19">
        <f>(COUNTIFS(Selections!$E$6:$E$76,"Over 1.5",Selections!$K$6:$K$76,"LOST")+COUNTIFS(Selections!$E$6:$E$76,"Over 1.5",Selections!$K$6:$K$76,"HALF_LOST"))</f>
        <v>1</v>
      </c>
      <c r="G31" s="19">
        <f>COUNTIFS(Selections!$E$6:$E$76,"Over 1.5")-((COUNTIFS(Selections!$E$6:$E$76,"Over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4</v>
      </c>
      <c r="H31" s="20">
        <f>IF(((COUNTIFS(Selections!$E$6:$E$76,"Over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1.5",Selections!$K$6:$K$76,"REFUNDED"))=0,"n.a.",(COUNTIFS(Selections!$E$6:$E$76,"Over 1.5",Selections!$K$6:$K$76,"WON")+COUNTIFS(Selections!$E$6:$E$76,"Over 1.5",Selections!$K$6:$K$76,"HALF_WON"))/((COUNTIFS(Selections!$E$6:$E$76,"Over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1.5",Selections!$K$6:$K$76,"REFUNDED")))</f>
        <v>0.875</v>
      </c>
      <c r="I31" s="22">
        <f>SUMIFS(Selections!$M$6:$M$76,Selections!$E$6:$E$76,"Over 1.5")</f>
        <v>8</v>
      </c>
      <c r="J31" s="22">
        <f>SUMIFS(Selections!$N$6:$N$76,Selections!$E$6:$E$76,"Over 1.5")</f>
        <v>0.6199999999999999</v>
      </c>
      <c r="K31" s="20">
        <f>IF(SUMIFS(Selections!$M$6:$M$76,Selections!$E$6:$E$76,"Over 1.5")=0,"n.a.",SUMIFS(Selections!$N$6:$N$76,Selections!$E$6:$E$76,"Over 1.5")/SUMIFS(Selections!$M$6:$M$76,Selections!$E$6:$E$76,"Over 1.5"))</f>
        <v>0.07749999999999999</v>
      </c>
      <c r="L31" s="21">
        <f>IF(SUMIFS(Selections!$T$6:$T$76,Selections!$E$6:$E$76,"Over 1.5")=0,"n.a.",SUMIFS(Selections!$O$6:$O$76,Selections!$E$6:$E$76,"Over 1.5")/SUMIFS(Selections!$T$6:$T$76,Selections!$E$6:$E$76,"Over 1.5"))</f>
        <v>0.09729999767437307</v>
      </c>
      <c r="M31" s="20">
        <f>IF(SUMIFS(Selections!$T$6:$T$76,Selections!$E$6:$E$76,"Over 1.5")=0,"n.a.",SUMIFS(Selections!$S$6:$S$76,Selections!$E$6:$E$76,"Over 1.5")/SUMIFS(Selections!$T$6:$T$76,Selections!$E$6:$E$76,"Over 1.5"))</f>
        <v>0.8532929638063016</v>
      </c>
      <c r="N31" s="20">
        <f>IF(SUMIFS(Selections!$T$6:$T$76,Selections!$E$6:$E$76,"Over 1.5")=0,"n.a.",(SUMIFS(Selections!$L$6:$L$76,Selections!$E$6:$E$76,"Over 1.5",Selections!$T$6:$T$76,1))/SUMIFS(Selections!$T$6:$T$76,Selections!$E$6:$E$76,"Over 1.5"))</f>
        <v>0.875</v>
      </c>
      <c r="O31" s="20">
        <f>IF(SUMIFS(Selections!$T$6:$T$76,Selections!$E$6:$E$76,"Over 1.5")=0,"n.a.",(SUMIFS(Selections!$S$6:$S$76,Selections!$E$6:$E$76,"Over 1.5")-(SUMIFS(Selections!$L$6:$L$76,Selections!$E$6:$E$76,"Over 1.5",Selections!$T$6:$T$76,1)))/SUMIFS(Selections!$T$6:$T$76,Selections!$E$6:$E$76,"Over 1.5"))</f>
        <v>-0.021707036193698404</v>
      </c>
      <c r="P31" s="19">
        <f>SUMIFS(Selections!$T$6:$T$76,Selections!$E$6:$E$76,"Over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COUNTIFS(Selections!$E$6:$E$76,"Under 3.5")</f>
        <v>5</v>
      </c>
      <c r="D32" s="19">
        <f>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5</v>
      </c>
      <c r="E32" s="19">
        <f>(COUNTIFS(Selections!$E$6:$E$76,"Under 3.5",Selections!$K$6:$K$76,"WON")+COUNTIFS(Selections!$E$6:$E$76,"Under 3.5",Selections!$K$6:$K$76,"HALF_WON"))</f>
        <v>2</v>
      </c>
      <c r="F32" s="19">
        <f>(COUNTIFS(Selections!$E$6:$E$76,"Under 3.5",Selections!$K$6:$K$76,"LOST")+COUNTIFS(Selections!$E$6:$E$76,"Under 3.5",Selections!$K$6:$K$76,"HALF_LOST"))</f>
        <v>3</v>
      </c>
      <c r="G32" s="19">
        <f>COUNTIFS(Selections!$E$6:$E$76,"Under 3.5")-((COUNTIFS(Selections!$E$6:$E$76,"Under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0</v>
      </c>
      <c r="H32" s="20">
        <f>IF(((COUNTIFS(Selections!$E$6:$E$76,"Under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3.5",Selections!$K$6:$K$76,"REFUNDED"))=0,"n.a.",(COUNTIFS(Selections!$E$6:$E$76,"Under 3.5",Selections!$K$6:$K$76,"WON")+COUNTIFS(Selections!$E$6:$E$76,"Under 3.5",Selections!$K$6:$K$76,"HALF_WON"))/((COUNTIFS(Selections!$E$6:$E$76,"Under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3.5",Selections!$K$6:$K$76,"REFUNDED")))</f>
        <v>0.4</v>
      </c>
      <c r="I32" s="22">
        <f>SUMIFS(Selections!$M$6:$M$76,Selections!$E$6:$E$76,"Under 3.5")</f>
        <v>5</v>
      </c>
      <c r="J32" s="22">
        <f>SUMIFS(Selections!$N$6:$N$76,Selections!$E$6:$E$76,"Under 3.5")</f>
        <v>-2.3</v>
      </c>
      <c r="K32" s="20">
        <f>IF(SUMIFS(Selections!$M$6:$M$76,Selections!$E$6:$E$76,"Under 3.5")=0,"n.a.",SUMIFS(Selections!$N$6:$N$76,Selections!$E$6:$E$76,"Under 3.5")/SUMIFS(Selections!$M$6:$M$76,Selections!$E$6:$E$76,"Under 3.5"))</f>
        <v>-0.45999999999999996</v>
      </c>
      <c r="L32" s="21">
        <f>IF(SUMIFS(Selections!$T$6:$T$76,Selections!$E$6:$E$76,"Under 3.5")=0,"n.a.",SUMIFS(Selections!$O$6:$O$76,Selections!$E$6:$E$76,"Under 3.5")/SUMIFS(Selections!$T$6:$T$76,Selections!$E$6:$E$76,"Under 3.5"))</f>
        <v>0.4093699233539641</v>
      </c>
      <c r="M32" s="20">
        <f>IF(SUMIFS(Selections!$T$6:$T$76,Selections!$E$6:$E$76,"Under 3.5")=0,"n.a.",SUMIFS(Selections!$S$6:$S$76,Selections!$E$6:$E$76,"Under 3.5")/SUMIFS(Selections!$T$6:$T$76,Selections!$E$6:$E$76,"Under 3.5"))</f>
        <v>0.8049432015044351</v>
      </c>
      <c r="N32" s="20">
        <f>IF(SUMIFS(Selections!$T$6:$T$76,Selections!$E$6:$E$76,"Under 3.5")=0,"n.a.",(SUMIFS(Selections!$L$6:$L$76,Selections!$E$6:$E$76,"Under 3.5",Selections!$T$6:$T$76,1))/SUMIFS(Selections!$T$6:$T$76,Selections!$E$6:$E$76,"Under 3.5"))</f>
        <v>0.4</v>
      </c>
      <c r="O32" s="20">
        <f>IF(SUMIFS(Selections!$T$6:$T$76,Selections!$E$6:$E$76,"Under 3.5")=0,"n.a.",(SUMIFS(Selections!$S$6:$S$76,Selections!$E$6:$E$76,"Under 3.5")-(SUMIFS(Selections!$L$6:$L$76,Selections!$E$6:$E$76,"Under 3.5",Selections!$T$6:$T$76,1)))/SUMIFS(Selections!$T$6:$T$76,Selections!$E$6:$E$76,"Under 3.5"))</f>
        <v>0.4049432015044351</v>
      </c>
      <c r="P32" s="19">
        <f>SUMIFS(Selections!$T$6:$T$76,Selections!$E$6:$E$76,"Under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COUNTIFS(Selections!$G$6:$G$76,"48h-top-ten-probability-ev-no-under35-v14")</f>
        <v>9</v>
      </c>
      <c r="D33" s="19">
        <f>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8</v>
      </c>
      <c r="E33" s="19">
        <f>(COUNTIFS(Selections!$G$6:$G$76,"48h-top-ten-probability-ev-no-under35-v14",Selections!$K$6:$K$76,"WON")+COUNTIFS(Selections!$G$6:$G$76,"48h-top-ten-probability-ev-no-under35-v14",Selections!$K$6:$K$76,"HALF_WON"))</f>
        <v>6</v>
      </c>
      <c r="F33" s="19">
        <f>(COUNTIFS(Selections!$G$6:$G$76,"48h-top-ten-probability-ev-no-under35-v14",Selections!$K$6:$K$76,"LOST")+COUNTIFS(Selections!$G$6:$G$76,"48h-top-ten-probability-ev-no-under35-v14",Selections!$K$6:$K$76,"HALF_LOST"))</f>
        <v>2</v>
      </c>
      <c r="G33" s="19">
        <f>COUNTIFS(Selections!$G$6:$G$76,"48h-top-ten-probability-ev-no-under35-v14")-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1</v>
      </c>
      <c r="H33" s="20">
        <f>IF(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=0,"n.a.",(COUNTIFS(Selections!$G$6:$G$76,"48h-top-ten-probability-ev-no-under35-v14",Selections!$K$6:$K$76,"WON")+COUNTIFS(Selections!$G$6:$G$76,"48h-top-ten-probability-ev-no-under35-v14",Selections!$K$6:$K$76,"HALF_WON"))/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)</f>
        <v>0.75</v>
      </c>
      <c r="I33" s="22">
        <f>SUMIFS(Selections!$M$6:$M$76,Selections!$G$6:$G$76,"48h-top-ten-probability-ev-no-under35-v14")</f>
        <v>8</v>
      </c>
      <c r="J33" s="22">
        <f>SUMIFS(Selections!$N$6:$N$76,Selections!$G$6:$G$76,"48h-top-ten-probability-ev-no-under35-v14")</f>
        <v>0.04999999999999982</v>
      </c>
      <c r="K33" s="20">
        <f>IF(SUMIFS(Selections!$M$6:$M$76,Selections!$G$6:$G$76,"48h-top-ten-probability-ev-no-under35-v14")=0,"n.a.",SUMIFS(Selections!$N$6:$N$76,Selections!$G$6:$G$76,"48h-top-ten-probability-ev-no-under35-v14")/SUMIFS(Selections!$M$6:$M$76,Selections!$G$6:$G$76,"48h-top-ten-probability-ev-no-under35-v14"))</f>
        <v>0.006249999999999978</v>
      </c>
      <c r="L33" s="21">
        <f>IF(SUMIFS(Selections!$T$6:$T$76,Selections!$G$6:$G$76,"48h-top-ten-probability-ev-no-under35-v14")=0,"n.a.",SUMIFS(Selections!$O$6:$O$76,Selections!$G$6:$G$76,"48h-top-ten-probability-ev-no-under35-v14")/SUMIFS(Selections!$T$6:$T$76,Selections!$G$6:$G$76,"48h-top-ten-probability-ev-no-under35-v14"))</f>
        <v>0.17867353798981395</v>
      </c>
      <c r="M33" s="20">
        <f>IF(SUMIFS(Selections!$T$6:$T$76,Selections!$G$6:$G$76,"48h-top-ten-probability-ev-no-under35-v14")=0,"n.a.",SUMIFS(Selections!$S$6:$S$76,Selections!$G$6:$G$76,"48h-top-ten-probability-ev-no-under35-v14")/SUMIFS(Selections!$T$6:$T$76,Selections!$G$6:$G$76,"48h-top-ten-probability-ev-no-under35-v14"))</f>
        <v>0.7347857301737204</v>
      </c>
      <c r="N33" s="20">
        <f>IF(SUMIFS(Selections!$T$6:$T$76,Selections!$G$6:$G$76,"48h-top-ten-probability-ev-no-under35-v14")=0,"n.a.",(SUMIFS(Selections!$L$6:$L$76,Selections!$G$6:$G$76,"48h-top-ten-probability-ev-no-under35-v14",Selections!$T$6:$T$76,1))/SUMIFS(Selections!$T$6:$T$76,Selections!$G$6:$G$76,"48h-top-ten-probability-ev-no-under35-v14"))</f>
        <v>0.75</v>
      </c>
      <c r="O33" s="20">
        <f>IF(SUMIFS(Selections!$T$6:$T$76,Selections!$G$6:$G$76,"48h-top-ten-probability-ev-no-under35-v14")=0,"n.a.",(SUMIFS(Selections!$S$6:$S$76,Selections!$G$6:$G$76,"48h-top-ten-probability-ev-no-under35-v14")-(SUMIFS(Selections!$L$6:$L$76,Selections!$G$6:$G$76,"48h-top-ten-probability-ev-no-under35-v14",Selections!$T$6:$T$76,1)))/SUMIFS(Selections!$T$6:$T$76,Selections!$G$6:$G$76,"48h-top-ten-probability-ev-no-under35-v14"))</f>
        <v>-0.015214269826279603</v>
      </c>
      <c r="P33" s="19">
        <f>SUMIFS(Selections!$T$6:$T$76,Selections!$G$6:$G$76,"48h-top-ten-probability-ev-no-under35-v14")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COUNTIFS(Selections!$G$6:$G$76,"48h-top-twelve-probability-ev-no-under35-v15")</f>
        <v>12</v>
      </c>
      <c r="D34" s="19">
        <f>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11</v>
      </c>
      <c r="E34" s="19">
        <f>(COUNTIFS(Selections!$G$6:$G$76,"48h-top-twelve-probability-ev-no-under35-v15",Selections!$K$6:$K$76,"WON")+COUNTIFS(Selections!$G$6:$G$76,"48h-top-twelve-probability-ev-no-under35-v15",Selections!$K$6:$K$76,"HALF_WON"))</f>
        <v>7</v>
      </c>
      <c r="F34" s="19">
        <f>(COUNTIFS(Selections!$G$6:$G$76,"48h-top-twelve-probability-ev-no-under35-v15",Selections!$K$6:$K$76,"LOST")+COUNTIFS(Selections!$G$6:$G$76,"48h-top-twelve-probability-ev-no-under35-v15",Selections!$K$6:$K$76,"HALF_LOST"))</f>
        <v>4</v>
      </c>
      <c r="G34" s="19">
        <f>COUNTIFS(Selections!$G$6:$G$76,"48h-top-twelve-probability-ev-no-under35-v15")-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</v>
      </c>
      <c r="H34" s="20">
        <f>IF(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=0,"n.a.",(COUNTIFS(Selections!$G$6:$G$76,"48h-top-twelve-probability-ev-no-under35-v15",Selections!$K$6:$K$76,"WON")+COUNTIFS(Selections!$G$6:$G$76,"48h-top-twelve-probability-ev-no-under35-v15",Selections!$K$6:$K$76,"HALF_WON"))/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)</f>
        <v>0.6363636363636364</v>
      </c>
      <c r="I34" s="22">
        <f>SUMIFS(Selections!$M$6:$M$76,Selections!$G$6:$G$76,"48h-top-twelve-probability-ev-no-under35-v15")</f>
        <v>11</v>
      </c>
      <c r="J34" s="22">
        <f>SUMIFS(Selections!$N$6:$N$76,Selections!$G$6:$G$76,"48h-top-twelve-probability-ev-no-under35-v15")</f>
        <v>-1.3800000000000003</v>
      </c>
      <c r="K34" s="20">
        <f>IF(SUMIFS(Selections!$M$6:$M$76,Selections!$G$6:$G$76,"48h-top-twelve-probability-ev-no-under35-v15")=0,"n.a.",SUMIFS(Selections!$N$6:$N$76,Selections!$G$6:$G$76,"48h-top-twelve-probability-ev-no-under35-v15")/SUMIFS(Selections!$M$6:$M$76,Selections!$G$6:$G$76,"48h-top-twelve-probability-ev-no-under35-v15"))</f>
        <v>-0.12545454545454549</v>
      </c>
      <c r="L34" s="21">
        <f>IF(SUMIFS(Selections!$T$6:$T$76,Selections!$G$6:$G$76,"48h-top-twelve-probability-ev-no-under35-v15")=0,"n.a.",SUMIFS(Selections!$O$6:$O$76,Selections!$G$6:$G$76,"48h-top-twelve-probability-ev-no-under35-v15")/SUMIFS(Selections!$T$6:$T$76,Selections!$G$6:$G$76,"48h-top-twelve-probability-ev-no-under35-v15"))</f>
        <v>0.19421744781096573</v>
      </c>
      <c r="M34" s="20">
        <f>IF(SUMIFS(Selections!$T$6:$T$76,Selections!$G$6:$G$76,"48h-top-twelve-probability-ev-no-under35-v15")=0,"n.a.",SUMIFS(Selections!$S$6:$S$76,Selections!$G$6:$G$76,"48h-top-twelve-probability-ev-no-under35-v15")/SUMIFS(Selections!$T$6:$T$76,Selections!$G$6:$G$76,"48h-top-twelve-probability-ev-no-under35-v15"))</f>
        <v>0.7256811914176179</v>
      </c>
      <c r="N34" s="20">
        <f>IF(SUMIFS(Selections!$T$6:$T$76,Selections!$G$6:$G$76,"48h-top-twelve-probability-ev-no-under35-v15")=0,"n.a.",(SUMIFS(Selections!$L$6:$L$76,Selections!$G$6:$G$76,"48h-top-twelve-probability-ev-no-under35-v15",Selections!$T$6:$T$76,1))/SUMIFS(Selections!$T$6:$T$76,Selections!$G$6:$G$76,"48h-top-twelve-probability-ev-no-under35-v15"))</f>
        <v>0.6363636363636364</v>
      </c>
      <c r="O34" s="20">
        <f>IF(SUMIFS(Selections!$T$6:$T$76,Selections!$G$6:$G$76,"48h-top-twelve-probability-ev-no-under35-v15")=0,"n.a.",(SUMIFS(Selections!$S$6:$S$76,Selections!$G$6:$G$76,"48h-top-twelve-probability-ev-no-under35-v15")-(SUMIFS(Selections!$L$6:$L$76,Selections!$G$6:$G$76,"48h-top-twelve-probability-ev-no-under35-v15",Selections!$T$6:$T$76,1)))/SUMIFS(Selections!$T$6:$T$76,Selections!$G$6:$G$76,"48h-top-twelve-probability-ev-no-under35-v15"))</f>
        <v>0.08931755505398153</v>
      </c>
      <c r="P34" s="19">
        <f>SUMIFS(Selections!$T$6:$T$76,Selections!$G$6:$G$76,"48h-top-twelve-probability-ev-no-under35-v15")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COUNTIFS(Selections!$G$6:$G$76,"48h-top-twelve-profitable-win-probability-v23")</f>
        <v>1</v>
      </c>
      <c r="D35" s="19">
        <f>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0</v>
      </c>
      <c r="E35" s="19">
        <f>(COUNTIFS(Selections!$G$6:$G$76,"48h-top-twelve-profitable-win-probability-v23",Selections!$K$6:$K$76,"WON")+COUNTIFS(Selections!$G$6:$G$76,"48h-top-twelve-profitable-win-probability-v23",Selections!$K$6:$K$76,"HALF_WON"))</f>
        <v>0</v>
      </c>
      <c r="F35" s="19">
        <f>(COUNTIFS(Selections!$G$6:$G$76,"48h-top-twelve-profitable-win-probability-v23",Selections!$K$6:$K$76,"LOST")+COUNTIFS(Selections!$G$6:$G$76,"48h-top-twelve-profitable-win-probability-v23",Selections!$K$6:$K$76,"HALF_LOST"))</f>
        <v>0</v>
      </c>
      <c r="G35" s="19">
        <f>COUNTIFS(Selections!$G$6:$G$76,"48h-top-twelve-profitable-win-probability-v23")-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1</v>
      </c>
      <c r="H35" s="20" t="str">
        <f>IF(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=0,"n.a.",(COUNTIFS(Selections!$G$6:$G$76,"48h-top-twelve-profitable-win-probability-v23",Selections!$K$6:$K$76,"WON")+COUNTIFS(Selections!$G$6:$G$76,"48h-top-twelve-profitable-win-probability-v23",Selections!$K$6:$K$76,"HALF_WON"))/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)</f>
        <v>n.a.</v>
      </c>
      <c r="I35" s="22">
        <f>SUMIFS(Selections!$M$6:$M$76,Selections!$G$6:$G$76,"48h-top-twelve-profitable-win-probability-v23")</f>
        <v>0</v>
      </c>
      <c r="J35" s="22">
        <f>SUMIFS(Selections!$N$6:$N$76,Selections!$G$6:$G$76,"48h-top-twelve-profitable-win-probability-v23")</f>
        <v>0</v>
      </c>
      <c r="K35" s="20" t="str">
        <f>IF(SUMIFS(Selections!$M$6:$M$76,Selections!$G$6:$G$76,"48h-top-twelve-profitable-win-probability-v23")=0,"n.a.",SUMIFS(Selections!$N$6:$N$76,Selections!$G$6:$G$76,"48h-top-twelve-profitable-win-probability-v23")/SUMIFS(Selections!$M$6:$M$76,Selections!$G$6:$G$76,"48h-top-twelve-profitable-win-probability-v23"))</f>
        <v>n.a.</v>
      </c>
      <c r="L35" s="21" t="str">
        <f>IF(SUMIFS(Selections!$T$6:$T$76,Selections!$G$6:$G$76,"48h-top-twelve-profitable-win-probability-v23")=0,"n.a.",SUMIFS(Selections!$O$6:$O$76,Selections!$G$6:$G$76,"48h-top-twelve-profitable-win-probability-v23")/SUMIFS(Selections!$T$6:$T$76,Selections!$G$6:$G$76,"48h-top-twelve-profitable-win-probability-v23"))</f>
        <v>n.a.</v>
      </c>
      <c r="M35" s="20" t="str">
        <f>IF(SUMIFS(Selections!$T$6:$T$76,Selections!$G$6:$G$76,"48h-top-twelve-profitable-win-probability-v23")=0,"n.a.",SUMIFS(Selections!$S$6:$S$76,Selections!$G$6:$G$76,"48h-top-twelve-profitable-win-probability-v23")/SUMIFS(Selections!$T$6:$T$76,Selections!$G$6:$G$76,"48h-top-twelve-profitable-win-probability-v23"))</f>
        <v>n.a.</v>
      </c>
      <c r="N35" s="20" t="str">
        <f>IF(SUMIFS(Selections!$T$6:$T$76,Selections!$G$6:$G$76,"48h-top-twelve-profitable-win-probability-v23")=0,"n.a.",(SUMIFS(Selections!$L$6:$L$76,Selections!$G$6:$G$76,"48h-top-twelve-profitable-win-probability-v23",Selections!$T$6:$T$76,1))/SUMIFS(Selections!$T$6:$T$76,Selections!$G$6:$G$76,"48h-top-twelve-profitable-win-probability-v23"))</f>
        <v>n.a.</v>
      </c>
      <c r="O35" s="20" t="str">
        <f>IF(SUMIFS(Selections!$T$6:$T$76,Selections!$G$6:$G$76,"48h-top-twelve-profitable-win-probability-v23")=0,"n.a.",(SUMIFS(Selections!$S$6:$S$76,Selections!$G$6:$G$76,"48h-top-twelve-profitable-win-probability-v23")-(SUMIFS(Selections!$L$6:$L$76,Selections!$G$6:$G$76,"48h-top-twelve-profitable-win-probability-v23",Selections!$T$6:$T$76,1)))/SUMIFS(Selections!$T$6:$T$76,Selections!$G$6:$G$76,"48h-top-twelve-profitable-win-probability-v23"))</f>
        <v>n.a.</v>
      </c>
      <c r="P35" s="19">
        <f>SUMIFS(Selections!$T$6:$T$76,Selections!$G$6:$G$76,"48h-top-twelve-profitable-win-probability-v23")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COUNTIFS(Selections!$G$6:$G$76,"48h-two-per-market-group-probability-ev-corners-cards-v25")</f>
        <v>16</v>
      </c>
      <c r="D36" s="19">
        <f>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11</v>
      </c>
      <c r="E36" s="19">
        <f>(COUNTIFS(Selections!$G$6:$G$76,"48h-two-per-market-group-probability-ev-corners-cards-v25",Selections!$K$6:$K$76,"WON")+COUNTIFS(Selections!$G$6:$G$76,"48h-two-per-market-group-probability-ev-corners-cards-v25",Selections!$K$6:$K$76,"HALF_WON"))</f>
        <v>8</v>
      </c>
      <c r="F36" s="19">
        <f>(COUNTIFS(Selections!$G$6:$G$76,"48h-two-per-market-group-probability-ev-corners-cards-v25",Selections!$K$6:$K$76,"LOST")+COUNTIFS(Selections!$G$6:$G$76,"48h-two-per-market-group-probability-ev-corners-cards-v25",Selections!$K$6:$K$76,"HALF_LOST"))</f>
        <v>3</v>
      </c>
      <c r="G36" s="19">
        <f>COUNTIFS(Selections!$G$6:$G$76,"48h-two-per-market-group-probability-ev-corners-cards-v25")-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5</v>
      </c>
      <c r="H36" s="20">
        <f>IF(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=0,"n.a.",(COUNTIFS(Selections!$G$6:$G$76,"48h-two-per-market-group-probability-ev-corners-cards-v25",Selections!$K$6:$K$76,"WON")+COUNTIFS(Selections!$G$6:$G$76,"48h-two-per-market-group-probability-ev-corners-cards-v25",Selections!$K$6:$K$76,"HALF_WON"))/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)</f>
        <v>0.7272727272727273</v>
      </c>
      <c r="I36" s="22">
        <f>SUMIFS(Selections!$M$6:$M$76,Selections!$G$6:$G$76,"48h-two-per-market-group-probability-ev-corners-cards-v25")</f>
        <v>11</v>
      </c>
      <c r="J36" s="22">
        <f>SUMIFS(Selections!$N$6:$N$76,Selections!$G$6:$G$76,"48h-two-per-market-group-probability-ev-corners-cards-v25")</f>
        <v>-0.07000000000000028</v>
      </c>
      <c r="K36" s="20">
        <f>IF(SUMIFS(Selections!$M$6:$M$76,Selections!$G$6:$G$76,"48h-two-per-market-group-probability-ev-corners-cards-v25")=0,"n.a.",SUMIFS(Selections!$N$6:$N$76,Selections!$G$6:$G$76,"48h-two-per-market-group-probability-ev-corners-cards-v25")/SUMIFS(Selections!$M$6:$M$76,Selections!$G$6:$G$76,"48h-two-per-market-group-probability-ev-corners-cards-v25"))</f>
        <v>-0.00636363636363639</v>
      </c>
      <c r="L36" s="21">
        <f>IF(SUMIFS(Selections!$T$6:$T$76,Selections!$G$6:$G$76,"48h-two-per-market-group-probability-ev-corners-cards-v25")=0,"n.a.",SUMIFS(Selections!$O$6:$O$76,Selections!$G$6:$G$76,"48h-two-per-market-group-probability-ev-corners-cards-v25")/SUMIFS(Selections!$T$6:$T$76,Selections!$G$6:$G$76,"48h-two-per-market-group-probability-ev-corners-cards-v25"))</f>
        <v>0.13575065975882694</v>
      </c>
      <c r="M36" s="20">
        <f>IF(SUMIFS(Selections!$T$6:$T$76,Selections!$G$6:$G$76,"48h-two-per-market-group-probability-ev-corners-cards-v25")=0,"n.a.",SUMIFS(Selections!$S$6:$S$76,Selections!$G$6:$G$76,"48h-two-per-market-group-probability-ev-corners-cards-v25")/SUMIFS(Selections!$T$6:$T$76,Selections!$G$6:$G$76,"48h-two-per-market-group-probability-ev-corners-cards-v25"))</f>
        <v>0.7073244539634654</v>
      </c>
      <c r="N36" s="20">
        <f>IF(SUMIFS(Selections!$T$6:$T$76,Selections!$G$6:$G$76,"48h-two-per-market-group-probability-ev-corners-cards-v25")=0,"n.a.",(SUMIFS(Selections!$L$6:$L$76,Selections!$G$6:$G$76,"48h-two-per-market-group-probability-ev-corners-cards-v25",Selections!$T$6:$T$76,1))/SUMIFS(Selections!$T$6:$T$76,Selections!$G$6:$G$76,"48h-two-per-market-group-probability-ev-corners-cards-v25"))</f>
        <v>0.7272727272727273</v>
      </c>
      <c r="O36" s="20">
        <f>IF(SUMIFS(Selections!$T$6:$T$76,Selections!$G$6:$G$76,"48h-two-per-market-group-probability-ev-corners-cards-v25")=0,"n.a.",(SUMIFS(Selections!$S$6:$S$76,Selections!$G$6:$G$76,"48h-two-per-market-group-probability-ev-corners-cards-v25")-(SUMIFS(Selections!$L$6:$L$76,Selections!$G$6:$G$76,"48h-two-per-market-group-probability-ev-corners-cards-v25",Selections!$T$6:$T$76,1)))/SUMIFS(Selections!$T$6:$T$76,Selections!$G$6:$G$76,"48h-two-per-market-group-probability-ev-corners-cards-v25"))</f>
        <v>-0.019948273309261855</v>
      </c>
      <c r="P36" s="19">
        <f>SUMIFS(Selections!$T$6:$T$76,Selections!$G$6:$G$76,"48h-two-per-market-group-probability-ev-corners-cards-v25")</f>
        <v>11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(n=11).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COUNTIFS(Selections!$G$6:$G$76,"48h-two-per-market-group-probability-ev-v24")</f>
        <v>4</v>
      </c>
      <c r="D37" s="19">
        <f>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3</v>
      </c>
      <c r="E37" s="19">
        <f>(COUNTIFS(Selections!$G$6:$G$76,"48h-two-per-market-group-probability-ev-v24",Selections!$K$6:$K$76,"WON")+COUNTIFS(Selections!$G$6:$G$76,"48h-two-per-market-group-probability-ev-v24",Selections!$K$6:$K$76,"HALF_WON"))</f>
        <v>2</v>
      </c>
      <c r="F37" s="19">
        <f>(COUNTIFS(Selections!$G$6:$G$76,"48h-two-per-market-group-probability-ev-v24",Selections!$K$6:$K$76,"LOST")+COUNTIFS(Selections!$G$6:$G$76,"48h-two-per-market-group-probability-ev-v24",Selections!$K$6:$K$76,"HALF_LOST"))</f>
        <v>1</v>
      </c>
      <c r="G37" s="19">
        <f>COUNTIFS(Selections!$G$6:$G$76,"48h-two-per-market-group-probability-ev-v24")-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1</v>
      </c>
      <c r="H37" s="20">
        <f>IF(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=0,"n.a.",(COUNTIFS(Selections!$G$6:$G$76,"48h-two-per-market-group-probability-ev-v24",Selections!$K$6:$K$76,"WON")+COUNTIFS(Selections!$G$6:$G$76,"48h-two-per-market-group-probability-ev-v24",Selections!$K$6:$K$76,"HALF_WON"))/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)</f>
        <v>0.6666666666666666</v>
      </c>
      <c r="I37" s="22">
        <f>SUMIFS(Selections!$M$6:$M$76,Selections!$G$6:$G$76,"48h-two-per-market-group-probability-ev-v24")</f>
        <v>3</v>
      </c>
      <c r="J37" s="22">
        <f>SUMIFS(Selections!$N$6:$N$76,Selections!$G$6:$G$76,"48h-two-per-market-group-probability-ev-v24")</f>
        <v>0.6200000000000001</v>
      </c>
      <c r="K37" s="20">
        <f>IF(SUMIFS(Selections!$M$6:$M$76,Selections!$G$6:$G$76,"48h-two-per-market-group-probability-ev-v24")=0,"n.a.",SUMIFS(Selections!$N$6:$N$76,Selections!$G$6:$G$76,"48h-two-per-market-group-probability-ev-v24")/SUMIFS(Selections!$M$6:$M$76,Selections!$G$6:$G$76,"48h-two-per-market-group-probability-ev-v24"))</f>
        <v>0.2066666666666667</v>
      </c>
      <c r="L37" s="21">
        <f>IF(SUMIFS(Selections!$T$6:$T$76,Selections!$G$6:$G$76,"48h-two-per-market-group-probability-ev-v24")=0,"n.a.",SUMIFS(Selections!$O$6:$O$76,Selections!$G$6:$G$76,"48h-two-per-market-group-probability-ev-v24")/SUMIFS(Selections!$T$6:$T$76,Selections!$G$6:$G$76,"48h-two-per-market-group-probability-ev-v24"))</f>
        <v>0.23207082865311845</v>
      </c>
      <c r="M37" s="20">
        <f>IF(SUMIFS(Selections!$T$6:$T$76,Selections!$G$6:$G$76,"48h-two-per-market-group-probability-ev-v24")=0,"n.a.",SUMIFS(Selections!$S$6:$S$76,Selections!$G$6:$G$76,"48h-two-per-market-group-probability-ev-v24")/SUMIFS(Selections!$T$6:$T$76,Selections!$G$6:$G$76,"48h-two-per-market-group-probability-ev-v24"))</f>
        <v>0.5372089614736306</v>
      </c>
      <c r="N37" s="20">
        <f>IF(SUMIFS(Selections!$T$6:$T$76,Selections!$G$6:$G$76,"48h-two-per-market-group-probability-ev-v24")=0,"n.a.",(SUMIFS(Selections!$L$6:$L$76,Selections!$G$6:$G$76,"48h-two-per-market-group-probability-ev-v24",Selections!$T$6:$T$76,1))/SUMIFS(Selections!$T$6:$T$76,Selections!$G$6:$G$76,"48h-two-per-market-group-probability-ev-v24"))</f>
        <v>0.6666666666666666</v>
      </c>
      <c r="O37" s="20">
        <f>IF(SUMIFS(Selections!$T$6:$T$76,Selections!$G$6:$G$76,"48h-two-per-market-group-probability-ev-v24")=0,"n.a.",(SUMIFS(Selections!$S$6:$S$76,Selections!$G$6:$G$76,"48h-two-per-market-group-probability-ev-v24")-(SUMIFS(Selections!$L$6:$L$76,Selections!$G$6:$G$76,"48h-two-per-market-group-probability-ev-v24",Selections!$T$6:$T$76,1)))/SUMIFS(Selections!$T$6:$T$76,Selections!$G$6:$G$76,"48h-two-per-market-group-probability-ev-v24"))</f>
        <v>-0.129457705193036</v>
      </c>
      <c r="P37" s="19">
        <f>SUMIFS(Selections!$T$6:$T$76,Selections!$G$6:$G$76,"48h-two-per-market-group-probability-ev-v24")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48h-zero-tolerance-ev1-common-no-loss75-v22</t>
        </is>
      </c>
      <c r="C38" s="19">
        <f>COUNTIFS(Selections!$G$6:$G$76,"48h-zero-tolerance-ev1-common-no-loss75-v22")</f>
        <v>8</v>
      </c>
      <c r="D38" s="19">
        <f>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7</v>
      </c>
      <c r="E38" s="19">
        <f>(COUNTIFS(Selections!$G$6:$G$76,"48h-zero-tolerance-ev1-common-no-loss75-v22",Selections!$K$6:$K$76,"WON")+COUNTIFS(Selections!$G$6:$G$76,"48h-zero-tolerance-ev1-common-no-loss75-v22",Selections!$K$6:$K$76,"HALF_WON"))</f>
        <v>7</v>
      </c>
      <c r="F38" s="19">
        <f>(COUNTIFS(Selections!$G$6:$G$76,"48h-zero-tolerance-ev1-common-no-loss75-v22",Selections!$K$6:$K$76,"LOST")+COUNTIFS(Selections!$G$6:$G$76,"48h-zero-tolerance-ev1-common-no-loss75-v22",Selections!$K$6:$K$76,"HALF_LOST"))</f>
        <v>0</v>
      </c>
      <c r="G38" s="19">
        <f>COUNTIFS(Selections!$G$6:$G$76,"48h-zero-tolerance-ev1-common-no-loss75-v22")-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1</v>
      </c>
      <c r="H38" s="20">
        <f>IF(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=0,"n.a.",(COUNTIFS(Selections!$G$6:$G$76,"48h-zero-tolerance-ev1-common-no-loss75-v22",Selections!$K$6:$K$76,"WON")+COUNTIFS(Selections!$G$6:$G$76,"48h-zero-tolerance-ev1-common-no-loss75-v22",Selections!$K$6:$K$76,"HALF_WON"))/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)</f>
        <v>1.0</v>
      </c>
      <c r="I38" s="22">
        <f>SUMIFS(Selections!$M$6:$M$76,Selections!$G$6:$G$76,"48h-zero-tolerance-ev1-common-no-loss75-v22")</f>
        <v>7</v>
      </c>
      <c r="J38" s="22">
        <f>SUMIFS(Selections!$N$6:$N$76,Selections!$G$6:$G$76,"48h-zero-tolerance-ev1-common-no-loss75-v22")</f>
        <v>2.37</v>
      </c>
      <c r="K38" s="20">
        <f>IF(SUMIFS(Selections!$M$6:$M$76,Selections!$G$6:$G$76,"48h-zero-tolerance-ev1-common-no-loss75-v22")=0,"n.a.",SUMIFS(Selections!$N$6:$N$76,Selections!$G$6:$G$76,"48h-zero-tolerance-ev1-common-no-loss75-v22")/SUMIFS(Selections!$M$6:$M$76,Selections!$G$6:$G$76,"48h-zero-tolerance-ev1-common-no-loss75-v22"))</f>
        <v>0.3385714285714286</v>
      </c>
      <c r="L38" s="21">
        <f>IF(SUMIFS(Selections!$T$6:$T$76,Selections!$G$6:$G$76,"48h-zero-tolerance-ev1-common-no-loss75-v22")=0,"n.a.",SUMIFS(Selections!$O$6:$O$76,Selections!$G$6:$G$76,"48h-zero-tolerance-ev1-common-no-loss75-v22")/SUMIFS(Selections!$T$6:$T$76,Selections!$G$6:$G$76,"48h-zero-tolerance-ev1-common-no-loss75-v22"))</f>
        <v>0.029217671084275306</v>
      </c>
      <c r="M38" s="20">
        <f>IF(SUMIFS(Selections!$T$6:$T$76,Selections!$G$6:$G$76,"48h-zero-tolerance-ev1-common-no-loss75-v22")=0,"n.a.",SUMIFS(Selections!$S$6:$S$76,Selections!$G$6:$G$76,"48h-zero-tolerance-ev1-common-no-loss75-v22")/SUMIFS(Selections!$T$6:$T$76,Selections!$G$6:$G$76,"48h-zero-tolerance-ev1-common-no-loss75-v22"))</f>
        <v>0.8361780388006138</v>
      </c>
      <c r="N38" s="20">
        <f>IF(SUMIFS(Selections!$T$6:$T$76,Selections!$G$6:$G$76,"48h-zero-tolerance-ev1-common-no-loss75-v22")=0,"n.a.",(SUMIFS(Selections!$L$6:$L$76,Selections!$G$6:$G$76,"48h-zero-tolerance-ev1-common-no-loss75-v22",Selections!$T$6:$T$76,1))/SUMIFS(Selections!$T$6:$T$76,Selections!$G$6:$G$76,"48h-zero-tolerance-ev1-common-no-loss75-v22"))</f>
        <v>1.0</v>
      </c>
      <c r="O38" s="20">
        <f>IF(SUMIFS(Selections!$T$6:$T$76,Selections!$G$6:$G$76,"48h-zero-tolerance-ev1-common-no-loss75-v22")=0,"n.a.",(SUMIFS(Selections!$S$6:$S$76,Selections!$G$6:$G$76,"48h-zero-tolerance-ev1-common-no-loss75-v22")-(SUMIFS(Selections!$L$6:$L$76,Selections!$G$6:$G$76,"48h-zero-tolerance-ev1-common-no-loss75-v22",Selections!$T$6:$T$76,1)))/SUMIFS(Selections!$T$6:$T$76,Selections!$G$6:$G$76,"48h-zero-tolerance-ev1-common-no-loss75-v22"))</f>
        <v>-0.1638219611993862</v>
      </c>
      <c r="P38" s="19">
        <f>SUMIFS(Selections!$T$6:$T$76,Selections!$G$6:$G$76,"48h-zero-tolerance-ev1-common-no-loss75-v22")</f>
        <v>7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(n=7).</v>
      </c>
      <c r="R38" s="18"/>
    </row>
    <row r="39" ht="36" customHeight="1">
      <c r="A39" s="18" t="inlineStr">
        <is>
          <t>Policy</t>
        </is>
      </c>
      <c r="B39" s="18" t="inlineStr">
        <is>
          <t>72h-all-markets-ev15-one-book-v6</t>
        </is>
      </c>
      <c r="C39" s="19">
        <f>COUNTIFS(Selections!$G$6:$G$76,"72h-all-markets-ev15-one-book-v6")</f>
        <v>1</v>
      </c>
      <c r="D39" s="19">
        <f>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1</v>
      </c>
      <c r="E39" s="19">
        <f>(COUNTIFS(Selections!$G$6:$G$76,"72h-all-markets-ev15-one-book-v6",Selections!$K$6:$K$76,"WON")+COUNTIFS(Selections!$G$6:$G$76,"72h-all-markets-ev15-one-book-v6",Selections!$K$6:$K$76,"HALF_WON"))</f>
        <v>1</v>
      </c>
      <c r="F39" s="19">
        <f>(COUNTIFS(Selections!$G$6:$G$76,"72h-all-markets-ev15-one-book-v6",Selections!$K$6:$K$76,"LOST")+COUNTIFS(Selections!$G$6:$G$76,"72h-all-markets-ev15-one-book-v6",Selections!$K$6:$K$76,"HALF_LOST"))</f>
        <v>0</v>
      </c>
      <c r="G39" s="19">
        <f>COUNTIFS(Selections!$G$6:$G$76,"72h-all-markets-ev15-one-book-v6")-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0</v>
      </c>
      <c r="H39" s="20">
        <f>IF(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=0,"n.a.",(COUNTIFS(Selections!$G$6:$G$76,"72h-all-markets-ev15-one-book-v6",Selections!$K$6:$K$76,"WON")+COUNTIFS(Selections!$G$6:$G$76,"72h-all-markets-ev15-one-book-v6",Selections!$K$6:$K$76,"HALF_WON"))/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)</f>
        <v>1.0</v>
      </c>
      <c r="I39" s="22">
        <f>SUMIFS(Selections!$M$6:$M$76,Selections!$G$6:$G$76,"72h-all-markets-ev15-one-book-v6")</f>
        <v>1</v>
      </c>
      <c r="J39" s="22">
        <f>SUMIFS(Selections!$N$6:$N$76,Selections!$G$6:$G$76,"72h-all-markets-ev15-one-book-v6")</f>
        <v>0.44999999999999996</v>
      </c>
      <c r="K39" s="20">
        <f>IF(SUMIFS(Selections!$M$6:$M$76,Selections!$G$6:$G$76,"72h-all-markets-ev15-one-book-v6")=0,"n.a.",SUMIFS(Selections!$N$6:$N$76,Selections!$G$6:$G$76,"72h-all-markets-ev15-one-book-v6")/SUMIFS(Selections!$M$6:$M$76,Selections!$G$6:$G$76,"72h-all-markets-ev15-one-book-v6"))</f>
        <v>0.44999999999999996</v>
      </c>
      <c r="L39" s="21">
        <f>IF(SUMIFS(Selections!$T$6:$T$76,Selections!$G$6:$G$76,"72h-all-markets-ev15-one-book-v6")=0,"n.a.",SUMIFS(Selections!$O$6:$O$76,Selections!$G$6:$G$76,"72h-all-markets-ev15-one-book-v6")/SUMIFS(Selections!$T$6:$T$76,Selections!$G$6:$G$76,"72h-all-markets-ev15-one-book-v6"))</f>
        <v>0.08610395019172555</v>
      </c>
      <c r="M39" s="20">
        <f>IF(SUMIFS(Selections!$T$6:$T$76,Selections!$G$6:$G$76,"72h-all-markets-ev15-one-book-v6")=0,"n.a.",SUMIFS(Selections!$S$6:$S$76,Selections!$G$6:$G$76,"72h-all-markets-ev15-one-book-v6")/SUMIFS(Selections!$T$6:$T$76,Selections!$G$6:$G$76,"72h-all-markets-ev15-one-book-v6"))</f>
        <v>0.706565253946085</v>
      </c>
      <c r="N39" s="20">
        <f>IF(SUMIFS(Selections!$T$6:$T$76,Selections!$G$6:$G$76,"72h-all-markets-ev15-one-book-v6")=0,"n.a.",(SUMIFS(Selections!$L$6:$L$76,Selections!$G$6:$G$76,"72h-all-markets-ev15-one-book-v6",Selections!$T$6:$T$76,1))/SUMIFS(Selections!$T$6:$T$76,Selections!$G$6:$G$76,"72h-all-markets-ev15-one-book-v6"))</f>
        <v>1.0</v>
      </c>
      <c r="O39" s="20">
        <f>IF(SUMIFS(Selections!$T$6:$T$76,Selections!$G$6:$G$76,"72h-all-markets-ev15-one-book-v6")=0,"n.a.",(SUMIFS(Selections!$S$6:$S$76,Selections!$G$6:$G$76,"72h-all-markets-ev15-one-book-v6")-(SUMIFS(Selections!$L$6:$L$76,Selections!$G$6:$G$76,"72h-all-markets-ev15-one-book-v6",Selections!$T$6:$T$76,1)))/SUMIFS(Selections!$T$6:$T$76,Selections!$G$6:$G$76,"72h-all-markets-ev15-one-book-v6"))</f>
        <v>-0.29343474605391495</v>
      </c>
      <c r="P39" s="19">
        <f>SUMIFS(Selections!$T$6:$T$76,Selections!$G$6:$G$76,"72h-all-markets-ev15-one-book-v6")</f>
        <v>1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(n=1).</v>
      </c>
      <c r="R39" s="18"/>
    </row>
    <row r="40" ht="36" customHeight="1">
      <c r="A40" s="18" t="inlineStr">
        <is>
          <t>Policy</t>
        </is>
      </c>
      <c r="B40" s="18" t="inlineStr">
        <is>
          <t>72h-all-markets-net-ev15-execution-v7</t>
        </is>
      </c>
      <c r="C40" s="19">
        <f>COUNTIFS(Selections!$G$6:$G$76,"72h-all-markets-net-ev15-execution-v7")</f>
        <v>5</v>
      </c>
      <c r="D40" s="19">
        <f>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4</v>
      </c>
      <c r="E40" s="19">
        <f>(COUNTIFS(Selections!$G$6:$G$76,"72h-all-markets-net-ev15-execution-v7",Selections!$K$6:$K$76,"WON")+COUNTIFS(Selections!$G$6:$G$76,"72h-all-markets-net-ev15-execution-v7",Selections!$K$6:$K$76,"HALF_WON"))</f>
        <v>4</v>
      </c>
      <c r="F40" s="19">
        <f>(COUNTIFS(Selections!$G$6:$G$76,"72h-all-markets-net-ev15-execution-v7",Selections!$K$6:$K$76,"LOST")+COUNTIFS(Selections!$G$6:$G$76,"72h-all-markets-net-ev15-execution-v7",Selections!$K$6:$K$76,"HALF_LOST"))</f>
        <v>0</v>
      </c>
      <c r="G40" s="19">
        <f>COUNTIFS(Selections!$G$6:$G$76,"72h-all-markets-net-ev15-execution-v7")-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1</v>
      </c>
      <c r="H40" s="20">
        <f>IF(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=0,"n.a.",(COUNTIFS(Selections!$G$6:$G$76,"72h-all-markets-net-ev15-execution-v7",Selections!$K$6:$K$76,"WON")+COUNTIFS(Selections!$G$6:$G$76,"72h-all-markets-net-ev15-execution-v7",Selections!$K$6:$K$76,"HALF_WON"))/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)</f>
        <v>1.0</v>
      </c>
      <c r="I40" s="22">
        <f>SUMIFS(Selections!$M$6:$M$76,Selections!$G$6:$G$76,"72h-all-markets-net-ev15-execution-v7")</f>
        <v>4</v>
      </c>
      <c r="J40" s="22">
        <f>SUMIFS(Selections!$N$6:$N$76,Selections!$G$6:$G$76,"72h-all-markets-net-ev15-execution-v7")</f>
        <v>1.74</v>
      </c>
      <c r="K40" s="20">
        <f>IF(SUMIFS(Selections!$M$6:$M$76,Selections!$G$6:$G$76,"72h-all-markets-net-ev15-execution-v7")=0,"n.a.",SUMIFS(Selections!$N$6:$N$76,Selections!$G$6:$G$76,"72h-all-markets-net-ev15-execution-v7")/SUMIFS(Selections!$M$6:$M$76,Selections!$G$6:$G$76,"72h-all-markets-net-ev15-execution-v7"))</f>
        <v>0.435</v>
      </c>
      <c r="L40" s="21">
        <f>IF(SUMIFS(Selections!$T$6:$T$76,Selections!$G$6:$G$76,"72h-all-markets-net-ev15-execution-v7")=0,"n.a.",SUMIFS(Selections!$O$6:$O$76,Selections!$G$6:$G$76,"72h-all-markets-net-ev15-execution-v7")/SUMIFS(Selections!$T$6:$T$76,Selections!$G$6:$G$76,"72h-all-markets-net-ev15-execution-v7"))</f>
        <v>0.05403053120768371</v>
      </c>
      <c r="M40" s="20">
        <f>IF(SUMIFS(Selections!$T$6:$T$76,Selections!$G$6:$G$76,"72h-all-markets-net-ev15-execution-v7")=0,"n.a.",SUMIFS(Selections!$S$6:$S$76,Selections!$G$6:$G$76,"72h-all-markets-net-ev15-execution-v7")/SUMIFS(Selections!$T$6:$T$76,Selections!$G$6:$G$76,"72h-all-markets-net-ev15-execution-v7"))</f>
        <v>0.7950551078170468</v>
      </c>
      <c r="N40" s="20">
        <f>IF(SUMIFS(Selections!$T$6:$T$76,Selections!$G$6:$G$76,"72h-all-markets-net-ev15-execution-v7")=0,"n.a.",(SUMIFS(Selections!$L$6:$L$76,Selections!$G$6:$G$76,"72h-all-markets-net-ev15-execution-v7",Selections!$T$6:$T$76,1))/SUMIFS(Selections!$T$6:$T$76,Selections!$G$6:$G$76,"72h-all-markets-net-ev15-execution-v7"))</f>
        <v>1.0</v>
      </c>
      <c r="O40" s="20">
        <f>IF(SUMIFS(Selections!$T$6:$T$76,Selections!$G$6:$G$76,"72h-all-markets-net-ev15-execution-v7")=0,"n.a.",(SUMIFS(Selections!$S$6:$S$76,Selections!$G$6:$G$76,"72h-all-markets-net-ev15-execution-v7")-(SUMIFS(Selections!$L$6:$L$76,Selections!$G$6:$G$76,"72h-all-markets-net-ev15-execution-v7",Selections!$T$6:$T$76,1)))/SUMIFS(Selections!$T$6:$T$76,Selections!$G$6:$G$76,"72h-all-markets-net-ev15-execution-v7"))</f>
        <v>-0.2049448921829532</v>
      </c>
      <c r="P40" s="19">
        <f>SUMIFS(Selections!$T$6:$T$76,Selections!$G$6:$G$76,"72h-all-markets-net-ev15-execution-v7")</f>
        <v>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(n=4).</v>
      </c>
      <c r="R40" s="18"/>
    </row>
    <row r="41" ht="36" customHeight="1">
      <c r="A41" s="18" t="inlineStr">
        <is>
          <t>Policy</t>
        </is>
      </c>
      <c r="B41" s="18" t="inlineStr">
        <is>
          <t>72h-seven-markets-fresh-references-net-ev15-v11</t>
        </is>
      </c>
      <c r="C41" s="19">
        <f>COUNTIFS(Selections!$G$6:$G$76,"72h-seven-markets-fresh-references-net-ev15-v11")</f>
        <v>5</v>
      </c>
      <c r="D41" s="19">
        <f>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5</v>
      </c>
      <c r="E41" s="19">
        <f>(COUNTIFS(Selections!$G$6:$G$76,"72h-seven-markets-fresh-references-net-ev15-v11",Selections!$K$6:$K$76,"WON")+COUNTIFS(Selections!$G$6:$G$76,"72h-seven-markets-fresh-references-net-ev15-v11",Selections!$K$6:$K$76,"HALF_WON"))</f>
        <v>4</v>
      </c>
      <c r="F41" s="19">
        <f>(COUNTIFS(Selections!$G$6:$G$76,"72h-seven-markets-fresh-references-net-ev15-v11",Selections!$K$6:$K$76,"LOST")+COUNTIFS(Selections!$G$6:$G$76,"72h-seven-markets-fresh-references-net-ev15-v11",Selections!$K$6:$K$76,"HALF_LOST"))</f>
        <v>1</v>
      </c>
      <c r="G41" s="19">
        <f>COUNTIFS(Selections!$G$6:$G$76,"72h-seven-markets-fresh-references-net-ev15-v11")-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0</v>
      </c>
      <c r="H41" s="20">
        <f>IF(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=0,"n.a.",(COUNTIFS(Selections!$G$6:$G$76,"72h-seven-markets-fresh-references-net-ev15-v11",Selections!$K$6:$K$76,"WON")+COUNTIFS(Selections!$G$6:$G$76,"72h-seven-markets-fresh-references-net-ev15-v11",Selections!$K$6:$K$76,"HALF_WON"))/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)</f>
        <v>0.8</v>
      </c>
      <c r="I41" s="22">
        <f>SUMIFS(Selections!$M$6:$M$76,Selections!$G$6:$G$76,"72h-seven-markets-fresh-references-net-ev15-v11")</f>
        <v>5</v>
      </c>
      <c r="J41" s="22">
        <f>SUMIFS(Selections!$N$6:$N$76,Selections!$G$6:$G$76,"72h-seven-markets-fresh-references-net-ev15-v11")</f>
        <v>0.3600000000000001</v>
      </c>
      <c r="K41" s="20">
        <f>IF(SUMIFS(Selections!$M$6:$M$76,Selections!$G$6:$G$76,"72h-seven-markets-fresh-references-net-ev15-v11")=0,"n.a.",SUMIFS(Selections!$N$6:$N$76,Selections!$G$6:$G$76,"72h-seven-markets-fresh-references-net-ev15-v11")/SUMIFS(Selections!$M$6:$M$76,Selections!$G$6:$G$76,"72h-seven-markets-fresh-references-net-ev15-v11"))</f>
        <v>0.07200000000000002</v>
      </c>
      <c r="L41" s="21">
        <f>IF(SUMIFS(Selections!$T$6:$T$76,Selections!$G$6:$G$76,"72h-seven-markets-fresh-references-net-ev15-v11")=0,"n.a.",SUMIFS(Selections!$O$6:$O$76,Selections!$G$6:$G$76,"72h-seven-markets-fresh-references-net-ev15-v11")/SUMIFS(Selections!$T$6:$T$76,Selections!$G$6:$G$76,"72h-seven-markets-fresh-references-net-ev15-v11"))</f>
        <v>0.12900891729637554</v>
      </c>
      <c r="M41" s="20">
        <f>IF(SUMIFS(Selections!$T$6:$T$76,Selections!$G$6:$G$76,"72h-seven-markets-fresh-references-net-ev15-v11")=0,"n.a.",SUMIFS(Selections!$S$6:$S$76,Selections!$G$6:$G$76,"72h-seven-markets-fresh-references-net-ev15-v11")/SUMIFS(Selections!$T$6:$T$76,Selections!$G$6:$G$76,"72h-seven-markets-fresh-references-net-ev15-v11"))</f>
        <v>0.7527708085856005</v>
      </c>
      <c r="N41" s="20">
        <f>IF(SUMIFS(Selections!$T$6:$T$76,Selections!$G$6:$G$76,"72h-seven-markets-fresh-references-net-ev15-v11")=0,"n.a.",(SUMIFS(Selections!$L$6:$L$76,Selections!$G$6:$G$76,"72h-seven-markets-fresh-references-net-ev15-v11",Selections!$T$6:$T$76,1))/SUMIFS(Selections!$T$6:$T$76,Selections!$G$6:$G$76,"72h-seven-markets-fresh-references-net-ev15-v11"))</f>
        <v>0.8</v>
      </c>
      <c r="O41" s="20">
        <f>IF(SUMIFS(Selections!$T$6:$T$76,Selections!$G$6:$G$76,"72h-seven-markets-fresh-references-net-ev15-v11")=0,"n.a.",(SUMIFS(Selections!$S$6:$S$76,Selections!$G$6:$G$76,"72h-seven-markets-fresh-references-net-ev15-v11")-(SUMIFS(Selections!$L$6:$L$76,Selections!$G$6:$G$76,"72h-seven-markets-fresh-references-net-ev15-v11",Selections!$T$6:$T$76,1)))/SUMIFS(Selections!$T$6:$T$76,Selections!$G$6:$G$76,"72h-seven-markets-fresh-references-net-ev15-v11"))</f>
        <v>-0.04722919141439952</v>
      </c>
      <c r="P41" s="19">
        <f>SUMIFS(Selections!$T$6:$T$76,Selections!$G$6:$G$76,"72h-seven-markets-fresh-references-net-ev15-v11")</f>
        <v>5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(n=5).</v>
      </c>
      <c r="R41" s="18"/>
    </row>
    <row r="42" ht="36" customHeight="1">
      <c r="A42" s="18" t="inlineStr">
        <is>
          <t>Policy</t>
        </is>
      </c>
      <c r="B42" s="18" t="inlineStr">
        <is>
          <t>72h-ucl-v2</t>
        </is>
      </c>
      <c r="C42" s="19">
        <f>COUNTIFS(Selections!$G$6:$G$76,"72h-ucl-v2")</f>
        <v>1</v>
      </c>
      <c r="D42" s="19">
        <f>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1</v>
      </c>
      <c r="E42" s="19">
        <f>(COUNTIFS(Selections!$G$6:$G$76,"72h-ucl-v2",Selections!$K$6:$K$76,"WON")+COUNTIFS(Selections!$G$6:$G$76,"72h-ucl-v2",Selections!$K$6:$K$76,"HALF_WON"))</f>
        <v>1</v>
      </c>
      <c r="F42" s="19">
        <f>(COUNTIFS(Selections!$G$6:$G$76,"72h-ucl-v2",Selections!$K$6:$K$76,"LOST")+COUNTIFS(Selections!$G$6:$G$76,"72h-ucl-v2",Selections!$K$6:$K$76,"HALF_LOST"))</f>
        <v>0</v>
      </c>
      <c r="G42" s="19">
        <f>COUNTIFS(Selections!$G$6:$G$76,"72h-ucl-v2")-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0</v>
      </c>
      <c r="H42" s="20">
        <f>IF(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=0,"n.a.",(COUNTIFS(Selections!$G$6:$G$76,"72h-ucl-v2",Selections!$K$6:$K$76,"WON")+COUNTIFS(Selections!$G$6:$G$76,"72h-ucl-v2",Selections!$K$6:$K$76,"HALF_WON"))/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)</f>
        <v>1.0</v>
      </c>
      <c r="I42" s="22">
        <f>SUMIFS(Selections!$M$6:$M$76,Selections!$G$6:$G$76,"72h-ucl-v2")</f>
        <v>1</v>
      </c>
      <c r="J42" s="22">
        <f>SUMIFS(Selections!$N$6:$N$76,Selections!$G$6:$G$76,"72h-ucl-v2")</f>
        <v>0.28</v>
      </c>
      <c r="K42" s="20">
        <f>IF(SUMIFS(Selections!$M$6:$M$76,Selections!$G$6:$G$76,"72h-ucl-v2")=0,"n.a.",SUMIFS(Selections!$N$6:$N$76,Selections!$G$6:$G$76,"72h-ucl-v2")/SUMIFS(Selections!$M$6:$M$76,Selections!$G$6:$G$76,"72h-ucl-v2"))</f>
        <v>0.28</v>
      </c>
      <c r="L42" s="21">
        <f>IF(SUMIFS(Selections!$T$6:$T$76,Selections!$G$6:$G$76,"72h-ucl-v2")=0,"n.a.",SUMIFS(Selections!$O$6:$O$76,Selections!$G$6:$G$76,"72h-ucl-v2")/SUMIFS(Selections!$T$6:$T$76,Selections!$G$6:$G$76,"72h-ucl-v2"))</f>
        <v>0.041442876272802645</v>
      </c>
      <c r="M42" s="20">
        <f>IF(SUMIFS(Selections!$T$6:$T$76,Selections!$G$6:$G$76,"72h-ucl-v2")=0,"n.a.",SUMIFS(Selections!$S$6:$S$76,Selections!$G$6:$G$76,"72h-ucl-v2")/SUMIFS(Selections!$T$6:$T$76,Selections!$G$6:$G$76,"72h-ucl-v2"))</f>
        <v>0.7964247650798294</v>
      </c>
      <c r="N42" s="20">
        <f>IF(SUMIFS(Selections!$T$6:$T$76,Selections!$G$6:$G$76,"72h-ucl-v2")=0,"n.a.",(SUMIFS(Selections!$L$6:$L$76,Selections!$G$6:$G$76,"72h-ucl-v2",Selections!$T$6:$T$76,1))/SUMIFS(Selections!$T$6:$T$76,Selections!$G$6:$G$76,"72h-ucl-v2"))</f>
        <v>1.0</v>
      </c>
      <c r="O42" s="20">
        <f>IF(SUMIFS(Selections!$T$6:$T$76,Selections!$G$6:$G$76,"72h-ucl-v2")=0,"n.a.",(SUMIFS(Selections!$S$6:$S$76,Selections!$G$6:$G$76,"72h-ucl-v2")-(SUMIFS(Selections!$L$6:$L$76,Selections!$G$6:$G$76,"72h-ucl-v2",Selections!$T$6:$T$76,1)))/SUMIFS(Selections!$T$6:$T$76,Selections!$G$6:$G$76,"72h-ucl-v2"))</f>
        <v>-0.2035752349201706</v>
      </c>
      <c r="P42" s="19">
        <f>SUMIFS(Selections!$T$6:$T$76,Selections!$G$6:$G$76,"72h-ucl-v2")</f>
        <v>1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(n=1).</v>
      </c>
      <c r="R42" s="18"/>
    </row>
    <row r="43" ht="36" customHeight="1">
      <c r="A43" s="18" t="inlineStr">
        <is>
          <t>Policy</t>
        </is>
      </c>
      <c r="B43" s="18" t="inlineStr">
        <is>
          <t>72h-ucl-v3</t>
        </is>
      </c>
      <c r="C43" s="19">
        <f>COUNTIFS(Selections!$G$6:$G$76,"72h-ucl-v3")</f>
        <v>7</v>
      </c>
      <c r="D43" s="19">
        <f>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6</v>
      </c>
      <c r="E43" s="19">
        <f>(COUNTIFS(Selections!$G$6:$G$76,"72h-ucl-v3",Selections!$K$6:$K$76,"WON")+COUNTIFS(Selections!$G$6:$G$76,"72h-ucl-v3",Selections!$K$6:$K$76,"HALF_WON"))</f>
        <v>3</v>
      </c>
      <c r="F43" s="19">
        <f>(COUNTIFS(Selections!$G$6:$G$76,"72h-ucl-v3",Selections!$K$6:$K$76,"LOST")+COUNTIFS(Selections!$G$6:$G$76,"72h-ucl-v3",Selections!$K$6:$K$76,"HALF_LOST"))</f>
        <v>3</v>
      </c>
      <c r="G43" s="19">
        <f>COUNTIFS(Selections!$G$6:$G$76,"72h-ucl-v3")-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1</v>
      </c>
      <c r="H43" s="20">
        <f>IF(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=0,"n.a.",(COUNTIFS(Selections!$G$6:$G$76,"72h-ucl-v3",Selections!$K$6:$K$76,"WON")+COUNTIFS(Selections!$G$6:$G$76,"72h-ucl-v3",Selections!$K$6:$K$76,"HALF_WON"))/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)</f>
        <v>0.5</v>
      </c>
      <c r="I43" s="22">
        <f>SUMIFS(Selections!$M$6:$M$76,Selections!$G$6:$G$76,"72h-ucl-v3")</f>
        <v>6</v>
      </c>
      <c r="J43" s="22">
        <f>SUMIFS(Selections!$N$6:$N$76,Selections!$G$6:$G$76,"72h-ucl-v3")</f>
        <v>-1.7100000000000002</v>
      </c>
      <c r="K43" s="20">
        <f>IF(SUMIFS(Selections!$M$6:$M$76,Selections!$G$6:$G$76,"72h-ucl-v3")=0,"n.a.",SUMIFS(Selections!$N$6:$N$76,Selections!$G$6:$G$76,"72h-ucl-v3")/SUMIFS(Selections!$M$6:$M$76,Selections!$G$6:$G$76,"72h-ucl-v3"))</f>
        <v>-0.28500000000000003</v>
      </c>
      <c r="L43" s="21">
        <f>IF(SUMIFS(Selections!$T$6:$T$76,Selections!$G$6:$G$76,"72h-ucl-v3")=0,"n.a.",SUMIFS(Selections!$O$6:$O$76,Selections!$G$6:$G$76,"72h-ucl-v3")/SUMIFS(Selections!$T$6:$T$76,Selections!$G$6:$G$76,"72h-ucl-v3"))</f>
        <v>0.3538657630451178</v>
      </c>
      <c r="M43" s="20">
        <f>IF(SUMIFS(Selections!$T$6:$T$76,Selections!$G$6:$G$76,"72h-ucl-v3")=0,"n.a.",SUMIFS(Selections!$S$6:$S$76,Selections!$G$6:$G$76,"72h-ucl-v3")/SUMIFS(Selections!$T$6:$T$76,Selections!$G$6:$G$76,"72h-ucl-v3"))</f>
        <v>0.7987491501653422</v>
      </c>
      <c r="N43" s="20">
        <f>IF(SUMIFS(Selections!$T$6:$T$76,Selections!$G$6:$G$76,"72h-ucl-v3")=0,"n.a.",(SUMIFS(Selections!$L$6:$L$76,Selections!$G$6:$G$76,"72h-ucl-v3",Selections!$T$6:$T$76,1))/SUMIFS(Selections!$T$6:$T$76,Selections!$G$6:$G$76,"72h-ucl-v3"))</f>
        <v>0.5</v>
      </c>
      <c r="O43" s="20">
        <f>IF(SUMIFS(Selections!$T$6:$T$76,Selections!$G$6:$G$76,"72h-ucl-v3")=0,"n.a.",(SUMIFS(Selections!$S$6:$S$76,Selections!$G$6:$G$76,"72h-ucl-v3")-(SUMIFS(Selections!$L$6:$L$76,Selections!$G$6:$G$76,"72h-ucl-v3",Selections!$T$6:$T$76,1)))/SUMIFS(Selections!$T$6:$T$76,Selections!$G$6:$G$76,"72h-ucl-v3"))</f>
        <v>0.2987491501653422</v>
      </c>
      <c r="P43" s="19">
        <f>SUMIFS(Selections!$T$6:$T$76,Selections!$G$6:$G$76,"72h-ucl-v3")</f>
        <v>6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(n=6).</v>
      </c>
      <c r="R43" s="18"/>
    </row>
    <row r="44" ht="36" customHeight="1">
      <c r="A44" s="18" t="inlineStr">
        <is>
          <t>Policy</t>
        </is>
      </c>
      <c r="B44" s="18" t="inlineStr">
        <is>
          <t>legacy/unspecified</t>
        </is>
      </c>
      <c r="C44" s="19">
        <f>COUNTIFS(Selections!$G$6:$G$76,"legacy/unspecified")</f>
        <v>2</v>
      </c>
      <c r="D44" s="19">
        <f>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2</v>
      </c>
      <c r="E44" s="19">
        <f>(COUNTIFS(Selections!$G$6:$G$76,"legacy/unspecified",Selections!$K$6:$K$76,"WON")+COUNTIFS(Selections!$G$6:$G$76,"legacy/unspecified",Selections!$K$6:$K$76,"HALF_WON"))</f>
        <v>2</v>
      </c>
      <c r="F44" s="19">
        <f>(COUNTIFS(Selections!$G$6:$G$76,"legacy/unspecified",Selections!$K$6:$K$76,"LOST")+COUNTIFS(Selections!$G$6:$G$76,"legacy/unspecified",Selections!$K$6:$K$76,"HALF_LOST"))</f>
        <v>0</v>
      </c>
      <c r="G44" s="19">
        <f>COUNTIFS(Selections!$G$6:$G$76,"legacy/unspecified")-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0</v>
      </c>
      <c r="H44" s="20">
        <f>IF(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=0,"n.a.",(COUNTIFS(Selections!$G$6:$G$76,"legacy/unspecified",Selections!$K$6:$K$76,"WON")+COUNTIFS(Selections!$G$6:$G$76,"legacy/unspecified",Selections!$K$6:$K$76,"HALF_WON"))/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)</f>
        <v>1.0</v>
      </c>
      <c r="I44" s="22">
        <f>SUMIFS(Selections!$M$6:$M$76,Selections!$G$6:$G$76,"legacy/unspecified")</f>
        <v>2</v>
      </c>
      <c r="J44" s="22">
        <f>SUMIFS(Selections!$N$6:$N$76,Selections!$G$6:$G$76,"legacy/unspecified")</f>
        <v>0.6399999999999999</v>
      </c>
      <c r="K44" s="20">
        <f>IF(SUMIFS(Selections!$M$6:$M$76,Selections!$G$6:$G$76,"legacy/unspecified")=0,"n.a.",SUMIFS(Selections!$N$6:$N$76,Selections!$G$6:$G$76,"legacy/unspecified")/SUMIFS(Selections!$M$6:$M$76,Selections!$G$6:$G$76,"legacy/unspecified"))</f>
        <v>0.31999999999999995</v>
      </c>
      <c r="L44" s="21">
        <f>IF(SUMIFS(Selections!$T$6:$T$76,Selections!$G$6:$G$76,"legacy/unspecified")=0,"n.a.",SUMIFS(Selections!$O$6:$O$76,Selections!$G$6:$G$76,"legacy/unspecified")/SUMIFS(Selections!$T$6:$T$76,Selections!$G$6:$G$76,"legacy/unspecified"))</f>
        <v>0.022741501209119913</v>
      </c>
      <c r="M44" s="20">
        <f>IF(SUMIFS(Selections!$T$6:$T$76,Selections!$G$6:$G$76,"legacy/unspecified")=0,"n.a.",SUMIFS(Selections!$S$6:$S$76,Selections!$G$6:$G$76,"legacy/unspecified")/SUMIFS(Selections!$T$6:$T$76,Selections!$G$6:$G$76,"legacy/unspecified"))</f>
        <v>0.8612313600870412</v>
      </c>
      <c r="N44" s="20">
        <f>IF(SUMIFS(Selections!$T$6:$T$76,Selections!$G$6:$G$76,"legacy/unspecified")=0,"n.a.",(SUMIFS(Selections!$L$6:$L$76,Selections!$G$6:$G$76,"legacy/unspecified",Selections!$T$6:$T$76,1))/SUMIFS(Selections!$T$6:$T$76,Selections!$G$6:$G$76,"legacy/unspecified"))</f>
        <v>1.0</v>
      </c>
      <c r="O44" s="20">
        <f>IF(SUMIFS(Selections!$T$6:$T$76,Selections!$G$6:$G$76,"legacy/unspecified")=0,"n.a.",(SUMIFS(Selections!$S$6:$S$76,Selections!$G$6:$G$76,"legacy/unspecified")-(SUMIFS(Selections!$L$6:$L$76,Selections!$G$6:$G$76,"legacy/unspecified",Selections!$T$6:$T$76,1)))/SUMIFS(Selections!$T$6:$T$76,Selections!$G$6:$G$76,"legacy/unspecified"))</f>
        <v>-0.13876863991295885</v>
      </c>
      <c r="P44" s="19">
        <f>SUMIFS(Selections!$T$6:$T$76,Selections!$G$6:$G$76,"legacy/unspecified")</f>
        <v>2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(n=2).</v>
      </c>
      <c r="R44" s="18"/>
    </row>
    <row r="45" ht="36" customHeight="1">
      <c r="A45" s="18" t="inlineStr">
        <is>
          <t>Week</t>
        </is>
      </c>
      <c r="B45" s="18" t="inlineStr">
        <is>
          <t>2026-W41</t>
        </is>
      </c>
      <c r="C45" s="19">
        <f>COUNTIFS(Selections!$P$6:$P$76,"2026-W41")</f>
        <v>5</v>
      </c>
      <c r="D45" s="19">
        <f>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4</v>
      </c>
      <c r="E45" s="19">
        <f>(COUNTIFS(Selections!$P$6:$P$76,"2026-W41",Selections!$K$6:$K$76,"WON")+COUNTIFS(Selections!$P$6:$P$76,"2026-W41",Selections!$K$6:$K$76,"HALF_WON"))</f>
        <v>2</v>
      </c>
      <c r="F45" s="19">
        <f>(COUNTIFS(Selections!$P$6:$P$76,"2026-W41",Selections!$K$6:$K$76,"LOST")+COUNTIFS(Selections!$P$6:$P$76,"2026-W41",Selections!$K$6:$K$76,"HALF_LOST"))</f>
        <v>2</v>
      </c>
      <c r="G45" s="19">
        <f>COUNTIFS(Selections!$P$6:$P$76,"2026-W41")-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1</v>
      </c>
      <c r="H45" s="20">
        <f>IF(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=0,"n.a.",(COUNTIFS(Selections!$P$6:$P$76,"2026-W41",Selections!$K$6:$K$76,"WON")+COUNTIFS(Selections!$P$6:$P$76,"2026-W41",Selections!$K$6:$K$76,"HALF_WON"))/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)</f>
        <v>0.5</v>
      </c>
      <c r="I45" s="22">
        <f>SUMIFS(Selections!$M$6:$M$76,Selections!$P$6:$P$76,"2026-W41")</f>
        <v>4</v>
      </c>
      <c r="J45" s="22">
        <f>SUMIFS(Selections!$N$6:$N$76,Selections!$P$6:$P$76,"2026-W41")</f>
        <v>-1.48</v>
      </c>
      <c r="K45" s="20">
        <f>IF(SUMIFS(Selections!$M$6:$M$76,Selections!$P$6:$P$76,"2026-W41")=0,"n.a.",SUMIFS(Selections!$N$6:$N$76,Selections!$P$6:$P$76,"2026-W41")/SUMIFS(Selections!$M$6:$M$76,Selections!$P$6:$P$76,"2026-W41"))</f>
        <v>-0.37</v>
      </c>
      <c r="L45" s="21">
        <f>IF(SUMIFS(Selections!$T$6:$T$76,Selections!$P$6:$P$76,"2026-W41")=0,"n.a.",SUMIFS(Selections!$O$6:$O$76,Selections!$P$6:$P$76,"2026-W41")/SUMIFS(Selections!$T$6:$T$76,Selections!$P$6:$P$76,"2026-W41"))</f>
        <v>0.32924630276534106</v>
      </c>
      <c r="M45" s="20">
        <f>IF(SUMIFS(Selections!$T$6:$T$76,Selections!$P$6:$P$76,"2026-W41")=0,"n.a.",SUMIFS(Selections!$S$6:$S$76,Selections!$P$6:$P$76,"2026-W41")/SUMIFS(Selections!$T$6:$T$76,Selections!$P$6:$P$76,"2026-W41"))</f>
        <v>0.8212200676021444</v>
      </c>
      <c r="N45" s="20">
        <f>IF(SUMIFS(Selections!$T$6:$T$76,Selections!$P$6:$P$76,"2026-W41")=0,"n.a.",(SUMIFS(Selections!$L$6:$L$76,Selections!$P$6:$P$76,"2026-W41",Selections!$T$6:$T$76,1))/SUMIFS(Selections!$T$6:$T$76,Selections!$P$6:$P$76,"2026-W41"))</f>
        <v>0.5</v>
      </c>
      <c r="O45" s="20">
        <f>IF(SUMIFS(Selections!$T$6:$T$76,Selections!$P$6:$P$76,"2026-W41")=0,"n.a.",(SUMIFS(Selections!$S$6:$S$76,Selections!$P$6:$P$76,"2026-W41")-(SUMIFS(Selections!$L$6:$L$76,Selections!$P$6:$P$76,"2026-W41",Selections!$T$6:$T$76,1)))/SUMIFS(Selections!$T$6:$T$76,Selections!$P$6:$P$76,"2026-W41"))</f>
        <v>0.3212200676021444</v>
      </c>
      <c r="P45" s="19">
        <f>SUMIFS(Selections!$T$6:$T$76,Selections!$P$6:$P$76,"2026-W41")</f>
        <v>4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(n=4).</v>
      </c>
      <c r="R45" s="18"/>
    </row>
    <row r="46" ht="36" customHeight="1">
      <c r="A46" s="18" t="inlineStr">
        <is>
          <t>Week</t>
        </is>
      </c>
      <c r="B46" s="18" t="inlineStr">
        <is>
          <t>2026-W42</t>
        </is>
      </c>
      <c r="C46" s="19">
        <f>COUNTIFS(Selections!$P$6:$P$76,"2026-W42")</f>
        <v>24</v>
      </c>
      <c r="D46" s="19">
        <f>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22</v>
      </c>
      <c r="E46" s="19">
        <f>(COUNTIFS(Selections!$P$6:$P$76,"2026-W42",Selections!$K$6:$K$76,"WON")+COUNTIFS(Selections!$P$6:$P$76,"2026-W42",Selections!$K$6:$K$76,"HALF_WON"))</f>
        <v>19</v>
      </c>
      <c r="F46" s="19">
        <f>(COUNTIFS(Selections!$P$6:$P$76,"2026-W42",Selections!$K$6:$K$76,"LOST")+COUNTIFS(Selections!$P$6:$P$76,"2026-W42",Selections!$K$6:$K$76,"HALF_LOST"))</f>
        <v>3</v>
      </c>
      <c r="G46" s="19">
        <f>COUNTIFS(Selections!$P$6:$P$76,"2026-W42")-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</v>
      </c>
      <c r="H46" s="20">
        <f>IF(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=0,"n.a.",(COUNTIFS(Selections!$P$6:$P$76,"2026-W42",Selections!$K$6:$K$76,"WON")+COUNTIFS(Selections!$P$6:$P$76,"2026-W42",Selections!$K$6:$K$76,"HALF_WON"))/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)</f>
        <v>0.8636363636363636</v>
      </c>
      <c r="I46" s="22">
        <f>SUMIFS(Selections!$M$6:$M$76,Selections!$P$6:$P$76,"2026-W42")</f>
        <v>22</v>
      </c>
      <c r="J46" s="22">
        <f>SUMIFS(Selections!$N$6:$N$76,Selections!$P$6:$P$76,"2026-W42")</f>
        <v>4.289999999999999</v>
      </c>
      <c r="K46" s="20">
        <f>IF(SUMIFS(Selections!$M$6:$M$76,Selections!$P$6:$P$76,"2026-W42")=0,"n.a.",SUMIFS(Selections!$N$6:$N$76,Selections!$P$6:$P$76,"2026-W42")/SUMIFS(Selections!$M$6:$M$76,Selections!$P$6:$P$76,"2026-W42"))</f>
        <v>0.19499999999999995</v>
      </c>
      <c r="L46" s="21">
        <f>IF(SUMIFS(Selections!$T$6:$T$76,Selections!$P$6:$P$76,"2026-W42")=0,"n.a.",SUMIFS(Selections!$O$6:$O$76,Selections!$P$6:$P$76,"2026-W42")/SUMIFS(Selections!$T$6:$T$76,Selections!$P$6:$P$76,"2026-W42"))</f>
        <v>0.13041357566209277</v>
      </c>
      <c r="M46" s="20">
        <f>IF(SUMIFS(Selections!$T$6:$T$76,Selections!$P$6:$P$76,"2026-W42")=0,"n.a.",SUMIFS(Selections!$S$6:$S$76,Selections!$P$6:$P$76,"2026-W42")/SUMIFS(Selections!$T$6:$T$76,Selections!$P$6:$P$76,"2026-W42"))</f>
        <v>0.7692010233716516</v>
      </c>
      <c r="N46" s="20">
        <f>IF(SUMIFS(Selections!$T$6:$T$76,Selections!$P$6:$P$76,"2026-W42")=0,"n.a.",(SUMIFS(Selections!$L$6:$L$76,Selections!$P$6:$P$76,"2026-W42",Selections!$T$6:$T$76,1))/SUMIFS(Selections!$T$6:$T$76,Selections!$P$6:$P$76,"2026-W42"))</f>
        <v>0.8636363636363636</v>
      </c>
      <c r="O46" s="20">
        <f>IF(SUMIFS(Selections!$T$6:$T$76,Selections!$P$6:$P$76,"2026-W42")=0,"n.a.",(SUMIFS(Selections!$S$6:$S$76,Selections!$P$6:$P$76,"2026-W42")-(SUMIFS(Selections!$L$6:$L$76,Selections!$P$6:$P$76,"2026-W42",Selections!$T$6:$T$76,1)))/SUMIFS(Selections!$T$6:$T$76,Selections!$P$6:$P$76,"2026-W42"))</f>
        <v>-0.09443534026471201</v>
      </c>
      <c r="P46" s="19">
        <f>SUMIFS(Selections!$T$6:$T$76,Selections!$P$6:$P$76,"2026-W42")</f>
        <v>22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(n=22).</v>
      </c>
      <c r="R46" s="18"/>
    </row>
    <row r="47" ht="36" customHeight="1">
      <c r="A47" s="18" t="inlineStr">
        <is>
          <t>Week</t>
        </is>
      </c>
      <c r="B47" s="18" t="inlineStr">
        <is>
          <t>2026-W43</t>
        </is>
      </c>
      <c r="C47" s="19">
        <f>COUNTIFS(Selections!$P$6:$P$76,"2026-W43")</f>
        <v>41</v>
      </c>
      <c r="D47" s="19">
        <f>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33</v>
      </c>
      <c r="E47" s="19">
        <f>(COUNTIFS(Selections!$P$6:$P$76,"2026-W43",Selections!$K$6:$K$76,"WON")+COUNTIFS(Selections!$P$6:$P$76,"2026-W43",Selections!$K$6:$K$76,"HALF_WON"))</f>
        <v>24</v>
      </c>
      <c r="F47" s="19">
        <f>(COUNTIFS(Selections!$P$6:$P$76,"2026-W43",Selections!$K$6:$K$76,"LOST")+COUNTIFS(Selections!$P$6:$P$76,"2026-W43",Selections!$K$6:$K$76,"HALF_LOST"))</f>
        <v>9</v>
      </c>
      <c r="G47" s="19">
        <f>COUNTIFS(Selections!$P$6:$P$76,"2026-W43")-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8</v>
      </c>
      <c r="H47" s="20">
        <f>IF(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=0,"n.a.",(COUNTIFS(Selections!$P$6:$P$76,"2026-W43",Selections!$K$6:$K$76,"WON")+COUNTIFS(Selections!$P$6:$P$76,"2026-W43",Selections!$K$6:$K$76,"HALF_WON"))/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)</f>
        <v>0.7272727272727273</v>
      </c>
      <c r="I47" s="22">
        <f>SUMIFS(Selections!$M$6:$M$76,Selections!$P$6:$P$76,"2026-W43")</f>
        <v>33</v>
      </c>
      <c r="J47" s="22">
        <f>SUMIFS(Selections!$N$6:$N$76,Selections!$P$6:$P$76,"2026-W43")</f>
        <v>0.5399999999999994</v>
      </c>
      <c r="K47" s="20">
        <f>IF(SUMIFS(Selections!$M$6:$M$76,Selections!$P$6:$P$76,"2026-W43")=0,"n.a.",SUMIFS(Selections!$N$6:$N$76,Selections!$P$6:$P$76,"2026-W43")/SUMIFS(Selections!$M$6:$M$76,Selections!$P$6:$P$76,"2026-W43"))</f>
        <v>0.016363636363636344</v>
      </c>
      <c r="L47" s="21">
        <f>IF(SUMIFS(Selections!$T$6:$T$76,Selections!$P$6:$P$76,"2026-W43")=0,"n.a.",SUMIFS(Selections!$O$6:$O$76,Selections!$P$6:$P$76,"2026-W43")/SUMIFS(Selections!$T$6:$T$76,Selections!$P$6:$P$76,"2026-W43"))</f>
        <v>0.1494266943507332</v>
      </c>
      <c r="M47" s="20">
        <f>IF(SUMIFS(Selections!$T$6:$T$76,Selections!$P$6:$P$76,"2026-W43")=0,"n.a.",SUMIFS(Selections!$S$6:$S$76,Selections!$P$6:$P$76,"2026-W43")/SUMIFS(Selections!$T$6:$T$76,Selections!$P$6:$P$76,"2026-W43"))</f>
        <v>0.7230588008003089</v>
      </c>
      <c r="N47" s="20">
        <f>IF(SUMIFS(Selections!$T$6:$T$76,Selections!$P$6:$P$76,"2026-W43")=0,"n.a.",(SUMIFS(Selections!$L$6:$L$76,Selections!$P$6:$P$76,"2026-W43",Selections!$T$6:$T$76,1))/SUMIFS(Selections!$T$6:$T$76,Selections!$P$6:$P$76,"2026-W43"))</f>
        <v>0.7272727272727273</v>
      </c>
      <c r="O47" s="20">
        <f>IF(SUMIFS(Selections!$T$6:$T$76,Selections!$P$6:$P$76,"2026-W43")=0,"n.a.",(SUMIFS(Selections!$S$6:$S$76,Selections!$P$6:$P$76,"2026-W43")-(SUMIFS(Selections!$L$6:$L$76,Selections!$P$6:$P$76,"2026-W43",Selections!$T$6:$T$76,1)))/SUMIFS(Selections!$T$6:$T$76,Selections!$P$6:$P$76,"2026-W43"))</f>
        <v>-0.004213926472418361</v>
      </c>
      <c r="P47" s="19">
        <f>SUMIFS(Selections!$T$6:$T$76,Selections!$P$6:$P$76,"2026-W43")</f>
        <v>33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Continue forward testing. No automatic model change.</v>
      </c>
      <c r="R47" s="18"/>
    </row>
    <row r="48" ht="36" customHeight="1">
      <c r="A48" s="18" t="inlineStr">
        <is>
          <t>Week</t>
        </is>
      </c>
      <c r="B48" s="18" t="inlineStr">
        <is>
          <t>2026-W44</t>
        </is>
      </c>
      <c r="C48" s="19">
        <f>COUNTIFS(Selections!$P$6:$P$76,"2026-W44")</f>
        <v>1</v>
      </c>
      <c r="D48" s="19">
        <f>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0</v>
      </c>
      <c r="E48" s="19">
        <f>(COUNTIFS(Selections!$P$6:$P$76,"2026-W44",Selections!$K$6:$K$76,"WON")+COUNTIFS(Selections!$P$6:$P$76,"2026-W44",Selections!$K$6:$K$76,"HALF_WON"))</f>
        <v>0</v>
      </c>
      <c r="F48" s="19">
        <f>(COUNTIFS(Selections!$P$6:$P$76,"2026-W44",Selections!$K$6:$K$76,"LOST")+COUNTIFS(Selections!$P$6:$P$76,"2026-W44",Selections!$K$6:$K$76,"HALF_LOST"))</f>
        <v>0</v>
      </c>
      <c r="G48" s="19">
        <f>COUNTIFS(Selections!$P$6:$P$76,"2026-W44")-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1</v>
      </c>
      <c r="H48" s="20" t="str">
        <f>IF(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=0,"n.a.",(COUNTIFS(Selections!$P$6:$P$76,"2026-W44",Selections!$K$6:$K$76,"WON")+COUNTIFS(Selections!$P$6:$P$76,"2026-W44",Selections!$K$6:$K$76,"HALF_WON"))/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)</f>
        <v>n.a.</v>
      </c>
      <c r="I48" s="22">
        <f>SUMIFS(Selections!$M$6:$M$76,Selections!$P$6:$P$76,"2026-W44")</f>
        <v>0</v>
      </c>
      <c r="J48" s="22">
        <f>SUMIFS(Selections!$N$6:$N$76,Selections!$P$6:$P$76,"2026-W44")</f>
        <v>0</v>
      </c>
      <c r="K48" s="20" t="str">
        <f>IF(SUMIFS(Selections!$M$6:$M$76,Selections!$P$6:$P$76,"2026-W44")=0,"n.a.",SUMIFS(Selections!$N$6:$N$76,Selections!$P$6:$P$76,"2026-W44")/SUMIFS(Selections!$M$6:$M$76,Selections!$P$6:$P$76,"2026-W44"))</f>
        <v>n.a.</v>
      </c>
      <c r="L48" s="21" t="str">
        <f>IF(SUMIFS(Selections!$T$6:$T$76,Selections!$P$6:$P$76,"2026-W44")=0,"n.a.",SUMIFS(Selections!$O$6:$O$76,Selections!$P$6:$P$76,"2026-W44")/SUMIFS(Selections!$T$6:$T$76,Selections!$P$6:$P$76,"2026-W44"))</f>
        <v>n.a.</v>
      </c>
      <c r="M48" s="20" t="str">
        <f>IF(SUMIFS(Selections!$T$6:$T$76,Selections!$P$6:$P$76,"2026-W44")=0,"n.a.",SUMIFS(Selections!$S$6:$S$76,Selections!$P$6:$P$76,"2026-W44")/SUMIFS(Selections!$T$6:$T$76,Selections!$P$6:$P$76,"2026-W44"))</f>
        <v>n.a.</v>
      </c>
      <c r="N48" s="20" t="str">
        <f>IF(SUMIFS(Selections!$T$6:$T$76,Selections!$P$6:$P$76,"2026-W44")=0,"n.a.",(SUMIFS(Selections!$L$6:$L$76,Selections!$P$6:$P$76,"2026-W44",Selections!$T$6:$T$76,1))/SUMIFS(Selections!$T$6:$T$76,Selections!$P$6:$P$76,"2026-W44"))</f>
        <v>n.a.</v>
      </c>
      <c r="O48" s="20" t="str">
        <f>IF(SUMIFS(Selections!$T$6:$T$76,Selections!$P$6:$P$76,"2026-W44")=0,"n.a.",(SUMIFS(Selections!$S$6:$S$76,Selections!$P$6:$P$76,"2026-W44")-(SUMIFS(Selections!$L$6:$L$76,Selections!$P$6:$P$76,"2026-W44",Selections!$T$6:$T$76,1)))/SUMIFS(Selections!$T$6:$T$76,Selections!$P$6:$P$76,"2026-W44"))</f>
        <v>n.a.</v>
      </c>
      <c r="P48" s="19">
        <f>SUMIFS(Selections!$T$6:$T$76,Selections!$P$6:$P$76,"2026-W44")</f>
        <v>0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(n=0).</v>
      </c>
      <c r="R48" s="18"/>
    </row>
  </sheetData>
  <mergeCells count="2">
    <mergeCell ref="A2:Q2"/>
    <mergeCell ref="A4:Q4"/>
  </mergeCells>
  <conditionalFormatting sqref="K6:K4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COUNTIFS(Selections!$S$6:$S$76,"&gt;="&amp;B6,Selections!$S$6:$S$76,"&lt;"&amp;C6,Selections!$T$6:$T$76,1)</f>
        <v>5</v>
      </c>
      <c r="E6" s="20">
        <f>IF(D6=0,"n.a.",SUMIFS(Selections!$S$6:$S$76,Selections!$S$6:$S$76,"&gt;="&amp;B6,Selections!$S$6:$S$76,"&lt;"&amp;C6,Selections!$T$6:$T$76,1)/D6)</f>
        <v>0.44746011527469004</v>
      </c>
      <c r="F6" s="20">
        <f>IF(D6=0,"n.a.",SUMIFS(Selections!$L$6:$L$76,Selections!$S$6:$S$76,"&gt;="&amp;B6,Selections!$S$6:$S$76,"&lt;"&amp;C6,Selections!$T$6:$T$76,1)/D6)</f>
        <v>0.4</v>
      </c>
      <c r="G6" s="20">
        <f>IF(D6=0,"n.a.",E6-F6)</f>
        <v>0.04746011527469002</v>
      </c>
      <c r="H6" s="21">
        <f>IF(D6=0,"n.a.",SUMIFS(Selections!$O$6:$O$76,Selections!$S$6:$S$76,"&gt;="&amp;B6,Selections!$S$6:$S$76,"&lt;"&amp;C6,Selections!$T$6:$T$76,1)/D6)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COUNTIFS(Selections!$S$6:$S$76,"&gt;="&amp;B7,Selections!$S$6:$S$76,"&lt;"&amp;C7,Selections!$T$6:$T$76,1)</f>
        <v>2</v>
      </c>
      <c r="E7" s="20">
        <f>IF(D7=0,"n.a.",SUMIFS(Selections!$S$6:$S$76,Selections!$S$6:$S$76,"&gt;="&amp;B7,Selections!$S$6:$S$76,"&lt;"&amp;C7,Selections!$T$6:$T$76,1)/D7)</f>
        <v>0.566643476006385</v>
      </c>
      <c r="F7" s="20">
        <f>IF(D7=0,"n.a.",SUMIFS(Selections!$L$6:$L$76,Selections!$S$6:$S$76,"&gt;="&amp;B7,Selections!$S$6:$S$76,"&lt;"&amp;C7,Selections!$T$6:$T$76,1)/D7)</f>
        <v>0.5</v>
      </c>
      <c r="G7" s="20">
        <f>IF(D7=0,"n.a.",E7-F7)</f>
        <v>0.06664347600638498</v>
      </c>
      <c r="H7" s="21">
        <f>IF(D7=0,"n.a.",SUMIFS(Selections!$O$6:$O$76,Selections!$S$6:$S$76,"&gt;="&amp;B7,Selections!$S$6:$S$76,"&lt;"&amp;C7,Selections!$T$6:$T$76,1)/D7)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COUNTIFS(Selections!$S$6:$S$76,"&gt;="&amp;B8,Selections!$S$6:$S$76,"&lt;"&amp;C8,Selections!$T$6:$T$76,1)</f>
        <v>9</v>
      </c>
      <c r="E8" s="20">
        <f>IF(D8=0,"n.a.",SUMIFS(Selections!$S$6:$S$76,Selections!$S$6:$S$76,"&gt;="&amp;B8,Selections!$S$6:$S$76,"&lt;"&amp;C8,Selections!$T$6:$T$76,1)/D8)</f>
        <v>0.6435167729572643</v>
      </c>
      <c r="F8" s="20">
        <f>IF(D8=0,"n.a.",SUMIFS(Selections!$L$6:$L$76,Selections!$S$6:$S$76,"&gt;="&amp;B8,Selections!$S$6:$S$76,"&lt;"&amp;C8,Selections!$T$6:$T$76,1)/D8)</f>
        <v>0.5555555555555556</v>
      </c>
      <c r="G8" s="20">
        <f>IF(D8=0,"n.a.",E8-F8)</f>
        <v>0.0879612174017087</v>
      </c>
      <c r="H8" s="21">
        <f>IF(D8=0,"n.a.",SUMIFS(Selections!$O$6:$O$76,Selections!$S$6:$S$76,"&gt;="&amp;B8,Selections!$S$6:$S$76,"&lt;"&amp;C8,Selections!$T$6:$T$76,1)/D8)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COUNTIFS(Selections!$S$6:$S$76,"&gt;="&amp;B9,Selections!$S$6:$S$76,"&lt;"&amp;C9,Selections!$T$6:$T$76,1)</f>
        <v>20</v>
      </c>
      <c r="E9" s="20">
        <f>IF(D9=0,"n.a.",SUMIFS(Selections!$S$6:$S$76,Selections!$S$6:$S$76,"&gt;="&amp;B9,Selections!$S$6:$S$76,"&lt;"&amp;C9,Selections!$T$6:$T$76,1)/D9)</f>
        <v>0.7622108195869741</v>
      </c>
      <c r="F9" s="20">
        <f>IF(D9=0,"n.a.",SUMIFS(Selections!$L$6:$L$76,Selections!$S$6:$S$76,"&gt;="&amp;B9,Selections!$S$6:$S$76,"&lt;"&amp;C9,Selections!$T$6:$T$76,1)/D9)</f>
        <v>0.8</v>
      </c>
      <c r="G9" s="20">
        <f>IF(D9=0,"n.a.",E9-F9)</f>
        <v>-0.037789180413025925</v>
      </c>
      <c r="H9" s="21">
        <f>IF(D9=0,"n.a.",SUMIFS(Selections!$O$6:$O$76,Selections!$S$6:$S$76,"&gt;="&amp;B9,Selections!$S$6:$S$76,"&lt;"&amp;C9,Selections!$T$6:$T$76,1)/D9)</f>
        <v>0.1596593131633631</v>
      </c>
      <c r="I9" s="18" t="inlineStr">
        <is>
          <t>Collect more scored forecasts (n=20).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COUNTIFS(Selections!$S$6:$S$76,"&gt;="&amp;B10,Selections!$S$6:$S$76,"&lt;"&amp;C10,Selections!$T$6:$T$76,1)</f>
        <v>19</v>
      </c>
      <c r="E10" s="20">
        <f>IF(D10=0,"n.a.",SUMIFS(Selections!$S$6:$S$76,Selections!$S$6:$S$76,"&gt;="&amp;B10,Selections!$S$6:$S$76,"&lt;"&amp;C10,Selections!$T$6:$T$76,1)/D10)</f>
        <v>0.8395330613191175</v>
      </c>
      <c r="F10" s="20">
        <f>IF(D10=0,"n.a.",SUMIFS(Selections!$L$6:$L$76,Selections!$S$6:$S$76,"&gt;="&amp;B10,Selections!$S$6:$S$76,"&lt;"&amp;C10,Selections!$T$6:$T$76,1)/D10)</f>
        <v>0.8947368421052632</v>
      </c>
      <c r="G10" s="20">
        <f>IF(D10=0,"n.a.",E10-F10)</f>
        <v>-0.05520378078614563</v>
      </c>
      <c r="H10" s="21">
        <f>IF(D10=0,"n.a.",SUMIFS(Selections!$O$6:$O$76,Selections!$S$6:$S$76,"&gt;="&amp;B10,Selections!$S$6:$S$76,"&lt;"&amp;C10,Selections!$T$6:$T$76,1)/D10)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COUNTIFS(Selections!$S$6:$S$76,"&gt;="&amp;B11,Selections!$S$6:$S$76,"&lt;"&amp;C11,Selections!$T$6:$T$76,1)</f>
        <v>4</v>
      </c>
      <c r="E11" s="20">
        <f>IF(D11=0,"n.a.",SUMIFS(Selections!$S$6:$S$76,Selections!$S$6:$S$76,"&gt;="&amp;B11,Selections!$S$6:$S$76,"&lt;"&amp;C11,Selections!$T$6:$T$76,1)/D11)</f>
        <v>0.9276650422976989</v>
      </c>
      <c r="F11" s="20">
        <f>IF(D11=0,"n.a.",SUMIFS(Selections!$L$6:$L$76,Selections!$S$6:$S$76,"&gt;="&amp;B11,Selections!$S$6:$S$76,"&lt;"&amp;C11,Selections!$T$6:$T$76,1)/D11)</f>
        <v>1.0</v>
      </c>
      <c r="G11" s="20">
        <f>IF(D11=0,"n.a.",E11-F11)</f>
        <v>-0.07233495770230114</v>
      </c>
      <c r="H11" s="21">
        <f>IF(D11=0,"n.a.",SUMIFS(Selections!$O$6:$O$76,Selections!$S$6:$S$76,"&gt;="&amp;B11,Selections!$S$6:$S$76,"&lt;"&amp;C11,Selections!$T$6:$T$76,1)/D11)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AWAITING_COUNT_RESULT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Ligue 1|paris sg|lyon|2026-10-26</t>
        </is>
      </c>
      <c r="B76" s="23">
        <v>46321.8125</v>
      </c>
      <c r="C76" s="18" t="inlineStr">
        <is>
          <t>Ligue 1</t>
        </is>
      </c>
      <c r="D76" s="18" t="inlineStr">
        <is>
          <t>Paris Saint Germain vs Lyon</t>
        </is>
      </c>
      <c r="E76" s="18" t="inlineStr">
        <is>
          <t>Double Chance 12</t>
        </is>
      </c>
      <c r="F76" s="18" t="inlineStr">
        <is>
          <t>STRICT</t>
        </is>
      </c>
      <c r="G76" s="18" t="inlineStr">
        <is>
          <t>48h-two-per-market-group-probability-ev-corners-cards-v25</t>
        </is>
      </c>
      <c r="H76" s="20">
        <v>0.812255129717973</v>
      </c>
      <c r="I76" s="22">
        <v>1.17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b5f46a88705f2cf938a6bd462a2cc457b35f2a2d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2026-10-25T10:24:47.847996+00:00</t>
        </is>
      </c>
      <c r="W76" t="inlineStr" s="18">
        <is>
          <t>2026-10-25T10:25:17Z</t>
        </is>
      </c>
    </row>
  </sheetData>
  <mergeCells count="2">
    <mergeCell ref="B2:W2"/>
    <mergeCell ref="B4:W4"/>
  </mergeCells>
  <conditionalFormatting sqref="K6:K76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0.9761904761904762</v>
      </c>
      <c r="H10" s="18" t="inlineStr">
        <is>
          <t>Approval review</t>
        </is>
      </c>
      <c r="I10" s="18" t="inlineStr">
        <is>
          <t>218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0.14285714285714285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0.9761904761904762</v>
      </c>
      <c r="H12" s="18" t="inlineStr">
        <is>
          <t>Approval review</t>
        </is>
      </c>
      <c r="I12" s="18" t="inlineStr">
        <is>
          <t>218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0.9761904761904762</v>
      </c>
      <c r="H13" s="18" t="inlineStr">
        <is>
          <t>Approval review</t>
        </is>
      </c>
      <c r="I13" s="18" t="inlineStr">
        <is>
          <t>218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Breakdowns!B45</f>
        <v>2026-W41</v>
      </c>
      <c r="B6" s="19">
        <f>Breakdowns!D45</f>
        <v>4.0</v>
      </c>
      <c r="C6" s="19">
        <f>COUNTIFS(Selections!$P$6:$P$76,A6,Selections!$M$6:$M$76,"&gt;0")</f>
        <v>4.0</v>
      </c>
      <c r="D6" s="22">
        <f>IF(C6=0,"n.a.",Breakdowns!J45)</f>
        <v>-1.48</v>
      </c>
      <c r="E6" s="22">
        <f>IF(SUM($C$6:C6)=0,"n.a.",SUM($D$6:D6))</f>
        <v>-1.48</v>
      </c>
      <c r="F6" s="20">
        <f>Breakdowns!H45</f>
        <v>0.5</v>
      </c>
    </row>
    <row r="7" ht="26" customHeight="1">
      <c r="A7" s="18" t="str">
        <f>Breakdowns!B46</f>
        <v>2026-W42</v>
      </c>
      <c r="B7" s="19">
        <f>Breakdowns!D46</f>
        <v>22.0</v>
      </c>
      <c r="C7" s="19">
        <f>COUNTIFS(Selections!$P$6:$P$76,A7,Selections!$M$6:$M$76,"&gt;0")</f>
        <v>22.0</v>
      </c>
      <c r="D7" s="22">
        <f>IF(C7=0,"n.a.",Breakdowns!J46)</f>
        <v>4.289999999999999</v>
      </c>
      <c r="E7" s="22">
        <f>IF(SUM($C$6:C7)=0,"n.a.",SUM($D$6:D7))</f>
        <v>2.809999999999999</v>
      </c>
      <c r="F7" s="20">
        <f>Breakdowns!H46</f>
        <v>0.8636363636363636</v>
      </c>
    </row>
    <row r="8" ht="26" customHeight="1">
      <c r="A8" s="18" t="str">
        <f>Breakdowns!B47</f>
        <v>2026-W43</v>
      </c>
      <c r="B8" s="19">
        <f>Breakdowns!D47</f>
        <v>33.0</v>
      </c>
      <c r="C8" s="19">
        <f>COUNTIFS(Selections!$P$6:$P$76,A8,Selections!$M$6:$M$76,"&gt;0")</f>
        <v>33.0</v>
      </c>
      <c r="D8" s="22">
        <f>IF(C8=0,"n.a.",Breakdowns!J47)</f>
        <v>0.5399999999999994</v>
      </c>
      <c r="E8" s="22">
        <f>IF(SUM($C$6:C8)=0,"n.a.",SUM($D$6:D8))</f>
        <v>3.3499999999999988</v>
      </c>
      <c r="F8" s="20">
        <f>Breakdowns!H47</f>
        <v>0.7272727272727273</v>
      </c>
    </row>
    <row r="9" ht="26" customHeight="1">
      <c r="A9" s="18" t="str">
        <f>Breakdowns!B48</f>
        <v>2026-W44</v>
      </c>
      <c r="B9" s="19">
        <f>Breakdowns!D48</f>
        <v>0.0</v>
      </c>
      <c r="C9" s="19">
        <f>COUNTIFS(Selections!$P$6:$P$76,A9,Selections!$M$6:$M$76,"&gt;0")</f>
        <v>0</v>
      </c>
      <c r="D9" s="22" t="str">
        <f>IF(C9=0,"n.a.",Breakdowns!J48)</f>
        <v>n.a.</v>
      </c>
      <c r="E9" s="22">
        <f>IF(SUM($C$6:C9)=0,"n.a.",SUM($D$6:D9))</f>
        <v>3.3499999999999988</v>
      </c>
      <c r="F9" s="20" t="str">
        <f>Breakdowns!H48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71</v>
      </c>
      <c r="B8" s="19">
        <v>59</v>
      </c>
      <c r="C8" s="19">
        <v>45</v>
      </c>
      <c r="D8" s="19">
        <v>14</v>
      </c>
      <c r="E8" s="19">
        <v>12</v>
      </c>
      <c r="F8" s="20">
        <v>0.762712</v>
      </c>
      <c r="G8" s="20">
        <v>0.05678</v>
      </c>
      <c r="H8" s="19">
        <v>3.35</v>
      </c>
      <c r="I8" s="19">
        <v>43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11</v>
      </c>
      <c r="E54" s="19">
        <v>8</v>
      </c>
      <c r="F54" s="20">
        <v>0.727273</v>
      </c>
      <c r="G54" s="20">
        <v>-0.006364</v>
      </c>
      <c r="H54" s="19">
        <v>-0.07</v>
      </c>
      <c r="I54" s="19">
        <v>5</v>
      </c>
    </row>
    <row r="57">
      <c r="A57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2026-10-25T22:42:21.856521+00:00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2026-10-24</t>
        </is>
      </c>
      <c r="C9" s="19">
        <v>1593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2026-10-24</t>
        </is>
      </c>
      <c r="C10" s="19">
        <v>1975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7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2026-10-24</t>
        </is>
      </c>
      <c r="C12" s="19">
        <v>1994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2026-10-24</t>
        </is>
      </c>
      <c r="C13" s="19">
        <v>1745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6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2026-10-24</t>
        </is>
      </c>
      <c r="C15" s="19">
        <v>1975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4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3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33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101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54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66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83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16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33</v>
      </c>
      <c r="C35" s="19">
        <v>37</v>
      </c>
      <c r="D35" s="19">
        <v>1</v>
      </c>
      <c r="E35" s="20">
        <v>-0.02773335776059842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70</v>
      </c>
      <c r="D36" s="19">
        <v>1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44</v>
      </c>
      <c r="C37" s="19">
        <v>26</v>
      </c>
      <c r="D37" s="19">
        <v>1</v>
      </c>
      <c r="E37" s="20">
        <v>-0.030890116464274274</v>
      </c>
      <c r="F37" s="20">
        <v>0.012495190812119214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16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1</v>
      </c>
    </row>
    <row r="48" ht="44" customHeight="1">
      <c r="A48" s="18" t="inlineStr">
        <is>
          <t>Costs recorded</t>
        </is>
      </c>
      <c r="B48" s="19">
        <v>16</v>
      </c>
    </row>
    <row r="49" ht="44" customHeight="1">
      <c r="A49" s="18" t="inlineStr">
        <is>
          <t>Bookmakers: Pinnacle</t>
        </is>
      </c>
      <c r="B49" s="19">
        <v>16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15</v>
      </c>
    </row>
    <row r="52" ht="44" customHeight="1">
      <c r="A52" s="18" t="inlineStr">
        <is>
          <t>Upcoming kickoff count</t>
        </is>
      </c>
      <c r="B52" s="19">
        <v>1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37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37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33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9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30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30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51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51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9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9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59</v>
      </c>
      <c r="C110" s="20">
        <v>0.762712</v>
      </c>
      <c r="D110" s="20">
        <v>0.05678</v>
      </c>
      <c r="E110" s="21">
        <v>0.154528</v>
      </c>
    </row>
    <row r="113">
      <c r="A113" s="26" t="inlineStr">
        <is>
          <t>Dependency versions</t>
        </is>
      </c>
    </row>
    <row r="114" ht="34" customHeight="1">
      <c r="A114" s="24" t="inlineStr">
        <is>
          <t>Dependency</t>
        </is>
      </c>
      <c r="B114" s="24" t="inlineStr">
        <is>
          <t>Version</t>
        </is>
      </c>
    </row>
    <row r="115" ht="44" customHeight="1">
      <c r="A115" s="18" t="inlineStr">
        <is>
          <t>python</t>
        </is>
      </c>
      <c r="B115" s="18" t="inlineStr">
        <is>
          <t>3.12.15</t>
        </is>
      </c>
    </row>
    <row r="116" ht="44" customHeight="1">
      <c r="A116" s="18" t="inlineStr">
        <is>
          <t>numpy</t>
        </is>
      </c>
      <c r="B116" s="18" t="inlineStr">
        <is>
          <t>2.5.4</t>
        </is>
      </c>
    </row>
    <row r="117" ht="44" customHeight="1">
      <c r="A117" s="18" t="inlineStr">
        <is>
          <t>pandas</t>
        </is>
      </c>
      <c r="B117" s="18" t="inlineStr">
        <is>
          <t>3.1.0</t>
        </is>
      </c>
    </row>
    <row r="118" ht="44" customHeight="1">
      <c r="A118" s="18" t="inlineStr">
        <is>
          <t>scipy</t>
        </is>
      </c>
      <c r="B118" s="18" t="inlineStr">
        <is>
          <t>1.18.1</t>
        </is>
      </c>
    </row>
    <row r="119" ht="44" customHeight="1">
      <c r="A119" s="18" t="inlineStr">
        <is>
          <t>requests</t>
        </is>
      </c>
      <c r="B119" s="18" t="inlineStr">
        <is>
          <t>2.34.2</t>
        </is>
      </c>
    </row>
    <row r="120" ht="44" customHeight="1">
      <c r="A120" s="18" t="inlineStr">
        <is>
          <t>rapidfuzz</t>
        </is>
      </c>
      <c r="B120" s="18" t="inlineStr">
        <is>
          <t>3.14.6</t>
        </is>
      </c>
    </row>
    <row r="121" ht="44" customHeight="1">
      <c r="A121" s="18" t="inlineStr">
        <is>
          <t>python-dotenv</t>
        </is>
      </c>
      <c r="B121" s="18" t="inlineStr">
        <is>
          <t>1.2.4</t>
        </is>
      </c>
    </row>
    <row r="122" ht="44" customHeight="1">
      <c r="A122" s="18" t="inlineStr">
        <is>
          <t>coverage</t>
        </is>
      </c>
      <c r="B122" s="18" t="inlineStr">
        <is>
          <t>NOT_INSTALLED</t>
        </is>
      </c>
    </row>
    <row r="123" ht="44" customHeight="1">
      <c r="A123" s="18" t="inlineStr">
        <is>
          <t>PyYAML</t>
        </is>
      </c>
      <c r="B123" s="18" t="inlineStr">
        <is>
          <t>NOT_INSTALLED</t>
        </is>
      </c>
    </row>
    <row r="126">
      <c r="A126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3:F11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6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</sheetData>
  <autoFilter ref="A5:H56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2026-10-25T22:42:21.856521+00:00; 1342 candidates on 130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1342</v>
      </c>
      <c r="D9" s="19">
        <v>130</v>
      </c>
      <c r="E9" s="20">
        <v>-0.03239294353005821</v>
      </c>
      <c r="F9" s="20">
        <v>0.27645305514157975</v>
      </c>
      <c r="G9" s="22">
        <v>-11.326242978321988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63</v>
      </c>
      <c r="D10" s="19">
        <v>51</v>
      </c>
      <c r="E10" s="20">
        <v>-0.028658241668259504</v>
      </c>
      <c r="F10" s="20">
        <v>0.2222222222222222</v>
      </c>
      <c r="G10" s="22">
        <v>-3.236475487418266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793</v>
      </c>
      <c r="D11" s="19">
        <v>124</v>
      </c>
      <c r="E11" s="20">
        <v>0.008038600572318623</v>
      </c>
      <c r="F11" s="20">
        <v>0.5346784363177806</v>
      </c>
      <c r="G11" s="22">
        <v>2.9796444071263384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130</v>
      </c>
      <c r="D15" s="18"/>
      <c r="E15" s="21">
        <v>-0.08746154286753165</v>
      </c>
      <c r="F15" s="20">
        <v>0.6076923076923076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292</v>
      </c>
      <c r="D20" s="19">
        <v>16</v>
      </c>
      <c r="E20" s="20">
        <v>-0.03987132007081809</v>
      </c>
      <c r="F20" s="20">
        <v>0.24315068493150685</v>
      </c>
      <c r="G20" s="22">
        <v>-20.21482634615767</v>
      </c>
      <c r="H20" s="20">
        <v>-0.00047916234746169553</v>
      </c>
      <c r="I20" s="19">
        <v>292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234</v>
      </c>
      <c r="D21" s="19">
        <v>98</v>
      </c>
      <c r="E21" s="20">
        <v>-0.022533780217000487</v>
      </c>
      <c r="F21" s="20">
        <v>0.405982905982906</v>
      </c>
      <c r="G21" s="22">
        <v>-5.590399985633495</v>
      </c>
      <c r="H21" s="20">
        <v>0.030681207062262388</v>
      </c>
      <c r="I21" s="19">
        <v>175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208</v>
      </c>
      <c r="D22" s="19">
        <v>87</v>
      </c>
      <c r="E22" s="20">
        <v>-0.038618319611681544</v>
      </c>
      <c r="F22" s="20">
        <v>0.27884615384615385</v>
      </c>
      <c r="G22" s="22">
        <v>-8.091519771864537</v>
      </c>
      <c r="H22" s="20">
        <v>0.0012588579480595362</v>
      </c>
      <c r="I22" s="19">
        <v>208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199</v>
      </c>
      <c r="D23" s="19">
        <v>77</v>
      </c>
      <c r="E23" s="20">
        <v>-0.03069510770853253</v>
      </c>
      <c r="F23" s="20">
        <v>0.135678391959799</v>
      </c>
      <c r="G23" s="22">
        <v>-12.932526313690593</v>
      </c>
      <c r="H23" s="20">
        <v>-0.0062282112673537155</v>
      </c>
      <c r="I23" s="19">
        <v>43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296</v>
      </c>
      <c r="D49" s="19">
        <v>36</v>
      </c>
      <c r="E49" s="20">
        <v>-0.03538377570706654</v>
      </c>
      <c r="F49" s="20">
        <v>0.23310810810810811</v>
      </c>
      <c r="G49" s="22">
        <v>-8.919462252571636</v>
      </c>
      <c r="H49" s="20">
        <v>0.005382452129988433</v>
      </c>
      <c r="I49" s="19">
        <v>188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280</v>
      </c>
      <c r="D50" s="19">
        <v>80</v>
      </c>
      <c r="E50" s="20">
        <v>-0.01829487706599577</v>
      </c>
      <c r="F50" s="20">
        <v>0.42142857142857143</v>
      </c>
      <c r="G50" s="22">
        <v>-2.0992542075060467</v>
      </c>
      <c r="H50" s="20">
        <v>0.024487982225022856</v>
      </c>
      <c r="I50" s="19">
        <v>131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62</v>
      </c>
      <c r="D51" s="19">
        <v>24</v>
      </c>
      <c r="E51" s="20">
        <v>-0.0338091907102483</v>
      </c>
      <c r="F51" s="20">
        <v>0.27419354838709675</v>
      </c>
      <c r="G51" s="22">
        <v>-1.5476139295987397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1279</v>
      </c>
      <c r="D56" s="19">
        <v>130</v>
      </c>
      <c r="E56" s="20">
        <v>-0.0325769046069099</v>
      </c>
      <c r="F56" s="20">
        <v>0.27912431587177483</v>
      </c>
      <c r="G56" s="22">
        <v>-10.831022930379268</v>
      </c>
      <c r="H56" s="20">
        <v>0.008314873233771052</v>
      </c>
      <c r="I56" s="19">
        <v>743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63</v>
      </c>
      <c r="D57" s="19">
        <v>51</v>
      </c>
      <c r="E57" s="20">
        <v>-0.028658241668259504</v>
      </c>
      <c r="F57" s="20">
        <v>0.2222222222222222</v>
      </c>
      <c r="G57" s="22">
        <v>-3.236475487418266</v>
      </c>
      <c r="H57" s="20">
        <v>0.003933188823135525</v>
      </c>
      <c r="I57" s="19">
        <v>50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212</v>
      </c>
      <c r="D63" s="19">
        <v>16</v>
      </c>
      <c r="E63" s="20">
        <v>-0.03395451109550575</v>
      </c>
      <c r="F63" s="20">
        <v>0.24528301886792453</v>
      </c>
      <c r="G63" s="22">
        <v>-7.797303485008543</v>
      </c>
      <c r="H63" s="20">
        <v>0.002962077800800998</v>
      </c>
      <c r="I63" s="19">
        <v>131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-6.282940875927583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-2.8166538081437302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84</v>
      </c>
      <c r="D68" s="19">
        <v>10</v>
      </c>
      <c r="E68" s="20">
        <v>-0.022749436360756665</v>
      </c>
      <c r="F68" s="20">
        <v>0.3333333333333333</v>
      </c>
      <c r="G68" s="22">
        <v>-1.593445563700632</v>
      </c>
      <c r="H68" s="20">
        <v>0.03454873469105854</v>
      </c>
      <c r="I68" s="19">
        <v>40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15</v>
      </c>
      <c r="D69" s="19">
        <v>6</v>
      </c>
      <c r="E69" s="20">
        <v>-0.028917950387352422</v>
      </c>
      <c r="F69" s="20">
        <v>0.13333333333333333</v>
      </c>
      <c r="G69" s="22">
        <v>-3.8462371163490374</v>
      </c>
      <c r="H69" s="20">
        <v>0.01385528392278567</v>
      </c>
      <c r="I69" s="19">
        <v>15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