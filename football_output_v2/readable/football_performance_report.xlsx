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  <c:pt idx="49">
                  <c:v>0.42999999999999927</c:v>
                </c:pt>
                <c:pt idx="50">
                  <c:v>0.42999999999999927</c:v>
                </c:pt>
                <c:pt idx="51">
                  <c:v>0.42999999999999927</c:v>
                </c:pt>
                <c:pt idx="52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0.5426386586138614</v>
      </c>
      <c r="C17" s="18"/>
      <c r="D17" s="18" t="inlineStr">
        <is>
          <t>Over 1.5</t>
        </is>
      </c>
      <c r="E17" s="18">
        <f>COUNT(Predictions!J6:J234)</f>
        <v>101</v>
      </c>
      <c r="F17" s="20">
        <f>IF(E17=0,"n.a.",AVERAGE(Predictions!J6:J234))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COUNT(Predictions!K6:K234)</f>
        <v>101</v>
      </c>
      <c r="F18" s="20">
        <f>IF(E18=0,"n.a.",AVERAGE(Predictions!K6:K234))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COUNT(Predictions!L6:L234)</f>
        <v>101</v>
      </c>
      <c r="F19" s="20">
        <f>IF(E19=0,"n.a.",AVERAGE(Predictions!L6:L234))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101</v>
      </c>
      <c r="F20" s="20">
        <f>IF(E20=0,"n.a.",AVERAGE(Predictions!M6:M234))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2026-10-23T15:49:36.656816+00:00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0.42999999999999927</v>
      </c>
      <c r="G59" s="22">
        <f>$B$4+F59</f>
        <v>100.42999999999999</v>
      </c>
      <c r="H59" s="22">
        <f>MAX($B$4,$G$10:G59)</f>
        <v>102.81</v>
      </c>
      <c r="I59" s="22">
        <f>H59-G59</f>
        <v>2.3800000000000097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0.42999999999999927</v>
      </c>
      <c r="G60" s="22">
        <f>$B$4+F60</f>
        <v>100.42999999999999</v>
      </c>
      <c r="H60" s="22">
        <f>MAX($B$4,$G$10:G60)</f>
        <v>102.81</v>
      </c>
      <c r="I60" s="22">
        <f>H60-G60</f>
        <v>2.3800000000000097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0.42999999999999927</v>
      </c>
      <c r="G61" s="22">
        <f>$B$4+F61</f>
        <v>100.42999999999999</v>
      </c>
      <c r="H61" s="22">
        <f>MAX($B$4,$G$10:G61)</f>
        <v>102.81</v>
      </c>
      <c r="I61" s="22">
        <f>H61-G61</f>
        <v>2.3800000000000097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0.42999999999999927</v>
      </c>
      <c r="G62" s="22">
        <f>$B$4+F62</f>
        <v>100.42999999999999</v>
      </c>
      <c r="H62" s="22">
        <f>MAX($B$4,$G$10:G62)</f>
        <v>102.81</v>
      </c>
      <c r="I62" s="22">
        <f>H62-G62</f>
        <v>2.3800000000000097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38</v>
      </c>
      <c r="E6" s="19">
        <f>(COUNTIFS(Selections!$K$6:$K$58,"WON")+COUNTIFS(Selections!$K$6:$K$58,"HALF_WON"))</f>
        <v>28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15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0.7368421052631579</v>
      </c>
      <c r="I6" s="22">
        <f>SUM(Selections!$M$6:$M$58)</f>
        <v>38</v>
      </c>
      <c r="J6" s="22">
        <f>SUM(Selections!$N$6:$N$58)</f>
        <v>0.42999999999999927</v>
      </c>
      <c r="K6" s="20">
        <f>IF(SUM(Selections!$M$6:$M$58)=0,"n.a.",SUM(Selections!$N$6:$N$58)/SUM(Selections!$M$6:$M$58))</f>
        <v>0.01131578947368419</v>
      </c>
      <c r="L6" s="21">
        <f>IF(SUM(Selections!$T$6:$T$58)=0,"n.a.",SUM(Selections!$O$6:$O$58)/SUM(Selections!$T$6:$T$58))</f>
        <v>0.17692556179750585</v>
      </c>
      <c r="M6" s="20">
        <f>IF(SUM(Selections!$T$6:$T$58)=0,"n.a.",SUM(Selections!$S$6:$S$58)/SUM(Selections!$T$6:$T$58))</f>
        <v>0.7584947647729421</v>
      </c>
      <c r="N6" s="20">
        <f>IF(SUM(Selections!$T$6:$T$58)=0,"n.a.",(SUMIFS(Selections!$L$6:$L$58,Selections!$T$6:$T$58,1))/SUM(Selections!$T$6:$T$58))</f>
        <v>0.7368421052631579</v>
      </c>
      <c r="O6" s="20">
        <f>IF(SUM(Selections!$T$6:$T$58)=0,"n.a.",(SUM(Selections!$S$6:$S$58)-(SUMIFS(Selections!$L$6:$L$58,Selections!$T$6:$T$58,1)))/SUM(Selections!$T$6:$T$58))</f>
        <v>0.021652659509784233</v>
      </c>
      <c r="P6" s="19">
        <f>SUM(Selections!$T$6:$T$58)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E7" s="19">
        <f>(COUNTIFS(Selections!$F$6:$F$58,"STRICT",Selections!$K$6:$K$58,"WON")+COUNTIFS(Selections!$F$6:$F$58,"STRICT",Selections!$K$6:$K$58,"HALF_WON"))</f>
        <v>10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0.9090909090909091</v>
      </c>
      <c r="I7" s="22">
        <f>SUMIFS(Selections!$M$6:$M$58,Selections!$F$6:$F$58,"STRICT")</f>
        <v>11</v>
      </c>
      <c r="J7" s="22">
        <f>SUMIFS(Selections!$N$6:$N$58,Selections!$F$6:$F$58,"STRICT")</f>
        <v>3.32</v>
      </c>
      <c r="K7" s="20">
        <f>IF(SUMIFS(Selections!$M$6:$M$58,Selections!$F$6:$F$58,"STRICT")=0,"n.a.",SUMIFS(Selections!$N$6:$N$58,Selections!$F$6:$F$58,"STRICT")/SUMIFS(Selections!$M$6:$M$58,Selections!$F$6:$F$58,"STRICT"))</f>
        <v>0.3018181818181818</v>
      </c>
      <c r="L7" s="21">
        <f>IF(SUMIFS(Selections!$T$6:$T$58,Selections!$F$6:$F$58,"STRICT")=0,"n.a.",SUMIFS(Selections!$O$6:$O$58,Selections!$F$6:$F$58,"STRICT")/SUMIFS(Selections!$T$6:$T$58,Selections!$F$6:$F$58,"STRICT"))</f>
        <v>0.09620140437807416</v>
      </c>
      <c r="M7" s="20">
        <f>IF(SUMIFS(Selections!$T$6:$T$58,Selections!$F$6:$F$58,"STRICT")=0,"n.a.",SUMIFS(Selections!$S$6:$S$58,Selections!$F$6:$F$58,"STRICT")/SUMIFS(Selections!$T$6:$T$58,Selections!$F$6:$F$58,"STRICT"))</f>
        <v>0.7551745752675235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0.9090909090909091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-0.15391633382338554</v>
      </c>
      <c r="P7" s="19">
        <f>SUMIFS(Selections!$T$6:$T$58,Selections!$F$6:$F$58,"STRICT")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E9" s="19">
        <f>(COUNTIFS(Selections!$C$6:$C$58,"Bundesliga",Selections!$K$6:$K$58,"WON")+COUNTIFS(Selections!$C$6:$C$58,"Bundesliga",Selections!$K$6:$K$58,"HALF_WON"))</f>
        <v>3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3</v>
      </c>
      <c r="J9" s="22">
        <f>SUMIFS(Selections!$N$6:$N$58,Selections!$C$6:$C$58,"Bundesliga")</f>
        <v>0.74</v>
      </c>
      <c r="K9" s="20">
        <f>IF(SUMIFS(Selections!$M$6:$M$58,Selections!$C$6:$C$58,"Bundesliga")=0,"n.a.",SUMIFS(Selections!$N$6:$N$58,Selections!$C$6:$C$58,"Bundesliga")/SUMIFS(Selections!$M$6:$M$58,Selections!$C$6:$C$58,"Bundesliga"))</f>
        <v>0.24666666666666667</v>
      </c>
      <c r="L9" s="21">
        <f>IF(SUMIFS(Selections!$T$6:$T$58,Selections!$C$6:$C$58,"Bundesliga")=0,"n.a.",SUMIFS(Selections!$O$6:$O$58,Selections!$C$6:$C$58,"Bundesliga")/SUMIFS(Selections!$T$6:$T$58,Selections!$C$6:$C$58,"Bundesliga"))</f>
        <v>0.03973352985046064</v>
      </c>
      <c r="M9" s="20">
        <f>IF(SUMIFS(Selections!$T$6:$T$58,Selections!$C$6:$C$58,"Bundesliga")=0,"n.a.",SUMIFS(Selections!$S$6:$S$58,Selections!$C$6:$C$58,"Bundesliga")/SUMIFS(Selections!$T$6:$T$58,Selections!$C$6:$C$58,"Bundesliga"))</f>
        <v>0.8037750849699149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-0.1962249150300851</v>
      </c>
      <c r="P9" s="19">
        <f>SUMIFS(Selections!$T$6:$T$58,Selections!$C$6:$C$58,"Bundesliga")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7</v>
      </c>
      <c r="E10" s="19">
        <f>(COUNTIFS(Selections!$C$6:$C$58,"La Liga",Selections!$K$6:$K$58,"WON")+COUNTIFS(Selections!$C$6:$C$58,"La Liga",Selections!$K$6:$K$58,"HALF_WON"))</f>
        <v>7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4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7</v>
      </c>
      <c r="J10" s="22">
        <f>SUMIFS(Selections!$N$6:$N$58,Selections!$C$6:$C$58,"La Liga")</f>
        <v>2.3499999999999996</v>
      </c>
      <c r="K10" s="20">
        <f>IF(SUMIFS(Selections!$M$6:$M$58,Selections!$C$6:$C$58,"La Liga")=0,"n.a.",SUMIFS(Selections!$N$6:$N$58,Selections!$C$6:$C$58,"La Liga")/SUMIFS(Selections!$M$6:$M$58,Selections!$C$6:$C$58,"La Liga"))</f>
        <v>0.3357142857142857</v>
      </c>
      <c r="L10" s="21">
        <f>IF(SUMIFS(Selections!$T$6:$T$58,Selections!$C$6:$C$58,"La Liga")=0,"n.a.",SUMIFS(Selections!$O$6:$O$58,Selections!$C$6:$C$58,"La Liga")/SUMIFS(Selections!$T$6:$T$58,Selections!$C$6:$C$58,"La Liga"))</f>
        <v>0.04472528948252668</v>
      </c>
      <c r="M10" s="20">
        <f>IF(SUMIFS(Selections!$T$6:$T$58,Selections!$C$6:$C$58,"La Liga")=0,"n.a.",SUMIFS(Selections!$S$6:$S$58,Selections!$C$6:$C$58,"La Liga")/SUMIFS(Selections!$T$6:$T$58,Selections!$C$6:$C$58,"La Liga"))</f>
        <v>0.8050495168898368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-0.19495048311016316</v>
      </c>
      <c r="P10" s="19">
        <f>SUMIFS(Selections!$T$6:$T$58,Selections!$C$6:$C$58,"La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0</v>
      </c>
      <c r="E17" s="19">
        <f>(COUNTIFS(Selections!$E$6:$E$58,"Asian Handicap Away +2.00",Selections!$K$6:$K$58,"WON")+COUNTIFS(Selections!$E$6:$E$58,"Asian Handicap Away +2.00",Selections!$K$6:$K$58,"HALF_WON"))</f>
        <v>0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4</v>
      </c>
      <c r="H17" s="20" t="str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n.a.</v>
      </c>
      <c r="I17" s="22">
        <f>SUMIFS(Selections!$M$6:$M$58,Selections!$E$6:$E$58,"Asian Handicap Away +2.00")</f>
        <v>0</v>
      </c>
      <c r="J17" s="22">
        <f>SUMIFS(Selections!$N$6:$N$58,Selections!$E$6:$E$58,"Asian Handicap Away +2.00")</f>
        <v>0</v>
      </c>
      <c r="K17" s="20" t="str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n.a.</v>
      </c>
      <c r="L17" s="21" t="str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n.a.</v>
      </c>
      <c r="M17" s="20" t="str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n.a.</v>
      </c>
      <c r="N17" s="20" t="str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n.a.</v>
      </c>
      <c r="O17" s="20" t="str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n.a.</v>
      </c>
      <c r="P17" s="19">
        <f>SUMIFS(Selections!$T$6:$T$58,Selections!$E$6:$E$58,"Asian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5</v>
      </c>
      <c r="E24" s="19">
        <f>(COUNTIFS(Selections!$E$6:$E$58,"Double Chance 1X",Selections!$K$6:$K$58,"WON")+COUNTIFS(Selections!$E$6:$E$58,"Double Chance 1X",Selections!$K$6:$K$58,"HALF_WON"))</f>
        <v>4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4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</v>
      </c>
      <c r="I24" s="22">
        <f>SUMIFS(Selections!$M$6:$M$58,Selections!$E$6:$E$58,"Double Chance 1X")</f>
        <v>5</v>
      </c>
      <c r="J24" s="22">
        <f>SUMIFS(Selections!$N$6:$N$58,Selections!$E$6:$E$58,"Double Chance 1X")</f>
        <v>0.15999999999999992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0.03199999999999999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0.11188766858523982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0.7609681691910013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-0.039031830808998746</v>
      </c>
      <c r="P24" s="19">
        <f>SUMIFS(Selections!$T$6:$T$58,Selections!$E$6:$E$58,"Double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0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0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11</v>
      </c>
      <c r="H31" s="20" t="str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n.a.</v>
      </c>
      <c r="I31" s="22">
        <f>SUMIFS(Selections!$M$6:$M$58,Selections!$G$6:$G$58,"48h-zero-tolerance-ev1-common-no-loss75-v22")</f>
        <v>0</v>
      </c>
      <c r="J31" s="22">
        <f>SUMIFS(Selections!$N$6:$N$58,Selections!$G$6:$G$58,"48h-zero-tolerance-ev1-common-no-loss75-v22")</f>
        <v>0</v>
      </c>
      <c r="K31" s="20" t="str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n.a.</v>
      </c>
      <c r="L31" s="21" t="str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n.a.</v>
      </c>
      <c r="M31" s="20" t="str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n.a.</v>
      </c>
      <c r="N31" s="20" t="str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n.a.</v>
      </c>
      <c r="O31" s="20" t="str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n.a.</v>
      </c>
      <c r="P31" s="19">
        <f>SUMIFS(Selections!$T$6:$T$58,Selections!$G$6:$G$58,"48h-zero-tolerance-ev1-common-no-loss75-v22")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E40" s="19">
        <f>(COUNTIFS(Selections!$P$6:$P$58,"2026-W43",Selections!$K$6:$K$58,"WON")+COUNTIFS(Selections!$P$6:$P$58,"2026-W43",Selections!$K$6:$K$58,"HALF_WON"))</f>
        <v>7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0.5833333333333334</v>
      </c>
      <c r="I40" s="22">
        <f>SUMIFS(Selections!$M$6:$M$58,Selections!$P$6:$P$58,"2026-W43")</f>
        <v>12</v>
      </c>
      <c r="J40" s="22">
        <f>SUMIFS(Selections!$N$6:$N$58,Selections!$P$6:$P$58,"2026-W43")</f>
        <v>-2.3800000000000003</v>
      </c>
      <c r="K40" s="20">
        <f>IF(SUMIFS(Selections!$M$6:$M$58,Selections!$P$6:$P$58,"2026-W43")=0,"n.a.",SUMIFS(Selections!$N$6:$N$58,Selections!$P$6:$P$58,"2026-W43")/SUMIFS(Selections!$M$6:$M$58,Selections!$P$6:$P$58,"2026-W43"))</f>
        <v>-0.19833333333333336</v>
      </c>
      <c r="L40" s="21">
        <f>IF(SUMIFS(Selections!$T$6:$T$58,Selections!$P$6:$P$58,"2026-W43")=0,"n.a.",SUMIFS(Selections!$O$6:$O$58,Selections!$P$6:$P$58,"2026-W43")/SUMIFS(Selections!$T$6:$T$58,Selections!$P$6:$P$58,"2026-W43"))</f>
        <v>0.21142395605648476</v>
      </c>
      <c r="M40" s="20">
        <f>IF(SUMIFS(Selections!$T$6:$T$58,Selections!$P$6:$P$58,"2026-W43")=0,"n.a.",SUMIFS(Selections!$S$6:$S$58,Selections!$P$6:$P$58,"2026-W43")/SUMIFS(Selections!$T$6:$T$58,Selections!$P$6:$P$58,"2026-W43"))</f>
        <v>0.7179581897322406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0.5833333333333334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0.1346248563989072</v>
      </c>
      <c r="P40" s="19">
        <f>SUMIFS(Selections!$T$6:$T$58,Selections!$P$6:$P$58,"2026-W43")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14</v>
      </c>
      <c r="E9" s="20">
        <f>IF(D9=0,"n.a.",SUMIFS(Selections!$S$6:$S$58,Selections!$S$6:$S$58,"&gt;="&amp;B9,Selections!$S$6:$S$58,"&lt;"&amp;C9,Selections!$T$6:$T$58,1)/D9)</f>
        <v>0.7591794918954081</v>
      </c>
      <c r="F9" s="20">
        <f>IF(D9=0,"n.a.",SUMIFS(Selections!$L$6:$L$58,Selections!$S$6:$S$58,"&gt;="&amp;B9,Selections!$S$6:$S$58,"&lt;"&amp;C9,Selections!$T$6:$T$58,1)/D9)</f>
        <v>0.7142857142857143</v>
      </c>
      <c r="G9" s="20">
        <f>IF(D9=0,"n.a.",E9-F9)</f>
        <v>0.04489377760969382</v>
      </c>
      <c r="H9" s="21">
        <f>IF(D9=0,"n.a.",SUMIFS(Selections!$O$6:$O$58,Selections!$S$6:$S$58,"&gt;="&amp;B9,Selections!$S$6:$S$58,"&lt;"&amp;C9,Selections!$T$6:$T$58,1)/D9)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11</v>
      </c>
      <c r="E10" s="20">
        <f>IF(D10=0,"n.a.",SUMIFS(Selections!$S$6:$S$58,Selections!$S$6:$S$58,"&gt;="&amp;B10,Selections!$S$6:$S$58,"&lt;"&amp;C10,Selections!$T$6:$T$58,1)/D10)</f>
        <v>0.837468783985373</v>
      </c>
      <c r="F10" s="20">
        <f>IF(D10=0,"n.a.",SUMIFS(Selections!$L$6:$L$58,Selections!$S$6:$S$58,"&gt;="&amp;B10,Selections!$S$6:$S$58,"&lt;"&amp;C10,Selections!$T$6:$T$58,1)/D10)</f>
        <v>0.8181818181818182</v>
      </c>
      <c r="G10" s="20">
        <f>IF(D10=0,"n.a.",E10-F10)</f>
        <v>0.019286965803554823</v>
      </c>
      <c r="H10" s="21">
        <f>IF(D10=0,"n.a.",SUMIFS(Selections!$O$6:$O$58,Selections!$S$6:$S$58,"&gt;="&amp;B10,Selections!$S$6:$S$58,"&lt;"&amp;C10,Selections!$T$6:$T$58,1)/D10)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10a7df008090a45923c14f3c84ec260b147ea047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COUNTIFS(Selections!$P$6:$P$58,A8,Selections!$M$6:$M$58,"&gt;0")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38</v>
      </c>
      <c r="C8" s="19">
        <v>28</v>
      </c>
      <c r="D8" s="19">
        <v>10</v>
      </c>
      <c r="E8" s="19">
        <v>15</v>
      </c>
      <c r="F8" s="20">
        <v>0.736842</v>
      </c>
      <c r="G8" s="20">
        <v>0.011316</v>
      </c>
      <c r="H8" s="19">
        <v>0.43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0</v>
      </c>
      <c r="E49" s="19">
        <v>0</v>
      </c>
      <c r="F49" s="20"/>
      <c r="G49" s="20"/>
      <c r="H49" s="18"/>
      <c r="I49" s="19">
        <v>10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2026-10-23T15:49:36.656816+00:00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8</v>
      </c>
      <c r="E15" s="18" t="inlineStr">
        <is>
          <t>Stale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21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80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43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50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63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12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11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11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11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10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10</v>
      </c>
    </row>
    <row r="45" ht="44" customHeight="1">
      <c r="A45" s="18" t="inlineStr">
        <is>
          <t>Bookmakers: 1xBet</t>
        </is>
      </c>
      <c r="B45" s="19">
        <v>3</v>
      </c>
    </row>
    <row r="46" ht="44" customHeight="1">
      <c r="A46" s="18" t="inlineStr">
        <is>
          <t>Bookmakers: Pinnacle</t>
        </is>
      </c>
      <c r="B46" s="19">
        <v>7</v>
      </c>
    </row>
    <row r="47" ht="44" customHeight="1">
      <c r="A47" s="18" t="inlineStr">
        <is>
          <t>Account availability</t>
        </is>
      </c>
      <c r="B47" s="18" t="inlineStr">
        <is>
          <t>Not verified with bookmaker accounts</t>
        </is>
      </c>
    </row>
    <row r="48" ht="44" customHeight="1">
      <c r="A48" s="18" t="inlineStr">
        <is>
          <t>Past kickoff count</t>
        </is>
      </c>
      <c r="B48" s="19">
        <v>0</v>
      </c>
    </row>
    <row r="49" ht="44" customHeight="1">
      <c r="A49" s="18" t="inlineStr">
        <is>
          <t>Upcoming kickoff count</t>
        </is>
      </c>
      <c r="B49" s="19">
        <v>10</v>
      </c>
    </row>
    <row r="50" ht="44" customHeight="1">
      <c r="A50" s="18" t="inlineStr">
        <is>
          <t>Unknown kickoff count</t>
        </is>
      </c>
      <c r="B50" s="19">
        <v>0</v>
      </c>
    </row>
    <row r="53">
      <c r="A53" s="26" t="inlineStr">
        <is>
          <t>Forecast capture coverage</t>
        </is>
      </c>
    </row>
    <row r="54" ht="34" customHeight="1">
      <c r="A54" s="24" t="inlineStr">
        <is>
          <t>Experiment</t>
        </is>
      </c>
      <c r="B54" s="24" t="inlineStr">
        <is>
          <t>Capture state</t>
        </is>
      </c>
      <c r="C54" s="24" t="inlineStr">
        <is>
          <t>Snapshot count</t>
        </is>
      </c>
    </row>
    <row r="55" ht="44" customHeight="1">
      <c r="A55" s="18" t="inlineStr">
        <is>
          <t>Goal-market blend</t>
        </is>
      </c>
      <c r="B55" s="18" t="inlineStr">
        <is>
          <t>Captured</t>
        </is>
      </c>
      <c r="C55" s="19">
        <v>32</v>
      </c>
    </row>
    <row r="56" ht="44" customHeight="1">
      <c r="A56" s="18" t="inlineStr">
        <is>
          <t>Goal-market blend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Market-led forecasts</t>
        </is>
      </c>
      <c r="B57" s="18" t="inlineStr">
        <is>
          <t>Captured</t>
        </is>
      </c>
      <c r="C57" s="19">
        <v>32</v>
      </c>
    </row>
    <row r="58" ht="44" customHeight="1">
      <c r="A58" s="18" t="inlineStr">
        <is>
          <t>Market-led forecasts</t>
        </is>
      </c>
      <c r="B58" s="18" t="inlineStr">
        <is>
          <t>Legacy not recorded</t>
        </is>
      </c>
      <c r="C58" s="19">
        <v>14</v>
      </c>
    </row>
    <row r="59" ht="44" customHeight="1">
      <c r="A59" s="18" t="inlineStr">
        <is>
          <t>Recency comparison</t>
        </is>
      </c>
      <c r="B59" s="18" t="inlineStr">
        <is>
          <t>Captured</t>
        </is>
      </c>
      <c r="C59" s="19">
        <v>28</v>
      </c>
    </row>
    <row r="60" ht="44" customHeight="1">
      <c r="A60" s="18" t="inlineStr">
        <is>
          <t>Recency comparison</t>
        </is>
      </c>
      <c r="B60" s="18" t="inlineStr">
        <is>
          <t>Legacy not recorded</t>
        </is>
      </c>
      <c r="C60" s="19">
        <v>18</v>
      </c>
    </row>
    <row r="61" ht="44" customHeight="1">
      <c r="A61" s="18" t="inlineStr">
        <is>
          <t>EV filter sensitivity</t>
        </is>
      </c>
      <c r="B61" s="18" t="inlineStr">
        <is>
          <t>Captured</t>
        </is>
      </c>
      <c r="C61" s="19">
        <v>23</v>
      </c>
    </row>
    <row r="62" ht="44" customHeight="1">
      <c r="A62" s="18" t="inlineStr">
        <is>
          <t>EV filter sensitivity</t>
        </is>
      </c>
      <c r="B62" s="18" t="inlineStr">
        <is>
          <t>Legacy not recorded</t>
        </is>
      </c>
      <c r="C62" s="19">
        <v>19</v>
      </c>
    </row>
    <row r="63" ht="44" customHeight="1">
      <c r="A63" s="18" t="inlineStr">
        <is>
          <t>EV filter sensitivity</t>
        </is>
      </c>
      <c r="B63" s="18" t="inlineStr">
        <is>
          <t>Not generated</t>
        </is>
      </c>
      <c r="C63" s="19">
        <v>4</v>
      </c>
    </row>
    <row r="64" ht="44" customHeight="1">
      <c r="A64" s="18" t="inlineStr">
        <is>
          <t>85% market weight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85% market weight</t>
        </is>
      </c>
      <c r="B65" s="18" t="inlineStr">
        <is>
          <t>Legacy not recorded</t>
        </is>
      </c>
      <c r="C65" s="19">
        <v>20</v>
      </c>
    </row>
    <row r="66" ht="44" customHeight="1">
      <c r="A66" s="18" t="inlineStr">
        <is>
          <t>85% market weight</t>
        </is>
      </c>
      <c r="B66" s="18" t="inlineStr">
        <is>
          <t>Present but rejected</t>
        </is>
      </c>
      <c r="C66" s="19">
        <v>1</v>
      </c>
    </row>
    <row r="67" ht="44" customHeight="1">
      <c r="A67" s="18" t="inlineStr">
        <is>
          <t>Pinnacle totals anchor</t>
        </is>
      </c>
      <c r="B67" s="18" t="inlineStr">
        <is>
          <t>Captured</t>
        </is>
      </c>
      <c r="C67" s="19">
        <v>25</v>
      </c>
    </row>
    <row r="68" ht="44" customHeight="1">
      <c r="A68" s="18" t="inlineStr">
        <is>
          <t>Pinnacle totals anchor</t>
        </is>
      </c>
      <c r="B68" s="18" t="inlineStr">
        <is>
          <t>Legacy not recorded</t>
        </is>
      </c>
      <c r="C68" s="19">
        <v>21</v>
      </c>
    </row>
    <row r="69" ht="44" customHeight="1">
      <c r="A69" s="18" t="inlineStr">
        <is>
          <t>Stronger regularisation (L2=3)</t>
        </is>
      </c>
      <c r="B69" s="18" t="inlineStr">
        <is>
          <t>Legacy not recorded</t>
        </is>
      </c>
      <c r="C69" s="19">
        <v>46</v>
      </c>
    </row>
    <row r="70" ht="44" customHeight="1">
      <c r="A70" s="18" t="inlineStr">
        <is>
          <t>Fixed half-life (480 days)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Probability / calibration policy</t>
        </is>
      </c>
      <c r="B71" s="18" t="inlineStr">
        <is>
          <t>Captured</t>
        </is>
      </c>
      <c r="C71" s="19">
        <v>15</v>
      </c>
    </row>
    <row r="72" ht="44" customHeight="1">
      <c r="A72" s="18" t="inlineStr">
        <is>
          <t>Probability / calibration policy</t>
        </is>
      </c>
      <c r="B72" s="18" t="inlineStr">
        <is>
          <t>Legacy not recorded</t>
        </is>
      </c>
      <c r="C72" s="19">
        <v>26</v>
      </c>
    </row>
    <row r="73" ht="44" customHeight="1">
      <c r="A73" s="18" t="inlineStr">
        <is>
          <t>Probability / calibration policy</t>
        </is>
      </c>
      <c r="B73" s="18" t="inlineStr">
        <is>
          <t>Not generated</t>
        </is>
      </c>
      <c r="C73" s="19">
        <v>4</v>
      </c>
    </row>
    <row r="74" ht="44" customHeight="1">
      <c r="A74" s="18" t="inlineStr">
        <is>
          <t>Probability / calibration policy</t>
        </is>
      </c>
      <c r="B74" s="18" t="inlineStr">
        <is>
          <t>Present but rejected</t>
        </is>
      </c>
      <c r="C74" s="19">
        <v>1</v>
      </c>
    </row>
    <row r="75" ht="44" customHeight="1">
      <c r="A75" s="18" t="inlineStr">
        <is>
          <t>Shortlist probability / EV weights</t>
        </is>
      </c>
      <c r="B75" s="18" t="inlineStr">
        <is>
          <t>Captured</t>
        </is>
      </c>
      <c r="C75" s="19">
        <v>7</v>
      </c>
    </row>
    <row r="76" ht="44" customHeight="1">
      <c r="A76" s="18" t="inlineStr">
        <is>
          <t>Shortlist probability / EV weights</t>
        </is>
      </c>
      <c r="B76" s="18" t="inlineStr">
        <is>
          <t>Legacy not recorded</t>
        </is>
      </c>
      <c r="C76" s="19">
        <v>35</v>
      </c>
    </row>
    <row r="77" ht="44" customHeight="1">
      <c r="A77" s="18" t="inlineStr">
        <is>
          <t>Shortlist probability / EV weights</t>
        </is>
      </c>
      <c r="B77" s="18" t="inlineStr">
        <is>
          <t>Not generated</t>
        </is>
      </c>
      <c r="C77" s="19">
        <v>4</v>
      </c>
    </row>
    <row r="80">
      <c r="A80" s="26" t="inlineStr">
        <is>
          <t>EV sensitivity results</t>
        </is>
      </c>
    </row>
    <row r="81" ht="34" customHeight="1">
      <c r="A81" s="24" t="inlineStr">
        <is>
          <t>EV floor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Simulated ROI</t>
        </is>
      </c>
      <c r="F81" s="24" t="inlineStr">
        <is>
          <t>Drawdown (units)</t>
        </is>
      </c>
    </row>
    <row r="82" ht="44" customHeight="1">
      <c r="A82" s="20">
        <v>0.015</v>
      </c>
      <c r="B82" s="18" t="inlineStr">
        <is>
          <t>ALL</t>
        </is>
      </c>
      <c r="C82" s="19">
        <v>9</v>
      </c>
      <c r="D82" s="19">
        <v>8</v>
      </c>
      <c r="E82" s="20">
        <v>0.1725</v>
      </c>
      <c r="F82" s="22">
        <v>1.0</v>
      </c>
    </row>
    <row r="83" ht="44" customHeight="1">
      <c r="A83" s="20">
        <v>0.015</v>
      </c>
      <c r="B83" s="18" t="inlineStr">
        <is>
          <t>STRICT</t>
        </is>
      </c>
      <c r="C83" s="19">
        <v>7</v>
      </c>
      <c r="D83" s="19">
        <v>6</v>
      </c>
      <c r="E83" s="20">
        <v>0.09833333333333331</v>
      </c>
      <c r="F83" s="22">
        <v>1.0</v>
      </c>
    </row>
    <row r="84" ht="44" customHeight="1">
      <c r="A84" s="20">
        <v>0.015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0.03</v>
      </c>
      <c r="B85" s="18" t="inlineStr">
        <is>
          <t>ALL</t>
        </is>
      </c>
      <c r="C85" s="19">
        <v>8</v>
      </c>
      <c r="D85" s="19">
        <v>7</v>
      </c>
      <c r="E85" s="20">
        <v>0.16285714285714284</v>
      </c>
      <c r="F85" s="22">
        <v>1.0</v>
      </c>
    </row>
    <row r="86" ht="44" customHeight="1">
      <c r="A86" s="20">
        <v>0.03</v>
      </c>
      <c r="B86" s="18" t="inlineStr">
        <is>
          <t>STRICT</t>
        </is>
      </c>
      <c r="C86" s="19">
        <v>6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0.03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0.05</v>
      </c>
      <c r="B88" s="18" t="inlineStr">
        <is>
          <t>ALL</t>
        </is>
      </c>
      <c r="C88" s="19">
        <v>7</v>
      </c>
      <c r="D88" s="19">
        <v>6</v>
      </c>
      <c r="E88" s="20">
        <v>0.14666666666666664</v>
      </c>
      <c r="F88" s="22">
        <v>1.0</v>
      </c>
    </row>
    <row r="89" ht="44" customHeight="1">
      <c r="A89" s="20">
        <v>0.05</v>
      </c>
      <c r="B89" s="18" t="inlineStr">
        <is>
          <t>STRICT</t>
        </is>
      </c>
      <c r="C89" s="19">
        <v>5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0.05</v>
      </c>
      <c r="B90" s="18" t="inlineStr">
        <is>
          <t>PROVISIONAL</t>
        </is>
      </c>
      <c r="C90" s="19">
        <v>2</v>
      </c>
      <c r="D90" s="19">
        <v>1</v>
      </c>
      <c r="E90" s="20">
        <v>0.53</v>
      </c>
      <c r="F90" s="22">
        <v>0.0</v>
      </c>
    </row>
    <row r="93">
      <c r="A93" s="26" t="inlineStr">
        <is>
          <t>Daily review observations</t>
        </is>
      </c>
    </row>
    <row r="94" ht="34" customHeight="1">
      <c r="A94" s="24" t="inlineStr">
        <is>
          <t>Review date</t>
        </is>
      </c>
      <c r="B94" s="24" t="inlineStr">
        <is>
          <t>Graded</t>
        </is>
      </c>
      <c r="C94" s="24" t="inlineStr">
        <is>
          <t>Win rate</t>
        </is>
      </c>
      <c r="D94" s="24" t="inlineStr">
        <is>
          <t>Simulated ROI</t>
        </is>
      </c>
      <c r="E94" s="24" t="inlineStr">
        <is>
          <t>Brier</t>
        </is>
      </c>
    </row>
    <row r="95" ht="44" customHeight="1">
      <c r="A95" s="18" t="inlineStr">
        <is>
          <t>2026-10-13</t>
        </is>
      </c>
      <c r="B95" s="19">
        <v>9</v>
      </c>
      <c r="C95" s="20">
        <v>0.666667</v>
      </c>
      <c r="D95" s="20">
        <v>-0.096667</v>
      </c>
      <c r="E95" s="21">
        <v>0.250532</v>
      </c>
    </row>
    <row r="96" ht="44" customHeight="1">
      <c r="A96" s="18" t="inlineStr">
        <is>
          <t>2026-10-14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2026-10-15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2026-10-16</t>
        </is>
      </c>
      <c r="B98" s="19">
        <v>12</v>
      </c>
      <c r="C98" s="20">
        <v>0.75</v>
      </c>
      <c r="D98" s="20">
        <v>0.031667</v>
      </c>
      <c r="E98" s="21">
        <v>0.199836</v>
      </c>
    </row>
    <row r="99" ht="44" customHeight="1">
      <c r="A99" s="18" t="inlineStr">
        <is>
          <t>2026-10-17</t>
        </is>
      </c>
      <c r="B99" s="19">
        <v>17</v>
      </c>
      <c r="C99" s="20">
        <v>0.764706</v>
      </c>
      <c r="D99" s="20">
        <v>0.044706</v>
      </c>
      <c r="E99" s="21">
        <v>0.178798</v>
      </c>
    </row>
    <row r="100" ht="44" customHeight="1">
      <c r="A100" s="18" t="inlineStr">
        <is>
          <t>2026-10-18</t>
        </is>
      </c>
      <c r="B100" s="19">
        <v>26</v>
      </c>
      <c r="C100" s="20">
        <v>0.807692</v>
      </c>
      <c r="D100" s="20">
        <v>0.108077</v>
      </c>
      <c r="E100" s="21">
        <v>0.161003</v>
      </c>
    </row>
    <row r="101" ht="44" customHeight="1">
      <c r="A101" s="18" t="inlineStr">
        <is>
          <t>2026-10-19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2026-10-20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2026-10-21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4" ht="44" customHeight="1">
      <c r="A104" s="18" t="inlineStr">
        <is>
          <t>2026-10-22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2026-10-23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8">
      <c r="A108" s="26" t="inlineStr">
        <is>
          <t>Dependency versions</t>
        </is>
      </c>
    </row>
    <row r="109" ht="34" customHeight="1">
      <c r="A109" s="24" t="inlineStr">
        <is>
          <t>Dependency</t>
        </is>
      </c>
      <c r="B109" s="24" t="inlineStr">
        <is>
          <t>Version</t>
        </is>
      </c>
    </row>
    <row r="110" ht="44" customHeight="1">
      <c r="A110" s="18" t="inlineStr">
        <is>
          <t>python</t>
        </is>
      </c>
      <c r="B110" s="18" t="inlineStr">
        <is>
          <t>3.12.15</t>
        </is>
      </c>
    </row>
    <row r="111" ht="44" customHeight="1">
      <c r="A111" s="18" t="inlineStr">
        <is>
          <t>numpy</t>
        </is>
      </c>
      <c r="B111" s="18" t="inlineStr">
        <is>
          <t>2.5.4</t>
        </is>
      </c>
    </row>
    <row r="112" ht="44" customHeight="1">
      <c r="A112" s="18" t="inlineStr">
        <is>
          <t>pandas</t>
        </is>
      </c>
      <c r="B112" s="18" t="inlineStr">
        <is>
          <t>3.1.0</t>
        </is>
      </c>
    </row>
    <row r="113" ht="44" customHeight="1">
      <c r="A113" s="18" t="inlineStr">
        <is>
          <t>scipy</t>
        </is>
      </c>
      <c r="B113" s="18" t="inlineStr">
        <is>
          <t>1.18.1</t>
        </is>
      </c>
    </row>
    <row r="114" ht="44" customHeight="1">
      <c r="A114" s="18" t="inlineStr">
        <is>
          <t>requests</t>
        </is>
      </c>
      <c r="B114" s="18" t="inlineStr">
        <is>
          <t>2.34.2</t>
        </is>
      </c>
    </row>
    <row r="115" ht="44" customHeight="1">
      <c r="A115" s="18" t="inlineStr">
        <is>
          <t>rapidfuzz</t>
        </is>
      </c>
      <c r="B115" s="18" t="inlineStr">
        <is>
          <t>3.14.6</t>
        </is>
      </c>
    </row>
    <row r="116" ht="44" customHeight="1">
      <c r="A116" s="18" t="inlineStr">
        <is>
          <t>python-dotenv</t>
        </is>
      </c>
      <c r="B116" s="18" t="inlineStr">
        <is>
          <t>1.2.4</t>
        </is>
      </c>
    </row>
    <row r="117" ht="44" customHeight="1">
      <c r="A117" s="18" t="inlineStr">
        <is>
          <t>coverage</t>
        </is>
      </c>
      <c r="B117" s="18" t="inlineStr">
        <is>
          <t>7.17.0</t>
        </is>
      </c>
    </row>
    <row r="118" ht="44" customHeight="1">
      <c r="A118" s="18" t="inlineStr">
        <is>
          <t>PyYAML</t>
        </is>
      </c>
      <c r="B118" s="18" t="inlineStr">
        <is>
          <t>6.0.3</t>
        </is>
      </c>
    </row>
    <row r="121">
      <c r="A12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3:F53"/>
    <mergeCell ref="A80:F80"/>
    <mergeCell ref="A93:F93"/>
    <mergeCell ref="A108:F10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hyperlinks>
    <hyperlink ref="A12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2026-10-23T15:49:36.656816+00:00; 748 candidates on 81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748</v>
      </c>
      <c r="D9" s="19">
        <v>81</v>
      </c>
      <c r="E9" s="20">
        <v>-0.03007434123581643</v>
      </c>
      <c r="F9" s="20">
        <v>0.31283422459893045</v>
      </c>
      <c r="G9" s="22">
        <v>-6.434725951235263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45</v>
      </c>
      <c r="D10" s="19">
        <v>34</v>
      </c>
      <c r="E10" s="20">
        <v>-0.03503041166150643</v>
      </c>
      <c r="F10" s="20">
        <v>0.2222222222222222</v>
      </c>
      <c r="G10" s="22">
        <v>-2.943790247737777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362</v>
      </c>
      <c r="D11" s="19">
        <v>75</v>
      </c>
      <c r="E11" s="20">
        <v>0.011992233185179982</v>
      </c>
      <c r="F11" s="20">
        <v>0.569060773480663</v>
      </c>
      <c r="G11" s="22">
        <v>2.485557951702201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81</v>
      </c>
      <c r="D15" s="18"/>
      <c r="E15" s="21">
        <v>-0.1312346693742517</v>
      </c>
      <c r="F15" s="20">
        <v>0.5061728395061729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130</v>
      </c>
      <c r="D21" s="19">
        <v>61</v>
      </c>
      <c r="E21" s="20">
        <v>-0.02498531111476461</v>
      </c>
      <c r="F21" s="20">
        <v>0.3923076923076923</v>
      </c>
      <c r="G21" s="22">
        <v>-4.77057538607872</v>
      </c>
      <c r="H21" s="20">
        <v>0.02707687009877328</v>
      </c>
      <c r="I21" s="19">
        <v>98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110</v>
      </c>
      <c r="D22" s="19">
        <v>6</v>
      </c>
      <c r="E22" s="20">
        <v>-0.04506861037117747</v>
      </c>
      <c r="F22" s="20">
        <v>0.35454545454545455</v>
      </c>
      <c r="G22" s="22">
        <v>-14.103461799337762</v>
      </c>
      <c r="H22" s="20">
        <v>0.0006291208757228984</v>
      </c>
      <c r="I22" s="19">
        <v>110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88</v>
      </c>
      <c r="D23" s="19">
        <v>40</v>
      </c>
      <c r="E23" s="20">
        <v>-0.026589012146813255</v>
      </c>
      <c r="F23" s="20">
        <v>0.19318181818181818</v>
      </c>
      <c r="G23" s="22">
        <v>-5.35230042067137</v>
      </c>
      <c r="H23" s="20">
        <v>-0.01625843025441618</v>
      </c>
      <c r="I23" s="19">
        <v>10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73</v>
      </c>
      <c r="D24" s="19">
        <v>38</v>
      </c>
      <c r="E24" s="20">
        <v>-0.03575726078999224</v>
      </c>
      <c r="F24" s="20">
        <v>0.3287671232876712</v>
      </c>
      <c r="G24" s="22">
        <v>-3.1937817749885413</v>
      </c>
      <c r="H24" s="20">
        <v>0.008857565335401931</v>
      </c>
      <c r="I24" s="19">
        <v>73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22</v>
      </c>
      <c r="D26" s="19">
        <v>6</v>
      </c>
      <c r="E26" s="20">
        <v>-0.0707008067863507</v>
      </c>
      <c r="F26" s="20">
        <v>0.22727272727272727</v>
      </c>
      <c r="G26" s="22">
        <v>-3.2777351073416154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467</v>
      </c>
      <c r="D48" s="19">
        <v>72</v>
      </c>
      <c r="E48" s="20">
        <v>-0.03782405060747848</v>
      </c>
      <c r="F48" s="20">
        <v>0.25910064239828695</v>
      </c>
      <c r="G48" s="22">
        <v>-11.454238959063552</v>
      </c>
      <c r="H48" s="20">
        <v>0.011373018079191999</v>
      </c>
      <c r="I48" s="19">
        <v>281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139</v>
      </c>
      <c r="D49" s="19">
        <v>43</v>
      </c>
      <c r="E49" s="20">
        <v>-0.010765371965988858</v>
      </c>
      <c r="F49" s="20">
        <v>0.4676258992805755</v>
      </c>
      <c r="G49" s="22">
        <v>-0.6684968039840822</v>
      </c>
      <c r="H49" s="20">
        <v>0.02624594504920381</v>
      </c>
      <c r="I49" s="19">
        <v>17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46</v>
      </c>
      <c r="D51" s="19">
        <v>20</v>
      </c>
      <c r="E51" s="20">
        <v>-0.01846427415600339</v>
      </c>
      <c r="F51" s="20">
        <v>0.32608695652173914</v>
      </c>
      <c r="G51" s="22">
        <v>-0.6929120117668233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703</v>
      </c>
      <c r="D56" s="19">
        <v>81</v>
      </c>
      <c r="E56" s="20">
        <v>-0.029757096329477813</v>
      </c>
      <c r="F56" s="20">
        <v>0.3186344238975818</v>
      </c>
      <c r="G56" s="22">
        <v>-5.983653264539859</v>
      </c>
      <c r="H56" s="20">
        <v>0.012855038942752917</v>
      </c>
      <c r="I56" s="19">
        <v>330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45</v>
      </c>
      <c r="D57" s="19">
        <v>34</v>
      </c>
      <c r="E57" s="20">
        <v>-0.03503041166150643</v>
      </c>
      <c r="F57" s="20">
        <v>0.2222222222222222</v>
      </c>
      <c r="G57" s="22">
        <v>-2.943790247737777</v>
      </c>
      <c r="H57" s="20">
        <v>0.0030945488102091037</v>
      </c>
      <c r="I57" s="19">
        <v>32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UEFA Europa League</t>
        </is>
      </c>
      <c r="B63" s="18"/>
      <c r="C63" s="19">
        <v>90</v>
      </c>
      <c r="D63" s="19">
        <v>18</v>
      </c>
      <c r="E63" s="20">
        <v>-0.029265742952778517</v>
      </c>
      <c r="F63" s="20">
        <v>0.25555555555555554</v>
      </c>
      <c r="G63" s="22">
        <v>-4.225379439242074</v>
      </c>
      <c r="H63" s="20">
        <v>0.015496675340858615</v>
      </c>
      <c r="I63" s="19">
        <v>36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76</v>
      </c>
      <c r="D64" s="19">
        <v>9</v>
      </c>
      <c r="E64" s="20">
        <v>-0.032477332118190615</v>
      </c>
      <c r="F64" s="20">
        <v>0.2894736842105263</v>
      </c>
      <c r="G64" s="22">
        <v>-1.7200645077496497</v>
      </c>
      <c r="H64" s="20">
        <v>0.0077573451667667</v>
      </c>
      <c r="I64" s="19">
        <v>26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75</v>
      </c>
      <c r="D65" s="19">
        <v>8</v>
      </c>
      <c r="E65" s="20">
        <v>-0.02729792157516138</v>
      </c>
      <c r="F65" s="20">
        <v>0.32</v>
      </c>
      <c r="G65" s="22">
        <v>-3.5781463530611313</v>
      </c>
      <c r="H65" s="20">
        <v>0.00933673000055551</v>
      </c>
      <c r="I65" s="19">
        <v>33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62</v>
      </c>
      <c r="D66" s="19">
        <v>8</v>
      </c>
      <c r="E66" s="20">
        <v>-0.01199389870346156</v>
      </c>
      <c r="F66" s="20">
        <v>0.3225806451612903</v>
      </c>
      <c r="G66" s="22">
        <v>-0.5088268971591674</v>
      </c>
      <c r="H66" s="20">
        <v>0.02644768181828641</v>
      </c>
      <c r="I66" s="19">
        <v>23</v>
      </c>
      <c r="J66" s="18" t="inlineStr">
        <is>
          <t>Small sample</t>
        </is>
      </c>
    </row>
    <row r="67" ht="30" customHeight="1">
      <c r="A67" s="18" t="inlineStr">
        <is>
          <t>Bundesliga</t>
        </is>
      </c>
      <c r="B67" s="18"/>
      <c r="C67" s="19">
        <v>61</v>
      </c>
      <c r="D67" s="19">
        <v>8</v>
      </c>
      <c r="E67" s="20">
        <v>-0.02667191803781817</v>
      </c>
      <c r="F67" s="20">
        <v>0.32786885245901637</v>
      </c>
      <c r="G67" s="22">
        <v>-2.4639580713087157</v>
      </c>
      <c r="H67" s="20">
        <v>0.03148210668072311</v>
      </c>
      <c r="I67" s="19">
        <v>28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57</v>
      </c>
      <c r="D68" s="19">
        <v>7</v>
      </c>
      <c r="E68" s="20">
        <v>-0.018196345284034774</v>
      </c>
      <c r="F68" s="20">
        <v>0.3684210526315789</v>
      </c>
      <c r="G68" s="22">
        <v>-0.8685728052552792</v>
      </c>
      <c r="H68" s="20">
        <v>0.06072485695417496</v>
      </c>
      <c r="I68" s="19">
        <v>22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