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  <c:pt idx="20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0.6071428571428571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0.5850162907142857</v>
      </c>
      <c r="C17" s="18"/>
      <c r="D17" s="18" t="inlineStr">
        <is>
          <t>Over 1.5</t>
        </is>
      </c>
      <c r="E17" s="18">
        <f>COUNT(Predictions!J6:J136)</f>
        <v>28</v>
      </c>
      <c r="F17" s="20">
        <f>IF(E17=0,"n.a.",AVERAGE(Predictions!J6:J136))</f>
        <v>0.9285714285714286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COUNT(Predictions!K6:K136)</f>
        <v>28</v>
      </c>
      <c r="F18" s="20">
        <f>IF(E18=0,"n.a.",AVERAGE(Predictions!K6:K136))</f>
        <v>0.5714285714285714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COUNT(Predictions!L6:L136)</f>
        <v>28</v>
      </c>
      <c r="F19" s="20">
        <f>IF(E19=0,"n.a.",AVERAGE(Predictions!L6:L136))</f>
        <v>0.5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28</v>
      </c>
      <c r="F20" s="20">
        <f>IF(E20=0,"n.a.",AVERAGE(Predictions!M6:M136))</f>
        <v>0.5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2026-10-14T20:16:18.361713+00:00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19:19:02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-0.8700000000000001</v>
      </c>
      <c r="G30" s="22">
        <f>$B$4+F30</f>
        <v>99.13</v>
      </c>
      <c r="H30" s="22">
        <f>MAX($B$4,$G$10:G30)</f>
        <v>100</v>
      </c>
      <c r="I30" s="22">
        <f>H30-G30</f>
        <v>0.8700000000000045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9</v>
      </c>
      <c r="E6" s="19">
        <f>COUNTIFS(Selections!$K$6:$K$26,"WON")</f>
        <v>6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12</v>
      </c>
      <c r="H6" s="20">
        <f>IF((COUNTIFS(Selections!$K$6:$K$26,"WON")+COUNTIFS(Selections!$K$6:$K$26,"LOST"))=0,"n.a.",COUNTIFS(Selections!$K$6:$K$26,"WON")/(COUNTIFS(Selections!$K$6:$K$26,"WON")+COUNTIFS(Selections!$K$6:$K$26,"LOST")))</f>
        <v>0.6666666666666666</v>
      </c>
      <c r="I6" s="22">
        <f>SUM(Selections!$M$6:$M$26)</f>
        <v>9</v>
      </c>
      <c r="J6" s="22">
        <f>SUM(Selections!$N$6:$N$26)</f>
        <v>-0.8700000000000001</v>
      </c>
      <c r="K6" s="20">
        <f>IF(SUM(Selections!$M$6:$M$26)=0,"n.a.",SUM(Selections!$N$6:$N$26)/SUM(Selections!$M$6:$M$26))</f>
        <v>-0.09666666666666668</v>
      </c>
      <c r="L6" s="21">
        <f>IF(SUM(Selections!$T$6:$T$26)=0,"n.a.",SUM(Selections!$O$6:$O$26)/SUM(Selections!$T$6:$T$26))</f>
        <v>0.25053182411845815</v>
      </c>
      <c r="M6" s="20">
        <f>IF(SUM(Selections!$T$6:$T$26)=0,"n.a.",SUM(Selections!$S$6:$S$26)/SUM(Selections!$T$6:$T$26))</f>
        <v>0.8039940028539501</v>
      </c>
      <c r="N6" s="20">
        <f>IF(SUM(Selections!$T$6:$T$26)=0,"n.a.",(SUMIFS(Selections!$L$6:$L$26,Selections!$T$6:$T$26,1))/SUM(Selections!$T$6:$T$26))</f>
        <v>0.6666666666666666</v>
      </c>
      <c r="O6" s="20">
        <f>IF(SUM(Selections!$T$6:$T$26)=0,"n.a.",(SUM(Selections!$S$6:$S$26)-(SUMIFS(Selections!$L$6:$L$26,Selections!$T$6:$T$26,1)))/SUM(Selections!$T$6:$T$26))</f>
        <v>0.13732733618728343</v>
      </c>
      <c r="P6" s="19">
        <f>SUM(Selections!$T$6:$T$26)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4</v>
      </c>
      <c r="E7" s="19">
        <f>COUNTIFS(Selections!$F$6:$F$26,"STRICT",Selections!$K$6:$K$26,"WON")</f>
        <v>4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7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4</v>
      </c>
      <c r="J7" s="22">
        <f>SUMIFS(Selections!$N$6:$N$26,Selections!$F$6:$F$26,"STRICT")</f>
        <v>1.6099999999999999</v>
      </c>
      <c r="K7" s="20">
        <f>IF(SUMIFS(Selections!$M$6:$M$26,Selections!$F$6:$F$26,"STRICT")=0,"n.a.",SUMIFS(Selections!$N$6:$N$26,Selections!$F$6:$F$26,"STRICT")/SUMIFS(Selections!$M$6:$M$26,Selections!$F$6:$F$26,"STRICT"))</f>
        <v>0.40249999999999997</v>
      </c>
      <c r="L7" s="21">
        <f>IF(SUMIFS(Selections!$T$6:$T$26,Selections!$F$6:$F$26,"STRICT")=0,"n.a.",SUMIFS(Selections!$O$6:$O$26,Selections!$F$6:$F$26,"STRICT")/SUMIFS(Selections!$T$6:$T$26,Selections!$F$6:$F$26,"STRICT"))</f>
        <v>0.05954074059867185</v>
      </c>
      <c r="M7" s="20">
        <f>IF(SUMIFS(Selections!$T$6:$T$26,Selections!$F$6:$F$26,"STRICT")=0,"n.a.",SUMIFS(Selections!$S$6:$S$26,Selections!$F$6:$F$26,"STRICT")/SUMIFS(Selections!$T$6:$T$26,Selections!$F$6:$F$26,"STRICT"))</f>
        <v>0.7786491041410677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-0.2213508958589323</v>
      </c>
      <c r="P7" s="19">
        <f>SUMIFS(Selections!$T$6:$T$26,Selections!$F$6:$F$26,"STRICT")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2</v>
      </c>
      <c r="E12" s="19">
        <f>COUNTIFS(Selections!$C$6:$C$26,"UEFA Champions League",Selections!$K$6:$K$26,"WON")</f>
        <v>2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3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2</v>
      </c>
      <c r="J12" s="22">
        <f>SUMIFS(Selections!$N$6:$N$26,Selections!$C$6:$C$26,"UEFA Champions League")</f>
        <v>0.6399999999999999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0.31999999999999995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0.044846252190532905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0.8251595146393822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-0.1748404853606178</v>
      </c>
      <c r="P12" s="19">
        <f>SUMIFS(Selections!$T$6:$T$26,Selections!$C$6:$C$26,"UEFA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1</v>
      </c>
      <c r="E15" s="19">
        <f>COUNTIFS(Selections!$E$6:$E$26,"Home win",Selections!$K$6:$K$26,"WON")</f>
        <v>1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3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1</v>
      </c>
      <c r="J15" s="22">
        <f>SUMIFS(Selections!$N$6:$N$26,Selections!$E$6:$E$26,"Home win")</f>
        <v>0.6299999999999999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0.6299999999999999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0.10094383319457502</v>
      </c>
      <c r="M15" s="20">
        <f>IF(SUMIFS(Selections!$T$6:$T$26,Selections!$E$6:$E$26,"Home win")=0,"n.a.",SUMIFS(Selections!$S$6:$S$26,Selections!$E$6:$E$26,"Home win")/SUMIFS(Selections!$T$6:$T$26,Selections!$E$6:$E$26,"Home win"))</f>
        <v>0.6822834074295536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-0.3177165925704464</v>
      </c>
      <c r="P15" s="19">
        <f>SUMIFS(Selections!$T$6:$T$26,Selections!$E$6:$E$26,"Home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3</v>
      </c>
      <c r="E16" s="19">
        <f>COUNTIFS(Selections!$E$6:$E$26,"Over 1.5",Selections!$K$6:$K$26,"WON")</f>
        <v>3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6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3</v>
      </c>
      <c r="J16" s="22">
        <f>SUMIFS(Selections!$N$6:$N$26,Selections!$E$6:$E$26,"Over 1.5")</f>
        <v>0.73</v>
      </c>
      <c r="K16" s="20">
        <f>IF(SUMIFS(Selections!$M$6:$M$26,Selections!$E$6:$E$26,"Over 1.5")=0,"n.a.",SUMIFS(Selections!$N$6:$N$26,Selections!$E$6:$E$26,"Over 1.5")/SUMIFS(Selections!$M$6:$M$26,Selections!$E$6:$E$26,"Over 1.5"))</f>
        <v>0.24333333333333332</v>
      </c>
      <c r="L16" s="21">
        <f>IF(SUMIFS(Selections!$T$6:$T$26,Selections!$E$6:$E$26,"Over 1.5")=0,"n.a.",SUMIFS(Selections!$O$6:$O$26,Selections!$E$6:$E$26,"Over 1.5")/SUMIFS(Selections!$T$6:$T$26,Selections!$E$6:$E$26,"Over 1.5"))</f>
        <v>0.020227084911165257</v>
      </c>
      <c r="M16" s="20">
        <f>IF(SUMIFS(Selections!$T$6:$T$26,Selections!$E$6:$E$26,"Over 1.5")=0,"n.a.",SUMIFS(Selections!$S$6:$S$26,Selections!$E$6:$E$26,"Over 1.5")/SUMIFS(Selections!$T$6:$T$26,Selections!$E$6:$E$26,"Over 1.5"))</f>
        <v>0.8753960821368366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-0.12460391786316338</v>
      </c>
      <c r="P16" s="19">
        <f>SUMIFS(Selections!$T$6:$T$26,Selections!$E$6:$E$26,"Over 1.5")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4</v>
      </c>
      <c r="E19" s="19">
        <f>COUNTIFS(Selections!$G$6:$G$26,"72h-ucl-v3",Selections!$K$6:$K$26,"WON")</f>
        <v>3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4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0.75</v>
      </c>
      <c r="I19" s="22">
        <f>SUMIFS(Selections!$M$6:$M$26,Selections!$G$6:$G$26,"72h-ucl-v3")</f>
        <v>4</v>
      </c>
      <c r="J19" s="22">
        <f>SUMIFS(Selections!$N$6:$N$26,Selections!$G$6:$G$26,"72h-ucl-v3")</f>
        <v>-0.020000000000000018</v>
      </c>
      <c r="K19" s="20">
        <f>IF(SUMIFS(Selections!$M$6:$M$26,Selections!$G$6:$G$26,"72h-ucl-v3")=0,"n.a.",SUMIFS(Selections!$N$6:$N$26,Selections!$G$6:$G$26,"72h-ucl-v3")/SUMIFS(Selections!$M$6:$M$26,Selections!$G$6:$G$26,"72h-ucl-v3"))</f>
        <v>-0.0050000000000000044</v>
      </c>
      <c r="L19" s="21">
        <f>IF(SUMIFS(Selections!$T$6:$T$26,Selections!$G$6:$G$26,"72h-ucl-v3")=0,"n.a.",SUMIFS(Selections!$O$6:$O$26,Selections!$G$6:$G$26,"72h-ucl-v3")/SUMIFS(Selections!$T$6:$T$26,Selections!$G$6:$G$26,"72h-ucl-v3"))</f>
        <v>0.17685702320972962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0.7968587073827849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0.75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0.04685870738278486</v>
      </c>
      <c r="P19" s="19">
        <f>SUMIFS(Selections!$T$6:$T$26,Selections!$G$6:$G$26,"72h-ucl-v3")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5</v>
      </c>
      <c r="E22" s="19">
        <f>COUNTIFS(Selections!$P$6:$P$26,"2026-W42",Selections!$K$6:$K$26,"WON")</f>
        <v>4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10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</v>
      </c>
      <c r="I22" s="22">
        <f>SUMIFS(Selections!$M$6:$M$26,Selections!$P$6:$P$26,"2026-W42")</f>
        <v>5</v>
      </c>
      <c r="J22" s="22">
        <f>SUMIFS(Selections!$N$6:$N$26,Selections!$P$6:$P$26,"2026-W42")</f>
        <v>0.6099999999999999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0.12199999999999997</v>
      </c>
      <c r="L22" s="21">
        <f>IF(SUMIFS(Selections!$T$6:$T$26,Selections!$P$6:$P$26,"2026-W42")=0,"n.a.",SUMIFS(Selections!$O$6:$O$26,Selections!$P$6:$P$26,"2026-W42")/SUMIFS(Selections!$T$6:$T$26,Selections!$P$6:$P$26,"2026-W42"))</f>
        <v>0.18766448976327427</v>
      </c>
      <c r="M22" s="20">
        <f>IF(SUMIFS(Selections!$T$6:$T$26,Selections!$P$6:$P$26,"2026-W42")=0,"n.a.",SUMIFS(Selections!$S$6:$S$26,Selections!$P$6:$P$26,"2026-W42")/SUMIFS(Selections!$T$6:$T$26,Selections!$P$6:$P$26,"2026-W42"))</f>
        <v>0.7902703498074164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-0.00972965019258365</v>
      </c>
      <c r="P22" s="19">
        <f>SUMIFS(Selections!$T$6:$T$26,Selections!$P$6:$P$26,"2026-W42")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1</v>
      </c>
      <c r="E8" s="20">
        <f>IF(D8=0,"n.a.",SUMIFS(Selections!$S$6:$S$26,Selections!$S$6:$S$26,"&gt;="&amp;B8,Selections!$S$6:$S$26,"&lt;"&amp;C8,Selections!$T$6:$T$26,1)/D8)</f>
        <v>0.6822834074295536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-0.3177165925704464</v>
      </c>
      <c r="H8" s="21">
        <f>IF(D8=0,"n.a.",SUMIFS(Selections!$O$6:$O$26,Selections!$S$6:$S$26,"&gt;="&amp;B8,Selections!$S$6:$S$26,"&lt;"&amp;C8,Selections!$T$6:$T$26,1)/D8)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1</v>
      </c>
      <c r="E11" s="20">
        <f>IF(D11=0,"n.a.",SUMIFS(Selections!$S$6:$S$26,Selections!$S$6:$S$26,"&gt;="&amp;B11,Selections!$S$6:$S$26,"&lt;"&amp;C11,Selections!$T$6:$T$26,1)/D11)</f>
        <v>0.9446461535133436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-0.05535384648665642</v>
      </c>
      <c r="H11" s="21">
        <f>IF(D11=0,"n.a.",SUMIFS(Selections!$O$6:$O$26,Selections!$S$6:$S$26,"&gt;="&amp;B11,Selections!$S$6:$S$26,"&lt;"&amp;C11,Selections!$T$6:$T$26,1)/D11)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30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20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10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5.0</v>
      </c>
      <c r="C7" s="19">
        <f>COUNTIFS(Selections!$P$6:$P$26,A7,Selections!$M$6:$M$26,"&gt;0")</f>
        <v>5.0</v>
      </c>
      <c r="D7" s="22">
        <f>IF(C7=0,"n.a.",Breakdowns!J22)</f>
        <v>0.6099999999999999</v>
      </c>
      <c r="E7" s="22">
        <f>IF(SUM($C$6:C7)=0,"n.a.",SUM($D$6:D7))</f>
        <v>-0.8700000000000001</v>
      </c>
      <c r="F7" s="20">
        <f>Breakdowns!H22</f>
        <v>0.8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-0.8700000000000001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2026-10-14T20:16:18.361713+00:00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532</v>
      </c>
      <c r="D14" s="19">
        <v>0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10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10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6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5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3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3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24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24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1</v>
      </c>
      <c r="E58" s="20">
        <v>0.17999999999999994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1</v>
      </c>
      <c r="E61" s="20">
        <v>0.17999999999999994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1</v>
      </c>
      <c r="E63" s="20">
        <v>0.17999999999999994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1</v>
      </c>
      <c r="E64" s="20">
        <v>0.17999999999999994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9</v>
      </c>
      <c r="C71" s="20">
        <v>0.666667</v>
      </c>
      <c r="D71" s="20">
        <v>-0.096667</v>
      </c>
      <c r="E71" s="21">
        <v>0.250532</v>
      </c>
    </row>
    <row r="74">
      <c r="A74" s="26" t="inlineStr">
        <is>
          <t>Dependency versions</t>
        </is>
      </c>
    </row>
    <row r="75" ht="34" customHeight="1">
      <c r="A75" s="24" t="inlineStr">
        <is>
          <t>Dependency</t>
        </is>
      </c>
      <c r="B75" s="24" t="inlineStr">
        <is>
          <t>Version</t>
        </is>
      </c>
    </row>
    <row r="76" ht="44" customHeight="1">
      <c r="A76" s="18" t="inlineStr">
        <is>
          <t>python</t>
        </is>
      </c>
      <c r="B76" s="18" t="inlineStr">
        <is>
          <t>3.12.15</t>
        </is>
      </c>
    </row>
    <row r="77" ht="44" customHeight="1">
      <c r="A77" s="18" t="inlineStr">
        <is>
          <t>numpy</t>
        </is>
      </c>
      <c r="B77" s="18" t="inlineStr">
        <is>
          <t>2.5.4</t>
        </is>
      </c>
    </row>
    <row r="78" ht="44" customHeight="1">
      <c r="A78" s="18" t="inlineStr">
        <is>
          <t>pandas</t>
        </is>
      </c>
      <c r="B78" s="18" t="inlineStr">
        <is>
          <t>3.0.6</t>
        </is>
      </c>
    </row>
    <row r="79" ht="44" customHeight="1">
      <c r="A79" s="18" t="inlineStr">
        <is>
          <t>scipy</t>
        </is>
      </c>
      <c r="B79" s="18" t="inlineStr">
        <is>
          <t>1.18.1</t>
        </is>
      </c>
    </row>
    <row r="80" ht="44" customHeight="1">
      <c r="A80" s="18" t="inlineStr">
        <is>
          <t>requests</t>
        </is>
      </c>
      <c r="B80" s="18" t="inlineStr">
        <is>
          <t>2.34.2</t>
        </is>
      </c>
    </row>
    <row r="81" ht="44" customHeight="1">
      <c r="A81" s="18" t="inlineStr">
        <is>
          <t>python-dotenv</t>
        </is>
      </c>
      <c r="B81" s="18" t="inlineStr">
        <is>
          <t>1.2.4</t>
        </is>
      </c>
    </row>
    <row r="82" ht="44" customHeight="1">
      <c r="A82" s="18" t="inlineStr">
        <is>
          <t>coverage</t>
        </is>
      </c>
      <c r="B82" s="18" t="inlineStr">
        <is>
          <t>NOT_INSTALLED</t>
        </is>
      </c>
    </row>
    <row r="83" ht="44" customHeight="1">
      <c r="A83" s="18" t="inlineStr">
        <is>
          <t>PyYAML</t>
        </is>
      </c>
      <c r="B83" s="18" t="inlineStr">
        <is>
          <t>NOT_INSTALLED</t>
        </is>
      </c>
    </row>
    <row r="86">
      <c r="A8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4:F7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</sheetData>
  <autoFilter ref="A5:H29"/>
  <mergeCells count="2">
    <mergeCell ref="A2:H2"/>
    <mergeCell ref="A4:H4"/>
  </mergeCells>
</worksheet>
</file>