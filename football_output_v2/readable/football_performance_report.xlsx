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13.0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0.7600000000000002</v>
                </pt>
                <pt idx="2">
                  <v>0.7600000000000002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</c:v>
                </c:pt>
                <c:pt idx="1">
                  <c:v>0.5714285714285714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Plan'!$A$10:$A$34</c:f>
              <c:strCache>
                <c:ptCount val="25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  <c:pt idx="24">
                  <c:v>2026-10-20T19:00:00+00:00</c:v>
                </c:pt>
              </c:strCache>
            </c:strRef>
          </c:cat>
          <c:val>
            <c:numRef>
              <c:f>'ROI Plan'!$F$10:$F$34</c:f>
              <c:numCache>
                <c:formatCode>General</c:formatCode>
                <c:ptCount val="25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-0.6200000000000001</c:v>
                </c:pt>
                <c:pt idx="15">
                  <c:v>-0.3500000000000001</c:v>
                </c:pt>
                <c:pt idx="16">
                  <c:v>0.06999999999999984</c:v>
                </c:pt>
                <c:pt idx="17">
                  <c:v>0.17999999999999994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  <c:pt idx="24">
                  <c:v>0.76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0.6649168259093771</c:v>
                </c:pt>
                <c:pt idx="3">
                  <c:v>0.7598033602744063</c:v>
                </c:pt>
                <c:pt idx="4">
                  <c:v>0.8371222720964511</c:v>
                </c:pt>
                <c:pt idx="5">
                  <c:v>0.9252676220125422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0.75</c:v>
                </c:pt>
                <c:pt idx="3">
                  <c:v>0.75</c:v>
                </c:pt>
                <c:pt idx="4">
                  <c:v>0.6666666666666666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4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30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25</v>
      </c>
      <c r="C7" s="18"/>
      <c r="D7" s="18" t="str">
        <v>STRICT</v>
      </c>
      <c r="E7" s="18">
        <f>Breakdowns!D7</f>
        <v>10</v>
      </c>
      <c r="F7" s="20">
        <f>Breakdowns!H7</f>
        <v>0.9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17</v>
      </c>
      <c r="C8" s="18"/>
      <c r="D8" s="18" t="str">
        <v>PROVISIONAL</v>
      </c>
      <c r="E8" s="18">
        <f>Breakdowns!D8</f>
        <v>7</v>
      </c>
      <c r="F8" s="20">
        <f>Breakdowns!H8</f>
        <v>0.5714285714285714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13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8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0.7647058823529411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0.04470588235294118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0.76</v>
      </c>
      <c r="C14" s="18"/>
      <c r="D14" s="18" t="inlineStr">
        <is>
          <t>17 settled; 8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0.17879796164462633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0.6206896551724138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0.5429374143103448</v>
      </c>
      <c r="C17" s="18"/>
      <c r="D17" s="18" t="inlineStr">
        <is>
          <t>Over 1.5</t>
        </is>
      </c>
      <c r="E17" s="18">
        <f>COUNT(Predictions!J6:J168)</f>
        <v>58</v>
      </c>
      <c r="F17" s="20">
        <f>IF(E17=0,"n.a.",AVERAGE(Predictions!J6:J168))</f>
        <v>0.8103448275862069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0.5273775411082839</v>
      </c>
      <c r="C18" s="18"/>
      <c r="D18" s="18" t="inlineStr">
        <is>
          <t>Under 3.5</t>
        </is>
      </c>
      <c r="E18" s="18">
        <f>COUNT(Predictions!K6:K168)</f>
        <v>58</v>
      </c>
      <c r="F18" s="20">
        <f>IF(E18=0,"n.a.",AVERAGE(Predictions!K6:K168))</f>
        <v>0.6206896551724138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0.9044511092832406</v>
      </c>
      <c r="C19" s="18"/>
      <c r="D19" s="18" t="inlineStr">
        <is>
          <t>BTTS Yes</t>
        </is>
      </c>
      <c r="E19" s="18">
        <f>COUNT(Predictions!L6:L168)</f>
        <v>58</v>
      </c>
      <c r="F19" s="20">
        <f>IF(E19=0,"n.a.",AVERAGE(Predictions!L6:L168))</f>
        <v>0.5689655172413793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58</v>
      </c>
      <c r="F20" s="20">
        <f>IF(E20=0,"n.a.",AVERAGE(Predictions!M6:M168))</f>
        <v>0.5689655172413793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13 wins from 17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2026-10-18T12:03:56.794759+00:00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31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2026-10-18 09:58:45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-0.6200000000000001</v>
      </c>
      <c r="G24" s="22">
        <f>$B$4+F24</f>
        <v>99.38</v>
      </c>
      <c r="H24" s="22">
        <f>MAX($B$4,$G$10:G24)</f>
        <v>100.38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-0.3500000000000001</v>
      </c>
      <c r="G25" s="22">
        <f>$B$4+F25</f>
        <v>99.65</v>
      </c>
      <c r="H25" s="22">
        <f>MAX($B$4,$G$10:G25)</f>
        <v>100.38</v>
      </c>
      <c r="I25" s="22">
        <f>H25-G25</f>
        <v>0.7299999999999898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0.06999999999999984</v>
      </c>
      <c r="G26" s="22">
        <f>$B$4+F26</f>
        <v>100.07</v>
      </c>
      <c r="H26" s="22">
        <f>MAX($B$4,$G$10:G26)</f>
        <v>100.38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0.1100000000000001</v>
      </c>
      <c r="F27" s="22">
        <f>SUM($E$10:E27)</f>
        <v>0.17999999999999994</v>
      </c>
      <c r="G27" s="22">
        <f>$B$4+F27</f>
        <v>100.18</v>
      </c>
      <c r="H27" s="22">
        <f>MAX($B$4,$G$10:G27)</f>
        <v>100.38</v>
      </c>
      <c r="I27" s="22">
        <f>H27-G27</f>
        <v>0.19999999999998863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0.5800000000000001</v>
      </c>
      <c r="F28" s="22">
        <f>SUM($E$10:E28)</f>
        <v>0.76</v>
      </c>
      <c r="G28" s="22">
        <f>$B$4+F28</f>
        <v>100.76</v>
      </c>
      <c r="H28" s="22">
        <f>MAX($B$4,$G$10:G28)</f>
        <v>100.76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0.76</v>
      </c>
      <c r="G29" s="22">
        <f>$B$4+F29</f>
        <v>100.76</v>
      </c>
      <c r="H29" s="22">
        <f>MAX($B$4,$G$10:G29)</f>
        <v>100.76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0.76</v>
      </c>
      <c r="G30" s="22">
        <f>$B$4+F30</f>
        <v>100.76</v>
      </c>
      <c r="H30" s="22">
        <f>MAX($B$4,$G$10:G30)</f>
        <v>100.76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0.76</v>
      </c>
      <c r="G31" s="22">
        <f>$B$4+F31</f>
        <v>100.76</v>
      </c>
      <c r="H31" s="22">
        <f>MAX($B$4,$G$10:G31)</f>
        <v>100.76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0.76</v>
      </c>
      <c r="G32" s="22">
        <f>$B$4+F32</f>
        <v>100.76</v>
      </c>
      <c r="H32" s="22">
        <f>MAX($B$4,$G$10:G32)</f>
        <v>100.76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0.76</v>
      </c>
      <c r="G33" s="22">
        <f>$B$4+F33</f>
        <v>100.76</v>
      </c>
      <c r="H33" s="22">
        <f>MAX($B$4,$G$10:G33)</f>
        <v>100.76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2026-10-20T19:00:00+00:00</t>
        </is>
      </c>
      <c r="B34" s="18" t="inlineStr">
        <is>
          <t>Liverpool vs Villarreal</t>
        </is>
      </c>
      <c r="C34" s="18" t="inlineStr">
        <is>
          <t>PENDING_KICKOFF_OR_FINAL_SCORE</t>
        </is>
      </c>
      <c r="D34" s="22" t="str">
        <f>IF(ISNUMBER(Selections!M30),Selections!M30,"")</f>
        <v/>
      </c>
      <c r="E34" s="22" t="str">
        <f>IF(ISNUMBER(Selections!N30),Selections!N30,"")</f>
        <v/>
      </c>
      <c r="F34" s="22">
        <f>SUM($E$10:E34)</f>
        <v>0.76</v>
      </c>
      <c r="G34" s="22">
        <f>$B$4+F34</f>
        <v>100.76</v>
      </c>
      <c r="H34" s="22">
        <f>MAX($B$4,$G$10:G34)</f>
        <v>100.76</v>
      </c>
      <c r="I34" s="22">
        <f>H34-G34</f>
        <v>0.0</v>
      </c>
      <c r="J34" s="18" t="inlineStr">
        <is>
          <t>2026-W43</t>
        </is>
      </c>
      <c r="K34" s="18"/>
      <c r="L34" s="18"/>
      <c r="M34" s="18"/>
      <c r="N34" s="18"/>
      <c r="O34" s="18"/>
      <c r="P34" s="18"/>
      <c r="Q34" s="18"/>
      <c r="R34" s="18"/>
    </row>
  </sheetData>
  <mergeCells count="1">
    <mergeCell ref="A2:J2"/>
  </mergeCells>
  <conditionalFormatting sqref="E10:E34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COUNTA(Selections!$A$6:$A$30)</f>
        <v>25</v>
      </c>
      <c r="D6" s="19">
        <f>(COUNTIFS(Selections!$K$6:$K$30,"WON")+COUNTIFS(Selections!$K$6:$K$30,"LOST"))</f>
        <v>17</v>
      </c>
      <c r="E6" s="19">
        <f>COUNTIFS(Selections!$K$6:$K$30,"WON")</f>
        <v>13</v>
      </c>
      <c r="F6" s="19">
        <f>COUNTIFS(Selections!$K$6:$K$30,"LOST")</f>
        <v>4</v>
      </c>
      <c r="G6" s="19">
        <f>COUNTA(Selections!$A$6:$A$30)-(COUNTIFS(Selections!$K$6:$K$30,"WON")+COUNTIFS(Selections!$K$6:$K$30,"LOST"))</f>
        <v>8</v>
      </c>
      <c r="H6" s="20">
        <f>IF((COUNTIFS(Selections!$K$6:$K$30,"WON")+COUNTIFS(Selections!$K$6:$K$30,"LOST"))=0,"n.a.",COUNTIFS(Selections!$K$6:$K$30,"WON")/(COUNTIFS(Selections!$K$6:$K$30,"WON")+COUNTIFS(Selections!$K$6:$K$30,"LOST")))</f>
        <v>0.7647058823529411</v>
      </c>
      <c r="I6" s="22">
        <f>SUM(Selections!$M$6:$M$30)</f>
        <v>17</v>
      </c>
      <c r="J6" s="22">
        <f>SUM(Selections!$N$6:$N$30)</f>
        <v>0.76</v>
      </c>
      <c r="K6" s="20">
        <f>IF(SUM(Selections!$M$6:$M$30)=0,"n.a.",SUM(Selections!$N$6:$N$30)/SUM(Selections!$M$6:$M$30))</f>
        <v>0.04470588235294118</v>
      </c>
      <c r="L6" s="21">
        <f>IF(SUM(Selections!$T$6:$T$30)=0,"n.a.",SUM(Selections!$O$6:$O$30)/SUM(Selections!$T$6:$T$30))</f>
        <v>0.17879796164462633</v>
      </c>
      <c r="M6" s="20">
        <f>IF(SUM(Selections!$T$6:$T$30)=0,"n.a.",SUM(Selections!$S$6:$S$30)/SUM(Selections!$T$6:$T$30))</f>
        <v>0.7939657201971452</v>
      </c>
      <c r="N6" s="20">
        <f>IF(SUM(Selections!$T$6:$T$30)=0,"n.a.",(SUMIFS(Selections!$L$6:$L$30,Selections!$T$6:$T$30,1))/SUM(Selections!$T$6:$T$30))</f>
        <v>0.7647058823529411</v>
      </c>
      <c r="O6" s="20">
        <f>IF(SUM(Selections!$T$6:$T$30)=0,"n.a.",(SUM(Selections!$S$6:$S$30)-(SUMIFS(Selections!$L$6:$L$30,Selections!$T$6:$T$30,1)))/SUM(Selections!$T$6:$T$30))</f>
        <v>0.02925983784420405</v>
      </c>
      <c r="P6" s="19">
        <f>SUM(Selections!$T$6:$T$30)</f>
        <v>17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(n=17).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COUNTIFS(Selections!$F$6:$F$30,"STRICT")</f>
        <v>14</v>
      </c>
      <c r="D7" s="19">
        <f>(COUNTIFS(Selections!$F$6:$F$30,"STRICT",Selections!$K$6:$K$30,"WON")+COUNTIFS(Selections!$F$6:$F$30,"STRICT",Selections!$K$6:$K$30,"LOST"))</f>
        <v>10</v>
      </c>
      <c r="E7" s="19">
        <f>COUNTIFS(Selections!$F$6:$F$30,"STRICT",Selections!$K$6:$K$30,"WON")</f>
        <v>9</v>
      </c>
      <c r="F7" s="19">
        <f>COUNTIFS(Selections!$F$6:$F$30,"STRICT",Selections!$K$6:$K$30,"LOST")</f>
        <v>1</v>
      </c>
      <c r="G7" s="19">
        <f>COUNTIFS(Selections!$F$6:$F$30,"STRICT")-(COUNTIFS(Selections!$F$6:$F$30,"STRICT",Selections!$K$6:$K$30,"WON")+COUNTIFS(Selections!$F$6:$F$30,"STRICT",Selections!$K$6:$K$30,"LOST"))</f>
        <v>4</v>
      </c>
      <c r="H7" s="20">
        <f>IF((COUNTIFS(Selections!$F$6:$F$30,"STRICT",Selections!$K$6:$K$30,"WON")+COUNTIFS(Selections!$F$6:$F$30,"STRICT",Selections!$K$6:$K$30,"LOST"))=0,"n.a.",COUNTIFS(Selections!$F$6:$F$30,"STRICT",Selections!$K$6:$K$30,"WON")/(COUNTIFS(Selections!$F$6:$F$30,"STRICT",Selections!$K$6:$K$30,"WON")+COUNTIFS(Selections!$F$6:$F$30,"STRICT",Selections!$K$6:$K$30,"LOST")))</f>
        <v>0.9</v>
      </c>
      <c r="I7" s="22">
        <f>SUMIFS(Selections!$M$6:$M$30,Selections!$F$6:$F$30,"STRICT")</f>
        <v>10</v>
      </c>
      <c r="J7" s="22">
        <f>SUMIFS(Selections!$N$6:$N$30,Selections!$F$6:$F$30,"STRICT")</f>
        <v>2.71</v>
      </c>
      <c r="K7" s="20">
        <f>IF(SUMIFS(Selections!$M$6:$M$30,Selections!$F$6:$F$30,"STRICT")=0,"n.a.",SUMIFS(Selections!$N$6:$N$30,Selections!$F$6:$F$30,"STRICT")/SUMIFS(Selections!$M$6:$M$30,Selections!$F$6:$F$30,"STRICT"))</f>
        <v>0.271</v>
      </c>
      <c r="L7" s="21">
        <f>IF(SUMIFS(Selections!$T$6:$T$30,Selections!$F$6:$F$30,"STRICT")=0,"n.a.",SUMIFS(Selections!$O$6:$O$30,Selections!$F$6:$F$30,"STRICT")/SUMIFS(Selections!$T$6:$T$30,Selections!$F$6:$F$30,"STRICT"))</f>
        <v>0.09768215427902749</v>
      </c>
      <c r="M7" s="20">
        <f>IF(SUMIFS(Selections!$T$6:$T$30,Selections!$F$6:$F$30,"STRICT")=0,"n.a.",SUMIFS(Selections!$S$6:$S$30,Selections!$F$6:$F$30,"STRICT")/SUMIFS(Selections!$T$6:$T$30,Selections!$F$6:$F$30,"STRICT"))</f>
        <v>0.7657506059148657</v>
      </c>
      <c r="N7" s="20">
        <f>IF(SUMIFS(Selections!$T$6:$T$30,Selections!$F$6:$F$30,"STRICT")=0,"n.a.",(SUMIFS(Selections!$L$6:$L$30,Selections!$F$6:$F$30,"STRICT",Selections!$T$6:$T$30,1))/SUMIFS(Selections!$T$6:$T$30,Selections!$F$6:$F$30,"STRICT"))</f>
        <v>0.9</v>
      </c>
      <c r="O7" s="20">
        <f>IF(SUMIFS(Selections!$T$6:$T$30,Selections!$F$6:$F$30,"STRICT")=0,"n.a.",(SUMIFS(Selections!$S$6:$S$30,Selections!$F$6:$F$30,"STRICT")-(SUMIFS(Selections!$L$6:$L$30,Selections!$F$6:$F$30,"STRICT",Selections!$T$6:$T$30,1)))/SUMIFS(Selections!$T$6:$T$30,Selections!$F$6:$F$30,"STRICT"))</f>
        <v>-0.13424939408513437</v>
      </c>
      <c r="P7" s="19">
        <f>SUMIFS(Selections!$T$6:$T$30,Selections!$F$6:$F$30,"STRICT")</f>
        <v>10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(n=10).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COUNTIFS(Selections!$F$6:$F$30,"PROVISIONAL")</f>
        <v>11</v>
      </c>
      <c r="D8" s="19">
        <f>(COUNTIFS(Selections!$F$6:$F$30,"PROVISIONAL",Selections!$K$6:$K$30,"WON")+COUNTIFS(Selections!$F$6:$F$30,"PROVISIONAL",Selections!$K$6:$K$30,"LOST"))</f>
        <v>7</v>
      </c>
      <c r="E8" s="19">
        <f>COUNTIFS(Selections!$F$6:$F$30,"PROVISIONAL",Selections!$K$6:$K$30,"WON")</f>
        <v>4</v>
      </c>
      <c r="F8" s="19">
        <f>COUNTIFS(Selections!$F$6:$F$30,"PROVISIONAL",Selections!$K$6:$K$30,"LOST")</f>
        <v>3</v>
      </c>
      <c r="G8" s="19">
        <f>COUNTIFS(Selections!$F$6:$F$30,"PROVISIONAL")-(COUNTIFS(Selections!$F$6:$F$30,"PROVISIONAL",Selections!$K$6:$K$30,"WON")+COUNTIFS(Selections!$F$6:$F$30,"PROVISIONAL",Selections!$K$6:$K$30,"LOST"))</f>
        <v>4</v>
      </c>
      <c r="H8" s="20">
        <f>IF((COUNTIFS(Selections!$F$6:$F$30,"PROVISIONAL",Selections!$K$6:$K$30,"WON")+COUNTIFS(Selections!$F$6:$F$30,"PROVISIONAL",Selections!$K$6:$K$30,"LOST"))=0,"n.a.",COUNTIFS(Selections!$F$6:$F$30,"PROVISIONAL",Selections!$K$6:$K$30,"WON")/(COUNTIFS(Selections!$F$6:$F$30,"PROVISIONAL",Selections!$K$6:$K$30,"WON")+COUNTIFS(Selections!$F$6:$F$30,"PROVISIONAL",Selections!$K$6:$K$30,"LOST")))</f>
        <v>0.5714285714285714</v>
      </c>
      <c r="I8" s="22">
        <f>SUMIFS(Selections!$M$6:$M$30,Selections!$F$6:$F$30,"PROVISIONAL")</f>
        <v>7</v>
      </c>
      <c r="J8" s="22">
        <f>SUMIFS(Selections!$N$6:$N$30,Selections!$F$6:$F$30,"PROVISIONAL")</f>
        <v>-1.95</v>
      </c>
      <c r="K8" s="20">
        <f>IF(SUMIFS(Selections!$M$6:$M$30,Selections!$F$6:$F$30,"PROVISIONAL")=0,"n.a.",SUMIFS(Selections!$N$6:$N$30,Selections!$F$6:$F$30,"PROVISIONAL")/SUMIFS(Selections!$M$6:$M$30,Selections!$F$6:$F$30,"PROVISIONAL"))</f>
        <v>-0.2785714285714286</v>
      </c>
      <c r="L8" s="21">
        <f>IF(SUMIFS(Selections!$T$6:$T$30,Selections!$F$6:$F$30,"PROVISIONAL")=0,"n.a.",SUMIFS(Selections!$O$6:$O$30,Selections!$F$6:$F$30,"PROVISIONAL")/SUMIFS(Selections!$T$6:$T$30,Selections!$F$6:$F$30,"PROVISIONAL"))</f>
        <v>0.29467768645262465</v>
      </c>
      <c r="M8" s="20">
        <f>IF(SUMIFS(Selections!$T$6:$T$30,Selections!$F$6:$F$30,"PROVISIONAL")=0,"n.a.",SUMIFS(Selections!$S$6:$S$30,Selections!$F$6:$F$30,"PROVISIONAL")/SUMIFS(Selections!$T$6:$T$30,Selections!$F$6:$F$30,"PROVISIONAL"))</f>
        <v>0.8342730263146871</v>
      </c>
      <c r="N8" s="20">
        <f>IF(SUMIFS(Selections!$T$6:$T$30,Selections!$F$6:$F$30,"PROVISIONAL")=0,"n.a.",(SUMIFS(Selections!$L$6:$L$30,Selections!$F$6:$F$30,"PROVISIONAL",Selections!$T$6:$T$30,1))/SUMIFS(Selections!$T$6:$T$30,Selections!$F$6:$F$30,"PROVISIONAL"))</f>
        <v>0.5714285714285714</v>
      </c>
      <c r="O8" s="20">
        <f>IF(SUMIFS(Selections!$T$6:$T$30,Selections!$F$6:$F$30,"PROVISIONAL")=0,"n.a.",(SUMIFS(Selections!$S$6:$S$30,Selections!$F$6:$F$30,"PROVISIONAL")-(SUMIFS(Selections!$L$6:$L$30,Selections!$F$6:$F$30,"PROVISIONAL",Selections!$T$6:$T$30,1)))/SUMIFS(Selections!$T$6:$T$30,Selections!$F$6:$F$30,"PROVISIONAL"))</f>
        <v>0.26284445488611574</v>
      </c>
      <c r="P8" s="19">
        <f>SUMIFS(Selections!$T$6:$T$30,Selections!$F$6:$F$30,"PROVISIONAL")</f>
        <v>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COUNTIFS(Selections!$C$6:$C$30,"Bundesliga")</f>
        <v>2</v>
      </c>
      <c r="D9" s="19">
        <f>(COUNTIFS(Selections!$C$6:$C$30,"Bundesliga",Selections!$K$6:$K$30,"WON")+COUNTIFS(Selections!$C$6:$C$30,"Bundesliga",Selections!$K$6:$K$30,"LOST"))</f>
        <v>1</v>
      </c>
      <c r="E9" s="19">
        <f>COUNTIFS(Selections!$C$6:$C$30,"Bundesliga",Selections!$K$6:$K$30,"WON")</f>
        <v>1</v>
      </c>
      <c r="F9" s="19">
        <f>COUNTIFS(Selections!$C$6:$C$30,"Bundesliga",Selections!$K$6:$K$30,"LOST")</f>
        <v>0</v>
      </c>
      <c r="G9" s="19">
        <f>COUNTIFS(Selections!$C$6:$C$30,"Bundesliga")-(COUNTIFS(Selections!$C$6:$C$30,"Bundesliga",Selections!$K$6:$K$30,"WON")+COUNTIFS(Selections!$C$6:$C$30,"Bundesliga",Selections!$K$6:$K$30,"LOST"))</f>
        <v>1</v>
      </c>
      <c r="H9" s="20">
        <f>IF((COUNTIFS(Selections!$C$6:$C$30,"Bundesliga",Selections!$K$6:$K$30,"WON")+COUNTIFS(Selections!$C$6:$C$30,"Bundesliga",Selections!$K$6:$K$30,"LOST"))=0,"n.a.",COUNTIFS(Selections!$C$6:$C$30,"Bundesliga",Selections!$K$6:$K$30,"WON")/(COUNTIFS(Selections!$C$6:$C$30,"Bundesliga",Selections!$K$6:$K$30,"WON")+COUNTIFS(Selections!$C$6:$C$30,"Bundesliga",Selections!$K$6:$K$30,"LOST")))</f>
        <v>1.0</v>
      </c>
      <c r="I9" s="22">
        <f>SUMIFS(Selections!$M$6:$M$30,Selections!$C$6:$C$30,"Bundesliga")</f>
        <v>1</v>
      </c>
      <c r="J9" s="22">
        <f>SUMIFS(Selections!$N$6:$N$30,Selections!$C$6:$C$30,"Bundesliga")</f>
        <v>0.27</v>
      </c>
      <c r="K9" s="20">
        <f>IF(SUMIFS(Selections!$M$6:$M$30,Selections!$C$6:$C$30,"Bundesliga")=0,"n.a.",SUMIFS(Selections!$N$6:$N$30,Selections!$C$6:$C$30,"Bundesliga")/SUMIFS(Selections!$M$6:$M$30,Selections!$C$6:$C$30,"Bundesliga"))</f>
        <v>0.27</v>
      </c>
      <c r="L9" s="21">
        <f>IF(SUMIFS(Selections!$T$6:$T$30,Selections!$C$6:$C$30,"Bundesliga")=0,"n.a.",SUMIFS(Selections!$O$6:$O$30,Selections!$C$6:$C$30,"Bundesliga")/SUMIFS(Selections!$T$6:$T$30,Selections!$C$6:$C$30,"Bundesliga"))</f>
        <v>0.03933741464046248</v>
      </c>
      <c r="M9" s="20">
        <f>IF(SUMIFS(Selections!$T$6:$T$30,Selections!$C$6:$C$30,"Bundesliga")=0,"n.a.",SUMIFS(Selections!$S$6:$S$30,Selections!$C$6:$C$30,"Bundesliga")/SUMIFS(Selections!$T$6:$T$30,Selections!$C$6:$C$30,"Bundesliga"))</f>
        <v>0.8016633804854422</v>
      </c>
      <c r="N9" s="20">
        <f>IF(SUMIFS(Selections!$T$6:$T$30,Selections!$C$6:$C$30,"Bundesliga")=0,"n.a.",(SUMIFS(Selections!$L$6:$L$30,Selections!$C$6:$C$30,"Bundesliga",Selections!$T$6:$T$30,1))/SUMIFS(Selections!$T$6:$T$30,Selections!$C$6:$C$30,"Bundesliga"))</f>
        <v>1.0</v>
      </c>
      <c r="O9" s="20">
        <f>IF(SUMIFS(Selections!$T$6:$T$30,Selections!$C$6:$C$30,"Bundesliga")=0,"n.a.",(SUMIFS(Selections!$S$6:$S$30,Selections!$C$6:$C$30,"Bundesliga")-(SUMIFS(Selections!$L$6:$L$30,Selections!$C$6:$C$30,"Bundesliga",Selections!$T$6:$T$30,1)))/SUMIFS(Selections!$T$6:$T$30,Selections!$C$6:$C$30,"Bundesliga"))</f>
        <v>-0.19833661951455783</v>
      </c>
      <c r="P9" s="19">
        <f>SUMIFS(Selections!$T$6:$T$30,Selections!$C$6:$C$30,"Bundesliga")</f>
        <v>1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(n=1).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COUNTIFS(Selections!$C$6:$C$30,"La Liga")</f>
        <v>7</v>
      </c>
      <c r="D10" s="19">
        <f>(COUNTIFS(Selections!$C$6:$C$30,"La Liga",Selections!$K$6:$K$30,"WON")+COUNTIFS(Selections!$C$6:$C$30,"La Liga",Selections!$K$6:$K$30,"LOST"))</f>
        <v>3</v>
      </c>
      <c r="E10" s="19">
        <f>COUNTIFS(Selections!$C$6:$C$30,"La Liga",Selections!$K$6:$K$30,"WON")</f>
        <v>3</v>
      </c>
      <c r="F10" s="19">
        <f>COUNTIFS(Selections!$C$6:$C$30,"La Liga",Selections!$K$6:$K$30,"LOST")</f>
        <v>0</v>
      </c>
      <c r="G10" s="19">
        <f>COUNTIFS(Selections!$C$6:$C$30,"La Liga")-(COUNTIFS(Selections!$C$6:$C$30,"La Liga",Selections!$K$6:$K$30,"WON")+COUNTIFS(Selections!$C$6:$C$30,"La Liga",Selections!$K$6:$K$30,"LOST"))</f>
        <v>4</v>
      </c>
      <c r="H10" s="20">
        <f>IF((COUNTIFS(Selections!$C$6:$C$30,"La Liga",Selections!$K$6:$K$30,"WON")+COUNTIFS(Selections!$C$6:$C$30,"La Liga",Selections!$K$6:$K$30,"LOST"))=0,"n.a.",COUNTIFS(Selections!$C$6:$C$30,"La Liga",Selections!$K$6:$K$30,"WON")/(COUNTIFS(Selections!$C$6:$C$30,"La Liga",Selections!$K$6:$K$30,"WON")+COUNTIFS(Selections!$C$6:$C$30,"La Liga",Selections!$K$6:$K$30,"LOST")))</f>
        <v>1.0</v>
      </c>
      <c r="I10" s="22">
        <f>SUMIFS(Selections!$M$6:$M$30,Selections!$C$6:$C$30,"La Liga")</f>
        <v>3</v>
      </c>
      <c r="J10" s="22">
        <f>SUMIFS(Selections!$N$6:$N$30,Selections!$C$6:$C$30,"La Liga")</f>
        <v>0.8500000000000001</v>
      </c>
      <c r="K10" s="20">
        <f>IF(SUMIFS(Selections!$M$6:$M$30,Selections!$C$6:$C$30,"La Liga")=0,"n.a.",SUMIFS(Selections!$N$6:$N$30,Selections!$C$6:$C$30,"La Liga")/SUMIFS(Selections!$M$6:$M$30,Selections!$C$6:$C$30,"La Liga"))</f>
        <v>0.2833333333333334</v>
      </c>
      <c r="L10" s="21">
        <f>IF(SUMIFS(Selections!$T$6:$T$30,Selections!$C$6:$C$30,"La Liga")=0,"n.a.",SUMIFS(Selections!$O$6:$O$30,Selections!$C$6:$C$30,"La Liga")/SUMIFS(Selections!$T$6:$T$30,Selections!$C$6:$C$30,"La Liga"))</f>
        <v>0.02679924783576133</v>
      </c>
      <c r="M10" s="20">
        <f>IF(SUMIFS(Selections!$T$6:$T$30,Selections!$C$6:$C$30,"La Liga")=0,"n.a.",SUMIFS(Selections!$S$6:$S$30,Selections!$C$6:$C$30,"La Liga")/SUMIFS(Selections!$T$6:$T$30,Selections!$C$6:$C$30,"La Liga"))</f>
        <v>0.8435366220237205</v>
      </c>
      <c r="N10" s="20">
        <f>IF(SUMIFS(Selections!$T$6:$T$30,Selections!$C$6:$C$30,"La Liga")=0,"n.a.",(SUMIFS(Selections!$L$6:$L$30,Selections!$C$6:$C$30,"La Liga",Selections!$T$6:$T$30,1))/SUMIFS(Selections!$T$6:$T$30,Selections!$C$6:$C$30,"La Liga"))</f>
        <v>1.0</v>
      </c>
      <c r="O10" s="20">
        <f>IF(SUMIFS(Selections!$T$6:$T$30,Selections!$C$6:$C$30,"La Liga")=0,"n.a.",(SUMIFS(Selections!$S$6:$S$30,Selections!$C$6:$C$30,"La Liga")-(SUMIFS(Selections!$L$6:$L$30,Selections!$C$6:$C$30,"La Liga",Selections!$T$6:$T$30,1)))/SUMIFS(Selections!$T$6:$T$30,Selections!$C$6:$C$30,"La Liga"))</f>
        <v>-0.15646337797627952</v>
      </c>
      <c r="P10" s="19">
        <f>SUMIFS(Selections!$T$6:$T$30,Selections!$C$6:$C$30,"La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COUNTIFS(Selections!$C$6:$C$30,"Premier League")</f>
        <v>6</v>
      </c>
      <c r="D11" s="19">
        <f>(COUNTIFS(Selections!$C$6:$C$30,"Premier League",Selections!$K$6:$K$30,"WON")+COUNTIFS(Selections!$C$6:$C$30,"Premier League",Selections!$K$6:$K$30,"LOST"))</f>
        <v>5</v>
      </c>
      <c r="E11" s="19">
        <f>COUNTIFS(Selections!$C$6:$C$30,"Premier League",Selections!$K$6:$K$30,"WON")</f>
        <v>2</v>
      </c>
      <c r="F11" s="19">
        <f>COUNTIFS(Selections!$C$6:$C$30,"Premier League",Selections!$K$6:$K$30,"LOST")</f>
        <v>3</v>
      </c>
      <c r="G11" s="19">
        <f>COUNTIFS(Selections!$C$6:$C$30,"Premier League")-(COUNTIFS(Selections!$C$6:$C$30,"Premier League",Selections!$K$6:$K$30,"WON")+COUNTIFS(Selections!$C$6:$C$30,"Premier League",Selections!$K$6:$K$30,"LOST"))</f>
        <v>1</v>
      </c>
      <c r="H11" s="20">
        <f>IF((COUNTIFS(Selections!$C$6:$C$30,"Premier League",Selections!$K$6:$K$30,"WON")+COUNTIFS(Selections!$C$6:$C$30,"Premier League",Selections!$K$6:$K$30,"LOST"))=0,"n.a.",COUNTIFS(Selections!$C$6:$C$30,"Premier League",Selections!$K$6:$K$30,"WON")/(COUNTIFS(Selections!$C$6:$C$30,"Premier League",Selections!$K$6:$K$30,"WON")+COUNTIFS(Selections!$C$6:$C$30,"Premier League",Selections!$K$6:$K$30,"LOST")))</f>
        <v>0.4</v>
      </c>
      <c r="I11" s="22">
        <f>SUMIFS(Selections!$M$6:$M$30,Selections!$C$6:$C$30,"Premier League")</f>
        <v>5</v>
      </c>
      <c r="J11" s="22">
        <f>SUMIFS(Selections!$N$6:$N$30,Selections!$C$6:$C$30,"Premier League")</f>
        <v>-2.4699999999999998</v>
      </c>
      <c r="K11" s="20">
        <f>IF(SUMIFS(Selections!$M$6:$M$30,Selections!$C$6:$C$30,"Premier League")=0,"n.a.",SUMIFS(Selections!$N$6:$N$30,Selections!$C$6:$C$30,"Premier League")/SUMIFS(Selections!$M$6:$M$30,Selections!$C$6:$C$30,"Premier League"))</f>
        <v>-0.49399999999999994</v>
      </c>
      <c r="L11" s="21">
        <f>IF(SUMIFS(Selections!$T$6:$T$30,Selections!$C$6:$C$30,"Premier League")=0,"n.a.",SUMIFS(Selections!$O$6:$O$30,Selections!$C$6:$C$30,"Premier League")/SUMIFS(Selections!$T$6:$T$30,Selections!$C$6:$C$30,"Premier League"))</f>
        <v>0.4022420694603978</v>
      </c>
      <c r="M11" s="20">
        <f>IF(SUMIFS(Selections!$T$6:$T$30,Selections!$C$6:$C$30,"Premier League")=0,"n.a.",SUMIFS(Selections!$S$6:$S$30,Selections!$C$6:$C$30,"Premier League")/SUMIFS(Selections!$T$6:$T$30,Selections!$C$6:$C$30,"Premier League"))</f>
        <v>0.8287876612163535</v>
      </c>
      <c r="N11" s="20">
        <f>IF(SUMIFS(Selections!$T$6:$T$30,Selections!$C$6:$C$30,"Premier League")=0,"n.a.",(SUMIFS(Selections!$L$6:$L$30,Selections!$C$6:$C$30,"Premier League",Selections!$T$6:$T$30,1))/SUMIFS(Selections!$T$6:$T$30,Selections!$C$6:$C$30,"Premier League"))</f>
        <v>0.4</v>
      </c>
      <c r="O11" s="20">
        <f>IF(SUMIFS(Selections!$T$6:$T$30,Selections!$C$6:$C$30,"Premier League")=0,"n.a.",(SUMIFS(Selections!$S$6:$S$30,Selections!$C$6:$C$30,"Premier League")-(SUMIFS(Selections!$L$6:$L$30,Selections!$C$6:$C$30,"Premier League",Selections!$T$6:$T$30,1)))/SUMIFS(Selections!$T$6:$T$30,Selections!$C$6:$C$30,"Premier League"))</f>
        <v>0.4287876612163535</v>
      </c>
      <c r="P11" s="19">
        <f>SUMIFS(Selections!$T$6:$T$30,Selections!$C$6:$C$30,"Premier League")</f>
        <v>5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(n=5).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COUNTIFS(Selections!$C$6:$C$30,"Serie A")</f>
        <v>4</v>
      </c>
      <c r="D12" s="19">
        <f>(COUNTIFS(Selections!$C$6:$C$30,"Serie A",Selections!$K$6:$K$30,"WON")+COUNTIFS(Selections!$C$6:$C$30,"Serie A",Selections!$K$6:$K$30,"LOST"))</f>
        <v>4</v>
      </c>
      <c r="E12" s="19">
        <f>COUNTIFS(Selections!$C$6:$C$30,"Serie A",Selections!$K$6:$K$30,"WON")</f>
        <v>3</v>
      </c>
      <c r="F12" s="19">
        <f>COUNTIFS(Selections!$C$6:$C$30,"Serie A",Selections!$K$6:$K$30,"LOST")</f>
        <v>1</v>
      </c>
      <c r="G12" s="19">
        <f>COUNTIFS(Selections!$C$6:$C$30,"Serie A")-(COUNTIFS(Selections!$C$6:$C$30,"Serie A",Selections!$K$6:$K$30,"WON")+COUNTIFS(Selections!$C$6:$C$30,"Serie A",Selections!$K$6:$K$30,"LOST"))</f>
        <v>0</v>
      </c>
      <c r="H12" s="20">
        <f>IF((COUNTIFS(Selections!$C$6:$C$30,"Serie A",Selections!$K$6:$K$30,"WON")+COUNTIFS(Selections!$C$6:$C$30,"Serie A",Selections!$K$6:$K$30,"LOST"))=0,"n.a.",COUNTIFS(Selections!$C$6:$C$30,"Serie A",Selections!$K$6:$K$30,"WON")/(COUNTIFS(Selections!$C$6:$C$30,"Serie A",Selections!$K$6:$K$30,"WON")+COUNTIFS(Selections!$C$6:$C$30,"Serie A",Selections!$K$6:$K$30,"LOST")))</f>
        <v>0.75</v>
      </c>
      <c r="I12" s="22">
        <f>SUMIFS(Selections!$M$6:$M$30,Selections!$C$6:$C$30,"Serie A")</f>
        <v>4</v>
      </c>
      <c r="J12" s="22">
        <f>SUMIFS(Selections!$N$6:$N$30,Selections!$C$6:$C$30,"Serie A")</f>
        <v>0.49</v>
      </c>
      <c r="K12" s="20">
        <f>IF(SUMIFS(Selections!$M$6:$M$30,Selections!$C$6:$C$30,"Serie A")=0,"n.a.",SUMIFS(Selections!$N$6:$N$30,Selections!$C$6:$C$30,"Serie A")/SUMIFS(Selections!$M$6:$M$30,Selections!$C$6:$C$30,"Serie A"))</f>
        <v>0.1225</v>
      </c>
      <c r="L12" s="21">
        <f>IF(SUMIFS(Selections!$T$6:$T$30,Selections!$C$6:$C$30,"Serie A")=0,"n.a.",SUMIFS(Selections!$O$6:$O$30,Selections!$C$6:$C$30,"Serie A")/SUMIFS(Selections!$T$6:$T$30,Selections!$C$6:$C$30,"Serie A"))</f>
        <v>0.17461553462283086</v>
      </c>
      <c r="M12" s="20">
        <f>IF(SUMIFS(Selections!$T$6:$T$30,Selections!$C$6:$C$30,"Serie A")=0,"n.a.",SUMIFS(Selections!$S$6:$S$30,Selections!$C$6:$C$30,"Serie A")/SUMIFS(Selections!$T$6:$T$30,Selections!$C$6:$C$30,"Serie A"))</f>
        <v>0.6981379824821343</v>
      </c>
      <c r="N12" s="20">
        <f>IF(SUMIFS(Selections!$T$6:$T$30,Selections!$C$6:$C$30,"Serie A")=0,"n.a.",(SUMIFS(Selections!$L$6:$L$30,Selections!$C$6:$C$30,"Serie A",Selections!$T$6:$T$30,1))/SUMIFS(Selections!$T$6:$T$30,Selections!$C$6:$C$30,"Serie A"))</f>
        <v>0.75</v>
      </c>
      <c r="O12" s="20">
        <f>IF(SUMIFS(Selections!$T$6:$T$30,Selections!$C$6:$C$30,"Serie A")=0,"n.a.",(SUMIFS(Selections!$S$6:$S$30,Selections!$C$6:$C$30,"Serie A")-(SUMIFS(Selections!$L$6:$L$30,Selections!$C$6:$C$30,"Serie A",Selections!$T$6:$T$30,1)))/SUMIFS(Selections!$T$6:$T$30,Selections!$C$6:$C$30,"Serie A"))</f>
        <v>-0.05186201751786568</v>
      </c>
      <c r="P12" s="19">
        <f>SUMIFS(Selections!$T$6:$T$30,Selections!$C$6:$C$30,"Serie A")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COUNTIFS(Selections!$C$6:$C$30,"UEFA Champions League")</f>
        <v>6</v>
      </c>
      <c r="D13" s="19">
        <f>(COUNTIFS(Selections!$C$6:$C$30,"UEFA Champions League",Selections!$K$6:$K$30,"WON")+COUNTIFS(Selections!$C$6:$C$30,"UEFA Champions League",Selections!$K$6:$K$30,"LOST"))</f>
        <v>4</v>
      </c>
      <c r="E13" s="19">
        <f>COUNTIFS(Selections!$C$6:$C$30,"UEFA Champions League",Selections!$K$6:$K$30,"WON")</f>
        <v>4</v>
      </c>
      <c r="F13" s="19">
        <f>COUNTIFS(Selections!$C$6:$C$30,"UEFA Champions League",Selections!$K$6:$K$30,"LOST")</f>
        <v>0</v>
      </c>
      <c r="G13" s="19">
        <f>COUNTIFS(Selections!$C$6:$C$30,"UEFA Champions League")-(COUNTIFS(Selections!$C$6:$C$30,"UEFA Champions League",Selections!$K$6:$K$30,"WON")+COUNTIFS(Selections!$C$6:$C$30,"UEFA Champions League",Selections!$K$6:$K$30,"LOST"))</f>
        <v>2</v>
      </c>
      <c r="H13" s="20">
        <f>IF((COUNTIFS(Selections!$C$6:$C$30,"UEFA Champions League",Selections!$K$6:$K$30,"WON")+COUNTIFS(Selections!$C$6:$C$30,"UEFA Champions League",Selections!$K$6:$K$30,"LOST"))=0,"n.a.",COUNTIFS(Selections!$C$6:$C$30,"UEFA Champions League",Selections!$K$6:$K$30,"WON")/(COUNTIFS(Selections!$C$6:$C$30,"UEFA Champions League",Selections!$K$6:$K$30,"WON")+COUNTIFS(Selections!$C$6:$C$30,"UEFA Champions League",Selections!$K$6:$K$30,"LOST")))</f>
        <v>1.0</v>
      </c>
      <c r="I13" s="22">
        <f>SUMIFS(Selections!$M$6:$M$30,Selections!$C$6:$C$30,"UEFA Champions League")</f>
        <v>4</v>
      </c>
      <c r="J13" s="22">
        <f>SUMIFS(Selections!$N$6:$N$30,Selections!$C$6:$C$30,"UEFA Champions League")</f>
        <v>1.6199999999999999</v>
      </c>
      <c r="K13" s="20">
        <f>IF(SUMIFS(Selections!$M$6:$M$30,Selections!$C$6:$C$30,"UEFA Champions League")=0,"n.a.",SUMIFS(Selections!$N$6:$N$30,Selections!$C$6:$C$30,"UEFA Champions League")/SUMIFS(Selections!$M$6:$M$30,Selections!$C$6:$C$30,"UEFA Champions League"))</f>
        <v>0.40499999999999997</v>
      </c>
      <c r="L13" s="21">
        <f>IF(SUMIFS(Selections!$T$6:$T$30,Selections!$C$6:$C$30,"UEFA Champions League")=0,"n.a.",SUMIFS(Selections!$O$6:$O$30,Selections!$C$6:$C$30,"UEFA Champions League")/SUMIFS(Selections!$T$6:$T$30,Selections!$C$6:$C$30,"UEFA Champions League"))</f>
        <v>0.052539426004397115</v>
      </c>
      <c r="M13" s="20">
        <f>IF(SUMIFS(Selections!$T$6:$T$30,Selections!$C$6:$C$30,"UEFA Champions League")=0,"n.a.",SUMIFS(Selections!$S$6:$S$30,Selections!$C$6:$C$30,"UEFA Champions League")/SUMIFS(Selections!$T$6:$T$30,Selections!$C$6:$C$30,"UEFA Champions League"))</f>
        <v>0.8071634401961396</v>
      </c>
      <c r="N13" s="20">
        <f>IF(SUMIFS(Selections!$T$6:$T$30,Selections!$C$6:$C$30,"UEFA Champions League")=0,"n.a.",(SUMIFS(Selections!$L$6:$L$30,Selections!$C$6:$C$30,"UEFA Champions League",Selections!$T$6:$T$30,1))/SUMIFS(Selections!$T$6:$T$30,Selections!$C$6:$C$30,"UEFA Champions League"))</f>
        <v>1.0</v>
      </c>
      <c r="O13" s="20">
        <f>IF(SUMIFS(Selections!$T$6:$T$30,Selections!$C$6:$C$30,"UEFA Champions League")=0,"n.a.",(SUMIFS(Selections!$S$6:$S$30,Selections!$C$6:$C$30,"UEFA Champions League")-(SUMIFS(Selections!$L$6:$L$30,Selections!$C$6:$C$30,"UEFA Champions League",Selections!$T$6:$T$30,1)))/SUMIFS(Selections!$T$6:$T$30,Selections!$C$6:$C$30,"UEFA Champions League"))</f>
        <v>-0.19283655980386039</v>
      </c>
      <c r="P13" s="19">
        <f>SUMIFS(Selections!$T$6:$T$30,Selections!$C$6:$C$30,"UEFA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COUNTIFS(Selections!$E$6:$E$30,"Away win")</f>
        <v>1</v>
      </c>
      <c r="D14" s="19">
        <f>(COUNTIFS(Selections!$E$6:$E$30,"Away win",Selections!$K$6:$K$30,"WON")+COUNTIFS(Selections!$E$6:$E$30,"Away win",Selections!$K$6:$K$30,"LOST"))</f>
        <v>1</v>
      </c>
      <c r="E14" s="19">
        <f>COUNTIFS(Selections!$E$6:$E$30,"Away win",Selections!$K$6:$K$30,"WON")</f>
        <v>0</v>
      </c>
      <c r="F14" s="19">
        <f>COUNTIFS(Selections!$E$6:$E$30,"Away win",Selections!$K$6:$K$30,"LOST")</f>
        <v>1</v>
      </c>
      <c r="G14" s="19">
        <f>COUNTIFS(Selections!$E$6:$E$30,"Away win")-(COUNTIFS(Selections!$E$6:$E$30,"Away win",Selections!$K$6:$K$30,"WON")+COUNTIFS(Selections!$E$6:$E$30,"Away win",Selections!$K$6:$K$30,"LOST"))</f>
        <v>0</v>
      </c>
      <c r="H14" s="20">
        <f>IF((COUNTIFS(Selections!$E$6:$E$30,"Away win",Selections!$K$6:$K$30,"WON")+COUNTIFS(Selections!$E$6:$E$30,"Away win",Selections!$K$6:$K$30,"LOST"))=0,"n.a.",COUNTIFS(Selections!$E$6:$E$30,"Away win",Selections!$K$6:$K$30,"WON")/(COUNTIFS(Selections!$E$6:$E$30,"Away win",Selections!$K$6:$K$30,"WON")+COUNTIFS(Selections!$E$6:$E$30,"Away win",Selections!$K$6:$K$30,"LOST")))</f>
        <v>0.0</v>
      </c>
      <c r="I14" s="22">
        <f>SUMIFS(Selections!$M$6:$M$30,Selections!$E$6:$E$30,"Away win")</f>
        <v>1</v>
      </c>
      <c r="J14" s="22">
        <f>SUMIFS(Selections!$N$6:$N$30,Selections!$E$6:$E$30,"Away win")</f>
        <v>-1.0</v>
      </c>
      <c r="K14" s="20">
        <f>IF(SUMIFS(Selections!$M$6:$M$30,Selections!$E$6:$E$30,"Away win")=0,"n.a.",SUMIFS(Selections!$N$6:$N$30,Selections!$E$6:$E$30,"Away win")/SUMIFS(Selections!$M$6:$M$30,Selections!$E$6:$E$30,"Away win"))</f>
        <v>-1.0</v>
      </c>
      <c r="L14" s="21">
        <f>IF(SUMIFS(Selections!$T$6:$T$30,Selections!$E$6:$E$30,"Away win")=0,"n.a.",SUMIFS(Selections!$O$6:$O$30,Selections!$E$6:$E$30,"Away win")/SUMIFS(Selections!$T$6:$T$30,Selections!$E$6:$E$30,"Away win"))</f>
        <v>0.43602718522290096</v>
      </c>
      <c r="M14" s="20">
        <f>IF(SUMIFS(Selections!$T$6:$T$30,Selections!$E$6:$E$30,"Away win")=0,"n.a.",SUMIFS(Selections!$S$6:$S$30,Selections!$E$6:$E$30,"Away win")/SUMIFS(Selections!$T$6:$T$30,Selections!$E$6:$E$30,"Away win"))</f>
        <v>0.6603235458643747</v>
      </c>
      <c r="N14" s="20">
        <f>IF(SUMIFS(Selections!$T$6:$T$30,Selections!$E$6:$E$30,"Away win")=0,"n.a.",(SUMIFS(Selections!$L$6:$L$30,Selections!$E$6:$E$30,"Away win",Selections!$T$6:$T$30,1))/SUMIFS(Selections!$T$6:$T$30,Selections!$E$6:$E$30,"Away win"))</f>
        <v>0.0</v>
      </c>
      <c r="O14" s="20">
        <f>IF(SUMIFS(Selections!$T$6:$T$30,Selections!$E$6:$E$30,"Away win")=0,"n.a.",(SUMIFS(Selections!$S$6:$S$30,Selections!$E$6:$E$30,"Away win")-(SUMIFS(Selections!$L$6:$L$30,Selections!$E$6:$E$30,"Away win",Selections!$T$6:$T$30,1)))/SUMIFS(Selections!$T$6:$T$30,Selections!$E$6:$E$30,"Away win"))</f>
        <v>0.6603235458643747</v>
      </c>
      <c r="P14" s="19">
        <f>SUMIFS(Selections!$T$6:$T$30,Selections!$E$6:$E$30,"Away win")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COUNTIFS(Selections!$E$6:$E$30,"Both Teams to Score - Yes")</f>
        <v>1</v>
      </c>
      <c r="D15" s="19">
        <f>(COUNTIFS(Selections!$E$6:$E$30,"Both Teams to Score - Yes",Selections!$K$6:$K$30,"WON")+COUNTIFS(Selections!$E$6:$E$30,"Both Teams to Score - Yes",Selections!$K$6:$K$30,"LOST"))</f>
        <v>1</v>
      </c>
      <c r="E15" s="19">
        <f>COUNTIFS(Selections!$E$6:$E$30,"Both Teams to Score - Yes",Selections!$K$6:$K$30,"WON")</f>
        <v>1</v>
      </c>
      <c r="F15" s="19">
        <f>COUNTIFS(Selections!$E$6:$E$30,"Both Teams to Score - Yes",Selections!$K$6:$K$30,"LOST")</f>
        <v>0</v>
      </c>
      <c r="G15" s="19">
        <f>COUNTIFS(Selections!$E$6:$E$30,"Both Teams to Score - Yes")-(COUNTIFS(Selections!$E$6:$E$30,"Both Teams to Score - Yes",Selections!$K$6:$K$30,"WON")+COUNTIFS(Selections!$E$6:$E$30,"Both Teams to Score - Yes",Selections!$K$6:$K$30,"LOST"))</f>
        <v>0</v>
      </c>
      <c r="H15" s="20">
        <f>IF((COUNTIFS(Selections!$E$6:$E$30,"Both Teams to Score - Yes",Selections!$K$6:$K$30,"WON")+COUNTIFS(Selections!$E$6:$E$30,"Both Teams to Score - Yes",Selections!$K$6:$K$30,"LOST"))=0,"n.a.",COUNTIFS(Selections!$E$6:$E$30,"Both Teams to Score - Yes",Selections!$K$6:$K$30,"WON")/(COUNTIFS(Selections!$E$6:$E$30,"Both Teams to Score - Yes",Selections!$K$6:$K$30,"WON")+COUNTIFS(Selections!$E$6:$E$30,"Both Teams to Score - Yes",Selections!$K$6:$K$30,"LOST")))</f>
        <v>1.0</v>
      </c>
      <c r="I15" s="22">
        <f>SUMIFS(Selections!$M$6:$M$30,Selections!$E$6:$E$30,"Both Teams to Score - Yes")</f>
        <v>1</v>
      </c>
      <c r="J15" s="22">
        <f>SUMIFS(Selections!$N$6:$N$30,Selections!$E$6:$E$30,"Both Teams to Score - Yes")</f>
        <v>0.49</v>
      </c>
      <c r="K15" s="20">
        <f>IF(SUMIFS(Selections!$M$6:$M$30,Selections!$E$6:$E$30,"Both Teams to Score - Yes")=0,"n.a.",SUMIFS(Selections!$N$6:$N$30,Selections!$E$6:$E$30,"Both Teams to Score - Yes")/SUMIFS(Selections!$M$6:$M$30,Selections!$E$6:$E$30,"Both Teams to Score - Yes"))</f>
        <v>0.49</v>
      </c>
      <c r="L15" s="21">
        <f>IF(SUMIFS(Selections!$T$6:$T$30,Selections!$E$6:$E$30,"Both Teams to Score - Yes")=0,"n.a.",SUMIFS(Selections!$O$6:$O$30,Selections!$E$6:$E$30,"Both Teams to Score - Yes")/SUMIFS(Selections!$T$6:$T$30,Selections!$E$6:$E$30,"Both Teams to Score - Yes"))</f>
        <v>0.08662845606019748</v>
      </c>
      <c r="M15" s="20">
        <f>IF(SUMIFS(Selections!$T$6:$T$30,Selections!$E$6:$E$30,"Both Teams to Score - Yes")=0,"n.a.",SUMIFS(Selections!$S$6:$S$30,Selections!$E$6:$E$30,"Both Teams to Score - Yes")/SUMIFS(Selections!$T$6:$T$30,Selections!$E$6:$E$30,"Both Teams to Score - Yes"))</f>
        <v>0.7056728757654207</v>
      </c>
      <c r="N15" s="20">
        <f>IF(SUMIFS(Selections!$T$6:$T$30,Selections!$E$6:$E$30,"Both Teams to Score - Yes")=0,"n.a.",(SUMIFS(Selections!$L$6:$L$30,Selections!$E$6:$E$30,"Both Teams to Score - Yes",Selections!$T$6:$T$30,1))/SUMIFS(Selections!$T$6:$T$30,Selections!$E$6:$E$30,"Both Teams to Score - Yes"))</f>
        <v>1.0</v>
      </c>
      <c r="O15" s="20">
        <f>IF(SUMIFS(Selections!$T$6:$T$30,Selections!$E$6:$E$30,"Both Teams to Score - Yes")=0,"n.a.",(SUMIFS(Selections!$S$6:$S$30,Selections!$E$6:$E$30,"Both Teams to Score - Yes")-(SUMIFS(Selections!$L$6:$L$30,Selections!$E$6:$E$30,"Both Teams to Score - Yes",Selections!$T$6:$T$30,1)))/SUMIFS(Selections!$T$6:$T$30,Selections!$E$6:$E$30,"Both Teams to Score - Yes"))</f>
        <v>-0.2943271242345793</v>
      </c>
      <c r="P15" s="19">
        <f>SUMIFS(Selections!$T$6:$T$30,Selections!$E$6:$E$30,"Both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COUNTIFS(Selections!$E$6:$E$30,"Double Chance 1X")</f>
        <v>2</v>
      </c>
      <c r="D16" s="19">
        <f>(COUNTIFS(Selections!$E$6:$E$30,"Double Chance 1X",Selections!$K$6:$K$30,"WON")+COUNTIFS(Selections!$E$6:$E$30,"Double Chance 1X",Selections!$K$6:$K$30,"LOST"))</f>
        <v>1</v>
      </c>
      <c r="E16" s="19">
        <f>COUNTIFS(Selections!$E$6:$E$30,"Double Chance 1X",Selections!$K$6:$K$30,"WON")</f>
        <v>1</v>
      </c>
      <c r="F16" s="19">
        <f>COUNTIFS(Selections!$E$6:$E$30,"Double Chance 1X",Selections!$K$6:$K$30,"LOST")</f>
        <v>0</v>
      </c>
      <c r="G16" s="19">
        <f>COUNTIFS(Selections!$E$6:$E$30,"Double Chance 1X")-(COUNTIFS(Selections!$E$6:$E$30,"Double Chance 1X",Selections!$K$6:$K$30,"WON")+COUNTIFS(Selections!$E$6:$E$30,"Double Chance 1X",Selections!$K$6:$K$30,"LOST"))</f>
        <v>1</v>
      </c>
      <c r="H16" s="20">
        <f>IF((COUNTIFS(Selections!$E$6:$E$30,"Double Chance 1X",Selections!$K$6:$K$30,"WON")+COUNTIFS(Selections!$E$6:$E$30,"Double Chance 1X",Selections!$K$6:$K$30,"LOST"))=0,"n.a.",COUNTIFS(Selections!$E$6:$E$30,"Double Chance 1X",Selections!$K$6:$K$30,"WON")/(COUNTIFS(Selections!$E$6:$E$30,"Double Chance 1X",Selections!$K$6:$K$30,"WON")+COUNTIFS(Selections!$E$6:$E$30,"Double Chance 1X",Selections!$K$6:$K$30,"LOST")))</f>
        <v>1.0</v>
      </c>
      <c r="I16" s="22">
        <f>SUMIFS(Selections!$M$6:$M$30,Selections!$E$6:$E$30,"Double Chance 1X")</f>
        <v>1</v>
      </c>
      <c r="J16" s="22">
        <f>SUMIFS(Selections!$N$6:$N$30,Selections!$E$6:$E$30,"Double Chance 1X")</f>
        <v>0.27</v>
      </c>
      <c r="K16" s="20">
        <f>IF(SUMIFS(Selections!$M$6:$M$30,Selections!$E$6:$E$30,"Double Chance 1X")=0,"n.a.",SUMIFS(Selections!$N$6:$N$30,Selections!$E$6:$E$30,"Double Chance 1X")/SUMIFS(Selections!$M$6:$M$30,Selections!$E$6:$E$30,"Double Chance 1X"))</f>
        <v>0.27</v>
      </c>
      <c r="L16" s="21">
        <f>IF(SUMIFS(Selections!$T$6:$T$30,Selections!$E$6:$E$30,"Double Chance 1X")=0,"n.a.",SUMIFS(Selections!$O$6:$O$30,Selections!$E$6:$E$30,"Double Chance 1X")/SUMIFS(Selections!$T$6:$T$30,Selections!$E$6:$E$30,"Double Chance 1X"))</f>
        <v>0.03933741464046248</v>
      </c>
      <c r="M16" s="20">
        <f>IF(SUMIFS(Selections!$T$6:$T$30,Selections!$E$6:$E$30,"Double Chance 1X")=0,"n.a.",SUMIFS(Selections!$S$6:$S$30,Selections!$E$6:$E$30,"Double Chance 1X")/SUMIFS(Selections!$T$6:$T$30,Selections!$E$6:$E$30,"Double Chance 1X"))</f>
        <v>0.8016633804854422</v>
      </c>
      <c r="N16" s="20">
        <f>IF(SUMIFS(Selections!$T$6:$T$30,Selections!$E$6:$E$30,"Double Chance 1X")=0,"n.a.",(SUMIFS(Selections!$L$6:$L$30,Selections!$E$6:$E$30,"Double Chance 1X",Selections!$T$6:$T$30,1))/SUMIFS(Selections!$T$6:$T$30,Selections!$E$6:$E$30,"Double Chance 1X"))</f>
        <v>1.0</v>
      </c>
      <c r="O16" s="20">
        <f>IF(SUMIFS(Selections!$T$6:$T$30,Selections!$E$6:$E$30,"Double Chance 1X")=0,"n.a.",(SUMIFS(Selections!$S$6:$S$30,Selections!$E$6:$E$30,"Double Chance 1X")-(SUMIFS(Selections!$L$6:$L$30,Selections!$E$6:$E$30,"Double Chance 1X",Selections!$T$6:$T$30,1)))/SUMIFS(Selections!$T$6:$T$30,Selections!$E$6:$E$30,"Double Chance 1X"))</f>
        <v>-0.19833661951455783</v>
      </c>
      <c r="P16" s="19">
        <f>SUMIFS(Selections!$T$6:$T$30,Selections!$E$6:$E$30,"Double Chance 1X")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COUNTIFS(Selections!$E$6:$E$30,"Home win")</f>
        <v>6</v>
      </c>
      <c r="D17" s="19">
        <f>(COUNTIFS(Selections!$E$6:$E$30,"Home win",Selections!$K$6:$K$30,"WON")+COUNTIFS(Selections!$E$6:$E$30,"Home win",Selections!$K$6:$K$30,"LOST"))</f>
        <v>3</v>
      </c>
      <c r="E17" s="19">
        <f>COUNTIFS(Selections!$E$6:$E$30,"Home win",Selections!$K$6:$K$30,"WON")</f>
        <v>3</v>
      </c>
      <c r="F17" s="19">
        <f>COUNTIFS(Selections!$E$6:$E$30,"Home win",Selections!$K$6:$K$30,"LOST")</f>
        <v>0</v>
      </c>
      <c r="G17" s="19">
        <f>COUNTIFS(Selections!$E$6:$E$30,"Home win")-(COUNTIFS(Selections!$E$6:$E$30,"Home win",Selections!$K$6:$K$30,"WON")+COUNTIFS(Selections!$E$6:$E$30,"Home win",Selections!$K$6:$K$30,"LOST"))</f>
        <v>3</v>
      </c>
      <c r="H17" s="20">
        <f>IF((COUNTIFS(Selections!$E$6:$E$30,"Home win",Selections!$K$6:$K$30,"WON")+COUNTIFS(Selections!$E$6:$E$30,"Home win",Selections!$K$6:$K$30,"LOST"))=0,"n.a.",COUNTIFS(Selections!$E$6:$E$30,"Home win",Selections!$K$6:$K$30,"WON")/(COUNTIFS(Selections!$E$6:$E$30,"Home win",Selections!$K$6:$K$30,"WON")+COUNTIFS(Selections!$E$6:$E$30,"Home win",Selections!$K$6:$K$30,"LOST")))</f>
        <v>1.0</v>
      </c>
      <c r="I17" s="22">
        <f>SUMIFS(Selections!$M$6:$M$30,Selections!$E$6:$E$30,"Home win")</f>
        <v>3</v>
      </c>
      <c r="J17" s="22">
        <f>SUMIFS(Selections!$N$6:$N$30,Selections!$E$6:$E$30,"Home win")</f>
        <v>1.95</v>
      </c>
      <c r="K17" s="20">
        <f>IF(SUMIFS(Selections!$M$6:$M$30,Selections!$E$6:$E$30,"Home win")=0,"n.a.",SUMIFS(Selections!$N$6:$N$30,Selections!$E$6:$E$30,"Home win")/SUMIFS(Selections!$M$6:$M$30,Selections!$E$6:$E$30,"Home win"))</f>
        <v>0.65</v>
      </c>
      <c r="L17" s="21">
        <f>IF(SUMIFS(Selections!$T$6:$T$30,Selections!$E$6:$E$30,"Home win")=0,"n.a.",SUMIFS(Selections!$O$6:$O$30,Selections!$E$6:$E$30,"Home win")/SUMIFS(Selections!$T$6:$T$30,Selections!$E$6:$E$30,"Home win"))</f>
        <v>0.11139910506729317</v>
      </c>
      <c r="M17" s="20">
        <f>IF(SUMIFS(Selections!$T$6:$T$30,Selections!$E$6:$E$30,"Home win")=0,"n.a.",SUMIFS(Selections!$S$6:$S$30,Selections!$E$6:$E$30,"Home win")/SUMIFS(Selections!$T$6:$T$30,Selections!$E$6:$E$30,"Home win"))</f>
        <v>0.6664479192577112</v>
      </c>
      <c r="N17" s="20">
        <f>IF(SUMIFS(Selections!$T$6:$T$30,Selections!$E$6:$E$30,"Home win")=0,"n.a.",(SUMIFS(Selections!$L$6:$L$30,Selections!$E$6:$E$30,"Home win",Selections!$T$6:$T$30,1))/SUMIFS(Selections!$T$6:$T$30,Selections!$E$6:$E$30,"Home win"))</f>
        <v>1.0</v>
      </c>
      <c r="O17" s="20">
        <f>IF(SUMIFS(Selections!$T$6:$T$30,Selections!$E$6:$E$30,"Home win")=0,"n.a.",(SUMIFS(Selections!$S$6:$S$30,Selections!$E$6:$E$30,"Home win")-(SUMIFS(Selections!$L$6:$L$30,Selections!$E$6:$E$30,"Home win",Selections!$T$6:$T$30,1)))/SUMIFS(Selections!$T$6:$T$30,Selections!$E$6:$E$30,"Home win"))</f>
        <v>-0.3335520807422888</v>
      </c>
      <c r="P17" s="19">
        <f>SUMIFS(Selections!$T$6:$T$30,Selections!$E$6:$E$30,"Home win")</f>
        <v>3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(n=3).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COUNTIFS(Selections!$E$6:$E$30,"Over 1.5")</f>
        <v>9</v>
      </c>
      <c r="D18" s="19">
        <f>(COUNTIFS(Selections!$E$6:$E$30,"Over 1.5",Selections!$K$6:$K$30,"WON")+COUNTIFS(Selections!$E$6:$E$30,"Over 1.5",Selections!$K$6:$K$30,"LOST"))</f>
        <v>6</v>
      </c>
      <c r="E18" s="19">
        <f>COUNTIFS(Selections!$E$6:$E$30,"Over 1.5",Selections!$K$6:$K$30,"WON")</f>
        <v>6</v>
      </c>
      <c r="F18" s="19">
        <f>COUNTIFS(Selections!$E$6:$E$30,"Over 1.5",Selections!$K$6:$K$30,"LOST")</f>
        <v>0</v>
      </c>
      <c r="G18" s="19">
        <f>COUNTIFS(Selections!$E$6:$E$30,"Over 1.5")-(COUNTIFS(Selections!$E$6:$E$30,"Over 1.5",Selections!$K$6:$K$30,"WON")+COUNTIFS(Selections!$E$6:$E$30,"Over 1.5",Selections!$K$6:$K$30,"LOST"))</f>
        <v>3</v>
      </c>
      <c r="H18" s="20">
        <f>IF((COUNTIFS(Selections!$E$6:$E$30,"Over 1.5",Selections!$K$6:$K$30,"WON")+COUNTIFS(Selections!$E$6:$E$30,"Over 1.5",Selections!$K$6:$K$30,"LOST"))=0,"n.a.",COUNTIFS(Selections!$E$6:$E$30,"Over 1.5",Selections!$K$6:$K$30,"WON")/(COUNTIFS(Selections!$E$6:$E$30,"Over 1.5",Selections!$K$6:$K$30,"WON")+COUNTIFS(Selections!$E$6:$E$30,"Over 1.5",Selections!$K$6:$K$30,"LOST")))</f>
        <v>1.0</v>
      </c>
      <c r="I18" s="22">
        <f>SUMIFS(Selections!$M$6:$M$30,Selections!$E$6:$E$30,"Over 1.5")</f>
        <v>6</v>
      </c>
      <c r="J18" s="22">
        <f>SUMIFS(Selections!$N$6:$N$30,Selections!$E$6:$E$30,"Over 1.5")</f>
        <v>1.35</v>
      </c>
      <c r="K18" s="20">
        <f>IF(SUMIFS(Selections!$M$6:$M$30,Selections!$E$6:$E$30,"Over 1.5")=0,"n.a.",SUMIFS(Selections!$N$6:$N$30,Selections!$E$6:$E$30,"Over 1.5")/SUMIFS(Selections!$M$6:$M$30,Selections!$E$6:$E$30,"Over 1.5"))</f>
        <v>0.225</v>
      </c>
      <c r="L18" s="21">
        <f>IF(SUMIFS(Selections!$T$6:$T$30,Selections!$E$6:$E$30,"Over 1.5")=0,"n.a.",SUMIFS(Selections!$O$6:$O$30,Selections!$E$6:$E$30,"Over 1.5")/SUMIFS(Selections!$T$6:$T$30,Selections!$E$6:$E$30,"Over 1.5"))</f>
        <v>0.016286174710257586</v>
      </c>
      <c r="M18" s="20">
        <f>IF(SUMIFS(Selections!$T$6:$T$30,Selections!$E$6:$E$30,"Over 1.5")=0,"n.a.",SUMIFS(Selections!$S$6:$S$30,Selections!$E$6:$E$30,"Over 1.5")/SUMIFS(Selections!$T$6:$T$30,Selections!$E$6:$E$30,"Over 1.5"))</f>
        <v>0.8844021220181314</v>
      </c>
      <c r="N18" s="20">
        <f>IF(SUMIFS(Selections!$T$6:$T$30,Selections!$E$6:$E$30,"Over 1.5")=0,"n.a.",(SUMIFS(Selections!$L$6:$L$30,Selections!$E$6:$E$30,"Over 1.5",Selections!$T$6:$T$30,1))/SUMIFS(Selections!$T$6:$T$30,Selections!$E$6:$E$30,"Over 1.5"))</f>
        <v>1.0</v>
      </c>
      <c r="O18" s="20">
        <f>IF(SUMIFS(Selections!$T$6:$T$30,Selections!$E$6:$E$30,"Over 1.5")=0,"n.a.",(SUMIFS(Selections!$S$6:$S$30,Selections!$E$6:$E$30,"Over 1.5")-(SUMIFS(Selections!$L$6:$L$30,Selections!$E$6:$E$30,"Over 1.5",Selections!$T$6:$T$30,1)))/SUMIFS(Selections!$T$6:$T$30,Selections!$E$6:$E$30,"Over 1.5"))</f>
        <v>-0.1155978779818686</v>
      </c>
      <c r="P18" s="19">
        <f>SUMIFS(Selections!$T$6:$T$30,Selections!$E$6:$E$30,"Over 1.5")</f>
        <v>6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(n=6).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COUNTIFS(Selections!$E$6:$E$30,"Under 3.5")</f>
        <v>6</v>
      </c>
      <c r="D19" s="19">
        <f>(COUNTIFS(Selections!$E$6:$E$30,"Under 3.5",Selections!$K$6:$K$30,"WON")+COUNTIFS(Selections!$E$6:$E$30,"Under 3.5",Selections!$K$6:$K$30,"LOST"))</f>
        <v>5</v>
      </c>
      <c r="E19" s="19">
        <f>COUNTIFS(Selections!$E$6:$E$30,"Under 3.5",Selections!$K$6:$K$30,"WON")</f>
        <v>2</v>
      </c>
      <c r="F19" s="19">
        <f>COUNTIFS(Selections!$E$6:$E$30,"Under 3.5",Selections!$K$6:$K$30,"LOST")</f>
        <v>3</v>
      </c>
      <c r="G19" s="19">
        <f>COUNTIFS(Selections!$E$6:$E$30,"Under 3.5")-(COUNTIFS(Selections!$E$6:$E$30,"Under 3.5",Selections!$K$6:$K$30,"WON")+COUNTIFS(Selections!$E$6:$E$30,"Under 3.5",Selections!$K$6:$K$30,"LOST"))</f>
        <v>1</v>
      </c>
      <c r="H19" s="20">
        <f>IF((COUNTIFS(Selections!$E$6:$E$30,"Under 3.5",Selections!$K$6:$K$30,"WON")+COUNTIFS(Selections!$E$6:$E$30,"Under 3.5",Selections!$K$6:$K$30,"LOST"))=0,"n.a.",COUNTIFS(Selections!$E$6:$E$30,"Under 3.5",Selections!$K$6:$K$30,"WON")/(COUNTIFS(Selections!$E$6:$E$30,"Under 3.5",Selections!$K$6:$K$30,"WON")+COUNTIFS(Selections!$E$6:$E$30,"Under 3.5",Selections!$K$6:$K$30,"LOST")))</f>
        <v>0.4</v>
      </c>
      <c r="I19" s="22">
        <f>SUMIFS(Selections!$M$6:$M$30,Selections!$E$6:$E$30,"Under 3.5")</f>
        <v>5</v>
      </c>
      <c r="J19" s="22">
        <f>SUMIFS(Selections!$N$6:$N$30,Selections!$E$6:$E$30,"Under 3.5")</f>
        <v>-2.3</v>
      </c>
      <c r="K19" s="20">
        <f>IF(SUMIFS(Selections!$M$6:$M$30,Selections!$E$6:$E$30,"Under 3.5")=0,"n.a.",SUMIFS(Selections!$N$6:$N$30,Selections!$E$6:$E$30,"Under 3.5")/SUMIFS(Selections!$M$6:$M$30,Selections!$E$6:$E$30,"Under 3.5"))</f>
        <v>-0.45999999999999996</v>
      </c>
      <c r="L19" s="21">
        <f>IF(SUMIFS(Selections!$T$6:$T$30,Selections!$E$6:$E$30,"Under 3.5")=0,"n.a.",SUMIFS(Selections!$O$6:$O$30,Selections!$E$6:$E$30,"Under 3.5")/SUMIFS(Selections!$T$6:$T$30,Selections!$E$6:$E$30,"Under 3.5"))</f>
        <v>0.40913158571433234</v>
      </c>
      <c r="M19" s="20">
        <f>IF(SUMIFS(Selections!$T$6:$T$30,Selections!$E$6:$E$30,"Under 3.5")=0,"n.a.",SUMIFS(Selections!$S$6:$S$30,Selections!$E$6:$E$30,"Under 3.5")/SUMIFS(Selections!$T$6:$T$30,Selections!$E$6:$E$30,"Under 3.5"))</f>
        <v>0.8048001902708615</v>
      </c>
      <c r="N19" s="20">
        <f>IF(SUMIFS(Selections!$T$6:$T$30,Selections!$E$6:$E$30,"Under 3.5")=0,"n.a.",(SUMIFS(Selections!$L$6:$L$30,Selections!$E$6:$E$30,"Under 3.5",Selections!$T$6:$T$30,1))/SUMIFS(Selections!$T$6:$T$30,Selections!$E$6:$E$30,"Under 3.5"))</f>
        <v>0.4</v>
      </c>
      <c r="O19" s="20">
        <f>IF(SUMIFS(Selections!$T$6:$T$30,Selections!$E$6:$E$30,"Under 3.5")=0,"n.a.",(SUMIFS(Selections!$S$6:$S$30,Selections!$E$6:$E$30,"Under 3.5")-(SUMIFS(Selections!$L$6:$L$30,Selections!$E$6:$E$30,"Under 3.5",Selections!$T$6:$T$30,1)))/SUMIFS(Selections!$T$6:$T$30,Selections!$E$6:$E$30,"Under 3.5"))</f>
        <v>0.40480019027086145</v>
      </c>
      <c r="P19" s="19">
        <f>SUMIFS(Selections!$T$6:$T$30,Selections!$E$6:$E$30,"Under 3.5")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COUNTIFS(Selections!$G$6:$G$30,"72h-all-markets-net-ev15-execution-v7")</f>
        <v>2</v>
      </c>
      <c r="D20" s="19">
        <f>(COUNTIFS(Selections!$G$6:$G$30,"72h-all-markets-net-ev15-execution-v7",Selections!$K$6:$K$30,"WON")+COUNTIFS(Selections!$G$6:$G$30,"72h-all-markets-net-ev15-execution-v7",Selections!$K$6:$K$30,"LOST"))</f>
        <v>2</v>
      </c>
      <c r="E20" s="19">
        <f>COUNTIFS(Selections!$G$6:$G$30,"72h-all-markets-net-ev15-execution-v7",Selections!$K$6:$K$30,"WON")</f>
        <v>1</v>
      </c>
      <c r="F20" s="19">
        <f>COUNTIFS(Selections!$G$6:$G$30,"72h-all-markets-net-ev15-execution-v7",Selections!$K$6:$K$30,"LOST")</f>
        <v>1</v>
      </c>
      <c r="G20" s="19">
        <f>COUNTIFS(Selections!$G$6:$G$30,"72h-all-markets-net-ev15-execution-v7")-(COUNTIFS(Selections!$G$6:$G$30,"72h-all-markets-net-ev15-execution-v7",Selections!$K$6:$K$30,"WON")+COUNTIFS(Selections!$G$6:$G$30,"72h-all-markets-net-ev15-execution-v7",Selections!$K$6:$K$30,"LOST"))</f>
        <v>0</v>
      </c>
      <c r="H20" s="20">
        <f>IF((COUNTIFS(Selections!$G$6:$G$30,"72h-all-markets-net-ev15-execution-v7",Selections!$K$6:$K$30,"WON")+COUNTIFS(Selections!$G$6:$G$30,"72h-all-markets-net-ev15-execution-v7",Selections!$K$6:$K$30,"LOST"))=0,"n.a.",COUNTIFS(Selections!$G$6:$G$30,"72h-all-markets-net-ev15-execution-v7",Selections!$K$6:$K$30,"WON")/(COUNTIFS(Selections!$G$6:$G$30,"72h-all-markets-net-ev15-execution-v7",Selections!$K$6:$K$30,"WON")+COUNTIFS(Selections!$G$6:$G$30,"72h-all-markets-net-ev15-execution-v7",Selections!$K$6:$K$30,"LOST")))</f>
        <v>0.5</v>
      </c>
      <c r="I20" s="22">
        <f>SUMIFS(Selections!$M$6:$M$30,Selections!$G$6:$G$30,"72h-all-markets-net-ev15-execution-v7")</f>
        <v>2</v>
      </c>
      <c r="J20" s="22">
        <f>SUMIFS(Selections!$N$6:$N$30,Selections!$G$6:$G$30,"72h-all-markets-net-ev15-execution-v7")</f>
        <v>-0.73</v>
      </c>
      <c r="K20" s="20">
        <f>IF(SUMIFS(Selections!$M$6:$M$30,Selections!$G$6:$G$30,"72h-all-markets-net-ev15-execution-v7")=0,"n.a.",SUMIFS(Selections!$N$6:$N$30,Selections!$G$6:$G$30,"72h-all-markets-net-ev15-execution-v7")/SUMIFS(Selections!$M$6:$M$30,Selections!$G$6:$G$30,"72h-all-markets-net-ev15-execution-v7"))</f>
        <v>-0.365</v>
      </c>
      <c r="L20" s="21">
        <f>IF(SUMIFS(Selections!$T$6:$T$30,Selections!$G$6:$G$30,"72h-all-markets-net-ev15-execution-v7")=0,"n.a.",SUMIFS(Selections!$O$6:$O$30,Selections!$G$6:$G$30,"72h-all-markets-net-ev15-execution-v7")/SUMIFS(Selections!$T$6:$T$30,Selections!$G$6:$G$30,"72h-all-markets-net-ev15-execution-v7"))</f>
        <v>0.22940386115877875</v>
      </c>
      <c r="M20" s="20">
        <f>IF(SUMIFS(Selections!$T$6:$T$30,Selections!$G$6:$G$30,"72h-all-markets-net-ev15-execution-v7")=0,"n.a.",SUMIFS(Selections!$S$6:$S$30,Selections!$G$6:$G$30,"72h-all-markets-net-ev15-execution-v7")/SUMIFS(Selections!$T$6:$T$30,Selections!$G$6:$G$30,"72h-all-markets-net-ev15-execution-v7"))</f>
        <v>0.7546956595191849</v>
      </c>
      <c r="N20" s="20">
        <f>IF(SUMIFS(Selections!$T$6:$T$30,Selections!$G$6:$G$30,"72h-all-markets-net-ev15-execution-v7")=0,"n.a.",(SUMIFS(Selections!$L$6:$L$30,Selections!$G$6:$G$30,"72h-all-markets-net-ev15-execution-v7",Selections!$T$6:$T$30,1))/SUMIFS(Selections!$T$6:$T$30,Selections!$G$6:$G$30,"72h-all-markets-net-ev15-execution-v7"))</f>
        <v>0.5</v>
      </c>
      <c r="O20" s="20">
        <f>IF(SUMIFS(Selections!$T$6:$T$30,Selections!$G$6:$G$30,"72h-all-markets-net-ev15-execution-v7")=0,"n.a.",(SUMIFS(Selections!$S$6:$S$30,Selections!$G$6:$G$30,"72h-all-markets-net-ev15-execution-v7")-(SUMIFS(Selections!$L$6:$L$30,Selections!$G$6:$G$30,"72h-all-markets-net-ev15-execution-v7",Selections!$T$6:$T$30,1)))/SUMIFS(Selections!$T$6:$T$30,Selections!$G$6:$G$30,"72h-all-markets-net-ev15-execution-v7"))</f>
        <v>0.25469565951918494</v>
      </c>
      <c r="P20" s="19">
        <f>SUMIFS(Selections!$T$6:$T$30,Selections!$G$6:$G$30,"72h-all-markets-net-ev15-execution-v7")</f>
        <v>2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(n=2).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COUNTIFS(Selections!$G$6:$G$30,"72h-seven-markets-fresh-references-net-ev15-v11")</f>
        <v>3</v>
      </c>
      <c r="D21" s="19">
        <f>(COUNTIFS(Selections!$G$6:$G$30,"72h-seven-markets-fresh-references-net-ev15-v11",Selections!$K$6:$K$30,"WON")+COUNTIFS(Selections!$G$6:$G$30,"72h-seven-markets-fresh-references-net-ev15-v11",Selections!$K$6:$K$30,"LOST"))</f>
        <v>1</v>
      </c>
      <c r="E21" s="19">
        <f>COUNTIFS(Selections!$G$6:$G$30,"72h-seven-markets-fresh-references-net-ev15-v11",Selections!$K$6:$K$30,"WON")</f>
        <v>1</v>
      </c>
      <c r="F21" s="19">
        <f>COUNTIFS(Selections!$G$6:$G$30,"72h-seven-markets-fresh-references-net-ev15-v11",Selections!$K$6:$K$30,"LOST")</f>
        <v>0</v>
      </c>
      <c r="G21" s="19">
        <f>COUNTIFS(Selections!$G$6:$G$30,"72h-seven-markets-fresh-references-net-ev15-v11")-(COUNTIFS(Selections!$G$6:$G$30,"72h-seven-markets-fresh-references-net-ev15-v11",Selections!$K$6:$K$30,"WON")+COUNTIFS(Selections!$G$6:$G$30,"72h-seven-markets-fresh-references-net-ev15-v11",Selections!$K$6:$K$30,"LOST"))</f>
        <v>2</v>
      </c>
      <c r="H21" s="20">
        <f>IF((COUNTIFS(Selections!$G$6:$G$30,"72h-seven-markets-fresh-references-net-ev15-v11",Selections!$K$6:$K$30,"WON")+COUNTIFS(Selections!$G$6:$G$30,"72h-seven-markets-fresh-references-net-ev15-v11",Selections!$K$6:$K$30,"LOST"))=0,"n.a.",COUNTIFS(Selections!$G$6:$G$30,"72h-seven-markets-fresh-references-net-ev15-v11",Selections!$K$6:$K$30,"WON")/(COUNTIFS(Selections!$G$6:$G$30,"72h-seven-markets-fresh-references-net-ev15-v11",Selections!$K$6:$K$30,"WON")+COUNTIFS(Selections!$G$6:$G$30,"72h-seven-markets-fresh-references-net-ev15-v11",Selections!$K$6:$K$30,"LOST")))</f>
        <v>1.0</v>
      </c>
      <c r="I21" s="22">
        <f>SUMIFS(Selections!$M$6:$M$30,Selections!$G$6:$G$30,"72h-seven-markets-fresh-references-net-ev15-v11")</f>
        <v>1</v>
      </c>
      <c r="J21" s="22">
        <f>SUMIFS(Selections!$N$6:$N$30,Selections!$G$6:$G$30,"72h-seven-markets-fresh-references-net-ev15-v11")</f>
        <v>0.5800000000000001</v>
      </c>
      <c r="K21" s="20">
        <f>IF(SUMIFS(Selections!$M$6:$M$30,Selections!$G$6:$G$30,"72h-seven-markets-fresh-references-net-ev15-v11")=0,"n.a.",SUMIFS(Selections!$N$6:$N$30,Selections!$G$6:$G$30,"72h-seven-markets-fresh-references-net-ev15-v11")/SUMIFS(Selections!$M$6:$M$30,Selections!$G$6:$G$30,"72h-seven-markets-fresh-references-net-ev15-v11"))</f>
        <v>0.5800000000000001</v>
      </c>
      <c r="L21" s="21">
        <f>IF(SUMIFS(Selections!$T$6:$T$30,Selections!$G$6:$G$30,"72h-seven-markets-fresh-references-net-ev15-v11")=0,"n.a.",SUMIFS(Selections!$O$6:$O$30,Selections!$G$6:$G$30,"72h-seven-markets-fresh-references-net-ev15-v11")/SUMIFS(Selections!$T$6:$T$30,Selections!$G$6:$G$30,"72h-seven-markets-fresh-references-net-ev15-v11"))</f>
        <v>0.12004824380104485</v>
      </c>
      <c r="M21" s="20">
        <f>IF(SUMIFS(Selections!$T$6:$T$30,Selections!$G$6:$G$30,"72h-seven-markets-fresh-references-net-ev15-v11")=0,"n.a.",SUMIFS(Selections!$S$6:$S$30,Selections!$G$6:$G$30,"72h-seven-markets-fresh-references-net-ev15-v11")/SUMIFS(Selections!$T$6:$T$30,Selections!$G$6:$G$30,"72h-seven-markets-fresh-references-net-ev15-v11"))</f>
        <v>0.6535202115547794</v>
      </c>
      <c r="N21" s="20">
        <f>IF(SUMIFS(Selections!$T$6:$T$30,Selections!$G$6:$G$30,"72h-seven-markets-fresh-references-net-ev15-v11")=0,"n.a.",(SUMIFS(Selections!$L$6:$L$30,Selections!$G$6:$G$30,"72h-seven-markets-fresh-references-net-ev15-v11",Selections!$T$6:$T$30,1))/SUMIFS(Selections!$T$6:$T$30,Selections!$G$6:$G$30,"72h-seven-markets-fresh-references-net-ev15-v11"))</f>
        <v>1.0</v>
      </c>
      <c r="O21" s="20">
        <f>IF(SUMIFS(Selections!$T$6:$T$30,Selections!$G$6:$G$30,"72h-seven-markets-fresh-references-net-ev15-v11")=0,"n.a.",(SUMIFS(Selections!$S$6:$S$30,Selections!$G$6:$G$30,"72h-seven-markets-fresh-references-net-ev15-v11")-(SUMIFS(Selections!$L$6:$L$30,Selections!$G$6:$G$30,"72h-seven-markets-fresh-references-net-ev15-v11",Selections!$T$6:$T$30,1)))/SUMIFS(Selections!$T$6:$T$30,Selections!$G$6:$G$30,"72h-seven-markets-fresh-references-net-ev15-v11"))</f>
        <v>-0.34647978844522065</v>
      </c>
      <c r="P21" s="19">
        <f>SUMIFS(Selections!$T$6:$T$30,Selections!$G$6:$G$30,"72h-seven-markets-fresh-references-net-ev15-v11")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COUNTIFS(Selections!$G$6:$G$30,"72h-six-markets-dc12-probability-odds-net-ev15-v9")</f>
        <v>1</v>
      </c>
      <c r="D22" s="19">
        <f>(COUNTIFS(Selections!$G$6:$G$30,"72h-six-markets-dc12-probability-odds-net-ev15-v9",Selections!$K$6:$K$30,"WON")+COUNTIFS(Selections!$G$6:$G$30,"72h-six-markets-dc12-probability-odds-net-ev15-v9",Selections!$K$6:$K$30,"LOST"))</f>
        <v>1</v>
      </c>
      <c r="E22" s="19">
        <f>COUNTIFS(Selections!$G$6:$G$30,"72h-six-markets-dc12-probability-odds-net-ev15-v9",Selections!$K$6:$K$30,"WON")</f>
        <v>1</v>
      </c>
      <c r="F22" s="19">
        <f>COUNTIFS(Selections!$G$6:$G$30,"72h-six-markets-dc12-probability-odds-net-ev15-v9",Selections!$K$6:$K$30,"LOST")</f>
        <v>0</v>
      </c>
      <c r="G22" s="19">
        <f>COUNTIFS(Selections!$G$6:$G$30,"72h-six-markets-dc12-probability-odds-net-ev15-v9")-(COUNTIFS(Selections!$G$6:$G$30,"72h-six-markets-dc12-probability-odds-net-ev15-v9",Selections!$K$6:$K$30,"WON")+COUNTIFS(Selections!$G$6:$G$30,"72h-six-markets-dc12-probability-odds-net-ev15-v9",Selections!$K$6:$K$30,"LOST"))</f>
        <v>0</v>
      </c>
      <c r="H22" s="20">
        <f>IF((COUNTIFS(Selections!$G$6:$G$30,"72h-six-markets-dc12-probability-odds-net-ev15-v9",Selections!$K$6:$K$30,"WON")+COUNTIFS(Selections!$G$6:$G$30,"72h-six-markets-dc12-probability-odds-net-ev15-v9",Selections!$K$6:$K$30,"LOST"))=0,"n.a.",COUNTIFS(Selections!$G$6:$G$30,"72h-six-markets-dc12-probability-odds-net-ev15-v9",Selections!$K$6:$K$30,"WON")/(COUNTIFS(Selections!$G$6:$G$30,"72h-six-markets-dc12-probability-odds-net-ev15-v9",Selections!$K$6:$K$30,"WON")+COUNTIFS(Selections!$G$6:$G$30,"72h-six-markets-dc12-probability-odds-net-ev15-v9",Selections!$K$6:$K$30,"LOST")))</f>
        <v>1.0</v>
      </c>
      <c r="I22" s="22">
        <f>SUMIFS(Selections!$M$6:$M$30,Selections!$G$6:$G$30,"72h-six-markets-dc12-probability-odds-net-ev15-v9")</f>
        <v>1</v>
      </c>
      <c r="J22" s="22">
        <f>SUMIFS(Selections!$N$6:$N$30,Selections!$G$6:$G$30,"72h-six-markets-dc12-probability-odds-net-ev15-v9")</f>
        <v>0.27</v>
      </c>
      <c r="K22" s="20">
        <f>IF(SUMIFS(Selections!$M$6:$M$30,Selections!$G$6:$G$30,"72h-six-markets-dc12-probability-odds-net-ev15-v9")=0,"n.a.",SUMIFS(Selections!$N$6:$N$30,Selections!$G$6:$G$30,"72h-six-markets-dc12-probability-odds-net-ev15-v9")/SUMIFS(Selections!$M$6:$M$30,Selections!$G$6:$G$30,"72h-six-markets-dc12-probability-odds-net-ev15-v9"))</f>
        <v>0.27</v>
      </c>
      <c r="L22" s="21">
        <f>IF(SUMIFS(Selections!$T$6:$T$30,Selections!$G$6:$G$30,"72h-six-markets-dc12-probability-odds-net-ev15-v9")=0,"n.a.",SUMIFS(Selections!$O$6:$O$30,Selections!$G$6:$G$30,"72h-six-markets-dc12-probability-odds-net-ev15-v9")/SUMIFS(Selections!$T$6:$T$30,Selections!$G$6:$G$30,"72h-six-markets-dc12-probability-odds-net-ev15-v9"))</f>
        <v>0.03933741464046248</v>
      </c>
      <c r="M22" s="20">
        <f>IF(SUMIFS(Selections!$T$6:$T$30,Selections!$G$6:$G$30,"72h-six-markets-dc12-probability-odds-net-ev15-v9")=0,"n.a.",SUMIFS(Selections!$S$6:$S$30,Selections!$G$6:$G$30,"72h-six-markets-dc12-probability-odds-net-ev15-v9")/SUMIFS(Selections!$T$6:$T$30,Selections!$G$6:$G$30,"72h-six-markets-dc12-probability-odds-net-ev15-v9"))</f>
        <v>0.8016633804854422</v>
      </c>
      <c r="N22" s="20">
        <f>IF(SUMIFS(Selections!$T$6:$T$30,Selections!$G$6:$G$30,"72h-six-markets-dc12-probability-odds-net-ev15-v9")=0,"n.a.",(SUMIFS(Selections!$L$6:$L$30,Selections!$G$6:$G$30,"72h-six-markets-dc12-probability-odds-net-ev15-v9",Selections!$T$6:$T$30,1))/SUMIFS(Selections!$T$6:$T$30,Selections!$G$6:$G$30,"72h-six-markets-dc12-probability-odds-net-ev15-v9"))</f>
        <v>1.0</v>
      </c>
      <c r="O22" s="20">
        <f>IF(SUMIFS(Selections!$T$6:$T$30,Selections!$G$6:$G$30,"72h-six-markets-dc12-probability-odds-net-ev15-v9")=0,"n.a.",(SUMIFS(Selections!$S$6:$S$30,Selections!$G$6:$G$30,"72h-six-markets-dc12-probability-odds-net-ev15-v9")-(SUMIFS(Selections!$L$6:$L$30,Selections!$G$6:$G$30,"72h-six-markets-dc12-probability-odds-net-ev15-v9",Selections!$T$6:$T$30,1)))/SUMIFS(Selections!$T$6:$T$30,Selections!$G$6:$G$30,"72h-six-markets-dc12-probability-odds-net-ev15-v9"))</f>
        <v>-0.19833661951455783</v>
      </c>
      <c r="P22" s="19">
        <f>SUMIFS(Selections!$T$6:$T$30,Selections!$G$6:$G$30,"72h-six-markets-dc12-probability-odds-net-ev15-v9")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COUNTIFS(Selections!$G$6:$G$30,"72h-ucl-v3")</f>
        <v>8</v>
      </c>
      <c r="D23" s="19">
        <f>(COUNTIFS(Selections!$G$6:$G$30,"72h-ucl-v3",Selections!$K$6:$K$30,"WON")+COUNTIFS(Selections!$G$6:$G$30,"72h-ucl-v3",Selections!$K$6:$K$30,"LOST"))</f>
        <v>6</v>
      </c>
      <c r="E23" s="19">
        <f>COUNTIFS(Selections!$G$6:$G$30,"72h-ucl-v3",Selections!$K$6:$K$30,"WON")</f>
        <v>5</v>
      </c>
      <c r="F23" s="19">
        <f>COUNTIFS(Selections!$G$6:$G$30,"72h-ucl-v3",Selections!$K$6:$K$30,"LOST")</f>
        <v>1</v>
      </c>
      <c r="G23" s="19">
        <f>COUNTIFS(Selections!$G$6:$G$30,"72h-ucl-v3")-(COUNTIFS(Selections!$G$6:$G$30,"72h-ucl-v3",Selections!$K$6:$K$30,"WON")+COUNTIFS(Selections!$G$6:$G$30,"72h-ucl-v3",Selections!$K$6:$K$30,"LOST"))</f>
        <v>2</v>
      </c>
      <c r="H23" s="20">
        <f>IF((COUNTIFS(Selections!$G$6:$G$30,"72h-ucl-v3",Selections!$K$6:$K$30,"WON")+COUNTIFS(Selections!$G$6:$G$30,"72h-ucl-v3",Selections!$K$6:$K$30,"LOST"))=0,"n.a.",COUNTIFS(Selections!$G$6:$G$30,"72h-ucl-v3",Selections!$K$6:$K$30,"WON")/(COUNTIFS(Selections!$G$6:$G$30,"72h-ucl-v3",Selections!$K$6:$K$30,"WON")+COUNTIFS(Selections!$G$6:$G$30,"72h-ucl-v3",Selections!$K$6:$K$30,"LOST")))</f>
        <v>0.8333333333333334</v>
      </c>
      <c r="I23" s="22">
        <f>SUMIFS(Selections!$M$6:$M$30,Selections!$G$6:$G$30,"72h-ucl-v3")</f>
        <v>6</v>
      </c>
      <c r="J23" s="22">
        <f>SUMIFS(Selections!$N$6:$N$30,Selections!$G$6:$G$30,"72h-ucl-v3")</f>
        <v>0.96</v>
      </c>
      <c r="K23" s="20">
        <f>IF(SUMIFS(Selections!$M$6:$M$30,Selections!$G$6:$G$30,"72h-ucl-v3")=0,"n.a.",SUMIFS(Selections!$N$6:$N$30,Selections!$G$6:$G$30,"72h-ucl-v3")/SUMIFS(Selections!$M$6:$M$30,Selections!$G$6:$G$30,"72h-ucl-v3"))</f>
        <v>0.16</v>
      </c>
      <c r="L23" s="21">
        <f>IF(SUMIFS(Selections!$T$6:$T$30,Selections!$G$6:$G$30,"72h-ucl-v3")=0,"n.a.",SUMIFS(Selections!$O$6:$O$30,Selections!$G$6:$G$30,"72h-ucl-v3")/SUMIFS(Selections!$T$6:$T$30,Selections!$G$6:$G$30,"72h-ucl-v3"))</f>
        <v>0.13798221541257352</v>
      </c>
      <c r="M23" s="20">
        <f>IF(SUMIFS(Selections!$T$6:$T$30,Selections!$G$6:$G$30,"72h-ucl-v3")=0,"n.a.",SUMIFS(Selections!$S$6:$S$30,Selections!$G$6:$G$30,"72h-ucl-v3")/SUMIFS(Selections!$T$6:$T$30,Selections!$G$6:$G$30,"72h-ucl-v3"))</f>
        <v>0.7942949268394889</v>
      </c>
      <c r="N23" s="20">
        <f>IF(SUMIFS(Selections!$T$6:$T$30,Selections!$G$6:$G$30,"72h-ucl-v3")=0,"n.a.",(SUMIFS(Selections!$L$6:$L$30,Selections!$G$6:$G$30,"72h-ucl-v3",Selections!$T$6:$T$30,1))/SUMIFS(Selections!$T$6:$T$30,Selections!$G$6:$G$30,"72h-ucl-v3"))</f>
        <v>0.8333333333333334</v>
      </c>
      <c r="O23" s="20">
        <f>IF(SUMIFS(Selections!$T$6:$T$30,Selections!$G$6:$G$30,"72h-ucl-v3")=0,"n.a.",(SUMIFS(Selections!$S$6:$S$30,Selections!$G$6:$G$30,"72h-ucl-v3")-(SUMIFS(Selections!$L$6:$L$30,Selections!$G$6:$G$30,"72h-ucl-v3",Selections!$T$6:$T$30,1)))/SUMIFS(Selections!$T$6:$T$30,Selections!$G$6:$G$30,"72h-ucl-v3"))</f>
        <v>-0.03903840649384449</v>
      </c>
      <c r="P23" s="19">
        <f>SUMIFS(Selections!$T$6:$T$30,Selections!$G$6:$G$30,"72h-ucl-v3")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COUNTIFS(Selections!$G$6:$G$30,"legacy/unspecified")</f>
        <v>11</v>
      </c>
      <c r="D24" s="19">
        <f>(COUNTIFS(Selections!$G$6:$G$30,"legacy/unspecified",Selections!$K$6:$K$30,"WON")+COUNTIFS(Selections!$G$6:$G$30,"legacy/unspecified",Selections!$K$6:$K$30,"LOST"))</f>
        <v>7</v>
      </c>
      <c r="E24" s="19">
        <f>COUNTIFS(Selections!$G$6:$G$30,"legacy/unspecified",Selections!$K$6:$K$30,"WON")</f>
        <v>5</v>
      </c>
      <c r="F24" s="19">
        <f>COUNTIFS(Selections!$G$6:$G$30,"legacy/unspecified",Selections!$K$6:$K$30,"LOST")</f>
        <v>2</v>
      </c>
      <c r="G24" s="19">
        <f>COUNTIFS(Selections!$G$6:$G$30,"legacy/unspecified")-(COUNTIFS(Selections!$G$6:$G$30,"legacy/unspecified",Selections!$K$6:$K$30,"WON")+COUNTIFS(Selections!$G$6:$G$30,"legacy/unspecified",Selections!$K$6:$K$30,"LOST"))</f>
        <v>4</v>
      </c>
      <c r="H24" s="20">
        <f>IF((COUNTIFS(Selections!$G$6:$G$30,"legacy/unspecified",Selections!$K$6:$K$30,"WON")+COUNTIFS(Selections!$G$6:$G$30,"legacy/unspecified",Selections!$K$6:$K$30,"LOST"))=0,"n.a.",COUNTIFS(Selections!$G$6:$G$30,"legacy/unspecified",Selections!$K$6:$K$30,"WON")/(COUNTIFS(Selections!$G$6:$G$30,"legacy/unspecified",Selections!$K$6:$K$30,"WON")+COUNTIFS(Selections!$G$6:$G$30,"legacy/unspecified",Selections!$K$6:$K$30,"LOST")))</f>
        <v>0.7142857142857143</v>
      </c>
      <c r="I24" s="22">
        <f>SUMIFS(Selections!$M$6:$M$30,Selections!$G$6:$G$30,"legacy/unspecified")</f>
        <v>7</v>
      </c>
      <c r="J24" s="22">
        <f>SUMIFS(Selections!$N$6:$N$30,Selections!$G$6:$G$30,"legacy/unspecified")</f>
        <v>-0.32000000000000006</v>
      </c>
      <c r="K24" s="20">
        <f>IF(SUMIFS(Selections!$M$6:$M$30,Selections!$G$6:$G$30,"legacy/unspecified")=0,"n.a.",SUMIFS(Selections!$N$6:$N$30,Selections!$G$6:$G$30,"legacy/unspecified")/SUMIFS(Selections!$M$6:$M$30,Selections!$G$6:$G$30,"legacy/unspecified"))</f>
        <v>-0.04571428571428572</v>
      </c>
      <c r="L24" s="21">
        <f>IF(SUMIFS(Selections!$T$6:$T$30,Selections!$G$6:$G$30,"legacy/unspecified")=0,"n.a.",SUMIFS(Selections!$O$6:$O$30,Selections!$G$6:$G$30,"legacy/unspecified")/SUMIFS(Selections!$T$6:$T$30,Selections!$G$6:$G$30,"legacy/unspecified"))</f>
        <v>0.22763981067487737</v>
      </c>
      <c r="M24" s="20">
        <f>IF(SUMIFS(Selections!$T$6:$T$30,Selections!$G$6:$G$30,"legacy/unspecified")=0,"n.a.",SUMIFS(Selections!$S$6:$S$30,Selections!$G$6:$G$30,"legacy/unspecified")/SUMIFS(Selections!$T$6:$T$30,Selections!$G$6:$G$30,"legacy/unspecified"))</f>
        <v>0.8238675387479917</v>
      </c>
      <c r="N24" s="20">
        <f>IF(SUMIFS(Selections!$T$6:$T$30,Selections!$G$6:$G$30,"legacy/unspecified")=0,"n.a.",(SUMIFS(Selections!$L$6:$L$30,Selections!$G$6:$G$30,"legacy/unspecified",Selections!$T$6:$T$30,1))/SUMIFS(Selections!$T$6:$T$30,Selections!$G$6:$G$30,"legacy/unspecified"))</f>
        <v>0.7142857142857143</v>
      </c>
      <c r="O24" s="20">
        <f>IF(SUMIFS(Selections!$T$6:$T$30,Selections!$G$6:$G$30,"legacy/unspecified")=0,"n.a.",(SUMIFS(Selections!$S$6:$S$30,Selections!$G$6:$G$30,"legacy/unspecified")-(SUMIFS(Selections!$L$6:$L$30,Selections!$G$6:$G$30,"legacy/unspecified",Selections!$T$6:$T$30,1)))/SUMIFS(Selections!$T$6:$T$30,Selections!$G$6:$G$30,"legacy/unspecified"))</f>
        <v>0.10958182446227738</v>
      </c>
      <c r="P24" s="19">
        <f>SUMIFS(Selections!$T$6:$T$30,Selections!$G$6:$G$30,"legacy/unspecified")</f>
        <v>7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(n=7).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COUNTIFS(Selections!$P$6:$P$30,"2026-W41")</f>
        <v>5</v>
      </c>
      <c r="D25" s="19">
        <f>(COUNTIFS(Selections!$P$6:$P$30,"2026-W41",Selections!$K$6:$K$30,"WON")+COUNTIFS(Selections!$P$6:$P$30,"2026-W41",Selections!$K$6:$K$30,"LOST"))</f>
        <v>4</v>
      </c>
      <c r="E25" s="19">
        <f>COUNTIFS(Selections!$P$6:$P$30,"2026-W41",Selections!$K$6:$K$30,"WON")</f>
        <v>2</v>
      </c>
      <c r="F25" s="19">
        <f>COUNTIFS(Selections!$P$6:$P$30,"2026-W41",Selections!$K$6:$K$30,"LOST")</f>
        <v>2</v>
      </c>
      <c r="G25" s="19">
        <f>COUNTIFS(Selections!$P$6:$P$30,"2026-W41")-(COUNTIFS(Selections!$P$6:$P$30,"2026-W41",Selections!$K$6:$K$30,"WON")+COUNTIFS(Selections!$P$6:$P$30,"2026-W41",Selections!$K$6:$K$30,"LOST"))</f>
        <v>1</v>
      </c>
      <c r="H25" s="20">
        <f>IF((COUNTIFS(Selections!$P$6:$P$30,"2026-W41",Selections!$K$6:$K$30,"WON")+COUNTIFS(Selections!$P$6:$P$30,"2026-W41",Selections!$K$6:$K$30,"LOST"))=0,"n.a.",COUNTIFS(Selections!$P$6:$P$30,"2026-W41",Selections!$K$6:$K$30,"WON")/(COUNTIFS(Selections!$P$6:$P$30,"2026-W41",Selections!$K$6:$K$30,"WON")+COUNTIFS(Selections!$P$6:$P$30,"2026-W41",Selections!$K$6:$K$30,"LOST")))</f>
        <v>0.5</v>
      </c>
      <c r="I25" s="22">
        <f>SUMIFS(Selections!$M$6:$M$30,Selections!$P$6:$P$30,"2026-W41")</f>
        <v>4</v>
      </c>
      <c r="J25" s="22">
        <f>SUMIFS(Selections!$N$6:$N$30,Selections!$P$6:$P$30,"2026-W41")</f>
        <v>-1.48</v>
      </c>
      <c r="K25" s="20">
        <f>IF(SUMIFS(Selections!$M$6:$M$30,Selections!$P$6:$P$30,"2026-W41")=0,"n.a.",SUMIFS(Selections!$N$6:$N$30,Selections!$P$6:$P$30,"2026-W41")/SUMIFS(Selections!$M$6:$M$30,Selections!$P$6:$P$30,"2026-W41"))</f>
        <v>-0.37</v>
      </c>
      <c r="L25" s="21">
        <f>IF(SUMIFS(Selections!$T$6:$T$30,Selections!$P$6:$P$30,"2026-W41")=0,"n.a.",SUMIFS(Selections!$O$6:$O$30,Selections!$P$6:$P$30,"2026-W41")/SUMIFS(Selections!$T$6:$T$30,Selections!$P$6:$P$30,"2026-W41"))</f>
        <v>0.32911599206243786</v>
      </c>
      <c r="M25" s="20">
        <f>IF(SUMIFS(Selections!$T$6:$T$30,Selections!$P$6:$P$30,"2026-W41")=0,"n.a.",SUMIFS(Selections!$S$6:$S$30,Selections!$P$6:$P$30,"2026-W41")/SUMIFS(Selections!$T$6:$T$30,Selections!$P$6:$P$30,"2026-W41"))</f>
        <v>0.8211485691621172</v>
      </c>
      <c r="N25" s="20">
        <f>IF(SUMIFS(Selections!$T$6:$T$30,Selections!$P$6:$P$30,"2026-W41")=0,"n.a.",(SUMIFS(Selections!$L$6:$L$30,Selections!$P$6:$P$30,"2026-W41",Selections!$T$6:$T$30,1))/SUMIFS(Selections!$T$6:$T$30,Selections!$P$6:$P$30,"2026-W41"))</f>
        <v>0.5</v>
      </c>
      <c r="O25" s="20">
        <f>IF(SUMIFS(Selections!$T$6:$T$30,Selections!$P$6:$P$30,"2026-W41")=0,"n.a.",(SUMIFS(Selections!$S$6:$S$30,Selections!$P$6:$P$30,"2026-W41")-(SUMIFS(Selections!$L$6:$L$30,Selections!$P$6:$P$30,"2026-W41",Selections!$T$6:$T$30,1)))/SUMIFS(Selections!$T$6:$T$30,Selections!$P$6:$P$30,"2026-W41"))</f>
        <v>0.3211485691621172</v>
      </c>
      <c r="P25" s="19">
        <f>SUMIFS(Selections!$T$6:$T$30,Selections!$P$6:$P$30,"2026-W41")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COUNTIFS(Selections!$P$6:$P$30,"2026-W42")</f>
        <v>18</v>
      </c>
      <c r="D26" s="19">
        <f>(COUNTIFS(Selections!$P$6:$P$30,"2026-W42",Selections!$K$6:$K$30,"WON")+COUNTIFS(Selections!$P$6:$P$30,"2026-W42",Selections!$K$6:$K$30,"LOST"))</f>
        <v>13</v>
      </c>
      <c r="E26" s="19">
        <f>COUNTIFS(Selections!$P$6:$P$30,"2026-W42",Selections!$K$6:$K$30,"WON")</f>
        <v>11</v>
      </c>
      <c r="F26" s="19">
        <f>COUNTIFS(Selections!$P$6:$P$30,"2026-W42",Selections!$K$6:$K$30,"LOST")</f>
        <v>2</v>
      </c>
      <c r="G26" s="19">
        <f>COUNTIFS(Selections!$P$6:$P$30,"2026-W42")-(COUNTIFS(Selections!$P$6:$P$30,"2026-W42",Selections!$K$6:$K$30,"WON")+COUNTIFS(Selections!$P$6:$P$30,"2026-W42",Selections!$K$6:$K$30,"LOST"))</f>
        <v>5</v>
      </c>
      <c r="H26" s="20">
        <f>IF((COUNTIFS(Selections!$P$6:$P$30,"2026-W42",Selections!$K$6:$K$30,"WON")+COUNTIFS(Selections!$P$6:$P$30,"2026-W42",Selections!$K$6:$K$30,"LOST"))=0,"n.a.",COUNTIFS(Selections!$P$6:$P$30,"2026-W42",Selections!$K$6:$K$30,"WON")/(COUNTIFS(Selections!$P$6:$P$30,"2026-W42",Selections!$K$6:$K$30,"WON")+COUNTIFS(Selections!$P$6:$P$30,"2026-W42",Selections!$K$6:$K$30,"LOST")))</f>
        <v>0.8461538461538461</v>
      </c>
      <c r="I26" s="22">
        <f>SUMIFS(Selections!$M$6:$M$30,Selections!$P$6:$P$30,"2026-W42")</f>
        <v>13</v>
      </c>
      <c r="J26" s="22">
        <f>SUMIFS(Selections!$N$6:$N$30,Selections!$P$6:$P$30,"2026-W42")</f>
        <v>2.24</v>
      </c>
      <c r="K26" s="20">
        <f>IF(SUMIFS(Selections!$M$6:$M$30,Selections!$P$6:$P$30,"2026-W42")=0,"n.a.",SUMIFS(Selections!$N$6:$N$30,Selections!$P$6:$P$30,"2026-W42")/SUMIFS(Selections!$M$6:$M$30,Selections!$P$6:$P$30,"2026-W42"))</f>
        <v>0.17230769230769233</v>
      </c>
      <c r="L26" s="21">
        <f>IF(SUMIFS(Selections!$T$6:$T$30,Selections!$P$6:$P$30,"2026-W42")=0,"n.a.",SUMIFS(Selections!$O$6:$O$30,Selections!$P$6:$P$30,"2026-W42")/SUMIFS(Selections!$T$6:$T$30,Selections!$P$6:$P$30,"2026-W42"))</f>
        <v>0.13254625997760738</v>
      </c>
      <c r="M26" s="20">
        <f>IF(SUMIFS(Selections!$T$6:$T$30,Selections!$P$6:$P$30,"2026-W42")=0,"n.a.",SUMIFS(Selections!$S$6:$S$30,Selections!$P$6:$P$30,"2026-W42")/SUMIFS(Selections!$T$6:$T$30,Selections!$P$6:$P$30,"2026-W42"))</f>
        <v>0.7856017666694614</v>
      </c>
      <c r="N26" s="20">
        <f>IF(SUMIFS(Selections!$T$6:$T$30,Selections!$P$6:$P$30,"2026-W42")=0,"n.a.",(SUMIFS(Selections!$L$6:$L$30,Selections!$P$6:$P$30,"2026-W42",Selections!$T$6:$T$30,1))/SUMIFS(Selections!$T$6:$T$30,Selections!$P$6:$P$30,"2026-W42"))</f>
        <v>0.8461538461538461</v>
      </c>
      <c r="O26" s="20">
        <f>IF(SUMIFS(Selections!$T$6:$T$30,Selections!$P$6:$P$30,"2026-W42")=0,"n.a.",(SUMIFS(Selections!$S$6:$S$30,Selections!$P$6:$P$30,"2026-W42")-(SUMIFS(Selections!$L$6:$L$30,Selections!$P$6:$P$30,"2026-W42",Selections!$T$6:$T$30,1)))/SUMIFS(Selections!$T$6:$T$30,Selections!$P$6:$P$30,"2026-W42"))</f>
        <v>-0.06055207948438479</v>
      </c>
      <c r="P26" s="19">
        <f>SUMIFS(Selections!$T$6:$T$30,Selections!$P$6:$P$30,"2026-W42")</f>
        <v>13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(n=13).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COUNTIFS(Selections!$P$6:$P$30,"2026-W43")</f>
        <v>2</v>
      </c>
      <c r="D27" s="19">
        <f>(COUNTIFS(Selections!$P$6:$P$30,"2026-W43",Selections!$K$6:$K$30,"WON")+COUNTIFS(Selections!$P$6:$P$30,"2026-W43",Selections!$K$6:$K$30,"LOST"))</f>
        <v>0</v>
      </c>
      <c r="E27" s="19">
        <f>COUNTIFS(Selections!$P$6:$P$30,"2026-W43",Selections!$K$6:$K$30,"WON")</f>
        <v>0</v>
      </c>
      <c r="F27" s="19">
        <f>COUNTIFS(Selections!$P$6:$P$30,"2026-W43",Selections!$K$6:$K$30,"LOST")</f>
        <v>0</v>
      </c>
      <c r="G27" s="19">
        <f>COUNTIFS(Selections!$P$6:$P$30,"2026-W43")-(COUNTIFS(Selections!$P$6:$P$30,"2026-W43",Selections!$K$6:$K$30,"WON")+COUNTIFS(Selections!$P$6:$P$30,"2026-W43",Selections!$K$6:$K$30,"LOST"))</f>
        <v>2</v>
      </c>
      <c r="H27" s="20" t="str">
        <f>IF((COUNTIFS(Selections!$P$6:$P$30,"2026-W43",Selections!$K$6:$K$30,"WON")+COUNTIFS(Selections!$P$6:$P$30,"2026-W43",Selections!$K$6:$K$30,"LOST"))=0,"n.a.",COUNTIFS(Selections!$P$6:$P$30,"2026-W43",Selections!$K$6:$K$30,"WON")/(COUNTIFS(Selections!$P$6:$P$30,"2026-W43",Selections!$K$6:$K$30,"WON")+COUNTIFS(Selections!$P$6:$P$30,"2026-W43",Selections!$K$6:$K$30,"LOST")))</f>
        <v>n.a.</v>
      </c>
      <c r="I27" s="22">
        <f>SUMIFS(Selections!$M$6:$M$30,Selections!$P$6:$P$30,"2026-W43")</f>
        <v>0</v>
      </c>
      <c r="J27" s="22">
        <f>SUMIFS(Selections!$N$6:$N$30,Selections!$P$6:$P$30,"2026-W43")</f>
        <v>0</v>
      </c>
      <c r="K27" s="20" t="str">
        <f>IF(SUMIFS(Selections!$M$6:$M$30,Selections!$P$6:$P$30,"2026-W43")=0,"n.a.",SUMIFS(Selections!$N$6:$N$30,Selections!$P$6:$P$30,"2026-W43")/SUMIFS(Selections!$M$6:$M$30,Selections!$P$6:$P$30,"2026-W43"))</f>
        <v>n.a.</v>
      </c>
      <c r="L27" s="21" t="str">
        <f>IF(SUMIFS(Selections!$T$6:$T$30,Selections!$P$6:$P$30,"2026-W43")=0,"n.a.",SUMIFS(Selections!$O$6:$O$30,Selections!$P$6:$P$30,"2026-W43")/SUMIFS(Selections!$T$6:$T$30,Selections!$P$6:$P$30,"2026-W43"))</f>
        <v>n.a.</v>
      </c>
      <c r="M27" s="20" t="str">
        <f>IF(SUMIFS(Selections!$T$6:$T$30,Selections!$P$6:$P$30,"2026-W43")=0,"n.a.",SUMIFS(Selections!$S$6:$S$30,Selections!$P$6:$P$30,"2026-W43")/SUMIFS(Selections!$T$6:$T$30,Selections!$P$6:$P$30,"2026-W43"))</f>
        <v>n.a.</v>
      </c>
      <c r="N27" s="20" t="str">
        <f>IF(SUMIFS(Selections!$T$6:$T$30,Selections!$P$6:$P$30,"2026-W43")=0,"n.a.",(SUMIFS(Selections!$L$6:$L$30,Selections!$P$6:$P$30,"2026-W43",Selections!$T$6:$T$30,1))/SUMIFS(Selections!$T$6:$T$30,Selections!$P$6:$P$30,"2026-W43"))</f>
        <v>n.a.</v>
      </c>
      <c r="O27" s="20" t="str">
        <f>IF(SUMIFS(Selections!$T$6:$T$30,Selections!$P$6:$P$30,"2026-W43")=0,"n.a.",(SUMIFS(Selections!$S$6:$S$30,Selections!$P$6:$P$30,"2026-W43")-(SUMIFS(Selections!$L$6:$L$30,Selections!$P$6:$P$30,"2026-W43",Selections!$T$6:$T$30,1)))/SUMIFS(Selections!$T$6:$T$30,Selections!$P$6:$P$30,"2026-W43"))</f>
        <v>n.a.</v>
      </c>
      <c r="P27" s="19">
        <f>SUMIFS(Selections!$T$6:$T$30,Selections!$P$6:$P$30,"2026-W43")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COUNTIFS(Selections!$S$6:$S$30,"&gt;="&amp;B6,Selections!$S$6:$S$30,"&lt;"&amp;C6,Selections!$T$6:$T$30,1)</f>
        <v>0</v>
      </c>
      <c r="E6" s="20" t="str">
        <f>IF(D6=0,"n.a.",SUMIFS(Selections!$S$6:$S$30,Selections!$S$6:$S$30,"&gt;="&amp;B6,Selections!$S$6:$S$30,"&lt;"&amp;C6,Selections!$T$6:$T$30,1)/D6)</f>
        <v>n.a.</v>
      </c>
      <c r="F6" s="20" t="str">
        <f>IF(D6=0,"n.a.",SUMIFS(Selections!$L$6:$L$30,Selections!$S$6:$S$30,"&gt;="&amp;B6,Selections!$S$6:$S$30,"&lt;"&amp;C6,Selections!$T$6:$T$30,1)/D6)</f>
        <v>n.a.</v>
      </c>
      <c r="G6" s="20" t="str">
        <f>IF(D6=0,"n.a.",E6-F6)</f>
        <v>n.a.</v>
      </c>
      <c r="H6" s="21" t="str">
        <f>IF(D6=0,"n.a.",SUMIFS(Selections!$O$6:$O$30,Selections!$S$6:$S$30,"&gt;="&amp;B6,Selections!$S$6:$S$30,"&lt;"&amp;C6,Selections!$T$6:$T$30,1)/D6)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COUNTIFS(Selections!$S$6:$S$30,"&gt;="&amp;B7,Selections!$S$6:$S$30,"&lt;"&amp;C7,Selections!$T$6:$T$30,1)</f>
        <v>0</v>
      </c>
      <c r="E7" s="20" t="str">
        <f>IF(D7=0,"n.a.",SUMIFS(Selections!$S$6:$S$30,Selections!$S$6:$S$30,"&gt;="&amp;B7,Selections!$S$6:$S$30,"&lt;"&amp;C7,Selections!$T$6:$T$30,1)/D7)</f>
        <v>n.a.</v>
      </c>
      <c r="F7" s="20" t="str">
        <f>IF(D7=0,"n.a.",SUMIFS(Selections!$L$6:$L$30,Selections!$S$6:$S$30,"&gt;="&amp;B7,Selections!$S$6:$S$30,"&lt;"&amp;C7,Selections!$T$6:$T$30,1)/D7)</f>
        <v>n.a.</v>
      </c>
      <c r="G7" s="20" t="str">
        <f>IF(D7=0,"n.a.",E7-F7)</f>
        <v>n.a.</v>
      </c>
      <c r="H7" s="21" t="str">
        <f>IF(D7=0,"n.a.",SUMIFS(Selections!$O$6:$O$30,Selections!$S$6:$S$30,"&gt;="&amp;B7,Selections!$S$6:$S$30,"&lt;"&amp;C7,Selections!$T$6:$T$30,1)/D7)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COUNTIFS(Selections!$S$6:$S$30,"&gt;="&amp;B8,Selections!$S$6:$S$30,"&lt;"&amp;C8,Selections!$T$6:$T$30,1)</f>
        <v>4</v>
      </c>
      <c r="E8" s="20">
        <f>IF(D8=0,"n.a.",SUMIFS(Selections!$S$6:$S$30,Selections!$S$6:$S$30,"&gt;="&amp;B8,Selections!$S$6:$S$30,"&lt;"&amp;C8,Selections!$T$6:$T$30,1)/D8)</f>
        <v>0.6649168259093771</v>
      </c>
      <c r="F8" s="20">
        <f>IF(D8=0,"n.a.",SUMIFS(Selections!$L$6:$L$30,Selections!$S$6:$S$30,"&gt;="&amp;B8,Selections!$S$6:$S$30,"&lt;"&amp;C8,Selections!$T$6:$T$30,1)/D8)</f>
        <v>0.75</v>
      </c>
      <c r="G8" s="20">
        <f>IF(D8=0,"n.a.",E8-F8)</f>
        <v>-0.08508317409062294</v>
      </c>
      <c r="H8" s="21">
        <f>IF(D8=0,"n.a.",SUMIFS(Selections!$O$6:$O$30,Selections!$S$6:$S$30,"&gt;="&amp;B8,Selections!$S$6:$S$30,"&lt;"&amp;C8,Selections!$T$6:$T$30,1)/D8)</f>
        <v>0.19255612510619513</v>
      </c>
      <c r="I8" s="18" t="inlineStr">
        <is>
          <t>Collect more scored forecasts (n=4).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COUNTIFS(Selections!$S$6:$S$30,"&gt;="&amp;B9,Selections!$S$6:$S$30,"&lt;"&amp;C9,Selections!$T$6:$T$30,1)</f>
        <v>4</v>
      </c>
      <c r="E9" s="20">
        <f>IF(D9=0,"n.a.",SUMIFS(Selections!$S$6:$S$30,Selections!$S$6:$S$30,"&gt;="&amp;B9,Selections!$S$6:$S$30,"&lt;"&amp;C9,Selections!$T$6:$T$30,1)/D9)</f>
        <v>0.7598033602744063</v>
      </c>
      <c r="F9" s="20">
        <f>IF(D9=0,"n.a.",SUMIFS(Selections!$L$6:$L$30,Selections!$S$6:$S$30,"&gt;="&amp;B9,Selections!$S$6:$S$30,"&lt;"&amp;C9,Selections!$T$6:$T$30,1)/D9)</f>
        <v>0.75</v>
      </c>
      <c r="G9" s="20">
        <f>IF(D9=0,"n.a.",E9-F9)</f>
        <v>0.009803360274406314</v>
      </c>
      <c r="H9" s="21">
        <f>IF(D9=0,"n.a.",SUMIFS(Selections!$O$6:$O$30,Selections!$S$6:$S$30,"&gt;="&amp;B9,Selections!$S$6:$S$30,"&lt;"&amp;C9,Selections!$T$6:$T$30,1)/D9)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COUNTIFS(Selections!$S$6:$S$30,"&gt;="&amp;B10,Selections!$S$6:$S$30,"&lt;"&amp;C10,Selections!$T$6:$T$30,1)</f>
        <v>6</v>
      </c>
      <c r="E10" s="20">
        <f>IF(D10=0,"n.a.",SUMIFS(Selections!$S$6:$S$30,Selections!$S$6:$S$30,"&gt;="&amp;B10,Selections!$S$6:$S$30,"&lt;"&amp;C10,Selections!$T$6:$T$30,1)/D10)</f>
        <v>0.8371222720964511</v>
      </c>
      <c r="F10" s="20">
        <f>IF(D10=0,"n.a.",SUMIFS(Selections!$L$6:$L$30,Selections!$S$6:$S$30,"&gt;="&amp;B10,Selections!$S$6:$S$30,"&lt;"&amp;C10,Selections!$T$6:$T$30,1)/D10)</f>
        <v>0.6666666666666666</v>
      </c>
      <c r="G10" s="20">
        <f>IF(D10=0,"n.a.",E10-F10)</f>
        <v>0.17045560542978444</v>
      </c>
      <c r="H10" s="21">
        <f>IF(D10=0,"n.a.",SUMIFS(Selections!$O$6:$O$30,Selections!$S$6:$S$30,"&gt;="&amp;B10,Selections!$S$6:$S$30,"&lt;"&amp;C10,Selections!$T$6:$T$30,1)/D10)</f>
        <v>0.2510357703314588</v>
      </c>
      <c r="I10" s="18" t="inlineStr">
        <is>
          <t>Collect more scored forecasts (n=6).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COUNTIFS(Selections!$S$6:$S$30,"&gt;="&amp;B11,Selections!$S$6:$S$30,"&lt;"&amp;C11,Selections!$T$6:$T$30,1)</f>
        <v>3</v>
      </c>
      <c r="E11" s="20">
        <f>IF(D11=0,"n.a.",SUMIFS(Selections!$S$6:$S$30,Selections!$S$6:$S$30,"&gt;="&amp;B11,Selections!$S$6:$S$30,"&lt;"&amp;C11,Selections!$T$6:$T$30,1)/D11)</f>
        <v>0.9252676220125422</v>
      </c>
      <c r="F11" s="20">
        <f>IF(D11=0,"n.a.",SUMIFS(Selections!$L$6:$L$30,Selections!$S$6:$S$30,"&gt;="&amp;B11,Selections!$S$6:$S$30,"&lt;"&amp;C11,Selections!$T$6:$T$30,1)/D11)</f>
        <v>1.0</v>
      </c>
      <c r="G11" s="20">
        <f>IF(D11=0,"n.a.",E11-F11)</f>
        <v>-0.0747323779874578</v>
      </c>
      <c r="H11" s="21">
        <f>IF(D11=0,"n.a.",SUMIFS(Selections!$O$6:$O$30,Selections!$S$6:$S$30,"&gt;="&amp;B11,Selections!$S$6:$S$30,"&lt;"&amp;C11,Selections!$T$6:$T$30,1)/D11)</f>
        <v>0.005773101584753845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0.43602718522290096</v>
      </c>
      <c r="P20" s="18" t="inlineStr">
        <is>
          <t>2026-W42</t>
        </is>
      </c>
      <c r="Q20" s="18" t="inlineStr">
        <is>
          <t>54bb8a2c2c957dda77ef247b3e042f6a945bda8f</t>
        </is>
      </c>
      <c r="R20" s="18" t="inlineStr">
        <is>
          <t>football-data.org/v4</t>
        </is>
      </c>
      <c r="S20" s="20">
        <f>IF(AND(ISNUMBER(L20),ISNUMBER(H20)),H20,"")</f>
        <v>0.6603235458643747</v>
      </c>
      <c r="T20" s="19">
        <f>IF(AND(ISNUMBER(L20),ISNUMBER(H20)),1,0)</f>
        <v>1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0.03933741464046248</v>
      </c>
      <c r="P21" s="18" t="inlineStr">
        <is>
          <t>2026-W42</t>
        </is>
      </c>
      <c r="Q21" s="18" t="inlineStr">
        <is>
          <t>b57f98f7704eb71a9d1b11eddf359e66786ea2fe</t>
        </is>
      </c>
      <c r="R21" s="18" t="inlineStr">
        <is>
          <t>football-data.org/v4</t>
        </is>
      </c>
      <c r="S21" s="20">
        <f>IF(AND(ISNUMBER(L21),ISNUMBER(H21)),H21,"")</f>
        <v>0.8016633804854422</v>
      </c>
      <c r="T21" s="19">
        <f>IF(AND(ISNUMBER(L21),ISNUMBER(H21)),1,0)</f>
        <v>1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bdc690a8c70643c93f1595d53c067b7d91325270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0.1100000000000001</v>
      </c>
      <c r="O23" s="21">
        <f>IF(AND(ISNUMBER(L23),ISNUMBER(H23)),(H23-L23)^2,"")</f>
        <v>0.006995295003130188</v>
      </c>
      <c r="P23" s="18" t="inlineStr">
        <is>
          <t>2026-W42</t>
        </is>
      </c>
      <c r="Q23" s="18" t="inlineStr">
        <is>
          <t>bdc690a8c70643c93f1595d53c067b7d91325270</t>
        </is>
      </c>
      <c r="R23" s="18" t="inlineStr">
        <is>
          <t>football-data.org/v4</t>
        </is>
      </c>
      <c r="S23" s="20">
        <f>IF(AND(ISNUMBER(L23),ISNUMBER(H23)),H23,"")</f>
        <v>0.9163621198072895</v>
      </c>
      <c r="T23" s="19">
        <f>IF(AND(ISNUMBER(L23),ISNUMBER(H23)),1,0)</f>
        <v>1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0.5800000000000001</v>
      </c>
      <c r="O24" s="21">
        <f>IF(AND(ISNUMBER(L24),ISNUMBER(H24)),(H24-L24)^2,"")</f>
        <v>0.12004824380104485</v>
      </c>
      <c r="P24" s="18" t="inlineStr">
        <is>
          <t>2026-W42</t>
        </is>
      </c>
      <c r="Q24" s="18" t="inlineStr">
        <is>
          <t>7a6c9d44b7c20308d3ed85270f7cabc2a98df58e</t>
        </is>
      </c>
      <c r="R24" s="18" t="inlineStr">
        <is>
          <t>football-data.org/v4</t>
        </is>
      </c>
      <c r="S24" s="20">
        <f>IF(AND(ISNUMBER(L24),ISNUMBER(H24)),H24,"")</f>
        <v>0.6535202115547794</v>
      </c>
      <c r="T24" s="19">
        <f>IF(AND(ISNUMBER(L24),ISNUMBER(H24)),1,0)</f>
        <v>1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  <row r="30" ht="36" customHeight="1">
      <c r="A30" s="18" t="inlineStr">
        <is>
          <t>UEFA Champions League|liverpool|villarreal|2026-10-20</t>
        </is>
      </c>
      <c r="B30" s="23">
        <v>46315.791666666664</v>
      </c>
      <c r="C30" s="18" t="inlineStr">
        <is>
          <t>UEFA Champions League</t>
        </is>
      </c>
      <c r="D30" s="18" t="inlineStr">
        <is>
          <t>Liverpool vs Villarreal</t>
        </is>
      </c>
      <c r="E30" s="18" t="inlineStr">
        <is>
          <t>Home win</t>
        </is>
      </c>
      <c r="F30" s="18" t="inlineStr">
        <is>
          <t>PROVISIONAL</t>
        </is>
      </c>
      <c r="G30" s="18" t="inlineStr">
        <is>
          <t>72h-seven-markets-fresh-references-net-ev15-v11</t>
        </is>
      </c>
      <c r="H30" s="20">
        <v>0.7278056399711609</v>
      </c>
      <c r="I30" s="22">
        <v>1.53</v>
      </c>
      <c r="J30" s="18"/>
      <c r="K30" s="18" t="inlineStr">
        <is>
          <t>PENDING_KICKOFF_OR_FINAL_SCORE</t>
        </is>
      </c>
      <c r="L30" s="18"/>
      <c r="M30" s="22" t="str">
        <f>IF(AND(ISNUMBER(L30),ISNUMBER(I30),I30&gt;1),'ROI Plan'!$B$5,"")</f>
        <v/>
      </c>
      <c r="N30" s="22" t="str">
        <f>IF(ISNUMBER(M30),M30*(I30*L30-1-U30),"")</f>
        <v/>
      </c>
      <c r="O30" s="21">
        <f>IF(AND(ISNUMBER(L30),ISNUMBER(H30)),(H30-L30)^2,"")</f>
      </c>
      <c r="P30" s="18" t="inlineStr">
        <is>
          <t>2026-W43</t>
        </is>
      </c>
      <c r="Q30" s="18" t="inlineStr">
        <is>
          <t>b4dfb7c51677ddf4227832d694ba27f131887f42</t>
        </is>
      </c>
      <c r="R30" s="18"/>
      <c r="S30" s="20">
        <f>IF(AND(ISNUMBER(L30),ISNUMBER(H30)),H30,"")</f>
      </c>
      <c r="T30" s="19">
        <f>IF(AND(ISNUMBER(L30),ISNUMBER(H30)),1,0)</f>
        <v>0</v>
      </c>
      <c r="U30" s="22">
        <v>0.0</v>
      </c>
    </row>
  </sheetData>
  <mergeCells count="2">
    <mergeCell ref="B2:U2"/>
    <mergeCell ref="B4:U4"/>
  </mergeCells>
  <conditionalFormatting sqref="K6:K30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5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23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5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23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74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4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24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6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4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24 more observations; 24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22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0.9166666666666666</v>
      </c>
      <c r="H10" s="18" t="inlineStr">
        <is>
          <t>Approval review</t>
        </is>
      </c>
      <c r="I10" s="18" t="inlineStr">
        <is>
          <t>278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0.041666666666666664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22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0.9166666666666666</v>
      </c>
      <c r="H12" s="18" t="inlineStr">
        <is>
          <t>Approval review</t>
        </is>
      </c>
      <c r="I12" s="18" t="inlineStr">
        <is>
          <t>278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22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0.9166666666666666</v>
      </c>
      <c r="H13" s="18" t="inlineStr">
        <is>
          <t>Approval review</t>
        </is>
      </c>
      <c r="I13" s="18" t="inlineStr">
        <is>
          <t>278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24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0.42105263157894735</v>
      </c>
      <c r="H14" s="18" t="inlineStr">
        <is>
          <t>Approval review</t>
        </is>
      </c>
      <c r="I14" s="18" t="inlineStr">
        <is>
          <t>276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1</v>
      </c>
      <c r="E25" s="20">
        <v>0.27</v>
      </c>
      <c r="F25" s="19">
        <v>0.03881635967862205</v>
      </c>
      <c r="G25" s="19">
        <v>0.219423826204877</v>
      </c>
      <c r="H25" s="20">
        <v>-0.19701867850186705</v>
      </c>
      <c r="I25" s="19">
        <v>0.0</v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2</v>
      </c>
      <c r="D26" s="19">
        <v>1</v>
      </c>
      <c r="E26" s="20">
        <v>0.26</v>
      </c>
      <c r="F26" s="19">
        <v>0.028716890666425368</v>
      </c>
      <c r="G26" s="19">
        <v>0.18567989452764247</v>
      </c>
      <c r="H26" s="20">
        <v>-0.169460587354185</v>
      </c>
      <c r="I26" s="19">
        <v>0.0</v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4</v>
      </c>
      <c r="D27" s="19">
        <v>2</v>
      </c>
      <c r="E27" s="20">
        <v>0.265</v>
      </c>
      <c r="F27" s="19">
        <v>0.03376662517252371</v>
      </c>
      <c r="G27" s="19">
        <v>0.20255186036625972</v>
      </c>
      <c r="H27" s="20">
        <v>-0.18323963292802603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2</v>
      </c>
      <c r="E28" s="20">
        <v>0.27</v>
      </c>
      <c r="F28" s="19">
        <v>0.039415431583242254</v>
      </c>
      <c r="G28" s="19">
        <v>0.22130634891896533</v>
      </c>
      <c r="H28" s="20">
        <v>-0.19852746696769108</v>
      </c>
      <c r="I28" s="19">
        <v>0.0</v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2</v>
      </c>
      <c r="D29" s="19">
        <v>1</v>
      </c>
      <c r="E29" s="20">
        <v>0.26</v>
      </c>
      <c r="F29" s="19">
        <v>0.028716890666425368</v>
      </c>
      <c r="G29" s="19">
        <v>0.18567989452764247</v>
      </c>
      <c r="H29" s="20">
        <v>-0.169460587354185</v>
      </c>
      <c r="I29" s="19">
        <v>0.0</v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6</v>
      </c>
      <c r="D30" s="19">
        <v>3</v>
      </c>
      <c r="E30" s="20">
        <v>0.26666666666666666</v>
      </c>
      <c r="F30" s="19">
        <v>0.03584925127763663</v>
      </c>
      <c r="G30" s="19">
        <v>0.2094308641218577</v>
      </c>
      <c r="H30" s="20">
        <v>-0.18883850709652228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2</v>
      </c>
      <c r="D32" s="19">
        <v>1</v>
      </c>
      <c r="E32" s="20">
        <v>0.26</v>
      </c>
      <c r="F32" s="19">
        <v>0.028716890666425368</v>
      </c>
      <c r="G32" s="19">
        <v>0.18567989452764247</v>
      </c>
      <c r="H32" s="20">
        <v>-0.169460587354185</v>
      </c>
      <c r="I32" s="19">
        <v>0.0</v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1</v>
      </c>
      <c r="E34" s="20">
        <v>0.27</v>
      </c>
      <c r="F34" s="19">
        <v>0.03881635967862205</v>
      </c>
      <c r="G34" s="19">
        <v>0.219423826204877</v>
      </c>
      <c r="H34" s="20">
        <v>-0.19701867850186705</v>
      </c>
      <c r="I34" s="19">
        <v>0.0</v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2</v>
      </c>
      <c r="D35" s="19">
        <v>1</v>
      </c>
      <c r="E35" s="20">
        <v>0.26</v>
      </c>
      <c r="F35" s="19">
        <v>0.028716890666425368</v>
      </c>
      <c r="G35" s="19">
        <v>0.18567989452764247</v>
      </c>
      <c r="H35" s="20">
        <v>-0.169460587354185</v>
      </c>
      <c r="I35" s="19">
        <v>0.0</v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4</v>
      </c>
      <c r="D36" s="19">
        <v>2</v>
      </c>
      <c r="E36" s="20">
        <v>0.265</v>
      </c>
      <c r="F36" s="19">
        <v>0.03376662517252371</v>
      </c>
      <c r="G36" s="19">
        <v>0.20255186036625972</v>
      </c>
      <c r="H36" s="20">
        <v>-0.18323963292802603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1</v>
      </c>
      <c r="E37" s="20">
        <v>0.27</v>
      </c>
      <c r="F37" s="19">
        <v>0.03881635967862205</v>
      </c>
      <c r="G37" s="19">
        <v>0.219423826204877</v>
      </c>
      <c r="H37" s="20">
        <v>-0.19701867850186705</v>
      </c>
      <c r="I37" s="19">
        <v>0.0</v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2</v>
      </c>
      <c r="D38" s="19">
        <v>1</v>
      </c>
      <c r="E38" s="20">
        <v>0.26</v>
      </c>
      <c r="F38" s="19">
        <v>0.028716890666425368</v>
      </c>
      <c r="G38" s="19">
        <v>0.18567989452764247</v>
      </c>
      <c r="H38" s="20">
        <v>-0.169460587354185</v>
      </c>
      <c r="I38" s="19">
        <v>0.0</v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4</v>
      </c>
      <c r="D39" s="19">
        <v>2</v>
      </c>
      <c r="E39" s="20">
        <v>0.265</v>
      </c>
      <c r="F39" s="19">
        <v>0.03376662517252371</v>
      </c>
      <c r="G39" s="19">
        <v>0.20255186036625972</v>
      </c>
      <c r="H39" s="20">
        <v>-0.18323963292802603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1</v>
      </c>
      <c r="E40" s="20">
        <v>0.27</v>
      </c>
      <c r="F40" s="19">
        <v>0.03881635967862205</v>
      </c>
      <c r="G40" s="19">
        <v>0.219423826204877</v>
      </c>
      <c r="H40" s="20">
        <v>-0.19701867850186705</v>
      </c>
      <c r="I40" s="19">
        <v>0.0</v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2</v>
      </c>
      <c r="D41" s="19">
        <v>1</v>
      </c>
      <c r="E41" s="20">
        <v>0.26</v>
      </c>
      <c r="F41" s="19">
        <v>0.028716890666425368</v>
      </c>
      <c r="G41" s="19">
        <v>0.18567989452764247</v>
      </c>
      <c r="H41" s="20">
        <v>-0.169460587354185</v>
      </c>
      <c r="I41" s="19">
        <v>0.0</v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4</v>
      </c>
      <c r="D42" s="19">
        <v>2</v>
      </c>
      <c r="E42" s="20">
        <v>0.265</v>
      </c>
      <c r="F42" s="19">
        <v>0.03376662517252371</v>
      </c>
      <c r="G42" s="19">
        <v>0.20255186036625972</v>
      </c>
      <c r="H42" s="20">
        <v>-0.18323963292802603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1</v>
      </c>
      <c r="E43" s="20">
        <v>0.27</v>
      </c>
      <c r="F43" s="19">
        <v>0.03881635967862205</v>
      </c>
      <c r="G43" s="19">
        <v>0.219423826204877</v>
      </c>
      <c r="H43" s="20">
        <v>-0.19701867850186705</v>
      </c>
      <c r="I43" s="19">
        <v>0.0</v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2</v>
      </c>
      <c r="D44" s="19">
        <v>1</v>
      </c>
      <c r="E44" s="20">
        <v>0.26</v>
      </c>
      <c r="F44" s="19">
        <v>0.028716890666425368</v>
      </c>
      <c r="G44" s="19">
        <v>0.18567989452764247</v>
      </c>
      <c r="H44" s="20">
        <v>-0.169460587354185</v>
      </c>
      <c r="I44" s="19">
        <v>0.0</v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4</v>
      </c>
      <c r="D45" s="19">
        <v>2</v>
      </c>
      <c r="E45" s="20">
        <v>0.265</v>
      </c>
      <c r="F45" s="19">
        <v>0.03376662517252371</v>
      </c>
      <c r="G45" s="19">
        <v>0.20255186036625972</v>
      </c>
      <c r="H45" s="20">
        <v>-0.18323963292802603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1</v>
      </c>
      <c r="E46" s="20">
        <v>0.27</v>
      </c>
      <c r="F46" s="19">
        <v>0.03881635967862205</v>
      </c>
      <c r="G46" s="19">
        <v>0.219423826204877</v>
      </c>
      <c r="H46" s="20">
        <v>-0.19701867850186705</v>
      </c>
      <c r="I46" s="19">
        <v>0.0</v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2</v>
      </c>
      <c r="D47" s="19">
        <v>1</v>
      </c>
      <c r="E47" s="20">
        <v>0.26</v>
      </c>
      <c r="F47" s="19">
        <v>0.026411140144598073</v>
      </c>
      <c r="G47" s="19">
        <v>0.17735198070066524</v>
      </c>
      <c r="H47" s="20">
        <v>-0.162515045902212</v>
      </c>
      <c r="I47" s="19">
        <v>0.0</v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4</v>
      </c>
      <c r="D48" s="19">
        <v>2</v>
      </c>
      <c r="E48" s="20">
        <v>0.265</v>
      </c>
      <c r="F48" s="19">
        <v>0.03261374991161006</v>
      </c>
      <c r="G48" s="19">
        <v>0.19838790345277113</v>
      </c>
      <c r="H48" s="20">
        <v>-0.17976686220203952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1</v>
      </c>
      <c r="E49" s="20">
        <v>0.27</v>
      </c>
      <c r="F49" s="19">
        <v>0.03881635967862205</v>
      </c>
      <c r="G49" s="19">
        <v>0.219423826204877</v>
      </c>
      <c r="H49" s="20">
        <v>-0.19701867850186705</v>
      </c>
      <c r="I49" s="19">
        <v>0.0</v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2</v>
      </c>
      <c r="D50" s="19">
        <v>1</v>
      </c>
      <c r="E50" s="20">
        <v>0.26</v>
      </c>
      <c r="F50" s="19">
        <v>0.03111912228037517</v>
      </c>
      <c r="G50" s="19">
        <v>0.1940777453401137</v>
      </c>
      <c r="H50" s="20">
        <v>-0.17640612880615902</v>
      </c>
      <c r="I50" s="19">
        <v>0.0</v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4</v>
      </c>
      <c r="D51" s="19">
        <v>2</v>
      </c>
      <c r="E51" s="20">
        <v>0.265</v>
      </c>
      <c r="F51" s="19">
        <v>0.03496774097949861</v>
      </c>
      <c r="G51" s="19">
        <v>0.20675078577249534</v>
      </c>
      <c r="H51" s="20">
        <v>-0.1867124036540131</v>
      </c>
      <c r="I51" s="19">
        <v>0.0</v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COUNTIFS(Selections!$P$6:$P$30,A6,Selections!$M$6:$M$30,"&gt;0")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13.0</v>
      </c>
      <c r="C7" s="19">
        <f>COUNTIFS(Selections!$P$6:$P$30,A7,Selections!$M$6:$M$30,"&gt;0")</f>
        <v>13.0</v>
      </c>
      <c r="D7" s="22">
        <f>IF(C7=0,"n.a.",Breakdowns!J26)</f>
        <v>2.24</v>
      </c>
      <c r="E7" s="22">
        <f>IF(SUM($C$6:C7)=0,"n.a.",SUM($D$6:D7))</f>
        <v>0.7600000000000002</v>
      </c>
      <c r="F7" s="20">
        <f>Breakdowns!H26</f>
        <v>0.8461538461538461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COUNTIFS(Selections!$P$6:$P$30,A8,Selections!$M$6:$M$30,"&gt;0")</f>
        <v>0</v>
      </c>
      <c r="D8" s="22" t="str">
        <f>IF(C8=0,"n.a.",Breakdowns!J27)</f>
        <v>n.a.</v>
      </c>
      <c r="E8" s="22">
        <f>IF(SUM($C$6:C8)=0,"n.a.",SUM($D$6:D8))</f>
        <v>0.7600000000000002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2026-10-18T12:03:56.794759+00:00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2026-10-17</t>
        </is>
      </c>
      <c r="C9" s="19">
        <v>970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2026-10-17</t>
        </is>
      </c>
      <c r="C10" s="19">
        <v>1205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2026-10-17</t>
        </is>
      </c>
      <c r="C11" s="19">
        <v>1223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2026-10-17</t>
        </is>
      </c>
      <c r="C12" s="19">
        <v>976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2026-10-17</t>
        </is>
      </c>
      <c r="C13" s="19">
        <v>1204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4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4</v>
      </c>
      <c r="C19" s="19">
        <v>16</v>
      </c>
      <c r="D19" s="19">
        <v>5</v>
      </c>
      <c r="E19" s="20">
        <v>-0.02992673768122686</v>
      </c>
      <c r="F19" s="20">
        <v>-0.004579833647778105</v>
      </c>
    </row>
    <row r="20" ht="44" customHeight="1">
      <c r="A20" s="18" t="inlineStr">
        <is>
          <t>pinnacle</t>
        </is>
      </c>
      <c r="B20" s="19">
        <v>5</v>
      </c>
      <c r="C20" s="19">
        <v>15</v>
      </c>
      <c r="D20" s="19">
        <v>5</v>
      </c>
      <c r="E20" s="20">
        <v>-0.02146910103693065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2</v>
      </c>
    </row>
    <row r="32" ht="44" customHeight="1">
      <c r="A32" s="18" t="inlineStr">
        <is>
          <t>Bookmakers: 1xBet</t>
        </is>
      </c>
      <c r="B32" s="19">
        <v>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21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21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17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16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14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14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35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35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8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9</v>
      </c>
      <c r="D60" s="19">
        <v>6</v>
      </c>
      <c r="E60" s="20">
        <v>0.10166666666666664</v>
      </c>
      <c r="F60" s="22">
        <v>1.0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5</v>
      </c>
      <c r="E61" s="20">
        <v>0.06999999999999998</v>
      </c>
      <c r="F61" s="22">
        <v>1.0</v>
      </c>
    </row>
    <row r="62" ht="44" customHeight="1">
      <c r="A62" s="20">
        <v>0.015</v>
      </c>
      <c r="B62" s="18" t="inlineStr">
        <is>
          <t>PROVISIONAL</t>
        </is>
      </c>
      <c r="C62" s="19">
        <v>2</v>
      </c>
      <c r="D62" s="19">
        <v>1</v>
      </c>
      <c r="E62" s="20">
        <v>0.26</v>
      </c>
      <c r="F62" s="22">
        <v>0.0</v>
      </c>
    </row>
    <row r="63" ht="44" customHeight="1">
      <c r="A63" s="20">
        <v>0.03</v>
      </c>
      <c r="B63" s="18" t="inlineStr">
        <is>
          <t>ALL</t>
        </is>
      </c>
      <c r="C63" s="19">
        <v>8</v>
      </c>
      <c r="D63" s="19">
        <v>6</v>
      </c>
      <c r="E63" s="20">
        <v>0.10166666666666664</v>
      </c>
      <c r="F63" s="22">
        <v>1.0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5</v>
      </c>
      <c r="E64" s="20">
        <v>0.06999999999999998</v>
      </c>
      <c r="F64" s="22">
        <v>1.0</v>
      </c>
    </row>
    <row r="65" ht="44" customHeight="1">
      <c r="A65" s="20">
        <v>0.03</v>
      </c>
      <c r="B65" s="18" t="inlineStr">
        <is>
          <t>PROVISIONAL</t>
        </is>
      </c>
      <c r="C65" s="19">
        <v>2</v>
      </c>
      <c r="D65" s="19">
        <v>1</v>
      </c>
      <c r="E65" s="20">
        <v>0.26</v>
      </c>
      <c r="F65" s="22">
        <v>0.0</v>
      </c>
    </row>
    <row r="66" ht="44" customHeight="1">
      <c r="A66" s="20">
        <v>0.05</v>
      </c>
      <c r="B66" s="18" t="inlineStr">
        <is>
          <t>ALL</t>
        </is>
      </c>
      <c r="C66" s="19">
        <v>7</v>
      </c>
      <c r="D66" s="19">
        <v>5</v>
      </c>
      <c r="E66" s="20">
        <v>0.06999999999999998</v>
      </c>
      <c r="F66" s="22">
        <v>1.0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5</v>
      </c>
      <c r="E67" s="20">
        <v>0.06999999999999998</v>
      </c>
      <c r="F67" s="22">
        <v>1.0</v>
      </c>
    </row>
    <row r="68" ht="44" customHeight="1">
      <c r="A68" s="20">
        <v>0.05</v>
      </c>
      <c r="B68" s="18" t="inlineStr">
        <is>
          <t>PROVISIONAL</t>
        </is>
      </c>
      <c r="C68" s="19">
        <v>2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7" ht="44" customHeight="1">
      <c r="A77" s="18" t="inlineStr">
        <is>
          <t>2026-10-17</t>
        </is>
      </c>
      <c r="B77" s="19">
        <v>17</v>
      </c>
      <c r="C77" s="20">
        <v>0.764706</v>
      </c>
      <c r="D77" s="20">
        <v>0.044706</v>
      </c>
      <c r="E77" s="21">
        <v>0.178798</v>
      </c>
    </row>
    <row r="78" ht="44" customHeight="1">
      <c r="A78" s="18" t="inlineStr">
        <is>
          <t>2026-10-18</t>
        </is>
      </c>
      <c r="B78" s="19">
        <v>17</v>
      </c>
      <c r="C78" s="20">
        <v>0.764706</v>
      </c>
      <c r="D78" s="20">
        <v>0.044706</v>
      </c>
      <c r="E78" s="21">
        <v>0.178798</v>
      </c>
    </row>
    <row r="81">
      <c r="A81" s="26" t="inlineStr">
        <is>
          <t>Dependency versions</t>
        </is>
      </c>
    </row>
    <row r="82" ht="34" customHeight="1">
      <c r="A82" s="24" t="inlineStr">
        <is>
          <t>Dependency</t>
        </is>
      </c>
      <c r="B82" s="24" t="inlineStr">
        <is>
          <t>Version</t>
        </is>
      </c>
    </row>
    <row r="83" ht="44" customHeight="1">
      <c r="A83" s="18" t="inlineStr">
        <is>
          <t>python</t>
        </is>
      </c>
      <c r="B83" s="18" t="inlineStr">
        <is>
          <t>3.12.15</t>
        </is>
      </c>
    </row>
    <row r="84" ht="44" customHeight="1">
      <c r="A84" s="18" t="inlineStr">
        <is>
          <t>numpy</t>
        </is>
      </c>
      <c r="B84" s="18" t="inlineStr">
        <is>
          <t>2.5.4</t>
        </is>
      </c>
    </row>
    <row r="85" ht="44" customHeight="1">
      <c r="A85" s="18" t="inlineStr">
        <is>
          <t>pandas</t>
        </is>
      </c>
      <c r="B85" s="18" t="inlineStr">
        <is>
          <t>3.0.6</t>
        </is>
      </c>
    </row>
    <row r="86" ht="44" customHeight="1">
      <c r="A86" s="18" t="inlineStr">
        <is>
          <t>scipy</t>
        </is>
      </c>
      <c r="B86" s="18" t="inlineStr">
        <is>
          <t>1.18.1</t>
        </is>
      </c>
    </row>
    <row r="87" ht="44" customHeight="1">
      <c r="A87" s="18" t="inlineStr">
        <is>
          <t>requests</t>
        </is>
      </c>
      <c r="B87" s="18" t="inlineStr">
        <is>
          <t>2.34.2</t>
        </is>
      </c>
    </row>
    <row r="88" ht="44" customHeight="1">
      <c r="A88" s="18" t="inlineStr">
        <is>
          <t>python-dotenv</t>
        </is>
      </c>
      <c r="B88" s="18" t="inlineStr">
        <is>
          <t>1.2.4</t>
        </is>
      </c>
    </row>
    <row r="89" ht="44" customHeight="1">
      <c r="A89" s="18" t="inlineStr">
        <is>
          <t>coverage</t>
        </is>
      </c>
      <c r="B89" s="18" t="inlineStr">
        <is>
          <t>7.16.2</t>
        </is>
      </c>
    </row>
    <row r="90" ht="44" customHeight="1">
      <c r="A90" s="18" t="inlineStr">
        <is>
          <t>PyYAML</t>
        </is>
      </c>
      <c r="B90" s="18" t="inlineStr">
        <is>
          <t>6.0.3</t>
        </is>
      </c>
    </row>
    <row r="93">
      <c r="A93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81:F81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3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</row>
  </sheetData>
  <autoFilter ref="A5:H40"/>
  <mergeCells count="2">
    <mergeCell ref="A2:H2"/>
    <mergeCell ref="A4:H4"/>
  </mergeCells>
</worksheet>
</file>