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8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0.6101694915254238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0.5498335240677966</v>
      </c>
      <c r="C17" s="18"/>
      <c r="D17" s="18" t="inlineStr">
        <is>
          <t>Over 1.5</t>
        </is>
      </c>
      <c r="E17" s="18">
        <f>COUNT(Predictions!J6:J168)</f>
        <v>59</v>
      </c>
      <c r="F17" s="20">
        <f>IF(E17=0,"n.a.",AVERAGE(Predictions!J6:J168))</f>
        <v>0.8135593220338984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59</v>
      </c>
      <c r="F18" s="20">
        <f>IF(E18=0,"n.a.",AVERAGE(Predictions!K6:K168))</f>
        <v>0.6271186440677966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59</v>
      </c>
      <c r="F19" s="20">
        <f>IF(E19=0,"n.a.",AVERAGE(Predictions!L6:L168))</f>
        <v>0.576271186440678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59</v>
      </c>
      <c r="F20" s="20">
        <f>IF(E20=0,"n.a.",AVERAGE(Predictions!M6:M168))</f>
        <v>0.576271186440678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2026-10-18T12:45:10.912224+00:00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31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09:58:45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0.76</v>
      </c>
      <c r="G34" s="22">
        <f>$B$4+F34</f>
        <v>100.76</v>
      </c>
      <c r="H34" s="22">
        <f>MAX($B$4,$G$10:G34)</f>
        <v>100.76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17</v>
      </c>
      <c r="E6" s="19">
        <f>COUNTIFS(Selections!$K$6:$K$30,"WON")</f>
        <v>13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8</v>
      </c>
      <c r="H6" s="20">
        <f>IF((COUNTIFS(Selections!$K$6:$K$30,"WON")+COUNTIFS(Selections!$K$6:$K$30,"LOST"))=0,"n.a.",COUNTIFS(Selections!$K$6:$K$30,"WON")/(COUNTIFS(Selections!$K$6:$K$30,"WON")+COUNTIFS(Selections!$K$6:$K$30,"LOST")))</f>
        <v>0.7647058823529411</v>
      </c>
      <c r="I6" s="22">
        <f>SUM(Selections!$M$6:$M$30)</f>
        <v>17</v>
      </c>
      <c r="J6" s="22">
        <f>SUM(Selections!$N$6:$N$30)</f>
        <v>0.76</v>
      </c>
      <c r="K6" s="20">
        <f>IF(SUM(Selections!$M$6:$M$30)=0,"n.a.",SUM(Selections!$N$6:$N$30)/SUM(Selections!$M$6:$M$30))</f>
        <v>0.04470588235294118</v>
      </c>
      <c r="L6" s="21">
        <f>IF(SUM(Selections!$T$6:$T$30)=0,"n.a.",SUM(Selections!$O$6:$O$30)/SUM(Selections!$T$6:$T$30))</f>
        <v>0.17879796164462633</v>
      </c>
      <c r="M6" s="20">
        <f>IF(SUM(Selections!$T$6:$T$30)=0,"n.a.",SUM(Selections!$S$6:$S$30)/SUM(Selections!$T$6:$T$30))</f>
        <v>0.7939657201971452</v>
      </c>
      <c r="N6" s="20">
        <f>IF(SUM(Selections!$T$6:$T$30)=0,"n.a.",(SUMIFS(Selections!$L$6:$L$30,Selections!$T$6:$T$30,1))/SUM(Selections!$T$6:$T$30))</f>
        <v>0.7647058823529411</v>
      </c>
      <c r="O6" s="20">
        <f>IF(SUM(Selections!$T$6:$T$30)=0,"n.a.",(SUM(Selections!$S$6:$S$30)-(SUMIFS(Selections!$L$6:$L$30,Selections!$T$6:$T$30,1)))/SUM(Selections!$T$6:$T$30))</f>
        <v>0.02925983784420405</v>
      </c>
      <c r="P6" s="19">
        <f>SUM(Selections!$T$6:$T$30)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7</v>
      </c>
      <c r="E8" s="19">
        <f>COUNTIFS(Selections!$F$6:$F$30,"PROVISIONAL",Selections!$K$6:$K$30,"WON")</f>
        <v>4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4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0.5714285714285714</v>
      </c>
      <c r="I8" s="22">
        <f>SUMIFS(Selections!$M$6:$M$30,Selections!$F$6:$F$30,"PROVISIONAL")</f>
        <v>7</v>
      </c>
      <c r="J8" s="22">
        <f>SUMIFS(Selections!$N$6:$N$30,Selections!$F$6:$F$30,"PROVISIONAL")</f>
        <v>-1.95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-0.2785714285714286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0.29467768645262465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0.8342730263146871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0.5714285714285714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0.26284445488611574</v>
      </c>
      <c r="P8" s="19">
        <f>SUMIFS(Selections!$T$6:$T$30,Selections!$F$6:$F$30,"PROVISIONAL")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3</v>
      </c>
      <c r="E10" s="19">
        <f>COUNTIFS(Selections!$C$6:$C$30,"La Liga",Selections!$K$6:$K$30,"WON")</f>
        <v>3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4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3</v>
      </c>
      <c r="J10" s="22">
        <f>SUMIFS(Selections!$N$6:$N$30,Selections!$C$6:$C$30,"La Liga")</f>
        <v>0.8500000000000001</v>
      </c>
      <c r="K10" s="20">
        <f>IF(SUMIFS(Selections!$M$6:$M$30,Selections!$C$6:$C$30,"La Liga")=0,"n.a.",SUMIFS(Selections!$N$6:$N$30,Selections!$C$6:$C$30,"La Liga")/SUMIFS(Selections!$M$6:$M$30,Selections!$C$6:$C$30,"La Liga"))</f>
        <v>0.2833333333333334</v>
      </c>
      <c r="L10" s="21">
        <f>IF(SUMIFS(Selections!$T$6:$T$30,Selections!$C$6:$C$30,"La Liga")=0,"n.a.",SUMIFS(Selections!$O$6:$O$30,Selections!$C$6:$C$30,"La Liga")/SUMIFS(Selections!$T$6:$T$30,Selections!$C$6:$C$30,"La Liga"))</f>
        <v>0.02679924783576133</v>
      </c>
      <c r="M10" s="20">
        <f>IF(SUMIFS(Selections!$T$6:$T$30,Selections!$C$6:$C$30,"La Liga")=0,"n.a.",SUMIFS(Selections!$S$6:$S$30,Selections!$C$6:$C$30,"La Liga")/SUMIFS(Selections!$T$6:$T$30,Selections!$C$6:$C$30,"La Liga"))</f>
        <v>0.8435366220237205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-0.15646337797627952</v>
      </c>
      <c r="P10" s="19">
        <f>SUMIFS(Selections!$T$6:$T$30,Selections!$C$6:$C$30,"La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6</v>
      </c>
      <c r="E18" s="19">
        <f>COUNTIFS(Selections!$E$6:$E$30,"Over 1.5",Selections!$K$6:$K$30,"WON")</f>
        <v>6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3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6</v>
      </c>
      <c r="J18" s="22">
        <f>SUMIFS(Selections!$N$6:$N$30,Selections!$E$6:$E$30,"Over 1.5")</f>
        <v>1.35</v>
      </c>
      <c r="K18" s="20">
        <f>IF(SUMIFS(Selections!$M$6:$M$30,Selections!$E$6:$E$30,"Over 1.5")=0,"n.a.",SUMIFS(Selections!$N$6:$N$30,Selections!$E$6:$E$30,"Over 1.5")/SUMIFS(Selections!$M$6:$M$30,Selections!$E$6:$E$30,"Over 1.5"))</f>
        <v>0.225</v>
      </c>
      <c r="L18" s="21">
        <f>IF(SUMIFS(Selections!$T$6:$T$30,Selections!$E$6:$E$30,"Over 1.5")=0,"n.a.",SUMIFS(Selections!$O$6:$O$30,Selections!$E$6:$E$30,"Over 1.5")/SUMIFS(Selections!$T$6:$T$30,Selections!$E$6:$E$30,"Over 1.5"))</f>
        <v>0.016286174710257586</v>
      </c>
      <c r="M18" s="20">
        <f>IF(SUMIFS(Selections!$T$6:$T$30,Selections!$E$6:$E$30,"Over 1.5")=0,"n.a.",SUMIFS(Selections!$S$6:$S$30,Selections!$E$6:$E$30,"Over 1.5")/SUMIFS(Selections!$T$6:$T$30,Selections!$E$6:$E$30,"Over 1.5"))</f>
        <v>0.8844021220181314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-0.1155978779818686</v>
      </c>
      <c r="P18" s="19">
        <f>SUMIFS(Selections!$T$6:$T$30,Selections!$E$6:$E$30,"Over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7</v>
      </c>
      <c r="E24" s="19">
        <f>COUNTIFS(Selections!$G$6:$G$30,"legacy/unspecified",Selections!$K$6:$K$30,"WON")</f>
        <v>5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4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0.7142857142857143</v>
      </c>
      <c r="I24" s="22">
        <f>SUMIFS(Selections!$M$6:$M$30,Selections!$G$6:$G$30,"legacy/unspecified")</f>
        <v>7</v>
      </c>
      <c r="J24" s="22">
        <f>SUMIFS(Selections!$N$6:$N$30,Selections!$G$6:$G$30,"legacy/unspecified")</f>
        <v>-0.32000000000000006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-0.04571428571428572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0.22763981067487737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0.8238675387479917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0.7142857142857143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0.10958182446227738</v>
      </c>
      <c r="P24" s="19">
        <f>SUMIFS(Selections!$T$6:$T$30,Selections!$G$6:$G$30,"legacy/unspecified")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13</v>
      </c>
      <c r="E26" s="19">
        <f>COUNTIFS(Selections!$P$6:$P$30,"2026-W42",Selections!$K$6:$K$30,"WON")</f>
        <v>11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5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0.8461538461538461</v>
      </c>
      <c r="I26" s="22">
        <f>SUMIFS(Selections!$M$6:$M$30,Selections!$P$6:$P$30,"2026-W42")</f>
        <v>13</v>
      </c>
      <c r="J26" s="22">
        <f>SUMIFS(Selections!$N$6:$N$30,Selections!$P$6:$P$30,"2026-W42")</f>
        <v>2.24</v>
      </c>
      <c r="K26" s="20">
        <f>IF(SUMIFS(Selections!$M$6:$M$30,Selections!$P$6:$P$30,"2026-W42")=0,"n.a.",SUMIFS(Selections!$N$6:$N$30,Selections!$P$6:$P$30,"2026-W42")/SUMIFS(Selections!$M$6:$M$30,Selections!$P$6:$P$30,"2026-W42"))</f>
        <v>0.17230769230769233</v>
      </c>
      <c r="L26" s="21">
        <f>IF(SUMIFS(Selections!$T$6:$T$30,Selections!$P$6:$P$30,"2026-W42")=0,"n.a.",SUMIFS(Selections!$O$6:$O$30,Selections!$P$6:$P$30,"2026-W42")/SUMIFS(Selections!$T$6:$T$30,Selections!$P$6:$P$30,"2026-W42"))</f>
        <v>0.13254625997760738</v>
      </c>
      <c r="M26" s="20">
        <f>IF(SUMIFS(Selections!$T$6:$T$30,Selections!$P$6:$P$30,"2026-W42")=0,"n.a.",SUMIFS(Selections!$S$6:$S$30,Selections!$P$6:$P$30,"2026-W42")/SUMIFS(Selections!$T$6:$T$30,Selections!$P$6:$P$30,"2026-W42"))</f>
        <v>0.7856017666694614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0.8461538461538461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-0.06055207948438479</v>
      </c>
      <c r="P26" s="19">
        <f>SUMIFS(Selections!$T$6:$T$30,Selections!$P$6:$P$30,"2026-W42")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3</v>
      </c>
      <c r="E11" s="20">
        <f>IF(D11=0,"n.a.",SUMIFS(Selections!$S$6:$S$30,Selections!$S$6:$S$30,"&gt;="&amp;B11,Selections!$S$6:$S$30,"&lt;"&amp;C11,Selections!$T$6:$T$30,1)/D11)</f>
        <v>0.9252676220125422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-0.0747323779874578</v>
      </c>
      <c r="H11" s="21">
        <f>IF(D11=0,"n.a.",SUMIFS(Selections!$O$6:$O$30,Selections!$S$6:$S$30,"&gt;="&amp;B11,Selections!$S$6:$S$30,"&lt;"&amp;C11,Selections!$T$6:$T$30,1)/D11)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0.92</v>
      </c>
      <c r="H10" s="18" t="inlineStr">
        <is>
          <t>Approval review</t>
        </is>
      </c>
      <c r="I10" s="18" t="inlineStr">
        <is>
          <t>277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0.08</v>
      </c>
      <c r="H11" s="18" t="inlineStr">
        <is>
          <t>Approval review</t>
        </is>
      </c>
      <c r="I11" s="18" t="inlineStr">
        <is>
          <t>298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0.92</v>
      </c>
      <c r="H12" s="18" t="inlineStr">
        <is>
          <t>Approval review</t>
        </is>
      </c>
      <c r="I12" s="18" t="inlineStr">
        <is>
          <t>277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0.92</v>
      </c>
      <c r="H13" s="18" t="inlineStr">
        <is>
          <t>Approval review</t>
        </is>
      </c>
      <c r="I13" s="18" t="inlineStr">
        <is>
          <t>277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25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0.43859649122807015</v>
      </c>
      <c r="H14" s="18" t="inlineStr">
        <is>
          <t>Approval review</t>
        </is>
      </c>
      <c r="I14" s="18" t="inlineStr">
        <is>
          <t>275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2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4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2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6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2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2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4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2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4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2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4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2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4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2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4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2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4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COUNTIFS(Selections!$P$6:$P$30,A7,Selections!$M$6:$M$30,"&gt;0")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2026-10-18T12:45:10.912224+00:00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16</v>
      </c>
      <c r="D19" s="19">
        <v>5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15</v>
      </c>
      <c r="D20" s="19">
        <v>5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35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8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9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2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8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2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7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2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python</t>
        </is>
      </c>
      <c r="B83" s="18" t="inlineStr">
        <is>
          <t>3.12.15</t>
        </is>
      </c>
    </row>
    <row r="84" ht="44" customHeight="1">
      <c r="A84" s="18" t="inlineStr">
        <is>
          <t>numpy</t>
        </is>
      </c>
      <c r="B84" s="18" t="inlineStr">
        <is>
          <t>2.5.4</t>
        </is>
      </c>
    </row>
    <row r="85" ht="44" customHeight="1">
      <c r="A85" s="18" t="inlineStr">
        <is>
          <t>pandas</t>
        </is>
      </c>
      <c r="B85" s="18" t="inlineStr">
        <is>
          <t>3.0.6</t>
        </is>
      </c>
    </row>
    <row r="86" ht="44" customHeight="1">
      <c r="A86" s="18" t="inlineStr">
        <is>
          <t>scipy</t>
        </is>
      </c>
      <c r="B86" s="18" t="inlineStr">
        <is>
          <t>1.18.1</t>
        </is>
      </c>
    </row>
    <row r="87" ht="44" customHeight="1">
      <c r="A87" s="18" t="inlineStr">
        <is>
          <t>requests</t>
        </is>
      </c>
      <c r="B87" s="18" t="inlineStr">
        <is>
          <t>2.34.2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coverage</t>
        </is>
      </c>
      <c r="B89" s="18" t="inlineStr">
        <is>
          <t>NOT_INSTALLED</t>
        </is>
      </c>
    </row>
    <row r="90" ht="44" customHeight="1">
      <c r="A90" s="18" t="inlineStr">
        <is>
          <t>PyYAML</t>
        </is>
      </c>
      <c r="B90" s="18" t="inlineStr">
        <is>
          <t>NOT_INSTALLED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</row>
  </sheetData>
  <autoFilter ref="A5:H40"/>
  <mergeCells count="2">
    <mergeCell ref="A2:H2"/>
    <mergeCell ref="A4:H4"/>
  </mergeCells>
</worksheet>
</file>